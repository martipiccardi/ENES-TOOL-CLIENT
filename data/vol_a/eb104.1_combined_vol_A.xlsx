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veriancloud.sharepoint.com/sites/Eurobarometer-DPDeliverables/Shared Documents/Wave 104_1/Vol A/"/>
    </mc:Choice>
  </mc:AlternateContent>
  <xr:revisionPtr revIDLastSave="8" documentId="13_ncr:1_{36964087-AAD4-4E09-85CE-8D6465F1C004}" xr6:coauthVersionLast="47" xr6:coauthVersionMax="47" xr10:uidLastSave="{4641DC27-FA40-4106-944D-084E601CB299}"/>
  <bookViews>
    <workbookView xWindow="-120" yWindow="-16320" windowWidth="29040" windowHeight="15720" firstSheet="22" activeTab="22"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6" sheetId="35" r:id="rId35"/>
    <sheet name="QA6_7" sheetId="36" r:id="rId36"/>
    <sheet name="QA6_8" sheetId="37" r:id="rId37"/>
    <sheet name="QA6_9" sheetId="38" r:id="rId38"/>
    <sheet name="QA6_10" sheetId="39" r:id="rId39"/>
    <sheet name="QA6_11" sheetId="40" r:id="rId40"/>
    <sheet name="D78" sheetId="41" r:id="rId41"/>
    <sheet name="QA7_1" sheetId="42" r:id="rId42"/>
    <sheet name="QA7_2" sheetId="43" r:id="rId43"/>
    <sheet name="QA7_3" sheetId="44" r:id="rId44"/>
    <sheet name="QA7_4" sheetId="45" r:id="rId45"/>
    <sheet name="QA8_1" sheetId="46" r:id="rId46"/>
    <sheet name="QA8_2" sheetId="47" r:id="rId47"/>
    <sheet name="QA8_3" sheetId="48" r:id="rId48"/>
    <sheet name="QA8_4" sheetId="49" r:id="rId49"/>
    <sheet name="QA9a" sheetId="50" r:id="rId50"/>
    <sheet name="QA9b" sheetId="51" r:id="rId51"/>
    <sheet name="QA9c" sheetId="52" r:id="rId52"/>
    <sheet name="QA9d" sheetId="53" r:id="rId53"/>
    <sheet name="QA9e" sheetId="54" r:id="rId54"/>
    <sheet name="QA9f" sheetId="55" r:id="rId55"/>
    <sheet name="QA10_1" sheetId="56" r:id="rId56"/>
    <sheet name="QA10_2" sheetId="57" r:id="rId57"/>
    <sheet name="QA10_4" sheetId="58" r:id="rId58"/>
    <sheet name="QA11" sheetId="59" r:id="rId59"/>
    <sheet name="SD18a" sheetId="60" r:id="rId60"/>
    <sheet name="SD18b" sheetId="61" r:id="rId61"/>
    <sheet name="SD19a_1" sheetId="62" r:id="rId62"/>
    <sheet name="SD19a_2" sheetId="63" r:id="rId63"/>
    <sheet name="SD19a_3" sheetId="64" r:id="rId64"/>
    <sheet name="QA12" sheetId="65" r:id="rId65"/>
    <sheet name="QB1_1" sheetId="66" r:id="rId66"/>
    <sheet name="QB1_2" sheetId="67" r:id="rId67"/>
    <sheet name="QB1_3" sheetId="68" r:id="rId68"/>
    <sheet name="QB1_4" sheetId="69" r:id="rId69"/>
    <sheet name="QB1_5" sheetId="70" r:id="rId70"/>
    <sheet name="QB1_6" sheetId="71" r:id="rId71"/>
    <sheet name="QB1_7" sheetId="72" r:id="rId72"/>
    <sheet name="QB1_8" sheetId="73" r:id="rId73"/>
    <sheet name="QB1_9" sheetId="74" r:id="rId74"/>
    <sheet name="QB1_10" sheetId="75" r:id="rId75"/>
    <sheet name="QB1_11" sheetId="76" r:id="rId76"/>
    <sheet name="QB2_1" sheetId="77" r:id="rId77"/>
    <sheet name="QB2_2" sheetId="78" r:id="rId78"/>
    <sheet name="QB2_3" sheetId="79" r:id="rId79"/>
    <sheet name="QB2_4" sheetId="80" r:id="rId80"/>
    <sheet name="QB2_5" sheetId="81" r:id="rId81"/>
    <sheet name="QB3" sheetId="82" r:id="rId82"/>
    <sheet name="QB4_1" sheetId="83" r:id="rId83"/>
    <sheet name="QB4_2" sheetId="84" r:id="rId84"/>
    <sheet name="QB5a" sheetId="85" r:id="rId85"/>
    <sheet name="QB5b" sheetId="86" r:id="rId86"/>
    <sheet name="QB5ab" sheetId="87" r:id="rId87"/>
    <sheet name="QB6a" sheetId="88" r:id="rId88"/>
    <sheet name="QB6b" sheetId="89" r:id="rId89"/>
    <sheet name="QB6ab" sheetId="90" r:id="rId90"/>
    <sheet name="QB7" sheetId="91" r:id="rId91"/>
    <sheet name="QB8" sheetId="92" r:id="rId92"/>
    <sheet name="QB9" sheetId="93" r:id="rId93"/>
    <sheet name="QB10_1" sheetId="94" r:id="rId94"/>
    <sheet name="QB10_2" sheetId="95" r:id="rId95"/>
    <sheet name="QB10_3" sheetId="96" r:id="rId96"/>
    <sheet name="QB11_1" sheetId="97" r:id="rId97"/>
    <sheet name="QB11_2" sheetId="98" r:id="rId98"/>
    <sheet name="QC1_1" sheetId="99" r:id="rId99"/>
    <sheet name="QC1_2" sheetId="100" r:id="rId100"/>
    <sheet name="QC1_3" sheetId="101" r:id="rId101"/>
    <sheet name="QC1_4" sheetId="102" r:id="rId102"/>
    <sheet name="QC2_1" sheetId="103" r:id="rId103"/>
    <sheet name="QC2_2" sheetId="104" r:id="rId104"/>
    <sheet name="QC2_3" sheetId="105" r:id="rId105"/>
    <sheet name="QC3a" sheetId="106" r:id="rId106"/>
    <sheet name="QC3b" sheetId="107" r:id="rId107"/>
    <sheet name="QC3ab" sheetId="108" r:id="rId108"/>
    <sheet name="QC4" sheetId="109" r:id="rId109"/>
    <sheet name="QC5_1" sheetId="110" r:id="rId110"/>
    <sheet name="QC5_2" sheetId="111" r:id="rId111"/>
    <sheet name="QC5_3" sheetId="112" r:id="rId112"/>
    <sheet name="SD20a_1" sheetId="113" r:id="rId113"/>
    <sheet name="SD20a_2" sheetId="114" r:id="rId114"/>
    <sheet name="SD20a_3" sheetId="115" r:id="rId115"/>
    <sheet name="SD20aR1" sheetId="116" r:id="rId116"/>
    <sheet name="SD20aR2" sheetId="117" r:id="rId117"/>
    <sheet name="QD1_1" sheetId="118" r:id="rId118"/>
    <sheet name="QD1_2" sheetId="119" r:id="rId119"/>
    <sheet name="QD2_1" sheetId="120" r:id="rId120"/>
    <sheet name="QD2_2" sheetId="121" r:id="rId121"/>
    <sheet name="QD2_3" sheetId="122" r:id="rId122"/>
    <sheet name="QD2_4" sheetId="123" r:id="rId123"/>
    <sheet name="QD2_5" sheetId="124" r:id="rId124"/>
    <sheet name="QD3_1" sheetId="125" r:id="rId125"/>
    <sheet name="QD3_2" sheetId="126" r:id="rId126"/>
    <sheet name="QD3_3" sheetId="127" r:id="rId127"/>
    <sheet name="QD3_4" sheetId="128" r:id="rId128"/>
    <sheet name="QD3_5" sheetId="129" r:id="rId129"/>
    <sheet name="QD3_6" sheetId="130" r:id="rId130"/>
    <sheet name="QD3_7" sheetId="131" r:id="rId131"/>
    <sheet name="QD3_8" sheetId="132" r:id="rId132"/>
    <sheet name="QD3_9" sheetId="133" r:id="rId133"/>
    <sheet name="QD3_10" sheetId="134" r:id="rId134"/>
    <sheet name="QE1" sheetId="135" r:id="rId135"/>
    <sheet name="QE2_1" sheetId="136" r:id="rId136"/>
    <sheet name="QE2_2" sheetId="137" r:id="rId137"/>
    <sheet name="QE2_3" sheetId="138" r:id="rId138"/>
    <sheet name="QE2_4" sheetId="139" r:id="rId139"/>
    <sheet name="QE2_5" sheetId="140" r:id="rId140"/>
    <sheet name="QE2_6" sheetId="141" r:id="rId141"/>
    <sheet name="QE2_7" sheetId="142" r:id="rId142"/>
    <sheet name="QE2R" sheetId="143" r:id="rId143"/>
    <sheet name="C4" sheetId="144" r:id="rId144"/>
    <sheet name="QE3_1" sheetId="145" r:id="rId145"/>
    <sheet name="QE3_2" sheetId="146" r:id="rId146"/>
    <sheet name="QE3_3" sheetId="147" r:id="rId147"/>
    <sheet name="QE3_4" sheetId="148" r:id="rId148"/>
    <sheet name="QE3_5" sheetId="149" r:id="rId149"/>
    <sheet name="C5" sheetId="150" r:id="rId150"/>
    <sheet name="QE4a" sheetId="151" r:id="rId151"/>
    <sheet name="QE4b" sheetId="152" r:id="rId152"/>
    <sheet name="QE4ab" sheetId="153" r:id="rId153"/>
    <sheet name="QE5" sheetId="154" r:id="rId154"/>
    <sheet name="QE6_1" sheetId="155" r:id="rId155"/>
    <sheet name="QE6_2" sheetId="156" r:id="rId156"/>
    <sheet name="QE6_3" sheetId="157" r:id="rId157"/>
    <sheet name="QE6_4" sheetId="158" r:id="rId158"/>
    <sheet name="QE6R_1" sheetId="159" r:id="rId159"/>
    <sheet name="QE6R_2" sheetId="160" r:id="rId160"/>
    <sheet name="QE6R_3" sheetId="161" r:id="rId161"/>
    <sheet name="QE6R_4" sheetId="162" r:id="rId162"/>
    <sheet name="QE7_1" sheetId="163" r:id="rId163"/>
    <sheet name="QE7_2" sheetId="164" r:id="rId164"/>
    <sheet name="QE7_3" sheetId="165" r:id="rId165"/>
    <sheet name="QE7_4" sheetId="166" r:id="rId166"/>
    <sheet name="QE8_1" sheetId="167" r:id="rId167"/>
    <sheet name="QE8_2" sheetId="168" r:id="rId168"/>
    <sheet name="QE8_3" sheetId="169" r:id="rId169"/>
    <sheet name="QE8_4" sheetId="170" r:id="rId170"/>
    <sheet name="QF1" sheetId="171" r:id="rId171"/>
    <sheet name="QF2a" sheetId="172" r:id="rId172"/>
    <sheet name="QF2b" sheetId="173" r:id="rId173"/>
    <sheet name="QF2ab" sheetId="174" r:id="rId174"/>
    <sheet name="QF3a" sheetId="175" r:id="rId175"/>
    <sheet name="QF3b" sheetId="176" r:id="rId176"/>
    <sheet name="QF3ab" sheetId="177" r:id="rId177"/>
    <sheet name="QF4" sheetId="178" r:id="rId178"/>
    <sheet name="D11" sheetId="179" r:id="rId179"/>
    <sheet name="D11R" sheetId="180" r:id="rId180"/>
    <sheet name="D11bis" sheetId="181" r:id="rId181"/>
    <sheet name="D11G" sheetId="182" r:id="rId182"/>
    <sheet name="D7" sheetId="183" r:id="rId183"/>
    <sheet name="D7R1" sheetId="184" r:id="rId184"/>
    <sheet name="D7R2" sheetId="185" r:id="rId185"/>
    <sheet name="D8" sheetId="186" r:id="rId186"/>
    <sheet name="D8c" sheetId="187" r:id="rId187"/>
    <sheet name="D10" sheetId="188" r:id="rId188"/>
    <sheet name="D15a" sheetId="189" r:id="rId189"/>
    <sheet name="D15a2" sheetId="190" r:id="rId190"/>
    <sheet name="C14" sheetId="191" r:id="rId191"/>
    <sheet name="D15b" sheetId="192" r:id="rId192"/>
    <sheet name="D15b2" sheetId="193" r:id="rId193"/>
    <sheet name="D25" sheetId="194" r:id="rId194"/>
    <sheet name="D40a" sheetId="195" r:id="rId195"/>
    <sheet name="D40b" sheetId="196" r:id="rId196"/>
    <sheet name="D40c" sheetId="197" r:id="rId197"/>
    <sheet name="D40" sheetId="198" r:id="rId198"/>
    <sheet name="D40R" sheetId="199" r:id="rId199"/>
    <sheet name="D60" sheetId="200" r:id="rId200"/>
    <sheet name="D62_1" sheetId="201" r:id="rId201"/>
    <sheet name="D62_2" sheetId="202" r:id="rId202"/>
    <sheet name="D62_3" sheetId="203" r:id="rId203"/>
    <sheet name="D62_4" sheetId="204" r:id="rId204"/>
    <sheet name="D62R" sheetId="205" r:id="rId205"/>
    <sheet name="D63" sheetId="206" r:id="rId206"/>
    <sheet name="D1" sheetId="207" r:id="rId207"/>
    <sheet name="D1R1" sheetId="208" r:id="rId208"/>
    <sheet name="D1R2" sheetId="209" r:id="rId20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09" l="1"/>
  <c r="A9" i="208"/>
  <c r="A9" i="207"/>
  <c r="A9" i="206"/>
  <c r="A9" i="205"/>
  <c r="A9" i="204"/>
  <c r="A9" i="203"/>
  <c r="A9" i="202"/>
  <c r="A9" i="201"/>
  <c r="A9" i="200"/>
  <c r="A9" i="199"/>
  <c r="A9" i="198"/>
  <c r="A9" i="197"/>
  <c r="A9" i="196"/>
  <c r="A9" i="195"/>
  <c r="A9" i="194"/>
  <c r="A9" i="193"/>
  <c r="A9" i="192"/>
  <c r="A9" i="191"/>
  <c r="A9" i="190"/>
  <c r="A9" i="189"/>
  <c r="A9" i="188"/>
  <c r="A9" i="187"/>
  <c r="A9" i="186"/>
  <c r="A9" i="185"/>
  <c r="A9" i="184"/>
  <c r="A9" i="183"/>
  <c r="A9" i="182"/>
  <c r="A9" i="181"/>
  <c r="A9" i="180"/>
  <c r="A9" i="179"/>
  <c r="A9" i="178"/>
  <c r="A9" i="177"/>
  <c r="A9" i="176"/>
  <c r="A9" i="175"/>
  <c r="A9" i="174"/>
  <c r="A9" i="173"/>
  <c r="A9" i="172"/>
  <c r="A9" i="171"/>
  <c r="A9" i="170"/>
  <c r="A9" i="169"/>
  <c r="A9" i="168"/>
  <c r="A9" i="167"/>
  <c r="A9" i="166"/>
  <c r="A9" i="165"/>
  <c r="A9" i="164"/>
  <c r="A9" i="163"/>
  <c r="A9" i="162"/>
  <c r="A9" i="161"/>
  <c r="A9" i="160"/>
  <c r="A9" i="159"/>
  <c r="A9" i="158"/>
  <c r="A9" i="157"/>
  <c r="A9" i="156"/>
  <c r="A9" i="155"/>
  <c r="A9" i="154"/>
  <c r="A9" i="153"/>
  <c r="A9" i="152"/>
  <c r="A9" i="151"/>
  <c r="A9" i="150"/>
  <c r="A9" i="149"/>
  <c r="A9" i="148"/>
  <c r="A9" i="147"/>
  <c r="A9" i="146"/>
  <c r="A9" i="145"/>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<sst xmlns="http://schemas.openxmlformats.org/spreadsheetml/2006/main" count="19093" uniqueCount="1717">
  <si>
    <t>Project:</t>
  </si>
  <si>
    <t>Eurobarometer</t>
  </si>
  <si>
    <t>Wave:</t>
  </si>
  <si>
    <t>104.1</t>
  </si>
  <si>
    <t>Fieldwork:</t>
  </si>
  <si>
    <t>9/10 - 5/11/2025</t>
  </si>
  <si>
    <t>Sheet</t>
  </si>
  <si>
    <t>Question French</t>
  </si>
  <si>
    <t>Question English</t>
  </si>
  <si>
    <t>B. Pays de terrain</t>
  </si>
  <si>
    <t>B. Fieldwork country</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</si>
  <si>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</si>
  <si>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</si>
  <si>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</si>
  <si>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</si>
  <si>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</si>
  <si>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</si>
  <si>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</si>
  <si>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</si>
  <si>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</si>
  <si>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</si>
  <si>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</si>
  <si>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</si>
  <si>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QA1.1. Comment jugez-vous la situation actuelle de chacun des domaines suivants ?:-La situation en (NOTRE PAYS) en général</t>
  </si>
  <si>
    <t>QA1.1. How would you judge the current situation in each of the following?:-The situation in (OUR COUNTRY) in general</t>
  </si>
  <si>
    <t>QA1.2. Comment jugez-vous la situation actuelle de chacun des domaines suivants ?:-La situation de l'économie (NATIONALITÉ)</t>
  </si>
  <si>
    <t>QA1.2. How would you judge the current situation in each of the following?:-The situation of the (NATIONALITY) economy</t>
  </si>
  <si>
    <t>QA1.3. Comment jugez-vous la situation actuelle de chacun des domaines suivants ?:-La situation de l'économie européenne</t>
  </si>
  <si>
    <t>QA1.3. How would you judge the current situation in each of the following?:-The situation of the European economy</t>
  </si>
  <si>
    <t>QA1.4. Comment jugez-vous la situation actuelle de chacun des domaines suivants ?:-Votre situation professionnelle</t>
  </si>
  <si>
    <t>QA1.4. How would you judge the current situation in each of the following?:-Your personal job situation</t>
  </si>
  <si>
    <t>QA1.5. Comment jugez-vous la situation actuelle de chacun des domaines suivants ?:-La situation financière de votre ménage</t>
  </si>
  <si>
    <t>QA1.5. How would you judge the current situation in each of the following?:-The financial situation of your household</t>
  </si>
  <si>
    <t>QA1.6. Comment jugez-vous la situation actuelle de chacun des domaines suivants ?:-La situation de l'emploi en (NOTRE PAYS)</t>
  </si>
  <si>
    <t>QA1.6. How would you judge the current situation in each of the following?:-The employment situation in (OUR COUNTRY)</t>
  </si>
  <si>
    <t>QA1.7. Comment jugez-vous la situation actuelle de chacun des domaines suivants ?:-La fourniture de services publics en (NOTRE PAYS)</t>
  </si>
  <si>
    <t>QA1.7. How would you judge the current situation in each of the following?:-The provision of public services in (OUR COUNTRY)</t>
  </si>
  <si>
    <t>QA2.1. Quelles sont vos attentes pour les 12 prochains mois : les 12 prochains mois seront-ils meilleurs, moins bons ou sans changement, en ce qui concerne … ?:-Votre vie en général</t>
  </si>
  <si>
    <t>QA2.1. What are your expectations for the next twelve months: will the next twelve months be better, worse or the same, when it comes to...?:-Your life in general</t>
  </si>
  <si>
    <t>QA2.2. Quelles sont vos attentes pour les 12 prochains mois : les 12 prochains mois seront-ils meilleurs, moins bons ou sans changement, en ce qui concerne … ?:-La situation en (NOTRE PAYS) en général</t>
  </si>
  <si>
    <t>QA2.2. What are your expectations for the next twelve months: will the next twelve months be better, worse or the same, when it comes to...?:-The situation in (OUR COUNTRY) in general</t>
  </si>
  <si>
    <t>QA2.3. Quelles sont vos attentes pour les 12 prochains mois : les 12 prochains mois seront-ils meilleurs, moins bons ou sans changement, en ce qui concerne … ?:-La situation économique en (NOTRE PAYS)</t>
  </si>
  <si>
    <t>QA2.3. What are your expectations for the next twelve months: will the next twelve months be better, worse or the same, when it comes to...?:-The economic situation in (OUR COUNTRY)</t>
  </si>
  <si>
    <t>QA2.4. Quelles sont vos attentes pour les 12 prochains mois : les 12 prochains mois seront-ils meilleurs, moins bons ou sans changement, en ce qui concerne … ?:-La situation financière de votre ménage</t>
  </si>
  <si>
    <t>QA2.4. What are your expectations for the next twelve months: will the next twelve months be better, worse or the same, when it comes to...?:-The financial situation of your household</t>
  </si>
  <si>
    <t>QA2.5. Quelles sont vos attentes pour les 12 prochains mois : les 12 prochains mois seront-ils meilleurs, moins bons ou sans changement, en ce qui concerne … ?:-La situation de l'emploi en (NOTRE PAYS)</t>
  </si>
  <si>
    <t>QA2.5. What are your expectations for the next twelve months: will the next twelve months be better, worse or the same, when it comes to...?:-The employment situation in (OUR COUNTRY)</t>
  </si>
  <si>
    <t>QA2.6. Quelles sont vos attentes pour les 12 prochains mois : les 12 prochains mois seront-ils meilleurs, moins bons ou sans changement, en ce qui concerne … ?:-Votre situation professionnelle</t>
  </si>
  <si>
    <t>QA2.6. What are your expectations for the next twelve months: will the next twelve months be better, worse or the same, when it comes to...?:-Your personal job situation</t>
  </si>
  <si>
    <t>QA2.7. Quelles sont vos attentes pour les 12 prochains mois : les 12 prochains mois seront-ils meilleurs, moins bons ou sans changement, en ce qui concerne … ?:-La situation économique dans l'Union européenne</t>
  </si>
  <si>
    <t>QA2.7. What are your expectations for the next twelve months: will the next twelve months be better, worse or the same, when it comes to...?:-The economic situation in the EU</t>
  </si>
  <si>
    <t>QA3. A votre avis, quels sont les deux problèmes les plus importants auxquels doit faire face (NOTRE PAYS) actuellement ? (2 RÉPONSES MAXIMUM)</t>
  </si>
  <si>
    <t>QA3. What do you think are the two most important issues facing (OUR COUNTRY) at the moment? (MAX. 2 ANSWERS)</t>
  </si>
  <si>
    <t>QA4. Et personnellement, quels sont les deux problèmes les plus importants auxquels vous faites face actuellement ? (2 RÉPONSES MAXIMUM)</t>
  </si>
  <si>
    <t>QA4. And personally, what are the two most important issues you are facing at the moment? (MAX. 2 ANSWERS)</t>
  </si>
  <si>
    <t>QA5. A votre avis, quels sont les deux problèmes les plus importants auxquels doit faire face l'Union européenne actuellement ? (2 RÉPONSES MAXIMUM)</t>
  </si>
  <si>
    <t>QA5. What do you think are the two most important issues facing the EU at the moment? (MAX. 2 ANSWERS)</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</si>
  <si>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</si>
  <si>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</si>
  <si>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</si>
  <si>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</si>
  <si>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</si>
  <si>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</si>
  <si>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</si>
  <si>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</si>
  <si>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QA6.1. Dans quelle mesure avez-vous confiance dans certaines institutions ? Pour chacune des institutions suivantes, avez-vous plutôt confiance ou plutôt pas confiance en elle ?:-Les partis politiques</t>
  </si>
  <si>
    <t>QA6.1. How much trust do you have in certain institutions? For each of the following institutions, do you tend to trust it or tend not to trust it?:-Political parties</t>
  </si>
  <si>
    <t>QA6.2. Dans quelle mesure avez-vous confiance dans certaines institutions ? Pour chacune des institutions suivantes, avez-vous plutôt confiance ou plutôt pas confiance en elle ?:-La justice, le système judiciaire (NATIONALITÉ)</t>
  </si>
  <si>
    <t>QA6.2. How much trust do you have in certain institutions? For each of the following institutions, do you tend to trust it or tend not to trust it?:-Justice, the (NATIONALITY) legal system</t>
  </si>
  <si>
    <t>QA6.3. Dans quelle mesure avez-vous confiance dans certaines institutions ? Pour chacune des institutions suivantes, avez-vous plutôt confiance ou plutôt pas confiance en elle ?:-La police</t>
  </si>
  <si>
    <t>QA6.3. How much trust do you have in certain institutions? For each of the following institutions, do you tend to trust it or tend not to trust it?:-The police</t>
  </si>
  <si>
    <t>QA6.4. Dans quelle mesure avez-vous confiance dans certaines institutions ? Pour chacune des institutions suivantes, avez-vous plutôt confiance ou plutôt pas confiance en elle ?:-L'armée</t>
  </si>
  <si>
    <t>QA6.4. How much trust do you have in certain institutions? For each of the following institutions, do you tend to trust it or tend not to trust it?:-The army</t>
  </si>
  <si>
    <t>QA6.5. Dans quelle mesure avez-vous confiance dans certaines institutions ? Pour chacune des institutions suivantes, avez-vous plutôt confiance ou plutôt pas confiance en elle ?:-Les autorités publiques régionales ou locales</t>
  </si>
  <si>
    <t>QA6.5. How much trust do you have in certain institutions? For each of the following institutions, do you tend to trust it or tend not to trust it?:-Regional or local public authorities</t>
  </si>
  <si>
    <t>QA6.6. Dans quelle mesure avez-vous confiance dans certaines institutions ? Pour chacune des institutions suivantes, avez-vous plutôt confiance ou plutôt pas confiance en elle ?:-Le personnel médical et de santé en (NOTRE PAYS)</t>
  </si>
  <si>
    <t>QA6.6. How much trust do you have in certain institutions? For each of the following institutions, do you tend to trust it or tend not to trust it?:-Health and medical staff in (OUR COUNTRY)</t>
  </si>
  <si>
    <t>QA6.7. Dans quelle mesure avez-vous confiance dans certaines institutions ? Pour chacune des institutions suivantes, avez-vous plutôt confiance ou plutôt pas confiance en elle ?:-Le gouvernement (NATIONALITÉ)</t>
  </si>
  <si>
    <t>QA6.7. How much trust do you have in certain institutions? For each of the following institutions, do you tend to trust it or tend not to trust it?:-The (NATIONALITY) Government</t>
  </si>
  <si>
    <t>QA6.8. Dans quelle mesure avez-vous confiance dans certaines institutions ? Pour chacune des institutions suivantes, avez-vous plutôt confiance ou plutôt pas confiance en elle ?:-Le parlement (NATIONALITÉ)</t>
  </si>
  <si>
    <t>QA6.8. How much trust do you have in certain institutions? For each of the following institutions, do you tend to trust it or tend not to trust it?:-The (NATIONALITY PARLIAMENT)</t>
  </si>
  <si>
    <t>QA6.9. Dans quelle mesure avez-vous confiance dans certaines institutions ? Pour chacune des institutions suivantes, avez-vous plutôt confiance ou plutôt pas confiance en elle ?:-L'Union européenne</t>
  </si>
  <si>
    <t>QA6.9. How much trust do you have in certain institutions? For each of the following institutions, do you tend to trust it or tend not to trust it?:-The European Union</t>
  </si>
  <si>
    <t>QA6.10. Dans quelle mesure avez-vous confiance dans certaines institutions ? Pour chacune des institutions suivantes, avez-vous plutôt confiance ou plutôt pas confiance en elle ?:-L'Organisation des Nations Unies</t>
  </si>
  <si>
    <t>QA6.10. How much trust do you have in certain institutions? For each of the following institutions, do you tend to trust it or tend not to trust it?:-The United Nations</t>
  </si>
  <si>
    <t>QA6.11. Dans quelle mesure avez-vous confiance dans certaines institutions ? Pour chacune des institutions suivantes, avez-vous plutôt confiance ou plutôt pas confiance en elle ?:-L'OTAN</t>
  </si>
  <si>
    <t>QA6.11. How much trust do you have in certain institutions? For each of the following institutions, do you tend to trust it or tend not to trust it?:-NATO</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</si>
  <si>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</si>
  <si>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</si>
  <si>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QA7.1. Avez-vous déjà entendu parler … ?:-Du Parlement européen</t>
  </si>
  <si>
    <t>QA7.1. Have you heard of…?:-The European Parliament</t>
  </si>
  <si>
    <t>QA7.2. Avez-vous déjà entendu parler … ?:-De la Commission européenne</t>
  </si>
  <si>
    <t>QA7.2. Have you heard of…?:-The European Commission</t>
  </si>
  <si>
    <t>QA7.3. Avez-vous déjà entendu parler … ?:-De la Banque centrale européenne</t>
  </si>
  <si>
    <t>QA7.3. Have you heard of…?:-The European Central Bank</t>
  </si>
  <si>
    <t>QA7.4. Avez-vous déjà entendu parler … ?:-Du Conseil européen</t>
  </si>
  <si>
    <t>QA7.4. Have you heard of…?:-The European Council</t>
  </si>
  <si>
    <t>QA8.1. Veuillez dire si vous avez plutôt confiance ou plutôt pas confiance en ces institutions européennes.:-Le Parlement européen</t>
  </si>
  <si>
    <t>QA8.1. Please tell if you tend to trust or tend not to trust these European institutions.:-The European Parliament</t>
  </si>
  <si>
    <t>QA8.2. Veuillez dire si vous avez plutôt confiance ou plutôt pas confiance en ces institutions européennes.:-La Commission européenne</t>
  </si>
  <si>
    <t>QA8.2. Please tell if you tend to trust or tend not to trust these European institutions.:-The European Commission</t>
  </si>
  <si>
    <t>QA8.3. Veuillez dire si vous avez plutôt confiance ou plutôt pas confiance en ces institutions européennes.:-La Banque centrale européenne</t>
  </si>
  <si>
    <t>QA8.3. Please tell if you tend to trust or tend not to trust these European institutions.:-The European Central Bank</t>
  </si>
  <si>
    <t>QA8.4. Veuillez dire si vous avez plutôt confiance ou plutôt pas confiance en ces institutions européennes.:-Le Conseil européen</t>
  </si>
  <si>
    <t>QA8.4. Please tell if you tend to trust or tend not to trust these European institutions.:-The European Council</t>
  </si>
  <si>
    <t>QA9a. D'une façon générale, pensez-vous que le fait pour (NOTRE PAYS) de faire partie de l'UE serait … ?</t>
  </si>
  <si>
    <t>QA9a. Generally speaking, do you think that (OUR COUNTRY)'s membership of the EU would be...?</t>
  </si>
  <si>
    <t>QA9b. Tout bien considéré, estimez-vous que (NOTRE PAYS) bénéficierait ou non de son appartenance à l'UE ?</t>
  </si>
  <si>
    <t>QA9b. Taking everything into account, would you say that (OUR COUNTRY) would benefit or not from being a member of the EU?</t>
  </si>
  <si>
    <t>QA9c. D'une façon générale, pensez-vous que pour la Communauté chypriote turque, l’application complète de la législation de l’UE serait … ?</t>
  </si>
  <si>
    <t>QA9c. Generally speaking, do you think that for the Turkish Cypriot Community the full application of EU legislation would be…?</t>
  </si>
  <si>
    <t>QA9d. Tout bien considéré, estimez-vous que la Communauté chypriote turque bénéficierait ou non de l’application complète de la législation de l’UE ?</t>
  </si>
  <si>
    <t>QA9d. Taking everything into consideration, would you say that the Turkish Cypriot Community would benefit or not from the full application of the EU legislation?</t>
  </si>
  <si>
    <t>QA9e. D'une façon générale, pensez-vous que pour notre Territoire, l’application complète de la législation de l’UE serait … ?</t>
  </si>
  <si>
    <t>QA9e. Generally speaking, do you think that for our Territory the full application of EU legislation would be…?</t>
  </si>
  <si>
    <t>QA9f. Tout bien considéré, estimez-vous que notre Territoire bénéficierait ou non de l’application complète de la législation de l’UE ?</t>
  </si>
  <si>
    <t>QA9f. Taking everything into consideration, would you say that our Territory would benefit or not from the full application of the EU legislation?</t>
  </si>
  <si>
    <t>QA10.1. Dans quelle mesure êtes-vous d'accord ou pas d'accord avec chacune des affirmations suivantes ?:-Je comprends le fonctionnement de l'Union européenne</t>
  </si>
  <si>
    <t>QA10.1. To what extent do you agree or disagree with each of the following statements?:-I understand how the EU works</t>
  </si>
  <si>
    <t>QA10.2. Dans quelle mesure êtes-vous d'accord ou pas d'accord avec chacune des affirmations suivantes ?:-(NOTRE PAYS) peut mieux faire face au futur à l'intérieur de l'Union européenne qu'en dehors</t>
  </si>
  <si>
    <t>QA10.2. To what extent do you agree or disagree with each of the following statements?:-(OUR COUNTRY) can better face the future inside the EU than outside the EU</t>
  </si>
  <si>
    <t>QA10.4. Dans quelle mesure êtes-vous d'accord ou pas d'accord avec chacune des affirmations suivantes ?:-Plus de décisions devraient être prises au niveau de l'Union européenne</t>
  </si>
  <si>
    <t>QA10.4. To what extent do you agree or disagree with each of the following statements?:-More decisions should be taken at EU level</t>
  </si>
  <si>
    <t>QA11. Diriez-vous que vous êtes très optimiste, plutôt optimiste, plutôt pessimiste ou très pessimiste concernant le futur de l'Union européenne ?</t>
  </si>
  <si>
    <t>QA11. Would you say that you are very optimistic, fairly optimistic, fairly pessimistic or very pessimistic about the future of the EU?</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</si>
  <si>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</si>
  <si>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</si>
  <si>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</si>
  <si>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</si>
  <si>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SD19a.1. Dans quelle mesure êtes-vous d’accord ou pas d’accord avec chacune des affirmations suivantes ?:-Ma voix compte en (NOTRE PAYS)</t>
  </si>
  <si>
    <t>SD19a.1. To what extent do you agree or disagree with each of the following statements.:-My voice counts in (OUR COUNTRY)</t>
  </si>
  <si>
    <t>SD19a.2. Dans quelle mesure êtes-vous d’accord ou pas d’accord avec chacune des affirmations suivantes ?:-Ma voix compte dans l'Union européenne</t>
  </si>
  <si>
    <t>SD19a.2. To what extent do you agree or disagree with each of the following statements.:-My voice counts in the EU</t>
  </si>
  <si>
    <t>SD19a.3. Dans quelle mesure êtes-vous d’accord ou pas d’accord avec chacune des affirmations suivantes ?:-La voix de l'Union européenne compte dans le monde</t>
  </si>
  <si>
    <t>SD19a.3. To what extent do you agree or disagree with each of the following statements.:-The EU's voice counts in the world</t>
  </si>
  <si>
    <t>QA12. Quelle affirmation est la plus proche de votre opinion ? Au cours des 12 derniers mois, votre qualité de vie (en termes de confort ou de budget)...</t>
  </si>
  <si>
    <t>QA12. Which statement comes closest to your view? Within the last 12 months your quality of life (comfort or budget-wise) has…</t>
  </si>
  <si>
    <t>QB1.1. Quelle est votre opinion sur chacune des propositions suivantes ? Veuillez dire, pour chaque proposition, si vous êtes pour ou si vous êtes contre.:-Une politique étrangère commune aux États membres de l'Union européenne</t>
  </si>
  <si>
    <t>QB1.1. What is your opinion on each of the following statements? Please tell for each statement, whether you are for it or against it.:-A common foreign policy of the Member States of the EU</t>
  </si>
  <si>
    <t>QB1.2. Quelle est votre opinion sur chacune des propositions suivantes ? Veuillez dire, pour chaque proposition, si vous êtes pour ou si vous êtes contre.:-Une politique de sécurité et de défense commune des États membres de l'Union européenne</t>
  </si>
  <si>
    <t>QB1.2. What is your opinion on each of the following statements? Please tell for each statement, whether you are for it or against it.:-A common defence and security policy among EU Member States</t>
  </si>
  <si>
    <t>QB1.3. Quelle est votre opinion sur chacune des propositions suivantes ? Veuillez dire, pour chaque proposition, si vous êtes pour ou si vous êtes contre.:-La politique commerciale commune de l'Union européenne</t>
  </si>
  <si>
    <t>QB1.3. What is your opinion on each of the following statements? Please tell for each statement, whether you are for it or against it.:-The EU’s common trade policy</t>
  </si>
  <si>
    <t>QB1.4. Quelle est votre opinion sur chacune des propositions suivantes ? Veuillez dire, pour chaque proposition, si vous êtes pour ou si vous êtes contre.:-Une politique européenne commune en matière de migration</t>
  </si>
  <si>
    <t>QB1.4. What is your opinion on each of the following statements? Please tell for each statement, whether you are for it or against it.:-A common European policy on migration</t>
  </si>
  <si>
    <t>QB1.5. Quelle est votre opinion sur chacune des propositions suivantes ? Veuillez dire, pour chaque proposition, si vous êtes pour ou si vous êtes contre.:-Une politique énergétique européenne commune</t>
  </si>
  <si>
    <t>QB1.5. What is your opinion on each of the following statements? Please tell for each statement, whether you are for it or against it.:-A common European energy policy</t>
  </si>
  <si>
    <t>QB1.6. Quelle est votre opinion sur chacune des propositions suivantes ? Veuillez dire, pour chaque proposition, si vous êtes pour ou si vous êtes contre.:-L'élargissement de l'Union européenne à d'autres pays dans les années à venir</t>
  </si>
  <si>
    <t>QB1.6. What is your opinion on each of the following statements? Please tell for each statement, whether you are for it or against it.:-Enlargement of the EU to include other countries in future years</t>
  </si>
  <si>
    <t>QB1.7. Quelle est votre opinion sur chacune des propositions suivantes ? Veuillez dire, pour chaque proposition, si vous êtes pour ou si vous êtes contre.:-La libre circulation des citoyens de l'Union européenne qui peuvent vivre, travailler, étudier et faire des affaires partout dans l'Union européenne</t>
  </si>
  <si>
    <t>QB1.7. What is your opinion on each of the following statements? Please tell for each statement, whether you are for it or against it.:-The free movement of EU citizens who can live, work, study and do business anywhere in the EU</t>
  </si>
  <si>
    <t>QB1.8. Quelle est votre opinion sur chacune des propositions suivantes ? Veuillez dire, pour chaque proposition, si vous êtes pour ou si vous êtes contre.:-Une politique européenne commune en matière de santé</t>
  </si>
  <si>
    <t>QB1.8. What is your opinion on each of the following statements? Please tell for each statement, whether you are for it or against it.:-A common EU health policy</t>
  </si>
  <si>
    <t>QB1.9. Quelle est votre opinion sur chacune des propositions suivantes ? Veuillez dire, pour chaque proposition, si vous êtes pour ou si vous êtes contre.:-Une stratégie commune pour améliorer la compétitivité dans l’UE</t>
  </si>
  <si>
    <t>QB1.9. What is your opinion on each of the following statements? Please tell for each statement, whether you are for it or against it.:-A common strategy to improve competitiveness in the EU</t>
  </si>
  <si>
    <t>QB1.10. Quelle est votre opinion sur chacune des propositions suivantes ? Veuillez dire, pour chaque proposition, si vous êtes pour ou si vous êtes contre.:-Une union économique et monétaire européenne avec une seule monnaie, l'euro</t>
  </si>
  <si>
    <t>QB1.10. What is your opinion on each of the following statements? Please tell for each statement, whether you are for it or against it.:-A European economic and monetary union with one single currency, the euro</t>
  </si>
  <si>
    <t>QB1.11. Quelle est votre opinion sur chacune des propositions suivantes ? Veuillez dire, pour chaque proposition, si vous êtes pour ou si vous êtes contre.:-Une politique climatique commune</t>
  </si>
  <si>
    <t>QB1.11. What is your opinion on each of the following statements? Please tell for each statement, whether you are for it or against it.:-A common climate policy</t>
  </si>
  <si>
    <t>QB2.1. Êtes-vous tout à fait d'accord, plutôt d'accord, plutôt pas d'accord ou pas du tout d'accord avec chacune des propositions suivantes ?:-L'Union européenne a suffisamment de pouvoirs et d'outils pour défendre les intérêts économiques de l'Europe dans l'économie mondiale</t>
  </si>
  <si>
    <t>QB2.1. For each of the following statements, do you totally agree, tend to agree, tend to disagree or totally disagree.:-The EU has sufficient power and tools to defend the economic interests of Europe in the global economy</t>
  </si>
  <si>
    <t>QB2.2. Êtes-vous tout à fait d'accord, plutôt d'accord, plutôt pas d'accord ou pas du tout d'accord avec chacune des propositions suivantes ?:-L’UE devrait renforcer son indépendance économique et diversifier ses relations commerciales avec les pays du monde entier</t>
  </si>
  <si>
    <t>QB2.2. For each of the following statements, do you totally agree, tend to agree, tend to disagree or totally disagree.:-The EU should strengthen its economic independence and diversify trade relations with countries all over the world</t>
  </si>
  <si>
    <t>QB2.3. Êtes-vous tout à fait d'accord, plutôt d'accord, plutôt pas d'accord ou pas du tout d'accord avec chacune des propositions suivantes ?:-L'UE devrait bâtir des partenariats avec des pays hors de l'UE pour investir dans une infrastructure durable et créer des liens entre les populations et les pays du monde entier</t>
  </si>
  <si>
    <t>QB2.3. For each of the following statements, do you totally agree, tend to agree, tend to disagree or totally disagree.:-The EU should build partnerships with countries outside the EU to invest in sustainable infrastructure and connect people and countries around the world</t>
  </si>
  <si>
    <t>QB2.4. Êtes-vous tout à fait d'accord, plutôt d'accord, plutôt pas d'accord ou pas du tout d'accord avec chacune des propositions suivantes ?:-L'Union européenne est un lieu de stabilité dans un monde troublé</t>
  </si>
  <si>
    <t>QB2.4. For each of the following statements, do you totally agree, tend to agree, tend to disagree or totally disagree.:-The European Union is a place of stability in a troubled world</t>
  </si>
  <si>
    <t>QB2.5. Êtes-vous tout à fait d'accord, plutôt d'accord, plutôt pas d'accord ou pas du tout d'accord avec chacune des propositions suivantes ?:-Il devrait y avoir une taxation équitable des grandes entreprises technologiques dans l'Union européenne</t>
  </si>
  <si>
    <t>QB2.5. For each of the following statements, do you totally agree, tend to agree, tend to disagree or totally disagree.:-There should be a fair taxation of large technology companies in the EU</t>
  </si>
  <si>
    <t>QB3. L’Union européenne a conçu un plan de relance de 800 milliards d’euros, NextGenerationEU, pour soutenir l’économie par le biais de subventions et de prêts. Dans quelle mesure ce plan est-il efficace ou non selon vous pour répondre aux enjeux actuels de l'UE ?</t>
  </si>
  <si>
    <t>QB3. The European Union rolled out a recovery plan of 800 billion euros, NextGenerationEU, to support the economy through grants and loans. How effective do you think that this measure is to respond to the EU’s current challenges?</t>
  </si>
  <si>
    <t>QB4.1. Pour chacune des propositions suivantes, veuillez me dire si vous êtes tout à fait d'accord, plutôt d'accord, plutôt pas d'accord ou pas du tout d'accord.:-Les immigrés contribuent positivement à (NOTRE PAYS)</t>
  </si>
  <si>
    <t>QB4.1. For each of the following statements, please tell whether you totally agree, tend to agree, tend to disagree or totally disagree:-Immigrants contribute positively to (OUR COUNTRY)</t>
  </si>
  <si>
    <t>QB4.2. Pour chacune des propositions suivantes, veuillez me dire si vous êtes tout à fait d'accord, plutôt d'accord, plutôt pas d'accord ou pas du tout d'accord.:-(NOTRE PAYS) devrait aider les réfugiés</t>
  </si>
  <si>
    <t>QB4.2. For each of the following statements, please tell whether you totally agree, tend to agree, tend to disagree or totally disagree:-(OUR COUNTRY) should help refugees</t>
  </si>
  <si>
    <t>QB5a. Selon vous, dans quels domaines parmi les suivants, l'UE devrait-elle prendre des mesures à moyen terme, c'est-à-dire au cours des cinq prochaines années ? En premier ?</t>
  </si>
  <si>
    <t>QB5a. In your opinion, in which of the following areas should the EU take measures in the medium term, i.e. in the next five years? Firstly?</t>
  </si>
  <si>
    <t>QB5b. Et ensuite ? (2 RÉPONSES MAXIMUM)</t>
  </si>
  <si>
    <t>QB5b. And then? (MAX. 2 ANSWERS)</t>
  </si>
  <si>
    <t>QB5ab. Selon vous, dans quels domaines parmi les suivants, l'UE devrait-elle prendre des mesures à moyen terme, c'est-à-dire au cours des cinq prochaines années ? En premier ? Et ensuite ? (3 RÉPONSES MAX.)</t>
  </si>
  <si>
    <t>QB5ab. In your opinion, in which of the following areas should the EU take measures in the medium term, i.e. in the next five years? Firstly? And then? (MAX. 3 ANSWERS)</t>
  </si>
  <si>
    <t>QB6a. Selon vous, parmi les actions suivantes menées au niveau de l'UE, lesquelles auraient l'impact positif le plus important sur votre vie à court terme, c'est-à-dire au cours de l'année à venir ? En premier ?</t>
  </si>
  <si>
    <t>QB6a. Which of the following actions at the EU level do you think would have the highest positive impact on your life in the short term, i.e. in the next year? First?</t>
  </si>
  <si>
    <t>QB6b. Et ensuite ? (2 RÉPONSES MAXIMUM)</t>
  </si>
  <si>
    <t>QB6b. And then? (MAX. 2 ANSWERS)</t>
  </si>
  <si>
    <t>QB6ab. Selon vous, parmi les actions suivantes menées au niveau de l'UE, lesquelles auraient l'impact positif le plus important sur votre vie à court terme, c'est-à-dire au cours de l'année à venir ? En premier ? Et ensuite ? (3 RÉPONSES MAX.)</t>
  </si>
  <si>
    <t>QB6ab. Which of the following actions at the EU level do you think would have the highest positive impact on your life in the short term, i.e. in the next year? First? And then? (MAX. 3 ANSWERS)</t>
  </si>
  <si>
    <t>QB7. Quelles seraient, selon vous, les principales conséquences d'un nouvel élargissement de l'UE ?</t>
  </si>
  <si>
    <t>QB7. What do you think would be the primary consequences of a further EU enlargement?</t>
  </si>
  <si>
    <t>QB8. Tout bien considéré, estimez-vous que (NOTRE PAYS) a bénéficié ou non de son appartenance à l'Union européenne ?</t>
  </si>
  <si>
    <t>QB8. Taking everything into account, would you say that (OUR COUNTRY) has on balance benefited or not from being a member of the EU?</t>
  </si>
  <si>
    <t>QB9. S’agissant de votre pays en tant qu'État membre de l'UE, veuillez me dire dans quelle mesure vous êtes d'accord ou non avec les affirmations suivantes.:-Votre pays a plus de poids et d'influence au niveau mondial que s'il n'était pas membre de l'UE</t>
  </si>
  <si>
    <t>QB9. Thinking about your country being a Member State of the EU, please tell me to what extent you agree or disagree with the following statements.:-Your country has more weight and leverage globally than if it were not a member of the EU</t>
  </si>
  <si>
    <t>QB10.1. Avez-vous une opinion positive ou négative de chacun des pays suivants ?:-Les États-Unis</t>
  </si>
  <si>
    <t>QB10.1. As regards each of the following countries, do you have a positive or a negative view about it?:-The USA</t>
  </si>
  <si>
    <t>QB10.2. Avez-vous une opinion positive ou négative de chacun des pays suivants ?:-La Russie</t>
  </si>
  <si>
    <t>QB10.2. As regards each of the following countries, do you have a positive or a negative view about it?:-Russia</t>
  </si>
  <si>
    <t>QB10.3. Avez-vous une opinion positive ou négative de chacun des pays suivants ?:-La Chine</t>
  </si>
  <si>
    <t>QB10.3. As regards each of the following countries, do you have a positive or a negative view about it?:-China</t>
  </si>
  <si>
    <t>QB11.1. Pour chacune des propositions suivantes, veuillez me dire si vous êtes tout à fait d’accord, plutôt d’accord, plutôt pas d’accord ou pas du tout d’accord.:-L’augmentation des droits de douane nuit à l’économie mondiale</t>
  </si>
  <si>
    <t>QB11.1. For each of the following statements, please tell me whether you totally agree, tend to agree, tend to disagree or totally disagree.:-Increasing customs tariffs harms the global economy</t>
  </si>
  <si>
    <t>QB11.2. Pour chacune des propositions suivantes, veuillez me dire si vous êtes tout à fait d’accord, plutôt d’accord, plutôt pas d’accord ou pas du tout d’accord.:-Il devrait y avoir davantage de coopération fondée sur les règles entre les pays et les régions du monde</t>
  </si>
  <si>
    <t>QB11.2. For each of the following statements, please tell me whether you totally agree, tend to agree, tend to disagree or totally disagree.:-There should be more rules-based cooperation between countries and regions of the world</t>
  </si>
  <si>
    <t>QC1.1. Veuillez dire dans quelle mesure vous vous sentez attaché(e) à …:-Votre ville ou village</t>
  </si>
  <si>
    <t>QC1.1. Please tell how attached you feel to…:-Your city / town / village</t>
  </si>
  <si>
    <t>QC1.2. Veuillez dire dans quelle mesure vous vous sentez attaché(e) à …:-(NOTRE PAYS)</t>
  </si>
  <si>
    <t>QC1.2. Please tell how attached you feel to…:-(OUR COUNTRY)</t>
  </si>
  <si>
    <t>QC1.3. Veuillez dire dans quelle mesure vous vous sentez attaché(e) à …:-L'Union européenne</t>
  </si>
  <si>
    <t>QC1.3. Please tell how attached you feel to…:-The European Union</t>
  </si>
  <si>
    <t>QC1.4. Veuillez dire dans quelle mesure vous vous sentez attaché(e) à …:-L'Europe</t>
  </si>
  <si>
    <t>QC1.4. Please tell how attached you feel to…:-Europe</t>
  </si>
  <si>
    <t>QC2.1. Pour chacune des propositions suivantes, veuillez dire dans quelle mesure elle correspond ou non à votre opinion ?:-Vous vous sentez citoyen(ne) de l'Union européenne</t>
  </si>
  <si>
    <t>QC2.1. For each of the following statements, please tell to what extent it corresponds or not to your own opinion.:-You feel you are a citizen of the EU</t>
  </si>
  <si>
    <t>QC2.2. Pour chacune des propositions suivantes, veuillez dire dans quelle mesure elle correspond ou non à votre opinion ?:-Vous connaissez vos droits en tant que citoyen(ne) de l'Union européenne</t>
  </si>
  <si>
    <t>QC2.2. For each of the following statements, please tell to what extent it corresponds or not to your own opinion.:-You know what your rights are as a citizen of the EU</t>
  </si>
  <si>
    <t>QC2.3. Pour chacune des propositions suivantes, veuillez dire dans quelle mesure elle correspond ou non à votre opinion ?:-Vous aimeriez en savoir plus sur vos droits en tant que citoyen(ne) de l'Union européenne</t>
  </si>
  <si>
    <t>QC2.3. For each of the following statements, please tell to what extent it corresponds or not to your own opinion.:-You would like to know more about your rights as a citizen of the EU</t>
  </si>
  <si>
    <t>QC3a. Parmi les propositions suivantes, quel est, selon vous, le résultat de l'Union européenne le plus positif ? En premier ?</t>
  </si>
  <si>
    <t>QC3a. Which of the following do you think is the most positive result of the EU? Firstly?</t>
  </si>
  <si>
    <t>QC3b. Et ensuite ? (2 RÉPONSES MAXIMUM)</t>
  </si>
  <si>
    <t>QC3b. And then? (MAX. 2 ANSWERS)</t>
  </si>
  <si>
    <t>QC3ab. Parmi les propositions suivantes, quel est, selon vous, le résultat de l'Union européenne le plus positif ? En premier ? Et ensuite ? (3 RÉPONSES MAX.)</t>
  </si>
  <si>
    <t>QC3ab. Which of the following do you think is the most positive result of the EU? Firstly? And then? (MAX. 3 ANSWERS)</t>
  </si>
  <si>
    <t>QC4. A votre avis, parmi les domaines suivants, quelles sont ceux qui créent le plus un sentiment de communauté parmi les citoyens de l'UE ? (3 RÉPONSES MAX.)</t>
  </si>
  <si>
    <t>QC4. In your opinion, among the following subjects, which are those that most create a feeling of community among EU citizens? (MAX. 3 ANSWERS)</t>
  </si>
  <si>
    <t>QC5.1. Pourriez-vous dire si vous êtes tout à fait d'accord, plutôt d'accord, plutôt pas d'accord ou pas du tout d'accord avec chacune des propositions suivantes ?:-En (NOTRE PAYS), les gens ont beaucoup de choses en commun</t>
  </si>
  <si>
    <t>QC5.1. For each of the following statements, please tell whether you totally agree, tend to agree, tend to disagree or totally disagree.:-People in (OUR COUNTRY) have a lot of things in common</t>
  </si>
  <si>
    <t>QC5.2. Pourriez-vous dire si vous êtes tout à fait d'accord, plutôt d'accord, plutôt pas d'accord ou pas du tout d'accord avec chacune des propositions suivantes ?:-Dans l'UE, les gens ont beaucoup de choses en commun</t>
  </si>
  <si>
    <t>QC5.2. For each of the following statements, please tell whether you totally agree, tend to agree, tend to disagree or totally disagree.:-People in the EU have a lot of things in common</t>
  </si>
  <si>
    <t>QC5.3. Pourriez-vous dire si vous êtes tout à fait d'accord, plutôt d'accord, plutôt pas d'accord ou pas du tout d'accord avec chacune des propositions suivantes ?:-Les gens en Europe ont beaucoup de choses en commun</t>
  </si>
  <si>
    <t>QC5.3. For each of the following statements, please tell whether you totally agree, tend to agree, tend to disagree or totally disagree.:-People in Europe have a lot of things in common</t>
  </si>
  <si>
    <t>SD20a.1. Pour chacune des affirmations suivantes sur l'Union européenne, pourriez-vous dire si elle vous semble vraie ou fausse ?:-La zone euro est actuellement composée de 20 États membres</t>
  </si>
  <si>
    <t>SD20a.1. For each of the following statements about the EU could you please tell whether you think it is true or false?:-The Euro area currently consists of 20 Member States</t>
  </si>
  <si>
    <t>SD20a.2. Pour chacune des affirmations suivantes sur l'Union européenne, pourriez-vous dire si elle vous semble vraie ou fausse ?:-Les membres du Parlement européen sont élus directement par les citoyens de chaque État membre</t>
  </si>
  <si>
    <t>SD20a.2. For each of the following statements about the EU could you please tell whether you think it is true or false?:-The members of the European Parliament are directly elected by the citizens of each Member State</t>
  </si>
  <si>
    <t>SD20a.3. Pour chacune des affirmations suivantes sur l'Union européenne, pourriez-vous dire si elle vous semble vraie ou fausse ?:-La Suisse est un État membre de l'Union européenne</t>
  </si>
  <si>
    <t>SD20a.3. For each of the following statements about the EU could you please tell whether you think it is true or false?:-Switzerland is a Member State of the EU</t>
  </si>
  <si>
    <t xml:space="preserve">SD20aR1. Pour chacune des affirmations suivantes sur l'UE, pourriez-vous me dire si elle vous semble vraie ou fausse. </t>
  </si>
  <si>
    <t xml:space="preserve">SD20aR1. For each of the following statements about the EU could you please tell me whether you think it is true or false. </t>
  </si>
  <si>
    <t>SD20aR2. Pour chacune des affirmations suivantes sur l'UE, pourriez-vous me dire si elle vous semble vraie ou fausse.</t>
  </si>
  <si>
    <t>SD20aR2. For each of the following statements about the EU could you please tell me whether you think it is true or false.</t>
  </si>
  <si>
    <t>QD1.1. De façon générale, dans quelle mesure êtes-vous satisfait(e) de la réponse à l'invasion de l'Ukraine par la Russie qu'apporte... ?:-Le gouvernement (NATIONALITÉ)</t>
  </si>
  <si>
    <t>QD1.1. In general, how satisfied are you with the response to Russia's invasion of Ukraine by …?:-The (NATIONALITY) government</t>
  </si>
  <si>
    <t>QD1.2. De façon générale, dans quelle mesure êtes-vous satisfait(e) de la réponse à l'invasion de l'Ukraine par la Russie qu'apporte... ?:-L'Union européenne</t>
  </si>
  <si>
    <t>QD1.2. In general, how satisfied are you with the response to Russia's invasion of Ukraine by …?:-The European Union</t>
  </si>
  <si>
    <t>QD2.1. L'UE a pris une série de mesures en réponse à l'invasion de l'Ukraine par la Russie. Dans quelle mesure êtes-vous d'accord ou pas d'accord avec chacune de ces mesures ?:-Imposer des sanctions économiques au gouvernement, à des entreprises et des personnalités russes</t>
  </si>
  <si>
    <t>QD2.1. The EU has taken a series of actions as a response to Russia’s invasion of Ukraine. To what extent you agree or disagree with each of these actions taken.:-Imposing economic sanctions on Russian government, companies and individuals</t>
  </si>
  <si>
    <t>QD2.2. L'UE a pris une série de mesures en réponse à l'invasion de l'Ukraine par la Russie. Dans quelle mesure êtes-vous d'accord ou pas d'accord avec chacune de ces mesures ?:-Financer l'achat et la livraison d'équipements militaires en Ukraine</t>
  </si>
  <si>
    <t>QD2.2. The EU has taken a series of actions as a response to Russia’s invasion of Ukraine. To what extent you agree or disagree with each of these actions taken.:-Financing the purchase and supply of military equipment to Ukraine</t>
  </si>
  <si>
    <t>QD2.3. L'UE a pris une série de mesures en réponse à l'invasion de l'Ukraine par la Russie. Dans quelle mesure êtes-vous d'accord ou pas d'accord avec chacune de ces mesures ?:-Accueillir dans l'UE les personnes fuyant la guerre</t>
  </si>
  <si>
    <t>QD2.3. The EU has taken a series of actions as a response to Russia’s invasion of Ukraine. To what extent you agree or disagree with each of these actions taken.:-Welcoming into the EU people fleeing the war</t>
  </si>
  <si>
    <t>QD2.4. L'UE a pris une série de mesures en réponse à l'invasion de l'Ukraine par la Russie. Dans quelle mesure êtes-vous d'accord ou pas d'accord avec chacune de ces mesures ?:-Fournir une aide financière et humanitaire à l'Ukraine</t>
  </si>
  <si>
    <t>QD2.4. The EU has taken a series of actions as a response to Russia’s invasion of Ukraine. To what extent you agree or disagree with each of these actions taken.:-Providing financial and humanitarian support to Ukraine</t>
  </si>
  <si>
    <t>QD2.5. L'UE a pris une série de mesures en réponse à l'invasion de l'Ukraine par la Russie. Dans quelle mesure êtes-vous d'accord ou pas d'accord avec chacune de ces mesures ?:-Accorder à l'Ukraine le statut de pays candidat à l'adhésion à l'UE</t>
  </si>
  <si>
    <t>QD2.5. The EU has taken a series of actions as a response to Russia’s invasion of Ukraine. To what extent you agree or disagree with each of these actions taken.:-Granting candidate status as a potential Member of the EU to Ukraine</t>
  </si>
  <si>
    <t>QD3.1. Veuillez indiquer dans quelle mesure vous êtes d'accord ou pas d'accord avec chacune des affirmations suivantes ?:-L'invasion russe de l'Ukraine est une menace pour la sécurité de l'UE</t>
  </si>
  <si>
    <t>QD3.1. Please tell to what extent you agree or disagree with each of the following statements.:-Russia’s invasion of Ukraine is a threat to the security of the EU</t>
  </si>
  <si>
    <t>QD3.2. Veuillez indiquer dans quelle mesure vous êtes d'accord ou pas d'accord avec chacune des affirmations suivantes ?:-L'invasion russe de l'Ukraine est une menace pour la sécurité de (NOTRE PAYS)</t>
  </si>
  <si>
    <t>QD3.2. Please tell to what extent you agree or disagree with each of the following statements.:-Russia’s invasion of Ukraine is a threat to the security of (OUR COUNTRY)</t>
  </si>
  <si>
    <t>QD3.3. Veuillez indiquer dans quelle mesure vous êtes d'accord ou pas d'accord avec chacune des affirmations suivantes ?:-L’UE doit soutenir l’Ukraine jusqu’à ce qu’une paix durable et juste soit instaurée</t>
  </si>
  <si>
    <t>QD3.3. Please tell to what extent you agree or disagree with each of the following statements.:-The EU should support Ukraine until a lasting and just peace is achieved</t>
  </si>
  <si>
    <t>QD3.4. Veuillez indiquer dans quelle mesure vous êtes d'accord ou pas d'accord avec chacune des affirmations suivantes ?:-La coopération dans le domaine de la défense devrait être renforcée au niveau de l'UE</t>
  </si>
  <si>
    <t>QD3.4. Please tell to what extent you agree or disagree with each of the following statements.:-Co-operation in defence matters at EU level should be increased</t>
  </si>
  <si>
    <t>QD3.5. Veuillez indiquer dans quelle mesure vous êtes d'accord ou pas d'accord avec chacune des affirmations suivantes ?:-Le budget de la défense devrait être augmenté dans l'UE</t>
  </si>
  <si>
    <t>QD3.5. Please tell to what extent you agree or disagree with each of the following statements.:-More money should be spent on defence in the EU</t>
  </si>
  <si>
    <t>QD3.6. Veuillez indiquer dans quelle mesure vous êtes d'accord ou pas d'accord avec chacune des affirmations suivantes ?:-Les achats d'équipements militaires des États membres devraient être mieux coordonnés</t>
  </si>
  <si>
    <t>QD3.6. Please tell to what extent you agree or disagree with each of the following statements.:-Member States’ purchase of military equipment should be better coordinated</t>
  </si>
  <si>
    <t>QD3.7. Veuillez indiquer dans quelle mesure vous êtes d'accord ou pas d'accord avec chacune des affirmations suivantes ?:-L'UE doit renforcer ses capacités de production d'équipements militaires</t>
  </si>
  <si>
    <t>QD3.7. Please tell to what extent you agree or disagree with each of the following statements.:-The EU needs to reinforce its capacity to produce military equipment</t>
  </si>
  <si>
    <t>QD3.8. Veuillez indiquer dans quelle mesure vous êtes d'accord ou pas d'accord avec chacune des affirmations suivantes ?:-Sur le long terme, les énergies renouvelables peuvent limiter le coût de notre consommation énergétique</t>
  </si>
  <si>
    <t>QD3.8. Please tell to what extent you agree or disagree with each of the following statements.:-In the long run, renewable energy can limit the price we pay for our energy consumption</t>
  </si>
  <si>
    <t>QD3.9. Veuillez indiquer dans quelle mesure vous êtes d'accord ou pas d'accord avec chacune des affirmations suivantes ?:-L'amélioration de l'efficacité énergétique des bâtiments, des transports et des biens réduira notre dépendance à l'égard des producteurs d'énergie hors de l'UE</t>
  </si>
  <si>
    <t>QD3.9. Please tell to what extent you agree or disagree with each of the following statements.:-Increasing energy efficiency of buildings, transport, and goods will make us less dependent on energy producers outside the EU</t>
  </si>
  <si>
    <t>QD3.10. Veuillez indiquer dans quelle mesure vous êtes d'accord ou pas d'accord avec chacune des affirmations suivantes ?:-La réduction des importations de pétrole et de gaz et l'investissement dans les énergies renouvelables sont importants pour notre sécurité globale</t>
  </si>
  <si>
    <t>QD3.10. Please tell to what extent you agree or disagree with each of the following statements.:-Reducing imports of oil and gas and investing in renewable energy is important for our overall security</t>
  </si>
  <si>
    <t>QE1. En général, dans quelle mesure pensez-vous être bien informé(e) ou pas sur les questions européennes ?</t>
  </si>
  <si>
    <t>QE1. Overall, to what extent do you think that you are well informed or not about European matters?</t>
  </si>
  <si>
    <t>QE2.1. Pouvez-vous dire dans quelle mesure vous … ?:-Regardez la télévision sur un poste de télévision</t>
  </si>
  <si>
    <t>QE2.1. Could you tell to what extent you…?:-Watch television on a TV set</t>
  </si>
  <si>
    <t>QE2.2. Pouvez-vous dire dans quelle mesure vous … ?:-Regardez la télévision via Internet</t>
  </si>
  <si>
    <t>QE2.2. Could you tell to what extent you…?:-Watch television via the Internet</t>
  </si>
  <si>
    <t>QE2.3. Pouvez-vous dire dans quelle mesure vous … ?:-Ecoutez la radio</t>
  </si>
  <si>
    <t>QE2.3. Could you tell to what extent you…?:-Listen to the radio</t>
  </si>
  <si>
    <t>QE2.4. Pouvez-vous dire dans quelle mesure vous … ?:-Ecoutez des podcasts</t>
  </si>
  <si>
    <t>QE2.4. Could you tell to what extent you…?:-Listen to podcasts</t>
  </si>
  <si>
    <t>QE2.5. Pouvez-vous dire dans quelle mesure vous … ?:-Lisez la presse écrite</t>
  </si>
  <si>
    <t>QE2.5. Could you tell to what extent you…?:-Read the written press</t>
  </si>
  <si>
    <t>QE2.6. Pouvez-vous dire dans quelle mesure vous … ?:-Lire les actualités sur Internet.</t>
  </si>
  <si>
    <t>QE2.6. Could you tell to what extent you…?:-Read the news on the Internet</t>
  </si>
  <si>
    <t>QE2.7. Pouvez-vous dire dans quelle mesure vous … ?:-Utilisez les réseaux sociaux en ligne</t>
  </si>
  <si>
    <t>QE2.7. Could you tell to what extent you…?:-Use online social networks</t>
  </si>
  <si>
    <t>QE2R. Regarde la télévision sur un poste + via Internet</t>
  </si>
  <si>
    <t>QE2R. Watch TV on a TV set + via the Internet</t>
  </si>
  <si>
    <t>C4. Indice d'utilisation des médias</t>
  </si>
  <si>
    <t>C4. Media use index</t>
  </si>
  <si>
    <t>QE3.1. Je voudrais maintenant vous demander de m’indiquer la confiance que vous inspirent certains types de médias. Pourriez-vous me dire si vous avez plutôt confiance ou plutôt pas confiance dans chacun des médias suivants ?:-La presse écrite</t>
  </si>
  <si>
    <t>QE3.1. I would like to ask you how much trust you have in certain types of media. For each of the following, please tell me if you tend to trust it or tend not to trust it.:-The written press</t>
  </si>
  <si>
    <t>QE3.2. Je voudrais maintenant vous demander de m’indiquer la confiance que vous inspirent certains types de médias. Pourriez-vous me dire si vous avez plutôt confiance ou plutôt pas confiance dans chacun des médias suivants ?:-La radio</t>
  </si>
  <si>
    <t>QE3.2. I would like to ask you how much trust you have in certain types of media. For each of the following, please tell me if you tend to trust it or tend not to trust it.:-Radio</t>
  </si>
  <si>
    <t>QE3.3. Je voudrais maintenant vous demander de m’indiquer la confiance que vous inspirent certains types de médias. Pourriez-vous me dire si vous avez plutôt confiance ou plutôt pas confiance dans chacun des médias suivants ?:-La télévision</t>
  </si>
  <si>
    <t>QE3.3. I would like to ask you how much trust you have in certain types of media. For each of the following, please tell me if you tend to trust it or tend not to trust it.:-Television</t>
  </si>
  <si>
    <t>QE3.4. Je voudrais maintenant vous demander de m’indiquer la confiance que vous inspirent certains types de médias. Pourriez-vous me dire si vous avez plutôt confiance ou plutôt pas confiance dans chacun des médias suivants ?:-Les sites Internet</t>
  </si>
  <si>
    <t>QE3.4. I would like to ask you how much trust you have in certain types of media. For each of the following, please tell me if you tend to trust it or tend not to trust it.:-Websites</t>
  </si>
  <si>
    <t>QE3.5. Je voudrais maintenant vous demander de m’indiquer la confiance que vous inspirent certains types de médias. Pourriez-vous me dire si vous avez plutôt confiance ou plutôt pas confiance dans chacun des médias suivants ?:-Les réseaux sociaux en ligne</t>
  </si>
  <si>
    <t>QE3.5. I would like to ask you how much trust you have in certain types of media. For each of the following, please tell me if you tend to trust it or tend not to trust it.:-Online social networks</t>
  </si>
  <si>
    <t>C5. Indice de confiance dans les médias</t>
  </si>
  <si>
    <t>C5. Media trust index</t>
  </si>
  <si>
    <t>QE4a. Quelle est votre principale source d'information à propos des affaires politiques européennes ? Premièrement ?</t>
  </si>
  <si>
    <t>QE4a. Where do you get most of your news on European political matters? Firstly?</t>
  </si>
  <si>
    <t>QE4b. Et ensuite ? (PLUSIEURS RÉPONSES POSSIBLES)</t>
  </si>
  <si>
    <t>QE4b. And then? (MULTIPLE ANSWERS POSSIBLE)</t>
  </si>
  <si>
    <t>QE4ab. Quelle est votre principale source d'information à propos des affaires politiques européennes ? Premièrement ? Et ensuite ? (PLUSIEURS RÉPONSES POSSIBLES)</t>
  </si>
  <si>
    <t>QE4ab. Where do you get most of your news on European political matters? Firstly? And then? (MULTIPLE ANSWERS POSSIBLE)</t>
  </si>
  <si>
    <t>QE5. Quand vous désirez obtenir des informations sur l'Union européenne, ses politiques et ses institutions, lesquelles des sources suivantes utilisez-vous ? (PLUSIEURS RÉPONSES POSSIBLES)</t>
  </si>
  <si>
    <t>QE5. When you are looking for information about the EU, its policies, its institutions, which of the following sources do you use? (MULTIPLE ANSWERS POSSIBLE)</t>
  </si>
  <si>
    <t>QE6.1.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</si>
  <si>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QE6.1. Regardless of whether you participate in online social networks or not (social networking websites, social media platforms, blogs, video hosting websites), please tell whether you totally agree, tend to agree, tend to disagree or totally disagree with each of the following statements::-Online social networks are a modern way to keep abreast of political affairs</t>
  </si>
  <si>
    <t>QE6.2.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</si>
  <si>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QE6.2. Regardless of whether you participate in online social networks or not (social networking websites, social media platforms, blogs, video hosting websites), please tell whether you totally agree, tend to agree, tend to disagree or totally disagree with each of the following statements::-Information on political affairs from online social networks cannot be trusted</t>
  </si>
  <si>
    <t>QE6.3.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</si>
  <si>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QE6.3. Regardless of whether you participate in online social networks or not (social networking websites, social media platforms, blogs, video hosting websites), please tell whether you totally agree, tend to agree, tend to disagree or totally disagree with each of the following statements::-Online social networks can get people interested in political affairs</t>
  </si>
  <si>
    <t>QE6.4.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</si>
  <si>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QE6.4. Regardless of whether you participate in online social networks or not (social networking websites, social media platforms, blogs, video hosting websites), please tell whether you totally agree, tend to agree, tend to disagree or totally disagree with each of the following statements::-Online social networks are a good way to have your say on political issues</t>
  </si>
  <si>
    <t>QE6R.1.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</si>
  <si>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QE6R.1. Regardless of whether you participate in online social networks or not (social networking websites, blogs, video hosting websites), please tell whether you totally agree, tend to agree, tend to disagree or totally disagree with each of the following statements::-Online social networks are a modern way to keep abreast of political affairs</t>
  </si>
  <si>
    <t>QE6R.2. Que vous participiez ou non aux réseaux sociaux en ligne (sites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</si>
  <si>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QE6R.2. Regardless of whether you participate in online social networks or not (social networking websites, blogs, video hosting websites), please tell whether you totally agree, tend to agree, tend to disagree or totally disagree with each of the following statements::-Information on political affairs from online social networks cannot be trusted</t>
  </si>
  <si>
    <t>QE6R.3.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</si>
  <si>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QE6R.3. Regardless of whether you participate in online social networks or not (social networking websites, blogs, video hosting websites), please tell whether you totally agree, tend to agree, tend to disagree or totally disagree with each of the following statements::-Online social networks can get people interested in political affairs</t>
  </si>
  <si>
    <t>QE6R.4.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</si>
  <si>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QE6R.4. Regardless of whether you participate in online social networks or not (social networking websites, blogs, video hosting websites), please tell whether you totally agree, tend to agree, tend to disagree or totally disagree with each of the following statements::-Online social networks are a good way to have your say on political issues</t>
  </si>
  <si>
    <t>QE7.1. Pour chacune des propositions suivantes, veuillez indiquer dans quelle mesure elle correspond ou non à la situation des médias traditionnels (NATIONALITÉ) ::-Les médias (NATIONALITÉ) fournissent des informations dignes de confiance</t>
  </si>
  <si>
    <t>QE7.1. For each of the following statements, please tell to what extent it corresponds or not to the situation of the (NATIONALITY) traditional media.:-(NATIONALITY) media provide trustworthy information</t>
  </si>
  <si>
    <t>QE7.2. Pour chacune des propositions suivantes, veuillez indiquer dans quelle mesure elle correspond ou non à la situation des médias traditionnels (NATIONALITÉ) ::-Les médias (NATIONALITÉ) fournissent une variété de points de vue et d'opinions</t>
  </si>
  <si>
    <t>QE7.2. For each of the following statements, please tell to what extent it corresponds or not to the situation of the (NATIONALITY) traditional media.:-(NATIONALITY) media provide a diversity of views and opinions</t>
  </si>
  <si>
    <t>QE7.3. Pour chacune des propositions suivantes, veuillez indiquer dans quelle mesure elle correspond ou non à la situation des médias traditionnels (NATIONALITÉ) ::-Les médias (NATIONALITÉ) fournissent des informations exemptes de pressions politiques ou commerciales</t>
  </si>
  <si>
    <t>QE7.3. For each of the following statements, please tell to what extent it corresponds or not to the situation of the (NATIONALITY) traditional media.:-(NATIONALITY) media provide information free from political or commercial pressure</t>
  </si>
  <si>
    <t>QE7.4. Pour chacune des propositions suivantes, veuillez indiquer dans quelle mesure elle correspond ou non à la situation des médias traditionnels (NATIONALITÉ) ::-Les médias (NATIONALITÉ) du service public ne subissent aucune pression politique</t>
  </si>
  <si>
    <t>QE7.4. For each of the following statements, please tell to what extent it corresponds or not to the situation of the (NATIONALITY) traditional media.:-(NATIONALITY) public service media are free from political pressure</t>
  </si>
  <si>
    <t>QE8.1. Êtes tout à fait d'accord, plutôt d'accord, plutôt pas d'accord ou pas du tout d'accord avec chacune des propositions suivantes ?:-Il vous arrive souvent de lire ou entendre des nouvelles ou des informations qui, selon vous, déforment la réalité ou sont même fausses</t>
  </si>
  <si>
    <t>QE8.1. Do you totally agree, tend to agree, tend to disagree or totally disagree with each of the following statements.:-You often come across news or information that you believe misrepresent reality or are even false</t>
  </si>
  <si>
    <t>QE8.2. Êtes tout à fait d'accord, plutôt d'accord, plutôt pas d'accord ou pas du tout d'accord avec chacune des propositions suivantes ?:-Il est facile pour vous d'identifier des nouvelles ou des informations qui, selon vous, déforment la réalité ou sont même fausses</t>
  </si>
  <si>
    <t>QE8.2. Do you totally agree, tend to agree, tend to disagree or totally disagree with each of the following statements.:-It is easy for you to identify news or information that you believe misrepresent reality or are even false</t>
  </si>
  <si>
    <t>QE8.3. Êtes tout à fait d'accord, plutôt d'accord, plutôt pas d'accord ou pas du tout d'accord avec chacune des propositions suivantes ?:-L'existence de nouvelles ou d'informations qui déforment la réalité ou sont même fausses est un problème en (NOTRE PAYS)</t>
  </si>
  <si>
    <t>QE8.3. Do you totally agree, tend to agree, tend to disagree or totally disagree with each of the following statements.:-The existence of news or information that misrepresent reality or is even false is a problem in (OUR COUNTRY)</t>
  </si>
  <si>
    <t>QE8.4. Êtes tout à fait d'accord, plutôt d'accord, plutôt pas d'accord ou pas du tout d'accord avec chacune des propositions suivantes ?:-L'existence de nouvelles ou d'informations qui déforment la réalité ou sont même fausses est un problème pour la démocratie en général</t>
  </si>
  <si>
    <t>QE8.4. Do you totally agree, tend to agree, tend to disagree or totally disagree with each of the following statements.:-The existence of news or information that misrepresent reality or is even false is a problem for democracy in general</t>
  </si>
  <si>
    <t>QF1. Avec laquelle des deux propositions suivantes, êtes-vous le plus d'accord ?</t>
  </si>
  <si>
    <t>QF1. With which of the following two statements do you most agree?</t>
  </si>
  <si>
    <t>QF2a. A votre avis, dans lequel des domaines suivants l'Union européenne utilise-t-elle la plus grande partie de son budget ? En premier ?</t>
  </si>
  <si>
    <t>QF2a. On which of the following do you think most of the EU budget is spent? Firstly?</t>
  </si>
  <si>
    <t>QF2b. Et ensuite ? (3 RÉPONSES MAXIMUM)</t>
  </si>
  <si>
    <t>QF2b. Any others? (MAX. 3 ANSWERS)</t>
  </si>
  <si>
    <t>QF2ab. A votre avis, dans lequel des domaines suivants l'Union européenne utilise-t-elle la plus grande partie de son budget ? En premier ? Et ensuite ?  (4 RÉPONSES MAX.)</t>
  </si>
  <si>
    <t>QF2ab. On which of the following do you think most of the EU budget is spent? Firstly? Any others? (MAX. 4 ANSWERS)</t>
  </si>
  <si>
    <t>QF3a. Et parmi les domaines suivants, dans lesquels aimeriez-vous que le budget de l'Union européenne soit dépensé ? En premier ?</t>
  </si>
  <si>
    <t>QF3a. And on which of the following would you like EU budget to be spent? Firstly?</t>
  </si>
  <si>
    <t>QF3b. Et ensuite ? (3 RÉPONSES MAXIMUM)</t>
  </si>
  <si>
    <t>QF3b. Any others? (MAX. 3 ANSWERS)</t>
  </si>
  <si>
    <t>QF3ab. Et parmi les domaines suivants, dans lesquels aimeriez-vous que le budget de l'Union européenne soit dépensé ? En premier ? Et ensuite ? (4 RÉPONSES MAXIMUM)</t>
  </si>
  <si>
    <t>QF3ab. And on which of the following would you like EU budget to be spent? Firstly? Any others? (MAX. 4 ANSWERS)</t>
  </si>
  <si>
    <t>QF4. En général, s’agissant du budget de l’UE, diriez-vous que… ?</t>
  </si>
  <si>
    <t>QF4. Generally speaking, thinking about the EU budget, would you say that…?</t>
  </si>
  <si>
    <t>D11. Quel est votre âge ?</t>
  </si>
  <si>
    <t>D11. How old are you?</t>
  </si>
  <si>
    <t>D11R. Quel est votre âge ?</t>
  </si>
  <si>
    <t>D11R. How old are you?</t>
  </si>
  <si>
    <t>D11bis. Quel est votre âge ?</t>
  </si>
  <si>
    <t>D11bis. How old are you?</t>
  </si>
  <si>
    <t>D11G. Génération</t>
  </si>
  <si>
    <t>D11G. Generation</t>
  </si>
  <si>
    <t>D7. Laquelle des propositions suivantes correspond le mieux à votre situation actuelle ?</t>
  </si>
  <si>
    <t>D7. Which of the following best corresponds to your own current situation?</t>
  </si>
  <si>
    <t>D7R1. Situation familiale</t>
  </si>
  <si>
    <t>D7R1. Marital status</t>
  </si>
  <si>
    <t>D7R2. Situation du ménage</t>
  </si>
  <si>
    <t>D7R2. Household situation</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</si>
  <si>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</si>
  <si>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</si>
  <si>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</si>
  <si>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</si>
  <si>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D10. Comment vous définiriez-vous?</t>
  </si>
  <si>
    <t>D10. How would you describe yourself?</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</si>
  <si>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</si>
  <si>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</si>
  <si>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</si>
  <si>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</si>
  <si>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</si>
  <si>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</si>
  <si>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</si>
  <si>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</si>
  <si>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</si>
  <si>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</si>
  <si>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D25. Diriez-vous que vous vivez … ?</t>
  </si>
  <si>
    <t>D25. Would you say you live in a...?</t>
  </si>
  <si>
    <t>D40a. Combien de personnes âgées de 15 ans et plus vivent dans votre foyer, y compris vous-même ?</t>
  </si>
  <si>
    <t>D40a. How many people aged 15 years or more live in your household, yourself included?</t>
  </si>
  <si>
    <t>D40b. Combien d’enfants de moins de 10 ans vivent dans votre foyer ?</t>
  </si>
  <si>
    <t>D40b. How many children less than 10 years old live in your household?</t>
  </si>
  <si>
    <t>D40c. Combien d’enfants de 10 à 14 ans vivent dans votre foyer ?</t>
  </si>
  <si>
    <t>D40c. How many children aged 10 to 14 years old live in your household?</t>
  </si>
  <si>
    <t>D40. Composition du ménage</t>
  </si>
  <si>
    <t>D40. Household composition</t>
  </si>
  <si>
    <t>D40R. Compostion des ménages d'une personne</t>
  </si>
  <si>
    <t>D40R. One-person households composition</t>
  </si>
  <si>
    <t>D60. Sur ces douze derniers mois, diriez-vous que vous avez eu des difficultés à payer toutes vos factures à la fin du mois ... ?</t>
  </si>
  <si>
    <t>D60. During the last twelve months, would you say you had difficulties to pay your bills at the end of the month…?</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</si>
  <si>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</si>
  <si>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</si>
  <si>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</si>
  <si>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</si>
  <si>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</si>
  <si>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</si>
  <si>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</si>
  <si>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</si>
  <si>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</si>
  <si>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</si>
  <si>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</si>
  <si>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</si>
  <si>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</si>
  <si>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</si>
  <si>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</si>
  <si>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</si>
  <si>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</si>
  <si>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</si>
  <si>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Note</t>
  </si>
  <si>
    <t>QA10.3 a été déplacé et renommé SD19a_2, par souci de cohérence.</t>
  </si>
  <si>
    <t>QA10.3 has been moved and renamed SD19a_2, for consistency.</t>
  </si>
  <si>
    <t>Eurobarometer - 104.1</t>
  </si>
  <si>
    <t>VOL A weighted</t>
  </si>
  <si>
    <t>Terrain/Fieldwork : 9/10 - 5/11/2025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</si>
  <si>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</si>
  <si>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</si>
  <si>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</si>
  <si>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</si>
  <si>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</si>
  <si>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</si>
  <si>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</si>
  <si>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</si>
  <si>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</si>
  <si>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</si>
  <si>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</si>
  <si>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</si>
  <si>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</si>
  <si>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</si>
  <si>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</si>
  <si>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</si>
  <si>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</si>
  <si>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</si>
  <si>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</si>
  <si>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</si>
  <si>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</si>
  <si>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</si>
  <si>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</si>
  <si>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</si>
  <si>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</si>
  <si>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</si>
  <si>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</si>
  <si>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</si>
  <si>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</si>
  <si>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</si>
  <si>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</si>
  <si>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</si>
  <si>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</si>
  <si>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</si>
  <si>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</si>
  <si>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</si>
  <si>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</si>
  <si>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</si>
  <si>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</si>
  <si>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BA</t>
  </si>
  <si>
    <t>XK</t>
  </si>
  <si>
    <t>CY_TCC</t>
  </si>
  <si>
    <t>GE</t>
  </si>
  <si>
    <t>Total</t>
  </si>
  <si>
    <t>-</t>
  </si>
  <si>
    <t>TCC</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</si>
  <si>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</si>
  <si>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</si>
  <si>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</si>
  <si>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</si>
  <si>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</si>
  <si>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</si>
  <si>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</si>
  <si>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</si>
  <si>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</si>
  <si>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</si>
  <si>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</si>
  <si>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</si>
  <si>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</si>
  <si>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</si>
  <si>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</si>
  <si>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</si>
  <si>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</si>
  <si>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</si>
  <si>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</si>
  <si>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</si>
  <si>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</si>
  <si>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</si>
  <si>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</si>
  <si>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</si>
  <si>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</si>
  <si>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</si>
  <si>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</si>
  <si>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</si>
  <si>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</si>
  <si>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</si>
  <si>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</si>
  <si>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</si>
  <si>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</si>
  <si>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</si>
  <si>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</si>
  <si>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</si>
  <si>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QA1.1. Comment jugez-vous la situation actuelle de chacun des domaines suivants ?</t>
  </si>
  <si>
    <t>QA1.1. How would you judge the current situation in each of the following?</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</si>
  <si>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</si>
  <si>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</si>
  <si>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</si>
  <si>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</si>
  <si>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</si>
  <si>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</si>
  <si>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</si>
  <si>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</si>
  <si>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</si>
  <si>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</si>
  <si>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</si>
  <si>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</si>
  <si>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</si>
  <si>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</si>
  <si>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QA1.2. Comment jugez-vous la situation actuelle de chacun des domaines suivants ?</t>
  </si>
  <si>
    <t>QA1.2. How would you judge the current situation in each of the following?</t>
  </si>
  <si>
    <t>La situation de l'économie (NATIONALITÉ)</t>
  </si>
  <si>
    <t>The situation of the (NATIONALITY) economy</t>
  </si>
  <si>
    <t>QA1.3. Comment jugez-vous la situation actuelle de chacun des domaines suivants ?</t>
  </si>
  <si>
    <t>QA1.3. How would you judge the current situation in each of the following?</t>
  </si>
  <si>
    <t>La situation de l'économie européenne</t>
  </si>
  <si>
    <t>The situation of the European economy</t>
  </si>
  <si>
    <t>QA1.4. Comment jugez-vous la situation actuelle de chacun des domaines suivants ?</t>
  </si>
  <si>
    <t>QA1.4. How would you judge the current situation in each of the following?</t>
  </si>
  <si>
    <t>Votre situation professionnelle</t>
  </si>
  <si>
    <t>Your personal job situation</t>
  </si>
  <si>
    <t>QA1.5. Comment jugez-vous la situation actuelle de chacun des domaines suivants ?</t>
  </si>
  <si>
    <t>QA1.5. How would you judge the current situation in each of the following?</t>
  </si>
  <si>
    <t>La situation financière de votre ménage</t>
  </si>
  <si>
    <t>The financial situation of your household</t>
  </si>
  <si>
    <t>QA1.6. Comment jugez-vous la situation actuelle de chacun des domaines suivants ?</t>
  </si>
  <si>
    <t>QA1.6. How would you judge the current situation in each of the following?</t>
  </si>
  <si>
    <t>La situation de l'emploi en (NOTRE PAYS)</t>
  </si>
  <si>
    <t>The employment situation in (OUR COUNTRY)</t>
  </si>
  <si>
    <t>QA1.7. Comment jugez-vous la situation actuelle de chacun des domaines suivants ?</t>
  </si>
  <si>
    <t>QA1.7. How would you judge the current situation in each of the following?</t>
  </si>
  <si>
    <t>La fourniture de services publics en (NOTRE PAYS)</t>
  </si>
  <si>
    <t>The provision of public services in (OUR COUNTRY)</t>
  </si>
  <si>
    <t>QA2.1. Quelles sont vos attentes pour les 12 prochains mois : les 12 prochains mois seront-ils meilleurs, moins bons ou sans changement, en ce qui concerne … ?</t>
  </si>
  <si>
    <t>QA2.1. What are your expectations for the next twelve months: will the next twelve months be better, worse or the same, when it comes to...?</t>
  </si>
  <si>
    <t>Votre vie en général</t>
  </si>
  <si>
    <t>Your life in general</t>
  </si>
  <si>
    <t>Meilleurs</t>
  </si>
  <si>
    <t>Better</t>
  </si>
  <si>
    <t>Moins bons</t>
  </si>
  <si>
    <t>Worse</t>
  </si>
  <si>
    <t>Sans changement</t>
  </si>
  <si>
    <t>The same</t>
  </si>
  <si>
    <t>QA2.2. Quelles sont vos attentes pour les 12 prochains mois : les 12 prochains mois seront-ils meilleurs, moins bons ou sans changement, en ce qui concerne … ?</t>
  </si>
  <si>
    <t>QA2.2. What are your expectations for the next twelve months: will the next twelve months be better, worse or the same, when it comes to...?</t>
  </si>
  <si>
    <t>QA2.3. Quelles sont vos attentes pour les 12 prochains mois : les 12 prochains mois seront-ils meilleurs, moins bons ou sans changement, en ce qui concerne … ?</t>
  </si>
  <si>
    <t>QA2.3. What are your expectations for the next twelve months: will the next twelve months be better, worse or the same, when it comes to...?</t>
  </si>
  <si>
    <t>La situation économique en (NOTRE PAYS)</t>
  </si>
  <si>
    <t>The economic situation in (OUR COUNTRY)</t>
  </si>
  <si>
    <t>QA2.4. Quelles sont vos attentes pour les 12 prochains mois : les 12 prochains mois seront-ils meilleurs, moins bons ou sans changement, en ce qui concerne … ?</t>
  </si>
  <si>
    <t>QA2.4. What are your expectations for the next twelve months: will the next twelve months be better, worse or the same, when it comes to...?</t>
  </si>
  <si>
    <t>QA2.5. Quelles sont vos attentes pour les 12 prochains mois : les 12 prochains mois seront-ils meilleurs, moins bons ou sans changement, en ce qui concerne … ?</t>
  </si>
  <si>
    <t>QA2.5. What are your expectations for the next twelve months: will the next twelve months be better, worse or the same, when it comes to...?</t>
  </si>
  <si>
    <t>QA2.6. Quelles sont vos attentes pour les 12 prochains mois : les 12 prochains mois seront-ils meilleurs, moins bons ou sans changement, en ce qui concerne … ?</t>
  </si>
  <si>
    <t>QA2.6. What are your expectations for the next twelve months: will the next twelve months be better, worse or the same, when it comes to...?</t>
  </si>
  <si>
    <t>QA2.7. Quelles sont vos attentes pour les 12 prochains mois : les 12 prochains mois seront-ils meilleurs, moins bons ou sans changement, en ce qui concerne … ?</t>
  </si>
  <si>
    <t>QA2.7. What are your expectations for the next twelve months: will the next twelve months be better, worse or the same, when it comes to...?</t>
  </si>
  <si>
    <t>La situation économique dans l'Union européenne</t>
  </si>
  <si>
    <t>The economic situation in the EU</t>
  </si>
  <si>
    <t>L'insécurité</t>
  </si>
  <si>
    <t>Crime</t>
  </si>
  <si>
    <t>La situation économique</t>
  </si>
  <si>
    <t>The economic situation</t>
  </si>
  <si>
    <t>La hausse des prix / l'inflation / le coût de la vie</t>
  </si>
  <si>
    <t>Rising prices/ inflation/ cost of living</t>
  </si>
  <si>
    <t>Le conflit au Moyen-Orient</t>
  </si>
  <si>
    <t>The conflict in the Middle East</t>
  </si>
  <si>
    <t>Le chômage</t>
  </si>
  <si>
    <t>Unemployment</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</si>
  <si>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</si>
  <si>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</si>
  <si>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</si>
  <si>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</si>
  <si>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</si>
  <si>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</si>
  <si>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</si>
  <si>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</si>
  <si>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</si>
  <si>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</si>
  <si>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</si>
  <si>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</si>
  <si>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La situation internationale</t>
  </si>
  <si>
    <t>The international situation</t>
  </si>
  <si>
    <t>Les menaces pour la démocratie (par exemple, par le biais de la manipulation des informations)</t>
  </si>
  <si>
    <t>Threats to democracy (for example through information manipulation)</t>
  </si>
  <si>
    <t>L'environnement et les risques liés au changement climatique</t>
  </si>
  <si>
    <t>The environment and risks related to climate change</t>
  </si>
  <si>
    <t>La sécurité et la défense</t>
  </si>
  <si>
    <t>Security and defence</t>
  </si>
  <si>
    <t>L'invasion de l'Ukraine par la Russie</t>
  </si>
  <si>
    <t>Russia’s invasion of Ukraine</t>
  </si>
  <si>
    <t>Autre (SPONTANÉ)</t>
  </si>
  <si>
    <t>Other (SPONTANEOUS)</t>
  </si>
  <si>
    <t>Aucun (SPONTANÉ)</t>
  </si>
  <si>
    <t>None (SPONTANEOUS)</t>
  </si>
  <si>
    <t>Rising prices / inflation / cost of living</t>
  </si>
  <si>
    <t>Les impôts</t>
  </si>
  <si>
    <t>Taxation</t>
  </si>
  <si>
    <t>Le terrorisme</t>
  </si>
  <si>
    <t>Terrorism</t>
  </si>
  <si>
    <t>La situation financière de votre foyer</t>
  </si>
  <si>
    <t>Les retraites, les pensions</t>
  </si>
  <si>
    <t>Pensions</t>
  </si>
  <si>
    <t>Les conditions de vie</t>
  </si>
  <si>
    <t>Living conditions</t>
  </si>
  <si>
    <t>L'influence de l'UE dans le monde</t>
  </si>
  <si>
    <t>The EU's influence in the world</t>
  </si>
  <si>
    <t>Le budget de l'UE</t>
  </si>
  <si>
    <t>The EU budget</t>
  </si>
  <si>
    <t>L'approvisionnement en énergie</t>
  </si>
  <si>
    <t>Energy supply</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</si>
  <si>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</si>
  <si>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</si>
  <si>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</si>
  <si>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</si>
  <si>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</si>
  <si>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</si>
  <si>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</si>
  <si>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</si>
  <si>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</si>
  <si>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</si>
  <si>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</si>
  <si>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</si>
  <si>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</si>
  <si>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</si>
  <si>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</si>
  <si>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</si>
  <si>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</si>
  <si>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</si>
  <si>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</si>
  <si>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</si>
  <si>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</si>
  <si>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</si>
  <si>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QA6.1. Dans quelle mesure avez-vous confiance dans certaines institutions ? Pour chacune des institutions suivantes, avez-vous plutôt confiance ou plutôt pas confiance en elle ?</t>
  </si>
  <si>
    <t>QA6.1. How much trust do you have in certain institutions? For each of the following institutions, do you tend to trust it or tend not to trust it?</t>
  </si>
  <si>
    <t>Les partis politiques</t>
  </si>
  <si>
    <t>Political parties</t>
  </si>
  <si>
    <t>Plutôt confiance</t>
  </si>
  <si>
    <t>Tend to trust</t>
  </si>
  <si>
    <t>Plutôt pas confiance</t>
  </si>
  <si>
    <t>Tend not to trust</t>
  </si>
  <si>
    <t>QA6.2. Dans quelle mesure avez-vous confiance dans certaines institutions ? Pour chacune des institutions suivantes, avez-vous plutôt confiance ou plutôt pas confiance en elle ?</t>
  </si>
  <si>
    <t>QA6.2. How much trust do you have in certain institutions? For each of the following institutions, do you tend to trust it or tend not to trust it?</t>
  </si>
  <si>
    <t>La justice, le système judiciaire (NATIONALITÉ)</t>
  </si>
  <si>
    <t>Justice, the (NATIONALITY) legal system</t>
  </si>
  <si>
    <t>QA6.3. Dans quelle mesure avez-vous confiance dans certaines institutions ? Pour chacune des institutions suivantes, avez-vous plutôt confiance ou plutôt pas confiance en elle ?</t>
  </si>
  <si>
    <t>QA6.3. How much trust do you have in certain institutions? For each of the following institutions, do you tend to trust it or tend not to trust it?</t>
  </si>
  <si>
    <t>La police</t>
  </si>
  <si>
    <t>The police</t>
  </si>
  <si>
    <t>QA6.4. Dans quelle mesure avez-vous confiance dans certaines institutions ? Pour chacune des institutions suivantes, avez-vous plutôt confiance ou plutôt pas confiance en elle ?</t>
  </si>
  <si>
    <t>QA6.4. How much trust do you have in certain institutions? For each of the following institutions, do you tend to trust it or tend not to trust it?</t>
  </si>
  <si>
    <t>L'armée</t>
  </si>
  <si>
    <t>The army</t>
  </si>
  <si>
    <t>QA6.5. Dans quelle mesure avez-vous confiance dans certaines institutions ? Pour chacune des institutions suivantes, avez-vous plutôt confiance ou plutôt pas confiance en elle ?</t>
  </si>
  <si>
    <t>QA6.5. How much trust do you have in certain institutions? For each of the following institutions, do you tend to trust it or tend not to trust it?</t>
  </si>
  <si>
    <t>Les autorités publiques régionales ou locales</t>
  </si>
  <si>
    <t>Regional or local public authorities</t>
  </si>
  <si>
    <t>QA6.6. Dans quelle mesure avez-vous confiance dans certaines institutions ? Pour chacune des institutions suivantes, avez-vous plutôt confiance ou plutôt pas confiance en elle ?</t>
  </si>
  <si>
    <t>QA6.6. How much trust do you have in certain institutions? For each of the following institutions, do you tend to trust it or tend not to trust it?</t>
  </si>
  <si>
    <t>Le personnel médical et de santé en (NOTRE PAYS)</t>
  </si>
  <si>
    <t>Health and medical staff in (OUR COUNTRY)</t>
  </si>
  <si>
    <t>QA6.7. Dans quelle mesure avez-vous confiance dans certaines institutions ? Pour chacune des institutions suivantes, avez-vous plutôt confiance ou plutôt pas confiance en elle ?</t>
  </si>
  <si>
    <t>QA6.7. How much trust do you have in certain institutions? For each of the following institutions, do you tend to trust it or tend not to trust it?</t>
  </si>
  <si>
    <t>Le gouvernement (NATIONALITÉ)</t>
  </si>
  <si>
    <t>The (NATIONALITY) Government</t>
  </si>
  <si>
    <t>QA6.8. Dans quelle mesure avez-vous confiance dans certaines institutions ? Pour chacune des institutions suivantes, avez-vous plutôt confiance ou plutôt pas confiance en elle ?</t>
  </si>
  <si>
    <t>QA6.8. How much trust do you have in certain institutions? For each of the following institutions, do you tend to trust it or tend not to trust it?</t>
  </si>
  <si>
    <t>Le parlement (NATIONALITÉ)</t>
  </si>
  <si>
    <t>The (NATIONALITY PARLIAMENT)</t>
  </si>
  <si>
    <t>QA6.9. Dans quelle mesure avez-vous confiance dans certaines institutions ? Pour chacune des institutions suivantes, avez-vous plutôt confiance ou plutôt pas confiance en elle ?</t>
  </si>
  <si>
    <t>QA6.9. How much trust do you have in certain institutions? For each of the following institutions, do you tend to trust it or tend not to trust it?</t>
  </si>
  <si>
    <t>L'Union européenne</t>
  </si>
  <si>
    <t>QA6.10. Dans quelle mesure avez-vous confiance dans certaines institutions ? Pour chacune des institutions suivantes, avez-vous plutôt confiance ou plutôt pas confiance en elle ?</t>
  </si>
  <si>
    <t>QA6.10. How much trust do you have in certain institutions? For each of the following institutions, do you tend to trust it or tend not to trust it?</t>
  </si>
  <si>
    <t>L'Organisation des Nations Unies</t>
  </si>
  <si>
    <t>The United Nations</t>
  </si>
  <si>
    <t>QA6.11. Dans quelle mesure avez-vous confiance dans certaines institutions ? Pour chacune des institutions suivantes, avez-vous plutôt confiance ou plutôt pas confiance en elle ?</t>
  </si>
  <si>
    <t>QA6.11. How much trust do you have in certain institutions? For each of the following institutions, do you tend to trust it or tend not to trust it?</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</si>
  <si>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</si>
  <si>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</si>
  <si>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</si>
  <si>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</si>
  <si>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</si>
  <si>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</si>
  <si>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</si>
  <si>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</si>
  <si>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</si>
  <si>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</si>
  <si>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</si>
  <si>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</si>
  <si>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</si>
  <si>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'Negative'</t>
  </si>
  <si>
    <t>QA7.1. Avez-vous déjà entendu parler … ?</t>
  </si>
  <si>
    <t>QA7.1. Have you heard of…?</t>
  </si>
  <si>
    <t>Du Parlement européen</t>
  </si>
  <si>
    <t>The European Parliament</t>
  </si>
  <si>
    <t>Oui</t>
  </si>
  <si>
    <t>Yes</t>
  </si>
  <si>
    <t>Non</t>
  </si>
  <si>
    <t>No</t>
  </si>
  <si>
    <t>QA7.2. Avez-vous déjà entendu parler … ?</t>
  </si>
  <si>
    <t>QA7.2. Have you heard of…?</t>
  </si>
  <si>
    <t>De la Commission européenne</t>
  </si>
  <si>
    <t>The European Commission</t>
  </si>
  <si>
    <t>QA7.3. Avez-vous déjà entendu parler … ?</t>
  </si>
  <si>
    <t>QA7.3. Have you heard of…?</t>
  </si>
  <si>
    <t>De la Banque centrale européenne</t>
  </si>
  <si>
    <t>The European Central Bank</t>
  </si>
  <si>
    <t>QA7.4. Avez-vous déjà entendu parler … ?</t>
  </si>
  <si>
    <t>QA7.4. Have you heard of…?</t>
  </si>
  <si>
    <t>Du Conseil européen</t>
  </si>
  <si>
    <t>The European Council</t>
  </si>
  <si>
    <t>QA8.1. Veuillez dire si vous avez plutôt confiance ou plutôt pas confiance en ces institutions européennes.</t>
  </si>
  <si>
    <t>QA8.1. Please tell if you tend to trust or tend not to trust these European institutions.</t>
  </si>
  <si>
    <t>Le Parlement européen</t>
  </si>
  <si>
    <t>QA8.2. Veuillez dire si vous avez plutôt confiance ou plutôt pas confiance en ces institutions européennes.</t>
  </si>
  <si>
    <t>QA8.2. Please tell if you tend to trust or tend not to trust these European institutions.</t>
  </si>
  <si>
    <t>La Commission européenne</t>
  </si>
  <si>
    <t>QA8.3. Veuillez dire si vous avez plutôt confiance ou plutôt pas confiance en ces institutions européennes.</t>
  </si>
  <si>
    <t>QA8.3. Please tell if you tend to trust or tend not to trust these European institutions.</t>
  </si>
  <si>
    <t>La Banque centrale européenne</t>
  </si>
  <si>
    <t>QA8.4. Veuillez dire si vous avez plutôt confiance ou plutôt pas confiance en ces institutions européennes.</t>
  </si>
  <si>
    <t>QA8.4. Please tell if you tend to trust or tend not to trust these European institutions.</t>
  </si>
  <si>
    <t>Le Conseil européen</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</si>
  <si>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</si>
  <si>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</si>
  <si>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</si>
  <si>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</si>
  <si>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</si>
  <si>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</si>
  <si>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</si>
  <si>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</si>
  <si>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</si>
  <si>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</si>
  <si>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</si>
  <si>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</si>
  <si>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QA10.1. Dans quelle mesure êtes-vous d'accord ou pas d'accord avec chacune des affirmations suivantes ?</t>
  </si>
  <si>
    <t>QA10.1. To what extent do you agree or disagree with each of the following statements?</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</si>
  <si>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</si>
  <si>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</si>
  <si>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</si>
  <si>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</si>
  <si>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</si>
  <si>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</si>
  <si>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</si>
  <si>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</si>
  <si>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</si>
  <si>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</si>
  <si>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</si>
  <si>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</si>
  <si>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</si>
  <si>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</si>
  <si>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QA10.2. Dans quelle mesure êtes-vous d'accord ou pas d'accord avec chacune des affirmations suivantes ?</t>
  </si>
  <si>
    <t>QA10.2. To what extent do you agree or disagree with each of the following statements?</t>
  </si>
  <si>
    <t>(NOTRE PAYS) peut mieux faire face au futur à l'intérieur de l'Union européenne qu'en dehors</t>
  </si>
  <si>
    <t>(OUR COUNTRY) can better face the future inside the EU than outside the EU</t>
  </si>
  <si>
    <t>QA10.4. Dans quelle mesure êtes-vous d'accord ou pas d'accord avec chacune des affirmations suivantes ?</t>
  </si>
  <si>
    <t>QA10.4. To what extent do you agree or disagree with each of the following statements?</t>
  </si>
  <si>
    <t>Plus de décisions devraient être prises au niveau de l'Union européenne</t>
  </si>
  <si>
    <t>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</si>
  <si>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</si>
  <si>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</si>
  <si>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</si>
  <si>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</si>
  <si>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</si>
  <si>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</si>
  <si>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</si>
  <si>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</si>
  <si>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</si>
  <si>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'Optimistic'</t>
  </si>
  <si>
    <t>Total 'Pessimistic'</t>
  </si>
  <si>
    <t>Total 'Not satisfied'</t>
  </si>
  <si>
    <t>SD19a.1. Dans quelle mesure êtes-vous d’accord ou pas d’accord avec chacune des affirmations suivantes ?</t>
  </si>
  <si>
    <t>SD19a.1. To what extent do you agree or disagree with each of the following statements.</t>
  </si>
  <si>
    <t>Ma voix compte en (NOTRE PAYS)</t>
  </si>
  <si>
    <t>My voice counts in (OUR COUNTRY)</t>
  </si>
  <si>
    <t>Tout à fait d’accord</t>
  </si>
  <si>
    <t>Plutôt d’accord</t>
  </si>
  <si>
    <t>Plutôt pas d’accord</t>
  </si>
  <si>
    <t>Pas du tout d’accord</t>
  </si>
  <si>
    <t>SD19a.2. Dans quelle mesure êtes-vous d’accord ou pas d’accord avec chacune des affirmations suivantes ?</t>
  </si>
  <si>
    <t>SD19a.2. To what extent do you agree or disagree with each of the following statements.</t>
  </si>
  <si>
    <t>Ma voix compte dans l'Union européenne</t>
  </si>
  <si>
    <t>My voice counts in the EU</t>
  </si>
  <si>
    <t>SD19a.3. Dans quelle mesure êtes-vous d’accord ou pas d’accord avec chacune des affirmations suivantes ?</t>
  </si>
  <si>
    <t>SD19a.3. To what extent do you agree or disagree with each of the following statements.</t>
  </si>
  <si>
    <t>La voix de l'Union européenne compte dans le monde</t>
  </si>
  <si>
    <t>The EU's voice counts in the world</t>
  </si>
  <si>
    <t>S'est améliorée</t>
  </si>
  <si>
    <t>Improved</t>
  </si>
  <si>
    <t>Est restée la même</t>
  </si>
  <si>
    <t>Stayed the same</t>
  </si>
  <si>
    <t>S'est détériorée</t>
  </si>
  <si>
    <t>Deteriorated</t>
  </si>
  <si>
    <t>QB1.1. Quelle est votre opinion sur chacune des propositions suivantes ? Veuillez dire, pour chaque proposition, si vous êtes pour ou si vous êtes contre.</t>
  </si>
  <si>
    <t>QB1.1. What is your opinion on each of the following statements? Please tell for each statement, whether you are for it or against it.</t>
  </si>
  <si>
    <t>Une politique étrangère commune aux États membres de l'Union européenne</t>
  </si>
  <si>
    <t>A common foreign policy of the Member States of the EU</t>
  </si>
  <si>
    <t>Pour</t>
  </si>
  <si>
    <t>For</t>
  </si>
  <si>
    <t>Contre</t>
  </si>
  <si>
    <t>Against</t>
  </si>
  <si>
    <t>QB1.2. Quelle est votre opinion sur chacune des propositions suivantes ? Veuillez dire, pour chaque proposition, si vous êtes pour ou si vous êtes contre.</t>
  </si>
  <si>
    <t>QB1.2. What is your opinion on each of the following statements? Please tell for each statement, whether you are for it or against it.</t>
  </si>
  <si>
    <t>Une politique de sécurité et de défense commune des États membres de l'Union européenne</t>
  </si>
  <si>
    <t>A common defence and security policy among EU Member States</t>
  </si>
  <si>
    <t>QB1.3. Quelle est votre opinion sur chacune des propositions suivantes ? Veuillez dire, pour chaque proposition, si vous êtes pour ou si vous êtes contre.</t>
  </si>
  <si>
    <t>QB1.3. What is your opinion on each of the following statements? Please tell for each statement, whether you are for it or against it.</t>
  </si>
  <si>
    <t>La politique commerciale commune de l'Union européenne</t>
  </si>
  <si>
    <t>The EU’s common trade policy</t>
  </si>
  <si>
    <t>QB1.4. Quelle est votre opinion sur chacune des propositions suivantes ? Veuillez dire, pour chaque proposition, si vous êtes pour ou si vous êtes contre.</t>
  </si>
  <si>
    <t>QB1.4. What is your opinion on each of the following statements? Please tell for each statement, whether you are for it or against it.</t>
  </si>
  <si>
    <t>Une politique européenne commune en matière de migration</t>
  </si>
  <si>
    <t>A common European policy on migration</t>
  </si>
  <si>
    <t>QB1.5. Quelle est votre opinion sur chacune des propositions suivantes ? Veuillez dire, pour chaque proposition, si vous êtes pour ou si vous êtes contre.</t>
  </si>
  <si>
    <t>QB1.5. What is your opinion on each of the following statements? Please tell for each statement, whether you are for it or against it.</t>
  </si>
  <si>
    <t>Une politique énergétique européenne commune</t>
  </si>
  <si>
    <t>A common European energy policy</t>
  </si>
  <si>
    <t>QB1.6. Quelle est votre opinion sur chacune des propositions suivantes ? Veuillez dire, pour chaque proposition, si vous êtes pour ou si vous êtes contre.</t>
  </si>
  <si>
    <t>QB1.6. What is your opinion on each of the following statements? Please tell for each statement, whether you are for it or against it.</t>
  </si>
  <si>
    <t>L'élargissement de l'Union européenne à d'autres pays dans les années à venir</t>
  </si>
  <si>
    <t>Enlargement of the EU to include other countries in future years</t>
  </si>
  <si>
    <t>QB1.7. Quelle est votre opinion sur chacune des propositions suivantes ? Veuillez dire, pour chaque proposition, si vous êtes pour ou si vous êtes contre.</t>
  </si>
  <si>
    <t>QB1.7. What is your opinion on each of the following statements? Please tell for each statement, whether you are for it or against it.</t>
  </si>
  <si>
    <t>La libre circulation des citoyens de l'Union européenne qui peuvent vivre, travailler, étudier et faire des affaires partout dans l'Union européenne</t>
  </si>
  <si>
    <t>The free movement of EU citizens who can live, work, study and do business anywhere in the EU</t>
  </si>
  <si>
    <t>QB1.8. Quelle est votre opinion sur chacune des propositions suivantes ? Veuillez dire, pour chaque proposition, si vous êtes pour ou si vous êtes contre.</t>
  </si>
  <si>
    <t>QB1.8. What is your opinion on each of the following statements? Please tell for each statement, whether you are for it or against it.</t>
  </si>
  <si>
    <t>Une politique européenne commune en matière de santé</t>
  </si>
  <si>
    <t>A common EU health policy</t>
  </si>
  <si>
    <t>QB1.9. Quelle est votre opinion sur chacune des propositions suivantes ? Veuillez dire, pour chaque proposition, si vous êtes pour ou si vous êtes contre.</t>
  </si>
  <si>
    <t>QB1.9. What is your opinion on each of the following statements? Please tell for each statement, whether you are for it or against it.</t>
  </si>
  <si>
    <t>Une stratégie commune pour améliorer la compétitivité dans l’UE</t>
  </si>
  <si>
    <t>A common strategy to improve competitiveness in the EU</t>
  </si>
  <si>
    <t>QB1.10. Quelle est votre opinion sur chacune des propositions suivantes ? Veuillez dire, pour chaque proposition, si vous êtes pour ou si vous êtes contre.</t>
  </si>
  <si>
    <t>QB1.10. What is your opinion on each of the following statements? Please tell for each statement, whether you are for it or against it.</t>
  </si>
  <si>
    <t>Une union économique et monétaire européenne avec une seule monnaie, l'euro</t>
  </si>
  <si>
    <t>A European economic and monetary union with one single currency, the euro</t>
  </si>
  <si>
    <t>QB1.11. Quelle est votre opinion sur chacune des propositions suivantes ? Veuillez dire, pour chaque proposition, si vous êtes pour ou si vous êtes contre.</t>
  </si>
  <si>
    <t>QB1.11. What is your opinion on each of the following statements? Please tell for each statement, whether you are for it or against it.</t>
  </si>
  <si>
    <t>Une politique climatique commune</t>
  </si>
  <si>
    <t>A common climate policy</t>
  </si>
  <si>
    <t>QB2.1. Êtes-vous tout à fait d'accord, plutôt d'accord, plutôt pas d'accord ou pas du tout d'accord avec chacune des propositions suivantes ?</t>
  </si>
  <si>
    <t>QB2.1. For each of the following statements, do you totally agree, tend to agree, tend to disagree or totally disagree.</t>
  </si>
  <si>
    <t>L'Union européenne a suffisamment de pouvoirs et d'outils pour défendre les intérêts économiques de l'Europe dans l'économie mondiale</t>
  </si>
  <si>
    <t>The EU has sufficient power and tools to defend the economic interests of Europe in the global economy</t>
  </si>
  <si>
    <t>QB2.2. Êtes-vous tout à fait d'accord, plutôt d'accord, plutôt pas d'accord ou pas du tout d'accord avec chacune des propositions suivantes ?</t>
  </si>
  <si>
    <t>QB2.2. For each of the following statements, do you totally agree, tend to agree, tend to disagree or totally disagree.</t>
  </si>
  <si>
    <t>L’UE devrait renforcer son indépendance économique et diversifier ses relations commerciales avec les pays du monde entier</t>
  </si>
  <si>
    <t>The EU should strengthen its economic independence and diversify trade relations with countries all over the world</t>
  </si>
  <si>
    <t>QB2.3. Êtes-vous tout à fait d'accord, plutôt d'accord, plutôt pas d'accord ou pas du tout d'accord avec chacune des propositions suivantes ?</t>
  </si>
  <si>
    <t>QB2.3. For each of the following statements, do you totally agree, tend to agree, tend to disagree or totally disagree.</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</si>
  <si>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</si>
  <si>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</si>
  <si>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QB2.4. Êtes-vous tout à fait d'accord, plutôt d'accord, plutôt pas d'accord ou pas du tout d'accord avec chacune des propositions suivantes ?</t>
  </si>
  <si>
    <t>QB2.4. For each of the following statements, do you totally agree, tend to agree, tend to disagree or totally disagree.</t>
  </si>
  <si>
    <t>L'Union européenne est un lieu de stabilité dans un monde troublé</t>
  </si>
  <si>
    <t>The European Union is a place of stability in a troubled world</t>
  </si>
  <si>
    <t>QB2.5. Êtes-vous tout à fait d'accord, plutôt d'accord, plutôt pas d'accord ou pas du tout d'accord avec chacune des propositions suivantes ?</t>
  </si>
  <si>
    <t>QB2.5. For each of the following statements, do you totally agree, tend to agree, tend to disagree or totally disagree.</t>
  </si>
  <si>
    <t>Il devrait y avoir une taxation équitable des grandes entreprises technologiques dans l'Union européenne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</si>
  <si>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</si>
  <si>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</si>
  <si>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</si>
  <si>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</si>
  <si>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</si>
  <si>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</si>
  <si>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</si>
  <si>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</si>
  <si>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</si>
  <si>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</si>
  <si>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</si>
  <si>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</si>
  <si>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</si>
  <si>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QB4.1. Pour chacune des propositions suivantes, veuillez me dire si vous êtes tout à fait d'accord, plutôt d'accord, plutôt pas d'accord ou pas du tout d'accord.</t>
  </si>
  <si>
    <t>QB4.1. For each of the following statements, please tell whether you totally agree, tend to agree, tend to disagree or totally disagree</t>
  </si>
  <si>
    <t>Les immigrés contribuent positivement à (NOTRE PAYS)</t>
  </si>
  <si>
    <t>Immigrants contribute positively to (OUR COUNTRY)</t>
  </si>
  <si>
    <t>QB4.2. Pour chacune des propositions suivantes, veuillez me dire si vous êtes tout à fait d'accord, plutôt d'accord, plutôt pas d'accord ou pas du tout d'accord.</t>
  </si>
  <si>
    <t>QB4.2. For each of the following statements, please tell whether you totally agree, tend to agree, tend to disagree or totally disagree</t>
  </si>
  <si>
    <t>(NOTRE PAYS) devrait aider les réfugiés</t>
  </si>
  <si>
    <t>(OUR COUNTRY) should help refugees</t>
  </si>
  <si>
    <t>L’économie (par exemple, la compétitivité)</t>
  </si>
  <si>
    <t>Economy (e.g., competitiveness)</t>
  </si>
  <si>
    <t>L'emploi</t>
  </si>
  <si>
    <t>Employment</t>
  </si>
  <si>
    <t>L'égalité sociale</t>
  </si>
  <si>
    <t>Social equality</t>
  </si>
  <si>
    <t>L'éducation et la formation</t>
  </si>
  <si>
    <t>Education and training</t>
  </si>
  <si>
    <t>La recherche et l'innovation</t>
  </si>
  <si>
    <t>Research and innovation</t>
  </si>
  <si>
    <t>Le climat et l'environnement</t>
  </si>
  <si>
    <t>Climate and the environment</t>
  </si>
  <si>
    <t>La migration</t>
  </si>
  <si>
    <t>Migration</t>
  </si>
  <si>
    <t>L'agriculture</t>
  </si>
  <si>
    <t>Agriculture</t>
  </si>
  <si>
    <t>L’industrie (par exemple, la réduction de la charge administrative pour les entreprises)</t>
  </si>
  <si>
    <t>Industry (e.g., reduction of the administrative burden for companies)</t>
  </si>
  <si>
    <t>Le commerce avec des pays hors de l'UE</t>
  </si>
  <si>
    <t>Trade with countries outside the EU</t>
  </si>
  <si>
    <t>La démocratie</t>
  </si>
  <si>
    <t>Democracy</t>
  </si>
  <si>
    <t>Les technologies numériques (y compris les plateformes de réseaux sociaux) et la transformation numérique</t>
  </si>
  <si>
    <t>Digital technologies (including social media platforms) and digital transformation</t>
  </si>
  <si>
    <t>La lutte contre la manipulation de l'information</t>
  </si>
  <si>
    <t>Countering information manipulation</t>
  </si>
  <si>
    <t>Base: Pas demandé aux répondants qui ont répondu “Aucun” ou “Ne sais pas” en QB5a</t>
  </si>
  <si>
    <t>Base: Not asked to respondents who answered "None" or "Don't know" in QB5a</t>
  </si>
  <si>
    <t>Information manipulation</t>
  </si>
  <si>
    <t>Développer les ressources et les infrastructures en matière d’énergies propres</t>
  </si>
  <si>
    <t>Developing clean energy resources and infrastructure</t>
  </si>
  <si>
    <t>Aider le secteur privé à devenir plus compétitif dans l'UE</t>
  </si>
  <si>
    <t>Helping the private sector become more competitive in the EU</t>
  </si>
  <si>
    <t>Réduire les inégalités régionales dans l'UE</t>
  </si>
  <si>
    <t>Reducing regional inequalities in the EU</t>
  </si>
  <si>
    <t>Créer plus d'opportunités d'emploi</t>
  </si>
  <si>
    <t>Creating more job opportunities</t>
  </si>
  <si>
    <t>Gérer la migration irrégulière</t>
  </si>
  <si>
    <t>Managing irregular migration</t>
  </si>
  <si>
    <t>Garantir la paix et la stabilité</t>
  </si>
  <si>
    <t>Ensuring peace and stability</t>
  </si>
  <si>
    <t>Favoriser les partenariats internationaux</t>
  </si>
  <si>
    <t>Fostering international partnerships</t>
  </si>
  <si>
    <t>Renforcer la sécurité et la défense européennes</t>
  </si>
  <si>
    <t>Strengthening European security and defence</t>
  </si>
  <si>
    <t>Travailler pour un espace numérique sûr, y compris sur les plateformes de réseaux sociaux</t>
  </si>
  <si>
    <t>Working towards a safe digital space, including on social media platforms</t>
  </si>
  <si>
    <t>Garantir dans l’UE l'approvisionnement en denrées alimentaires, en produits de santé et en produits industriels</t>
  </si>
  <si>
    <t>Securing food, health, and industry supplies in the EU</t>
  </si>
  <si>
    <t>Améliorer la qualité de l'éducation et l'accès à celle-ci</t>
  </si>
  <si>
    <t>Improving quality and access to education</t>
  </si>
  <si>
    <t>Améliorer l'accès au logement dans l'UE</t>
  </si>
  <si>
    <t>Improving the access to housing in the EU</t>
  </si>
  <si>
    <t>Lutter contre la criminalité</t>
  </si>
  <si>
    <t>Combatting criminality</t>
  </si>
  <si>
    <t>Réduire la charge administrative pour les entreprises</t>
  </si>
  <si>
    <t>Reducing the administrative burden for companies</t>
  </si>
  <si>
    <t>Base: Pas demandé aux répondants qui ont répondu “Aucun” ou “Ne sais pas” en QB6a</t>
  </si>
  <si>
    <t>Base: Not asked to respondents who answered "None" or "Don't know" in QB6a</t>
  </si>
  <si>
    <t>Développer les ressources et les infrastructures en matière d'énergies renouvelables</t>
  </si>
  <si>
    <t>Developing renewable energy resources and infrastructure</t>
  </si>
  <si>
    <t>Strengthening European defence</t>
  </si>
  <si>
    <t>Developing clean energy resources and infrastructure (M)</t>
  </si>
  <si>
    <t>Des opportunités économiques grâce à un marché élargi</t>
  </si>
  <si>
    <t>Economic opportunities due to an enlarged market</t>
  </si>
  <si>
    <t>Une stabilité et une sécurité accrues</t>
  </si>
  <si>
    <t>Increased stability and security</t>
  </si>
  <si>
    <t>Une diversité culturelle</t>
  </si>
  <si>
    <t>Cultural diversity</t>
  </si>
  <si>
    <t>Un renforcement du poids géopolitique de l'UE au niveau mondial</t>
  </si>
  <si>
    <t>Increased geopolitical weight for the EU at the global level</t>
  </si>
  <si>
    <t>Un impact négatif sur le marché du travail de votre pays</t>
  </si>
  <si>
    <t>Negative impact on your country’s labour market</t>
  </si>
  <si>
    <t>Une instabilité et une insécurité accrues</t>
  </si>
  <si>
    <t>Increased instability and insecurity</t>
  </si>
  <si>
    <t>Un processus décisionnel compliqué au niveau de l'UE</t>
  </si>
  <si>
    <t>Complicated decision-making at EU level</t>
  </si>
  <si>
    <t>Une réduction des investissements de l'UE dans votre pays</t>
  </si>
  <si>
    <t>Reduced EU investments in your country</t>
  </si>
  <si>
    <t>Aucune de ces propositions (SPONTANÉ)</t>
  </si>
  <si>
    <t>Bénéficié</t>
  </si>
  <si>
    <t>Benefited</t>
  </si>
  <si>
    <t>Pas bénéficié</t>
  </si>
  <si>
    <t>Not benefited</t>
  </si>
  <si>
    <t>Don’t know</t>
  </si>
  <si>
    <t>QB9. S’agissant de votre pays en tant qu'État membre de l'UE, veuillez me dire dans quelle mesure vous êtes d'accord ou non avec les affirmations suivantes.</t>
  </si>
  <si>
    <t>QB9. Thinking about your country being a Member State of the EU, please tell me to what extent you agree or disagree with the following statements.</t>
  </si>
  <si>
    <t>Votre pays a plus de poids et d'influence au niveau mondial que s'il n'était pas membre de l'UE</t>
  </si>
  <si>
    <t>Your country has more weight and leverage globally than if it were not a member of the EU</t>
  </si>
  <si>
    <t>QB10.1. Avez-vous une opinion positive ou négative de chacun des pays suivants ?</t>
  </si>
  <si>
    <t>QB10.1. As regards each of the following countries, do you have a positive or a negative view about it?</t>
  </si>
  <si>
    <t>Les États-Unis</t>
  </si>
  <si>
    <t>Une opinion très positive</t>
  </si>
  <si>
    <t>Very positive view</t>
  </si>
  <si>
    <t>Une opinion assez positive</t>
  </si>
  <si>
    <t>Somewhat positive view</t>
  </si>
  <si>
    <t>Une opinion plutôt négative</t>
  </si>
  <si>
    <t>Somewhat negative view</t>
  </si>
  <si>
    <t>Une opinion très négative</t>
  </si>
  <si>
    <t>Very negative view</t>
  </si>
  <si>
    <t>Total 'Négative'</t>
  </si>
  <si>
    <t>QB10.2. Avez-vous une opinion positive ou négative de chacun des pays suivants ?</t>
  </si>
  <si>
    <t>QB10.2. As regards each of the following countries, do you have a positive or a negative view about it?</t>
  </si>
  <si>
    <t>La Russie</t>
  </si>
  <si>
    <t>Russia</t>
  </si>
  <si>
    <t>QB10.3. Avez-vous une opinion positive ou négative de chacun des pays suivants ?</t>
  </si>
  <si>
    <t>QB10.3. As regards each of the following countries, do you have a positive or a negative view about it?</t>
  </si>
  <si>
    <t>La Chine</t>
  </si>
  <si>
    <t>China</t>
  </si>
  <si>
    <t>QB11.1. Pour chacune des propositions suivantes, veuillez me dire si vous êtes tout à fait d’accord, plutôt d’accord, plutôt pas d’accord ou pas du tout d’accord.</t>
  </si>
  <si>
    <t>QB11.1. For each of the following statements, please tell me whether you totally agree, tend to agree, tend to disagree or totally disagree.</t>
  </si>
  <si>
    <t>L’augmentation des droits de douane nuit à l’économie mondiale</t>
  </si>
  <si>
    <t>Increasing customs tariffs harms the global economy</t>
  </si>
  <si>
    <t>QB11.2. Pour chacune des propositions suivantes, veuillez me dire si vous êtes tout à fait d’accord, plutôt d’accord, plutôt pas d’accord ou pas du tout d’accord.</t>
  </si>
  <si>
    <t>QB11.2. For each of the following statements, please tell me whether you totally agree, tend to agree, tend to disagree or totally disagree.</t>
  </si>
  <si>
    <t>Il devrait y avoir davantage de coopération fondée sur les règles entre les pays et les régions du monde</t>
  </si>
  <si>
    <t>There should be more rules-based cooperation between countries and regions of the world</t>
  </si>
  <si>
    <t>QC1.1. Veuillez dire dans quelle mesure vous vous sentez attaché(e) à …</t>
  </si>
  <si>
    <t>QC1.1. Please tell how attached you feel to…</t>
  </si>
  <si>
    <t>Votre ville ou village</t>
  </si>
  <si>
    <t>Your city / town /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</si>
  <si>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</si>
  <si>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</si>
  <si>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</si>
  <si>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</si>
  <si>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</si>
  <si>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</si>
  <si>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</si>
  <si>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</si>
  <si>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</si>
  <si>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</si>
  <si>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</si>
  <si>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</si>
  <si>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QC1.2. Veuillez dire dans quelle mesure vous vous sentez attaché(e) à …</t>
  </si>
  <si>
    <t>QC1.2. Please tell how attached you feel to…</t>
  </si>
  <si>
    <t>(NOTRE PAYS)</t>
  </si>
  <si>
    <t>QC1.3. Veuillez dire dans quelle mesure vous vous sentez attaché(e) à …</t>
  </si>
  <si>
    <t>QC1.3. Please tell how attached you feel to…</t>
  </si>
  <si>
    <t>QC1.4. Veuillez dire dans quelle mesure vous vous sentez attaché(e) à …</t>
  </si>
  <si>
    <t>QC1.4. Please tell how attached you feel to…</t>
  </si>
  <si>
    <t>L'Europe</t>
  </si>
  <si>
    <t>Europe</t>
  </si>
  <si>
    <t>QC2.1. Pour chacune des propositions suivantes, veuillez dire dans quelle mesure elle correspond ou non à votre opinion ?</t>
  </si>
  <si>
    <t>QC2.1. For each of the following statements, please tell to what extent it corresponds or not to your own opinion.</t>
  </si>
  <si>
    <t>Vous vous sentez citoyen(ne) de l'Union européenne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</si>
  <si>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</si>
  <si>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</si>
  <si>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</si>
  <si>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</si>
  <si>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</si>
  <si>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</si>
  <si>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</si>
  <si>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</si>
  <si>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</si>
  <si>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</si>
  <si>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</si>
  <si>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</si>
  <si>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</si>
  <si>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QC2.2. Pour chacune des propositions suivantes, veuillez dire dans quelle mesure elle correspond ou non à votre opinion ?</t>
  </si>
  <si>
    <t>QC2.2. For each of the following statements, please tell to what extent it corresponds or not to your own opinion.</t>
  </si>
  <si>
    <t>Vous connaissez vos droits en tant que citoyen(ne) de l'Union européenne</t>
  </si>
  <si>
    <t>You know what your rights are as a citizen of the EU</t>
  </si>
  <si>
    <t>QC2.3. Pour chacune des propositions suivantes, veuillez dire dans quelle mesure elle correspond ou non à votre opinion ?</t>
  </si>
  <si>
    <t>QC2.3. For each of the following statements, please tell to what extent it corresponds or not to your own opinion.</t>
  </si>
  <si>
    <t>Vous aimeriez en savoir plus sur vos droits en tant que citoyen(ne) de l'Union européenne</t>
  </si>
  <si>
    <t>You would like to know more about your rights as a citizen of the EU</t>
  </si>
  <si>
    <t>La paix entre les États membres de l'Union européenne</t>
  </si>
  <si>
    <t>Peace among the Member States of the EU</t>
  </si>
  <si>
    <t>La libre circulation des personnes, des biens et des services au sein de l'Union européenne</t>
  </si>
  <si>
    <t>The free movement of people, goods and services within the EU</t>
  </si>
  <si>
    <t>L'euro</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</si>
  <si>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</si>
  <si>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</si>
  <si>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</si>
  <si>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</si>
  <si>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</si>
  <si>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</si>
  <si>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</si>
  <si>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La croissance et la puissance économique de l'Union européenne</t>
  </si>
  <si>
    <t>The growth and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</si>
  <si>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</si>
  <si>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</si>
  <si>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</si>
  <si>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</si>
  <si>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protection de l'environnement</t>
  </si>
  <si>
    <t>The protection of the environment</t>
  </si>
  <si>
    <t>Le respect de l’état de droit, de la démocratie et des droits fondamentaux</t>
  </si>
  <si>
    <t>Respect for the rule of law, democracy and fundamental rights</t>
  </si>
  <si>
    <t>Base: Pas demandé aux répondants qui ont répondu “Aucun” ou “Ne sais pas” en QC3a</t>
  </si>
  <si>
    <t>Base: Not asked to respondents who answered "None" or "Don't know" in QC3a</t>
  </si>
  <si>
    <t>Education exchange programmes such as ERASMUS</t>
  </si>
  <si>
    <t>L'histoire</t>
  </si>
  <si>
    <t>History</t>
  </si>
  <si>
    <t>La religion</t>
  </si>
  <si>
    <t>Religion</t>
  </si>
  <si>
    <t>Les valeurs</t>
  </si>
  <si>
    <t>Values</t>
  </si>
  <si>
    <t>La géographie</t>
  </si>
  <si>
    <t>Geography</t>
  </si>
  <si>
    <t>Les langues</t>
  </si>
  <si>
    <t>Languages</t>
  </si>
  <si>
    <t>La démocratie et l'état de droit</t>
  </si>
  <si>
    <t>Democracy and 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</si>
  <si>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</si>
  <si>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</si>
  <si>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</si>
  <si>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</si>
  <si>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</si>
  <si>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</si>
  <si>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</si>
  <si>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</si>
  <si>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</si>
  <si>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</si>
  <si>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</si>
  <si>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</si>
  <si>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</si>
  <si>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</si>
  <si>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</si>
  <si>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</si>
  <si>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Aucun, un tel sentiment n'existe pas (SPONTANÉ)</t>
  </si>
  <si>
    <t>None, such a feeling does not exist (SPONTANEOUS)</t>
  </si>
  <si>
    <t>QC5.1. Pourriez-vous dire si vous êtes tout à fait d'accord, plutôt d'accord, plutôt pas d'accord ou pas du tout d'accord avec chacune des propositions suivantes ?</t>
  </si>
  <si>
    <t>QC5.1. For each of the following statements, please tell whether you totally agree, tend to agree, tend to disagree or totally disagree.</t>
  </si>
  <si>
    <t>En (NOTRE PAYS), les gens ont beaucoup de choses en commun</t>
  </si>
  <si>
    <t>People in (OUR COUNTRY) have a lot of things in common</t>
  </si>
  <si>
    <t>QC5.2. Pourriez-vous dire si vous êtes tout à fait d'accord, plutôt d'accord, plutôt pas d'accord ou pas du tout d'accord avec chacune des propositions suivantes ?</t>
  </si>
  <si>
    <t>QC5.2. For each of the following statements, please tell whether you totally agree, tend to agree, tend to disagree or totally disagree.</t>
  </si>
  <si>
    <t>Dans l'UE, les gens ont beaucoup de choses en commun</t>
  </si>
  <si>
    <t>People in the EU have a lot of things in common</t>
  </si>
  <si>
    <t>QC5.3. Pourriez-vous dire si vous êtes tout à fait d'accord, plutôt d'accord, plutôt pas d'accord ou pas du tout d'accord avec chacune des propositions suivantes ?</t>
  </si>
  <si>
    <t>QC5.3. For each of the following statements, please tell whether you totally agree, tend to agree, tend to disagree or totally disagree.</t>
  </si>
  <si>
    <t>Les gens en Europe ont beaucoup de choses en commun</t>
  </si>
  <si>
    <t>People in Europe have a lot of things in common</t>
  </si>
  <si>
    <t>SD20a.1. Pour chacune des affirmations suivantes sur l'Union européenne, pourriez-vous dire si elle vous semble vraie ou fausse ?</t>
  </si>
  <si>
    <t>SD20a.1. For each of the following statements about the EU could you please tell whether you think it is true or false?</t>
  </si>
  <si>
    <t>La zone euro est actuellement composée de 20 États membres</t>
  </si>
  <si>
    <t>The Euro area currently consists of 20 Member States</t>
  </si>
  <si>
    <t>Vrai</t>
  </si>
  <si>
    <t>True</t>
  </si>
  <si>
    <t>Faux</t>
  </si>
  <si>
    <t>False</t>
  </si>
  <si>
    <t>SD20a.2. Pour chacune des affirmations suivantes sur l'Union européenne, pourriez-vous dire si elle vous semble vraie ou fausse ?</t>
  </si>
  <si>
    <t>SD20a.2. For each of the following statements about the EU could you please tell whether you think it is true or false?</t>
  </si>
  <si>
    <t>Les membres du Parlement européen sont élus directement par les citoyens de chaque État membre</t>
  </si>
  <si>
    <t>The members of the European Parliament are directly elected by the citizens of each Member State</t>
  </si>
  <si>
    <t>SD20a.3. Pour chacune des affirmations suivantes sur l'Union européenne, pourriez-vous dire si elle vous semble vraie ou fausse ?</t>
  </si>
  <si>
    <t>SD20a.3. For each of the following statements about the EU could you please tell whether you think it is true or false?</t>
  </si>
  <si>
    <t>La Suisse est un État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</si>
  <si>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</si>
  <si>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</si>
  <si>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</si>
  <si>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</si>
  <si>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</si>
  <si>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</si>
  <si>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</si>
  <si>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</si>
  <si>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</si>
  <si>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</si>
  <si>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</si>
  <si>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</si>
  <si>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</si>
  <si>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</si>
  <si>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</si>
  <si>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</si>
  <si>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</si>
  <si>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Ne sait pas</t>
  </si>
  <si>
    <t>At least one answer Don't know</t>
  </si>
  <si>
    <t>QD1.1. De façon générale, dans quelle mesure êtes-vous satisfait(e) de la réponse à l'invasion de l'Ukraine par la Russie qu'apporte... ?</t>
  </si>
  <si>
    <t>QD1.1. In general, how satisfied are you with the response to Russia's invasion of Ukraine by …?</t>
  </si>
  <si>
    <t>The (NATIONALITY) government</t>
  </si>
  <si>
    <t>Assez satisfait(e)</t>
  </si>
  <si>
    <t>QD1.2. De façon générale, dans quelle mesure êtes-vous satisfait(e) de la réponse à l'invasion de l'Ukraine par la Russie qu'apporte... ?</t>
  </si>
  <si>
    <t>QD1.2. In general, how satisfied are you with the response to Russia's invasion of Ukraine by …?</t>
  </si>
  <si>
    <t>QD2.1. L'UE a pris une série de mesures en réponse à l'invasion de l'Ukraine par la Russie. Dans quelle mesure êtes-vous d'accord ou pas d'accord avec chacune de ces mesures ?</t>
  </si>
  <si>
    <t>QD2.1. The EU has taken a series of actions as a response to Russia’s invasion of Ukraine. To what extent you agree or disagree with each of these actions taken.</t>
  </si>
  <si>
    <t>Imposer des sanctions économiques au gouvernement, à des entreprises et des personnalités russes (comme l’utilisation d'actifs russes immobilisés pour financer le soutien à l'Ukraine)</t>
  </si>
  <si>
    <t xml:space="preserve">Imposing economic sanctions on Russian government, companies and individuals (including use of immobilised Russian assets to finance support for Ukraine) </t>
  </si>
  <si>
    <t>QD2.2. L'UE a pris une série de mesures en réponse à l'invasion de l'Ukraine par la Russie. Dans quelle mesure êtes-vous d'accord ou pas d'accord avec chacune de ces mesures ?</t>
  </si>
  <si>
    <t>QD2.2. The EU has taken a series of actions as a response to Russia’s invasion of Ukraine. To what extent you agree or disagree with each of these actions taken.</t>
  </si>
  <si>
    <t>Financer l'achat et la livraison d'équipements militaires en Ukraine</t>
  </si>
  <si>
    <t>Financing the purchase and supply of military equipment to Ukraine</t>
  </si>
  <si>
    <t>QD2.3. L'UE a pris une série de mesures en réponse à l'invasion de l'Ukraine par la Russie. Dans quelle mesure êtes-vous d'accord ou pas d'accord avec chacune de ces mesures ?</t>
  </si>
  <si>
    <t>QD2.3. The EU has taken a series of actions as a response to Russia’s invasion of Ukraine. To what extent you agree or disagree with each of these actions taken.</t>
  </si>
  <si>
    <t>Accueillir dans l'UE les personnes fuyant la guerre</t>
  </si>
  <si>
    <t>Welcoming into the EU people fleeing the war</t>
  </si>
  <si>
    <t>QD2.4. L'UE a pris une série de mesures en réponse à l'invasion de l'Ukraine par la Russie. Dans quelle mesure êtes-vous d'accord ou pas d'accord avec chacune de ces mesures ?</t>
  </si>
  <si>
    <t>QD2.4. The EU has taken a series of actions as a response to Russia’s invasion of Ukraine. To what extent you agree or disagree with each of these actions taken.</t>
  </si>
  <si>
    <t>Fournir une aide financière et humanitaire à l'Ukraine</t>
  </si>
  <si>
    <t>Providing financial and humanitarian support to Ukraine</t>
  </si>
  <si>
    <t>QD2.5. L'UE a pris une série de mesures en réponse à l'invasion de l'Ukraine par la Russie. Dans quelle mesure êtes-vous d'accord ou pas d'accord avec chacune de ces mesures ?</t>
  </si>
  <si>
    <t>QD2.5. The EU has taken a series of actions as a response to Russia’s invasion of Ukraine. To what extent you agree or disagree with each of these actions taken.</t>
  </si>
  <si>
    <t>Accorder à l'Ukraine le statut de pays candidat à l'adhésion à l'UE</t>
  </si>
  <si>
    <t>Granting candidate status as a potential Member of the EU to Ukraine</t>
  </si>
  <si>
    <t>QD3.1. Veuillez indiquer dans quelle mesure vous êtes d'accord ou pas d'accord avec chacune des affirmations suivantes ?</t>
  </si>
  <si>
    <t>QD3.1. Please tell to what extent you agree or disagree with each of the following statements.</t>
  </si>
  <si>
    <t>L'invasion russe de l'Ukraine est une menace pour la sécurité de l'UE</t>
  </si>
  <si>
    <t>Russia’s invasion of Ukraine is a threat to the security of the EU</t>
  </si>
  <si>
    <t>QD3.2. Veuillez indiquer dans quelle mesure vous êtes d'accord ou pas d'accord avec chacune des affirmations suivantes ?</t>
  </si>
  <si>
    <t>QD3.2. Please tell to what extent you agree or disagree with each of the following statements.</t>
  </si>
  <si>
    <t>L'invasion russe de l'Ukraine est une menace pour la sécurité de (NOTRE PAYS)</t>
  </si>
  <si>
    <t>Russia’s invasion of Ukraine is a threat to the security of (OUR COUNTRY)</t>
  </si>
  <si>
    <t>QD3.3. Veuillez indiquer dans quelle mesure vous êtes d'accord ou pas d'accord avec chacune des affirmations suivantes ?</t>
  </si>
  <si>
    <t>QD3.3. Please tell to what extent you agree or disagree with each of the following statements.</t>
  </si>
  <si>
    <t>L’UE doit soutenir l’Ukraine jusqu’à ce qu’une paix durable et juste soit instaurée</t>
  </si>
  <si>
    <t>The EU should support Ukraine until a lasting and just peace is achieved</t>
  </si>
  <si>
    <t>QD3.4. Veuillez indiquer dans quelle mesure vous êtes d'accord ou pas d'accord avec chacune des affirmations suivantes ?</t>
  </si>
  <si>
    <t>QD3.4. Please tell to what extent you agree or disagree with each of the following statements.</t>
  </si>
  <si>
    <t>La coopération dans le domaine de la défense devrait être renforcée au niveau de l'UE</t>
  </si>
  <si>
    <t>Co-operation in defence matters at EU level should be increased</t>
  </si>
  <si>
    <t>QD3.5. Veuillez indiquer dans quelle mesure vous êtes d'accord ou pas d'accord avec chacune des affirmations suivantes ?</t>
  </si>
  <si>
    <t>QD3.5. Please tell to what extent you agree or disagree with each of the following statements.</t>
  </si>
  <si>
    <t>Le budget de la défense devrait être augmenté dans l'UE</t>
  </si>
  <si>
    <t>More money should be spent on defence in the EU</t>
  </si>
  <si>
    <t>QD3.6. Veuillez indiquer dans quelle mesure vous êtes d'accord ou pas d'accord avec chacune des affirmations suivantes ?</t>
  </si>
  <si>
    <t>QD3.6. Please tell to what extent you agree or disagree with each of the following statements.</t>
  </si>
  <si>
    <t>Les achats d'équipements militaires des États membres devraient être mieux coordonnés</t>
  </si>
  <si>
    <t>Member States’ purchase of military equipment should be better coordinated</t>
  </si>
  <si>
    <t>QD3.7. Veuillez indiquer dans quelle mesure vous êtes d'accord ou pas d'accord avec chacune des affirmations suivantes ?</t>
  </si>
  <si>
    <t>QD3.7. Please tell to what extent you agree or disagree with each of the following statements.</t>
  </si>
  <si>
    <t>L'UE doit renforcer ses capacités de production d'équipements militaires</t>
  </si>
  <si>
    <t>The EU needs to reinforce its capacity to produce military equipment</t>
  </si>
  <si>
    <t>QD3.8. Veuillez indiquer dans quelle mesure vous êtes d'accord ou pas d'accord avec chacune des affirmations suivantes ?</t>
  </si>
  <si>
    <t>QD3.8. Please tell to what extent you agree or disagree with each of the following statements.</t>
  </si>
  <si>
    <t>Sur le long terme, les énergies renouvelables peuvent limiter le coût de notre consommation énergétique</t>
  </si>
  <si>
    <t>In the long run, renewable energy can limit the price we pay for our energy consumption</t>
  </si>
  <si>
    <t>QD3.9. Veuillez indiquer dans quelle mesure vous êtes d'accord ou pas d'accord avec chacune des affirmations suivantes ?</t>
  </si>
  <si>
    <t>QD3.9. Please tell to what extent you agree or disagree with each of the following statements.</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</si>
  <si>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</si>
  <si>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</si>
  <si>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QD3.10. Veuillez indiquer dans quelle mesure vous êtes d'accord ou pas d'accord avec chacune des affirmations suivantes ?</t>
  </si>
  <si>
    <t>QD3.10. Please tell to what extent you agree or disagree with each of the following statements.</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</si>
  <si>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</si>
  <si>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</si>
  <si>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Très bien informé(e)</t>
  </si>
  <si>
    <t>Very well informed</t>
  </si>
  <si>
    <t>Plutôt bien informé(e)</t>
  </si>
  <si>
    <t>Fairly well informed</t>
  </si>
  <si>
    <t>Pas très bien informé(e)</t>
  </si>
  <si>
    <t>Not very well informed</t>
  </si>
  <si>
    <t>Pas du tout informé(e)</t>
  </si>
  <si>
    <t>Not at all informed</t>
  </si>
  <si>
    <t>Total 'Bien informé(e)s'</t>
  </si>
  <si>
    <t>Total 'Well Informed'</t>
  </si>
  <si>
    <t>Total 'Pas bien informé(e)s'</t>
  </si>
  <si>
    <t>Total 'Not well informed'</t>
  </si>
  <si>
    <t>QE2.1. Pouvez-vous dire dans quelle mesure vous … ?</t>
  </si>
  <si>
    <t>QE2.1. Could you tell to what extent you…?</t>
  </si>
  <si>
    <t>Regardez la télévision sur un poste de télévision</t>
  </si>
  <si>
    <t>Watch television on a TV set</t>
  </si>
  <si>
    <t>Tous les jours ou presque</t>
  </si>
  <si>
    <t>Everyday / Almost everyday</t>
  </si>
  <si>
    <t>Deux ou trois fois par semaine</t>
  </si>
  <si>
    <t>Two or three times a week</t>
  </si>
  <si>
    <t>Environ une fois par semaine</t>
  </si>
  <si>
    <t>About once a week</t>
  </si>
  <si>
    <t>Deux ou trois fois par mois</t>
  </si>
  <si>
    <t>Two or three times a month</t>
  </si>
  <si>
    <t>Moins souvent</t>
  </si>
  <si>
    <t>Less often</t>
  </si>
  <si>
    <t>N'a pas accès à ce média (SPONTANÉ)</t>
  </si>
  <si>
    <t>No access to this medium (SPONTANEOUS)</t>
  </si>
  <si>
    <t>Au moins une fois par semaine</t>
  </si>
  <si>
    <t>At least once a week</t>
  </si>
  <si>
    <t>QE2.2. Pouvez-vous dire dans quelle mesure vous … ?</t>
  </si>
  <si>
    <t>QE2.2. Could you tell to what extent you…?</t>
  </si>
  <si>
    <t>Regardez la télévision via Internet</t>
  </si>
  <si>
    <t>Watch television via the Internet</t>
  </si>
  <si>
    <t>QE2.3. Pouvez-vous dire dans quelle mesure vous … ?</t>
  </si>
  <si>
    <t>QE2.3. Could you tell to what extent you…?</t>
  </si>
  <si>
    <t>Ecoutez la radio</t>
  </si>
  <si>
    <t>Listen to the radio</t>
  </si>
  <si>
    <t>QE2.4. Pouvez-vous dire dans quelle mesure vous … ?</t>
  </si>
  <si>
    <t>QE2.4. Could you tell to what extent you…?</t>
  </si>
  <si>
    <t>Ecoutez des podcasts</t>
  </si>
  <si>
    <t>Listen to podcasts</t>
  </si>
  <si>
    <t>QE2.5. Pouvez-vous dire dans quelle mesure vous … ?</t>
  </si>
  <si>
    <t>QE2.5. Could you tell to what extent you…?</t>
  </si>
  <si>
    <t>Lisez la presse écrite</t>
  </si>
  <si>
    <t>Read the written press</t>
  </si>
  <si>
    <t>QE2.6. Pouvez-vous dire dans quelle mesure vous … ?</t>
  </si>
  <si>
    <t>QE2.6. Could you tell to what extent you…?</t>
  </si>
  <si>
    <t>Lire les actualités sur Internet.</t>
  </si>
  <si>
    <t>Read the news on the Internet</t>
  </si>
  <si>
    <t>QE2.7. Pouvez-vous dire dans quelle mesure vous … ?</t>
  </si>
  <si>
    <t>QE2.7. Could you tell to what extent you…?</t>
  </si>
  <si>
    <t>Utilisez les réseaux sociaux en ligne</t>
  </si>
  <si>
    <t>Use online social networks</t>
  </si>
  <si>
    <t>Pas d'accès à ce média (SPONTANÉ)</t>
  </si>
  <si>
    <t>Très élevé</t>
  </si>
  <si>
    <t>Very high</t>
  </si>
  <si>
    <t>Élevé</t>
  </si>
  <si>
    <t>High</t>
  </si>
  <si>
    <t>Faible</t>
  </si>
  <si>
    <t>Poor</t>
  </si>
  <si>
    <t>Nul</t>
  </si>
  <si>
    <t>None</t>
  </si>
  <si>
    <t>QE3.1. Je voudrais maintenant vous demander de m’indiquer la confiance que vous inspirent certains types de médias. Pourriez-vous me dire si vous avez plutôt confiance ou plutôt pas confiance dans chacun des médias suivants ?</t>
  </si>
  <si>
    <t>QE3.1. I would like to ask you how much trust you have in certain types of media. For each of the following, please tell me if you tend to trust it or tend not to trust it.</t>
  </si>
  <si>
    <t>La presse écrite</t>
  </si>
  <si>
    <t>The written press</t>
  </si>
  <si>
    <t>QE3.2. Je voudrais maintenant vous demander de m’indiquer la confiance que vous inspirent certains types de médias. Pourriez-vous me dire si vous avez plutôt confiance ou plutôt pas confiance dans chacun des médias suivants ?</t>
  </si>
  <si>
    <t>QE3.2. I would like to ask you how much trust you have in certain types of media. For each of the following, please tell me if you tend to trust it or tend not to trust it.</t>
  </si>
  <si>
    <t>La radio</t>
  </si>
  <si>
    <t>Radio</t>
  </si>
  <si>
    <t>QE3.3. Je voudrais maintenant vous demander de m’indiquer la confiance que vous inspirent certains types de médias. Pourriez-vous me dire si vous avez plutôt confiance ou plutôt pas confiance dans chacun des médias suivants ?</t>
  </si>
  <si>
    <t>QE3.3. I would like to ask you how much trust you have in certain types of media. For each of the following, please tell me if you tend to trust it or tend not to trust it.</t>
  </si>
  <si>
    <t>La télévision</t>
  </si>
  <si>
    <t>Television</t>
  </si>
  <si>
    <t>QE3.4. Je voudrais maintenant vous demander de m’indiquer la confiance que vous inspirent certains types de médias. Pourriez-vous me dire si vous avez plutôt confiance ou plutôt pas confiance dans chacun des médias suivants ?</t>
  </si>
  <si>
    <t>QE3.4. I would like to ask you how much trust you have in certain types of media. For each of the following, please tell me if you tend to trust it or tend not to trust it.</t>
  </si>
  <si>
    <t>Les sites Internet</t>
  </si>
  <si>
    <t>Websites</t>
  </si>
  <si>
    <t>QE3.5. Je voudrais maintenant vous demander de m’indiquer la confiance que vous inspirent certains types de médias. Pourriez-vous me dire si vous avez plutôt confiance ou plutôt pas confiance dans chacun des médias suivants ?</t>
  </si>
  <si>
    <t>QE3.5. I would like to ask you how much trust you have in certain types of media. For each of the following, please tell me if you tend to trust it or tend not to trust it.</t>
  </si>
  <si>
    <t>Les réseaux sociaux en ligne</t>
  </si>
  <si>
    <t>Online social networks</t>
  </si>
  <si>
    <t>Confiance élevée dans les médias</t>
  </si>
  <si>
    <t>High trust in the media</t>
  </si>
  <si>
    <t>Confiance moyenne dans les médias</t>
  </si>
  <si>
    <t>Medium trust in the media</t>
  </si>
  <si>
    <t>Confiance faible ou nulle dans les médias</t>
  </si>
  <si>
    <t>Low or no trust in the media</t>
  </si>
  <si>
    <t>La télévision (chaînes généralistes)</t>
  </si>
  <si>
    <t>Television (general channels)</t>
  </si>
  <si>
    <t>La télévision (chaînes d'information)</t>
  </si>
  <si>
    <t>Television (news channels)</t>
  </si>
  <si>
    <t>Des sites Internet d'information (sites Internet de journaux ou de magazines d'actualité, etc.)</t>
  </si>
  <si>
    <t>Information websites (websites from newspapers, news magazines, etc.)</t>
  </si>
  <si>
    <t>Des podcasts</t>
  </si>
  <si>
    <t>Podcasts</t>
  </si>
  <si>
    <t>Des réseaux sociaux en ligne</t>
  </si>
  <si>
    <t>Des blogs</t>
  </si>
  <si>
    <t>Blogs</t>
  </si>
  <si>
    <t>Des sites de partage de vidéos</t>
  </si>
  <si>
    <t>Video hosting websites</t>
  </si>
  <si>
    <t>Vous ne cherchez pas d'information sur les affaires politiques européennes (SPONTANÉ)</t>
  </si>
  <si>
    <t>You do not look for news on European political matters (SPONTANEOUS)</t>
  </si>
  <si>
    <t>Total 'Internet'</t>
  </si>
  <si>
    <t>Total 'The Internet'</t>
  </si>
  <si>
    <t>Base: Pas demandé aux répondants qui ont répondu “Aucun” ou “Ne sais pas” en QE4a</t>
  </si>
  <si>
    <t>Base: Not asked to respondents who answered "None" or "Don't know" in QE4a</t>
  </si>
  <si>
    <t>Assister à des conférences, discussions, meetings (en ligne)</t>
  </si>
  <si>
    <t>Attending (online) conferences, talks, meetings</t>
  </si>
  <si>
    <t>Des discussions avec la famille, les amis, les collègues</t>
  </si>
  <si>
    <t>Discussions with relatives, friends, colleagues</t>
  </si>
  <si>
    <t>La télévision, la radio, la presse écrite</t>
  </si>
  <si>
    <t>Television, radio, written press</t>
  </si>
  <si>
    <t>Des sites institutionnels ou officiels (sites gouvernementaux, etc.)</t>
  </si>
  <si>
    <t>Institutional and official websites (governmental websites, etc.)</t>
  </si>
  <si>
    <t>Des sites Internet d'information (sites de journaux ou magazines d'actualité, des sites de partage de vidéos, etc.)</t>
  </si>
  <si>
    <t>Information websites (websites of newspapers, news magazines, video hosting websites, etc.)</t>
  </si>
  <si>
    <t>Des livres, des brochures, des fiches d'information</t>
  </si>
  <si>
    <t>Books, brochures, information leaflets</t>
  </si>
  <si>
    <t>Le téléphone (Info lines, Europe Direct, etc.)</t>
  </si>
  <si>
    <t>Telephone (Info lines, Europe Direct, etc.)</t>
  </si>
  <si>
    <t>Des influenceurs</t>
  </si>
  <si>
    <t>Influencers</t>
  </si>
  <si>
    <t>Ne cherche jamais ce type d'information, pas intéressé(e) (SPONTANÉ)</t>
  </si>
  <si>
    <t>Never look for such information, not interested (SPONTANEOUS)</t>
  </si>
  <si>
    <t>QE6.1.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</si>
  <si>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QE6.1.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</si>
  <si>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Les réseaux sociaux en ligne sont un moyen moderne de rester au courant des affaires politiques</t>
  </si>
  <si>
    <t>Online social networks are a modern way to keep abreast of political affairs</t>
  </si>
  <si>
    <t>QE6.2.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</si>
  <si>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QE6.2.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</si>
  <si>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L'information à propos des affaires politiques provenant des réseaux sociaux en ligne n'est pas fiable</t>
  </si>
  <si>
    <t>Information on political affairs from online social networks cannot be trusted</t>
  </si>
  <si>
    <t>QE6.3.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</si>
  <si>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QE6.3.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</si>
  <si>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Les réseaux sociaux en ligne sont un bon moyen de maintenir l'intérêt des gens pour les affaires politiques</t>
  </si>
  <si>
    <t>Online social networks can get people interested in political affairs</t>
  </si>
  <si>
    <t>QE6.4.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</si>
  <si>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QE6.4.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</si>
  <si>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Les réseaux sociaux en ligne sont un bon moyen de dire ce qu'on pense des questions politiques</t>
  </si>
  <si>
    <t>Online social networks are a good way to have your say on political issues</t>
  </si>
  <si>
    <t>QE6R.1.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</si>
  <si>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QE6R.1. Regardless of whether you participate in online social networks or not (social networking websites, blogs, video hosting websites), please tell whether you totally agree, tend to agree, tend to disagree or totally disagree with each of the following statements:</t>
  </si>
  <si>
    <t>Base: SI LE RÉPONDANT UTILISE LES RÉSEAUX SOCIAUX EN LIGNE AU MOINS UNE FOIS PAR SEMAINE (CODES 1-3 EN QE2.7)</t>
  </si>
  <si>
    <t>Base: IF RESPONDENT USES ONLINE SOCIAL NETWORKS AT LEAST ONCE A WEEK (CODES 1-3 IN QE2.7)</t>
  </si>
  <si>
    <t>QE6R.2.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</si>
  <si>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QE6R.2. Regardless of whether you participate in online social networks or not (social networking websites, blogs, video hosting websites), please tell whether you totally agree, tend to agree, tend to disagree or totally disagree with each of the following statements:</t>
  </si>
  <si>
    <t>QE6R.3.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</si>
  <si>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QE6R.3. Regardless of whether you participate in online social networks or not (social networking websites, blogs, video hosting websites), please tell whether you totally agree, tend to agree, tend to disagree or totally disagree with each of the following statements:</t>
  </si>
  <si>
    <t>QE6R.4.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</si>
  <si>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QE6R.4. Regardless of whether you participate in online social networks or not (social networking websites, blogs, video hosting websites), please tell whether you totally agree, tend to agree, tend to disagree or totally disagree with each of the following statements:</t>
  </si>
  <si>
    <t>QE7.1. Pour chacune des propositions suivantes, veuillez indiquer dans quelle mesure elle correspond ou non à la situation des médias traditionnels (NATIONALITÉ) :</t>
  </si>
  <si>
    <t>QE7.1. For each of the following statements, please tell to what extent it corresponds or not to the situation of the (NATIONALITY) traditional media.</t>
  </si>
  <si>
    <t>Les médias (NATIONALITÉ) fournissent des informations dignes de confiance</t>
  </si>
  <si>
    <t>(NATIONALITY) media provide trustworthy information</t>
  </si>
  <si>
    <t>Oui, dans une certaine mesure</t>
  </si>
  <si>
    <t>Non, pas vraiment</t>
  </si>
  <si>
    <t>No, not at all</t>
  </si>
  <si>
    <t>Cela dépend (SPONTANÉ)</t>
  </si>
  <si>
    <t>It depends (SPONTANEOUS)</t>
  </si>
  <si>
    <t>QE7.2. Pour chacune des propositions suivantes, veuillez indiquer dans quelle mesure elle correspond ou non à la situation des médias traditionnels (NATIONALITÉ) :</t>
  </si>
  <si>
    <t>QE7.2. For each of the following statements, please tell to what extent it corresponds or not to the situation of the (NATIONALITY) traditional media.</t>
  </si>
  <si>
    <t>Les médias (NATIONALITÉ) fournissent une variété de points de vue et d'opinions</t>
  </si>
  <si>
    <t>(NATIONALITY) media provide a diversity of views and opinions</t>
  </si>
  <si>
    <t>QE7.3. Pour chacune des propositions suivantes, veuillez indiquer dans quelle mesure elle correspond ou non à la situation des médias traditionnels (NATIONALITÉ) :</t>
  </si>
  <si>
    <t>QE7.3. For each of the following statements, please tell to what extent it corresponds or not to the situation of the (NATIONALITY) traditional media.</t>
  </si>
  <si>
    <t>Les médias (NATIONALITÉ) fournissent des informations exemptes de pressions politiques ou commerciales</t>
  </si>
  <si>
    <t>(NATIONALITY) media provide information free from political or commercial pressure</t>
  </si>
  <si>
    <t>QE7.4. Pour chacune des propositions suivantes, veuillez indiquer dans quelle mesure elle correspond ou non à la situation des médias traditionnels (NATIONALITÉ) :</t>
  </si>
  <si>
    <t>QE7.4. For each of the following statements, please tell to what extent it corresponds or not to the situation of the (NATIONALITY) traditional media.</t>
  </si>
  <si>
    <t>Les médias (NATIONALITÉ) du service public ne subissent aucune pression politique</t>
  </si>
  <si>
    <t>(NATIONALITY) public service media are free from political pressure</t>
  </si>
  <si>
    <t>QE8.1. Êtes tout à fait d'accord, plutôt d'accord, plutôt pas d'accord ou pas du tout d'accord avec chacune des propositions suivantes ?</t>
  </si>
  <si>
    <t>QE8.1. Do you totally agree, tend to agree, tend to disagree or totally disagree with each of the following statements.</t>
  </si>
  <si>
    <t>Il vous arrive souvent de lire ou entendre des nouvelles ou des informations qui, selon vous, déforment la réalité ou sont même fausses</t>
  </si>
  <si>
    <t>You often come across news or information that you believe misrepresent reality or are even false</t>
  </si>
  <si>
    <t>QE8.2. Êtes tout à fait d'accord, plutôt d'accord, plutôt pas d'accord ou pas du tout d'accord avec chacune des propositions suivantes ?</t>
  </si>
  <si>
    <t>QE8.2. Do you totally agree, tend to agree, tend to disagree or totally disagree with each of the following statements.</t>
  </si>
  <si>
    <t>Il est facile pour vous d'identifier des nouvelles ou des informations qui, selon vous, déforment la réalité ou sont même fausses</t>
  </si>
  <si>
    <t>It is easy for you to identify news or information that you believe misrepresent reality or are even false</t>
  </si>
  <si>
    <t>QE8.3. Êtes tout à fait d'accord, plutôt d'accord, plutôt pas d'accord ou pas du tout d'accord avec chacune des propositions suivantes ?</t>
  </si>
  <si>
    <t>QE8.3. Do you totally agree, tend to agree, tend to disagree or totally disagree with each of the following statements.</t>
  </si>
  <si>
    <t>L'existence de nouvelles ou d'informations qui déforment la réalité ou sont même fausses est un problème en (NOTRE PAYS)</t>
  </si>
  <si>
    <t>The existence of news or information that misrepresent reality or is even false is a problem in (OUR COUNTRY)</t>
  </si>
  <si>
    <t>QE8.4. Êtes tout à fait d'accord, plutôt d'accord, plutôt pas d'accord ou pas du tout d'accord avec chacune des propositions suivantes ?</t>
  </si>
  <si>
    <t>QE8.4. Do you totally agree, tend to agree, tend to disagree or totally disagree with each of the following statements.</t>
  </si>
  <si>
    <t>L'existence de nouvelles ou d'informations qui déforment la réalité ou sont même fausses est un problème pour la démocratie en général</t>
  </si>
  <si>
    <t>The existence of news or information that misrepresent reality or is even false is a problem for democracy in general</t>
  </si>
  <si>
    <t>Compte tenu de ses objectifs politiques, l'Union européenne devrait avoir plus de moyens financiers</t>
  </si>
  <si>
    <t>The EU should have greater financial means given its political objectives</t>
  </si>
  <si>
    <t>Les moyens financiers de l'Union européenne correspondent à ses objectifs</t>
  </si>
  <si>
    <t>The EU's financial means match its political objectives</t>
  </si>
  <si>
    <t>La recherche scientifique et l'innovation</t>
  </si>
  <si>
    <t>Scientific research and innovation</t>
  </si>
  <si>
    <t>L'éducation, la formation, la culture et les médias</t>
  </si>
  <si>
    <t>Education, training, culture and media</t>
  </si>
  <si>
    <t>Les infrastructures de transports et les infrastructures énergétiques</t>
  </si>
  <si>
    <t>Transport and energy infrastructures</t>
  </si>
  <si>
    <t>La compétitivité et les PME</t>
  </si>
  <si>
    <t>Competitiveness and SMEs</t>
  </si>
  <si>
    <t>Les infrastructures numériques</t>
  </si>
  <si>
    <t>Digital infrastructures</t>
  </si>
  <si>
    <t>Le changement climatique et la protection de l'environnement</t>
  </si>
  <si>
    <t>Climate change and environmental protection</t>
  </si>
  <si>
    <t>L'agriculture et le développement rural</t>
  </si>
  <si>
    <t>Agriculture and rural development</t>
  </si>
  <si>
    <t>Les investissements régionaux</t>
  </si>
  <si>
    <t>Regional investment</t>
  </si>
  <si>
    <t>L'aide aux pays voisins de l'Union européenne, y compris les pays candidats</t>
  </si>
  <si>
    <t>Assistance to EU neighbours, including candidate countries</t>
  </si>
  <si>
    <t>L'aide au développement et l'aide humanitaire aux pays en dehors de l'Union européenne</t>
  </si>
  <si>
    <t>Development and humanitarian aid to countries outside the EU</t>
  </si>
  <si>
    <t>Les questions d'immigration</t>
  </si>
  <si>
    <t>Immigration issues</t>
  </si>
  <si>
    <t>L'emploi, les affaires sociales et la santé publique</t>
  </si>
  <si>
    <t>Employment, social affairs and public health</t>
  </si>
  <si>
    <t>Les frais administratifs et les frais de personnel, les bâtiments</t>
  </si>
  <si>
    <t>Administrative and personnel costs, buildings</t>
  </si>
  <si>
    <t>La préparation et la protection civile</t>
  </si>
  <si>
    <t>Preparedness and civil protection</t>
  </si>
  <si>
    <t>Base: Pas demandé aux répondants qui ont répondu “Aucun” ou “Ne sais pas” en QF2a</t>
  </si>
  <si>
    <t>Base: Not asked to respondents who answered "None" or "Don't know" in QF2a</t>
  </si>
  <si>
    <t>L'éducation, la formation, la jeunesse, la culture et les médias</t>
  </si>
  <si>
    <t>Education, training, youth, culture and media</t>
  </si>
  <si>
    <t>Base: Pas demandé aux répondants qui ont répondu “Aucun” ou “Ne sais pas” en QF3a</t>
  </si>
  <si>
    <t>Base: Not asked to respondents who answered "None" or "Don't know" in QF3a</t>
  </si>
  <si>
    <t>Les PME et la compétitivité</t>
  </si>
  <si>
    <t>SMEs and competitiveness</t>
  </si>
  <si>
    <t xml:space="preserve">Climate change and environmental protection </t>
  </si>
  <si>
    <t xml:space="preserve">Agriculture and rural development </t>
  </si>
  <si>
    <t xml:space="preserve">Regional investment </t>
  </si>
  <si>
    <t>Il est dépensé dans des choses qui sont importantes pour les citoyens de l'UE</t>
  </si>
  <si>
    <t>It is spent on things that matter for EU citizens</t>
  </si>
  <si>
    <t>Il est dépensé dans des choses qui ne sont pas importantes pour les citoyens de l'UE</t>
  </si>
  <si>
    <t>It is spent on things that do not matter for EU citizens</t>
  </si>
  <si>
    <t>15-24</t>
  </si>
  <si>
    <t>25-39</t>
  </si>
  <si>
    <t>40-54</t>
  </si>
  <si>
    <t>55+</t>
  </si>
  <si>
    <t>Moyenne</t>
  </si>
  <si>
    <t>Average</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</si>
  <si>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</si>
  <si>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</si>
  <si>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</si>
  <si>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</si>
  <si>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</si>
  <si>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</si>
  <si>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</si>
  <si>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</si>
  <si>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</si>
  <si>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</si>
  <si>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</si>
  <si>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</si>
  <si>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</si>
  <si>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</si>
  <si>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</si>
  <si>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'Gеnеration Z'</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</si>
  <si>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</si>
  <si>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</si>
  <si>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</si>
  <si>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</si>
  <si>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</si>
  <si>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</si>
  <si>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</si>
  <si>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</si>
  <si>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</si>
  <si>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</si>
  <si>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</si>
  <si>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</si>
  <si>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 d’une union précédente</t>
  </si>
  <si>
    <t>SINGLE LIVING WITH A PARTNER: Living with the children of a previous union</t>
  </si>
  <si>
    <t>CELIBATAIRE VIVANT EN COUPLE : Vivant avec les enfants de cette union et ceux que l’un ou l’autre des partenaires a eu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</si>
  <si>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</si>
  <si>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</si>
  <si>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</si>
  <si>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</si>
  <si>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</si>
  <si>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</si>
  <si>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</si>
  <si>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</si>
  <si>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</si>
  <si>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 VEUVE : Vivant sans enfants</t>
  </si>
  <si>
    <t>WIDOW: Living without children</t>
  </si>
  <si>
    <t>VEUF /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</si>
  <si>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</si>
  <si>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</si>
  <si>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</si>
  <si>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</si>
  <si>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</si>
  <si>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</si>
  <si>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</si>
  <si>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</si>
  <si>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</si>
  <si>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</si>
  <si>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</si>
  <si>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Mén. d’une pers. sans enfants</t>
  </si>
  <si>
    <t>Single Household without children</t>
  </si>
  <si>
    <t>Mén. d’une pers. avec enfants</t>
  </si>
  <si>
    <t>Single Household with children</t>
  </si>
  <si>
    <t>Mén. de plus. pers. sans enfants</t>
  </si>
  <si>
    <t>Multi-person Household without children</t>
  </si>
  <si>
    <t>Mén. de plus. pers. avec enfants</t>
  </si>
  <si>
    <t>Multi-person Household with children</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</si>
  <si>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</si>
  <si>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</si>
  <si>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</si>
  <si>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</si>
  <si>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</si>
  <si>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</si>
  <si>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</si>
  <si>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</si>
  <si>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</si>
  <si>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</si>
  <si>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</si>
  <si>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</si>
  <si>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</si>
  <si>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</si>
  <si>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</si>
  <si>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</si>
  <si>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</si>
  <si>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</si>
  <si>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</si>
  <si>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</si>
  <si>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</si>
  <si>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</si>
  <si>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</si>
  <si>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</si>
  <si>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</si>
  <si>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</si>
  <si>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</si>
  <si>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</si>
  <si>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</si>
  <si>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</si>
  <si>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</si>
  <si>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</si>
  <si>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</si>
  <si>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</si>
  <si>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</si>
  <si>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</si>
  <si>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</si>
  <si>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</si>
  <si>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</si>
  <si>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</si>
  <si>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</si>
  <si>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</si>
  <si>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</si>
  <si>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</si>
  <si>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</si>
  <si>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</si>
  <si>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</si>
  <si>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</si>
  <si>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</si>
  <si>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</si>
  <si>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</si>
  <si>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</si>
  <si>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</si>
  <si>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</si>
  <si>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</si>
  <si>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</si>
  <si>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</si>
  <si>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</si>
  <si>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</si>
  <si>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</si>
  <si>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</si>
  <si>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</si>
  <si>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</si>
  <si>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</si>
  <si>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</si>
  <si>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</si>
  <si>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</si>
  <si>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</si>
  <si>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</si>
  <si>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</si>
  <si>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</si>
  <si>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</si>
  <si>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</si>
  <si>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</si>
  <si>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</si>
  <si>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</si>
  <si>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</si>
  <si>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</si>
  <si>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</si>
  <si>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 Directeurs</t>
  </si>
  <si>
    <t>Managers</t>
  </si>
  <si>
    <t>Autres employés</t>
  </si>
  <si>
    <t>Other white collars</t>
  </si>
  <si>
    <t>Ouvriers</t>
  </si>
  <si>
    <t>Manual workers</t>
  </si>
  <si>
    <t>Femmes /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</si>
  <si>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</si>
  <si>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</si>
  <si>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</si>
  <si>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</si>
  <si>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</si>
  <si>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</si>
  <si>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</si>
  <si>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</si>
  <si>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</si>
  <si>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</si>
  <si>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</si>
  <si>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</si>
  <si>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</si>
  <si>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</si>
  <si>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</si>
  <si>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</si>
  <si>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</si>
  <si>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</si>
  <si>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</si>
  <si>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</si>
  <si>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</si>
  <si>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</si>
  <si>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</si>
  <si>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</si>
  <si>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</si>
  <si>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</si>
  <si>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</si>
  <si>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</si>
  <si>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</si>
  <si>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</si>
  <si>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</si>
  <si>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</si>
  <si>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</si>
  <si>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</si>
  <si>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</si>
  <si>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Every day or almost every day</t>
  </si>
  <si>
    <t>Pas d'accès à Internet (SPONTANÉ)</t>
  </si>
  <si>
    <t>No internet access (SPONTANEOUS)</t>
  </si>
  <si>
    <t>Total 'Utilise internet'</t>
  </si>
  <si>
    <t>Total 'Uses Internet'</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</si>
  <si>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</si>
  <si>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</si>
  <si>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</si>
  <si>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</si>
  <si>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</si>
  <si>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</si>
  <si>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</si>
  <si>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</si>
  <si>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</si>
  <si>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</si>
  <si>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</si>
  <si>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</si>
  <si>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</si>
  <si>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</si>
  <si>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 Parfois</t>
  </si>
  <si>
    <t>Often /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</si>
  <si>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</si>
  <si>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</si>
  <si>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</si>
  <si>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</si>
  <si>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</si>
  <si>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</si>
  <si>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</si>
  <si>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</si>
  <si>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</si>
  <si>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</si>
  <si>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</si>
  <si>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</si>
  <si>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</si>
  <si>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</si>
  <si>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4</t>
  </si>
  <si>
    <t>5</t>
  </si>
  <si>
    <t>6</t>
  </si>
  <si>
    <t>7</t>
  </si>
  <si>
    <t>8</t>
  </si>
  <si>
    <t>9</t>
  </si>
  <si>
    <t>10 Droite</t>
  </si>
  <si>
    <t>10 Right</t>
  </si>
  <si>
    <t>(1-4) Gauche</t>
  </si>
  <si>
    <t>(1-4) Left</t>
  </si>
  <si>
    <t>(5-6) Centre</t>
  </si>
  <si>
    <t>(7-10) Droite</t>
  </si>
  <si>
    <t>(7-10) Right</t>
  </si>
  <si>
    <t>(1-2)  Gauche</t>
  </si>
  <si>
    <t>(1-2) Left</t>
  </si>
  <si>
    <t>(3-4)</t>
  </si>
  <si>
    <t>(5-6)  Centre</t>
  </si>
  <si>
    <t>(7-8)</t>
  </si>
  <si>
    <t>(9-10) Droite</t>
  </si>
  <si>
    <t>(9-10) Right</t>
  </si>
  <si>
    <t>Refus</t>
  </si>
  <si>
    <t>Refusal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</si>
</sst>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s>
  <fills count="2">
    <fill>
      <patternFill patternType="none"/>
    </fill>
    <fill>
      <patternFill patternType="gray125"/>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0" fontId="6" fillId="0" borderId="4" xfId="0" applyFont="1" applyBorder="1" applyAlignment="1">
      <alignment horizontal="right"/>
    </xf>
    <xf numFmtId="9" fontId="6" fillId="0" borderId="4" xfId="0" applyNumberFormat="1" applyFont="1" applyBorder="1"/>
    <xf numFmtId="0" fontId="5" fillId="0" borderId="3" xfId="0" applyFont="1" applyBorder="1" applyAlignment="1">
      <alignment horizontal="left" vertical="center"/>
    </xf>
    <xf numFmtId="0" fontId="0" fillId="0" borderId="5" xfId="0" applyBorder="1"/>
    <xf numFmtId="0" fontId="4" fillId="0" borderId="0" xfId="0" applyFont="1" applyAlignment="1">
      <alignment wrapText="1"/>
    </xf>
    <xf numFmtId="0" fontId="0" fillId="0" borderId="2" xfId="0" applyBorder="1"/>
    <xf numFmtId="0" fontId="0" fillId="0" borderId="0" xfId="0"/>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customXml" Target="../customXml/item3.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ustomXml" Target="../customXml/item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theme" Target="theme/theme1.xml"/><Relationship Id="rId215" Type="http://schemas.openxmlformats.org/officeDocument/2006/relationships/customXml" Target="../customXml/item2.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styles" Target="style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sharedStrings" Target="sharedStrings.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5"/>
  <sheetViews>
    <sheetView workbookViewId="0">
      <pane ySplit="5" topLeftCell="A21" activePane="bottomLeft" state="frozen"/>
      <selection pane="bottomLeft" activeCell="A27" sqref="A27"/>
    </sheetView>
  </sheetViews>
  <sheetFormatPr defaultRowHeight="14.5" x14ac:dyDescent="0.35"/>
  <cols>
    <col min="1" max="1" width="12.453125" customWidth="1"/>
    <col min="2" max="2" width="116.453125" customWidth="1"/>
    <col min="3" max="3" width="100" customWidth="1"/>
  </cols>
  <sheetData>
    <row r="1" spans="1:3" ht="15.5" x14ac:dyDescent="0.35">
      <c r="A1" s="1" t="s">
        <v>0</v>
      </c>
      <c r="B1" s="2" t="s">
        <v>1</v>
      </c>
    </row>
    <row r="2" spans="1:3" ht="15.5" x14ac:dyDescent="0.35">
      <c r="A2" s="1" t="s">
        <v>2</v>
      </c>
      <c r="B2" s="3" t="s">
        <v>3</v>
      </c>
    </row>
    <row r="3" spans="1:3" ht="15.5" x14ac:dyDescent="0.35">
      <c r="A3" s="1" t="s">
        <v>4</v>
      </c>
      <c r="B3" s="2" t="s">
        <v>5</v>
      </c>
    </row>
    <row r="5" spans="1:3" x14ac:dyDescent="0.35">
      <c r="A5" s="4" t="s">
        <v>6</v>
      </c>
      <c r="B5" s="4" t="s">
        <v>7</v>
      </c>
      <c r="C5" s="4" t="s">
        <v>8</v>
      </c>
    </row>
    <row r="6" spans="1:3" x14ac:dyDescent="0.35">
      <c r="A6" s="5" t="str">
        <f>HYPERLINK("#'B'!A1", "B")</f>
        <v>B</v>
      </c>
      <c r="B6" s="6" t="s">
        <v>9</v>
      </c>
      <c r="C6" s="6" t="s">
        <v>10</v>
      </c>
    </row>
    <row r="7" spans="1:3" ht="26" x14ac:dyDescent="0.35">
      <c r="A7" s="5" t="str">
        <f>HYPERLINK("#'D70'!A1", "D70")</f>
        <v>D70</v>
      </c>
      <c r="B7" s="6" t="s">
        <v>11</v>
      </c>
      <c r="C7" s="6" t="s">
        <v>12</v>
      </c>
    </row>
    <row r="8" spans="1:3" ht="26" x14ac:dyDescent="0.35">
      <c r="A8" s="5" t="str">
        <f>HYPERLINK("#'D70a'!A1", "D70a")</f>
        <v>D70a</v>
      </c>
      <c r="B8" s="6" t="s">
        <v>13</v>
      </c>
      <c r="C8" s="6" t="s">
        <v>14</v>
      </c>
    </row>
    <row r="9" spans="1:3" ht="38.5" x14ac:dyDescent="0.35">
      <c r="A9" s="5" t="str">
        <f>HYPERLINK("#'D71_1'!A1", "D71_1")</f>
        <v>D71_1</v>
      </c>
      <c r="B9" s="6" t="s">
        <v>15</v>
      </c>
      <c r="C9" s="6" t="s">
        <v>16</v>
      </c>
    </row>
    <row r="10" spans="1:3" ht="38.5" x14ac:dyDescent="0.35">
      <c r="A10" s="5" t="str">
        <f>HYPERLINK("#'D71_2'!A1", "D71_2")</f>
        <v>D71_2</v>
      </c>
      <c r="B10" s="6" t="s">
        <v>17</v>
      </c>
      <c r="C10" s="6" t="s">
        <v>18</v>
      </c>
    </row>
    <row r="11" spans="1:3" ht="38.5" x14ac:dyDescent="0.35">
      <c r="A11" s="5" t="str">
        <f>HYPERLINK("#'D71_3'!A1", "D71_3")</f>
        <v>D71_3</v>
      </c>
      <c r="B11" s="6" t="s">
        <v>19</v>
      </c>
      <c r="C11" s="6" t="s">
        <v>20</v>
      </c>
    </row>
    <row r="12" spans="1:3" x14ac:dyDescent="0.35">
      <c r="A12" s="5" t="str">
        <f>HYPERLINK("#'C2'!A1", "C2")</f>
        <v>C2</v>
      </c>
      <c r="B12" s="6" t="s">
        <v>21</v>
      </c>
      <c r="C12" s="6" t="s">
        <v>22</v>
      </c>
    </row>
    <row r="13" spans="1:3" ht="26" x14ac:dyDescent="0.35">
      <c r="A13" s="5" t="str">
        <f>HYPERLINK("#'QA1_1'!A1", "QA1_1")</f>
        <v>QA1_1</v>
      </c>
      <c r="B13" s="6" t="s">
        <v>23</v>
      </c>
      <c r="C13" s="6" t="s">
        <v>24</v>
      </c>
    </row>
    <row r="14" spans="1:3" ht="26" x14ac:dyDescent="0.35">
      <c r="A14" s="5" t="str">
        <f>HYPERLINK("#'QA1_2'!A1", "QA1_2")</f>
        <v>QA1_2</v>
      </c>
      <c r="B14" s="6" t="s">
        <v>25</v>
      </c>
      <c r="C14" s="6" t="s">
        <v>26</v>
      </c>
    </row>
    <row r="15" spans="1:3" ht="26" x14ac:dyDescent="0.35">
      <c r="A15" s="5" t="str">
        <f>HYPERLINK("#'QA1_3'!A1", "QA1_3")</f>
        <v>QA1_3</v>
      </c>
      <c r="B15" s="6" t="s">
        <v>27</v>
      </c>
      <c r="C15" s="6" t="s">
        <v>28</v>
      </c>
    </row>
    <row r="16" spans="1:3" ht="26" x14ac:dyDescent="0.35">
      <c r="A16" s="5" t="str">
        <f>HYPERLINK("#'QA1_4'!A1", "QA1_4")</f>
        <v>QA1_4</v>
      </c>
      <c r="B16" s="6" t="s">
        <v>29</v>
      </c>
      <c r="C16" s="6" t="s">
        <v>30</v>
      </c>
    </row>
    <row r="17" spans="1:3" ht="26" x14ac:dyDescent="0.35">
      <c r="A17" s="5" t="str">
        <f>HYPERLINK("#'QA1_5'!A1", "QA1_5")</f>
        <v>QA1_5</v>
      </c>
      <c r="B17" s="6" t="s">
        <v>31</v>
      </c>
      <c r="C17" s="6" t="s">
        <v>32</v>
      </c>
    </row>
    <row r="18" spans="1:3" ht="26" x14ac:dyDescent="0.35">
      <c r="A18" s="5" t="str">
        <f>HYPERLINK("#'QA1_6'!A1", "QA1_6")</f>
        <v>QA1_6</v>
      </c>
      <c r="B18" s="6" t="s">
        <v>33</v>
      </c>
      <c r="C18" s="6" t="s">
        <v>34</v>
      </c>
    </row>
    <row r="19" spans="1:3" ht="26" x14ac:dyDescent="0.35">
      <c r="A19" s="5" t="str">
        <f>HYPERLINK("#'QA1_7'!A1", "QA1_7")</f>
        <v>QA1_7</v>
      </c>
      <c r="B19" s="6" t="s">
        <v>35</v>
      </c>
      <c r="C19" s="6" t="s">
        <v>36</v>
      </c>
    </row>
    <row r="20" spans="1:3" ht="38.5" x14ac:dyDescent="0.35">
      <c r="A20" s="5" t="str">
        <f>HYPERLINK("#'QA2_1'!A1", "QA2_1")</f>
        <v>QA2_1</v>
      </c>
      <c r="B20" s="6" t="s">
        <v>37</v>
      </c>
      <c r="C20" s="6" t="s">
        <v>38</v>
      </c>
    </row>
    <row r="21" spans="1:3" ht="38.5" x14ac:dyDescent="0.35">
      <c r="A21" s="5" t="str">
        <f>HYPERLINK("#'QA2_2'!A1", "QA2_2")</f>
        <v>QA2_2</v>
      </c>
      <c r="B21" s="6" t="s">
        <v>39</v>
      </c>
      <c r="C21" s="6" t="s">
        <v>40</v>
      </c>
    </row>
    <row r="22" spans="1:3" ht="38.5" x14ac:dyDescent="0.35">
      <c r="A22" s="5" t="str">
        <f>HYPERLINK("#'QA2_3'!A1", "QA2_3")</f>
        <v>QA2_3</v>
      </c>
      <c r="B22" s="6" t="s">
        <v>41</v>
      </c>
      <c r="C22" s="6" t="s">
        <v>42</v>
      </c>
    </row>
    <row r="23" spans="1:3" ht="38.5" x14ac:dyDescent="0.35">
      <c r="A23" s="5" t="str">
        <f>HYPERLINK("#'QA2_4'!A1", "QA2_4")</f>
        <v>QA2_4</v>
      </c>
      <c r="B23" s="6" t="s">
        <v>43</v>
      </c>
      <c r="C23" s="6" t="s">
        <v>44</v>
      </c>
    </row>
    <row r="24" spans="1:3" ht="38.5" x14ac:dyDescent="0.35">
      <c r="A24" s="5" t="str">
        <f>HYPERLINK("#'QA2_5'!A1", "QA2_5")</f>
        <v>QA2_5</v>
      </c>
      <c r="B24" s="6" t="s">
        <v>45</v>
      </c>
      <c r="C24" s="6" t="s">
        <v>46</v>
      </c>
    </row>
    <row r="25" spans="1:3" ht="38.5" x14ac:dyDescent="0.35">
      <c r="A25" s="5" t="str">
        <f>HYPERLINK("#'QA2_6'!A1", "QA2_6")</f>
        <v>QA2_6</v>
      </c>
      <c r="B25" s="6" t="s">
        <v>47</v>
      </c>
      <c r="C25" s="6" t="s">
        <v>48</v>
      </c>
    </row>
    <row r="26" spans="1:3" ht="38.5" x14ac:dyDescent="0.35">
      <c r="A26" s="5" t="str">
        <f>HYPERLINK("#'QA2_7'!A1", "QA2_7")</f>
        <v>QA2_7</v>
      </c>
      <c r="B26" s="6" t="s">
        <v>49</v>
      </c>
      <c r="C26" s="6" t="s">
        <v>50</v>
      </c>
    </row>
    <row r="27" spans="1:3" ht="26" x14ac:dyDescent="0.35">
      <c r="A27" s="5" t="str">
        <f>HYPERLINK("#'QA3'!A1", "QA3")</f>
        <v>QA3</v>
      </c>
      <c r="B27" s="6" t="s">
        <v>51</v>
      </c>
      <c r="C27" s="6" t="s">
        <v>52</v>
      </c>
    </row>
    <row r="28" spans="1:3" ht="26" x14ac:dyDescent="0.35">
      <c r="A28" s="5" t="str">
        <f>HYPERLINK("#'QA4'!A1", "QA4")</f>
        <v>QA4</v>
      </c>
      <c r="B28" s="6" t="s">
        <v>53</v>
      </c>
      <c r="C28" s="6" t="s">
        <v>54</v>
      </c>
    </row>
    <row r="29" spans="1:3" ht="26" x14ac:dyDescent="0.35">
      <c r="A29" s="5" t="str">
        <f>HYPERLINK("#'QA5'!A1", "QA5")</f>
        <v>QA5</v>
      </c>
      <c r="B29" s="6" t="s">
        <v>55</v>
      </c>
      <c r="C29" s="6" t="s">
        <v>56</v>
      </c>
    </row>
    <row r="30" spans="1:3" ht="26" x14ac:dyDescent="0.35">
      <c r="A30" s="5" t="str">
        <f>HYPERLINK("#'D73_1'!A1", "D73_1")</f>
        <v>D73_1</v>
      </c>
      <c r="B30" s="6" t="s">
        <v>57</v>
      </c>
      <c r="C30" s="6" t="s">
        <v>58</v>
      </c>
    </row>
    <row r="31" spans="1:3" ht="26" x14ac:dyDescent="0.35">
      <c r="A31" s="5" t="str">
        <f>HYPERLINK("#'D73_2'!A1", "D73_2")</f>
        <v>D73_2</v>
      </c>
      <c r="B31" s="6" t="s">
        <v>59</v>
      </c>
      <c r="C31" s="6" t="s">
        <v>60</v>
      </c>
    </row>
    <row r="32" spans="1:3" ht="26" x14ac:dyDescent="0.35">
      <c r="A32" s="5" t="str">
        <f>HYPERLINK("#'D73_3'!A1", "D73_3")</f>
        <v>D73_3</v>
      </c>
      <c r="B32" s="6" t="s">
        <v>61</v>
      </c>
      <c r="C32" s="6" t="s">
        <v>62</v>
      </c>
    </row>
    <row r="33" spans="1:3" ht="26" x14ac:dyDescent="0.35">
      <c r="A33" s="5" t="str">
        <f>HYPERLINK("#'D73_4'!A1", "D73_4")</f>
        <v>D73_4</v>
      </c>
      <c r="B33" s="6" t="s">
        <v>63</v>
      </c>
      <c r="C33" s="6" t="s">
        <v>64</v>
      </c>
    </row>
    <row r="34" spans="1:3" ht="38.5" x14ac:dyDescent="0.35">
      <c r="A34" s="5" t="str">
        <f>HYPERLINK("#'QA6_1'!A1", "QA6_1")</f>
        <v>QA6_1</v>
      </c>
      <c r="B34" s="6" t="s">
        <v>65</v>
      </c>
      <c r="C34" s="6" t="s">
        <v>66</v>
      </c>
    </row>
    <row r="35" spans="1:3" ht="38.5" x14ac:dyDescent="0.35">
      <c r="A35" s="5" t="str">
        <f>HYPERLINK("#'QA6_2'!A1", "QA6_2")</f>
        <v>QA6_2</v>
      </c>
      <c r="B35" s="6" t="s">
        <v>67</v>
      </c>
      <c r="C35" s="6" t="s">
        <v>68</v>
      </c>
    </row>
    <row r="36" spans="1:3" ht="38.5" x14ac:dyDescent="0.35">
      <c r="A36" s="5" t="str">
        <f>HYPERLINK("#'QA6_3'!A1", "QA6_3")</f>
        <v>QA6_3</v>
      </c>
      <c r="B36" s="6" t="s">
        <v>69</v>
      </c>
      <c r="C36" s="6" t="s">
        <v>70</v>
      </c>
    </row>
    <row r="37" spans="1:3" ht="38.5" x14ac:dyDescent="0.35">
      <c r="A37" s="5" t="str">
        <f>HYPERLINK("#'QA6_4'!A1", "QA6_4")</f>
        <v>QA6_4</v>
      </c>
      <c r="B37" s="6" t="s">
        <v>71</v>
      </c>
      <c r="C37" s="6" t="s">
        <v>72</v>
      </c>
    </row>
    <row r="38" spans="1:3" ht="38.5" x14ac:dyDescent="0.35">
      <c r="A38" s="5" t="str">
        <f>HYPERLINK("#'QA6_5'!A1", "QA6_5")</f>
        <v>QA6_5</v>
      </c>
      <c r="B38" s="6" t="s">
        <v>73</v>
      </c>
      <c r="C38" s="6" t="s">
        <v>74</v>
      </c>
    </row>
    <row r="39" spans="1:3" ht="38.5" x14ac:dyDescent="0.35">
      <c r="A39" s="5" t="str">
        <f>HYPERLINK("#'QA6_6'!A1", "QA6_6")</f>
        <v>QA6_6</v>
      </c>
      <c r="B39" s="6" t="s">
        <v>75</v>
      </c>
      <c r="C39" s="6" t="s">
        <v>76</v>
      </c>
    </row>
    <row r="40" spans="1:3" ht="38.5" x14ac:dyDescent="0.35">
      <c r="A40" s="5" t="str">
        <f>HYPERLINK("#'QA6_7'!A1", "QA6_7")</f>
        <v>QA6_7</v>
      </c>
      <c r="B40" s="6" t="s">
        <v>77</v>
      </c>
      <c r="C40" s="6" t="s">
        <v>78</v>
      </c>
    </row>
    <row r="41" spans="1:3" ht="38.5" x14ac:dyDescent="0.35">
      <c r="A41" s="5" t="str">
        <f>HYPERLINK("#'QA6_8'!A1", "QA6_8")</f>
        <v>QA6_8</v>
      </c>
      <c r="B41" s="6" t="s">
        <v>79</v>
      </c>
      <c r="C41" s="6" t="s">
        <v>80</v>
      </c>
    </row>
    <row r="42" spans="1:3" ht="38.5" x14ac:dyDescent="0.35">
      <c r="A42" s="5" t="str">
        <f>HYPERLINK("#'QA6_9'!A1", "QA6_9")</f>
        <v>QA6_9</v>
      </c>
      <c r="B42" s="6" t="s">
        <v>81</v>
      </c>
      <c r="C42" s="6" t="s">
        <v>82</v>
      </c>
    </row>
    <row r="43" spans="1:3" ht="38.5" x14ac:dyDescent="0.35">
      <c r="A43" s="5" t="str">
        <f>HYPERLINK("#'QA6_10'!A1", "QA6_10")</f>
        <v>QA6_10</v>
      </c>
      <c r="B43" s="6" t="s">
        <v>83</v>
      </c>
      <c r="C43" s="6" t="s">
        <v>84</v>
      </c>
    </row>
    <row r="44" spans="1:3" ht="38.5" x14ac:dyDescent="0.35">
      <c r="A44" s="5" t="str">
        <f>HYPERLINK("#'QA6_11'!A1", "QA6_11")</f>
        <v>QA6_11</v>
      </c>
      <c r="B44" s="6" t="s">
        <v>85</v>
      </c>
      <c r="C44" s="6" t="s">
        <v>86</v>
      </c>
    </row>
    <row r="45" spans="1:3" ht="26" x14ac:dyDescent="0.35">
      <c r="A45" s="5" t="str">
        <f>HYPERLINK("#'D78'!A1", "D78")</f>
        <v>D78</v>
      </c>
      <c r="B45" s="6" t="s">
        <v>87</v>
      </c>
      <c r="C45" s="6" t="s">
        <v>88</v>
      </c>
    </row>
    <row r="46" spans="1:3" x14ac:dyDescent="0.35">
      <c r="A46" s="5" t="str">
        <f>HYPERLINK("#'QA7_1'!A1", "QA7_1")</f>
        <v>QA7_1</v>
      </c>
      <c r="B46" s="6" t="s">
        <v>89</v>
      </c>
      <c r="C46" s="6" t="s">
        <v>90</v>
      </c>
    </row>
    <row r="47" spans="1:3" x14ac:dyDescent="0.35">
      <c r="A47" s="5" t="str">
        <f>HYPERLINK("#'QA7_2'!A1", "QA7_2")</f>
        <v>QA7_2</v>
      </c>
      <c r="B47" s="6" t="s">
        <v>91</v>
      </c>
      <c r="C47" s="6" t="s">
        <v>92</v>
      </c>
    </row>
    <row r="48" spans="1:3" x14ac:dyDescent="0.35">
      <c r="A48" s="5" t="str">
        <f>HYPERLINK("#'QA7_3'!A1", "QA7_3")</f>
        <v>QA7_3</v>
      </c>
      <c r="B48" s="6" t="s">
        <v>93</v>
      </c>
      <c r="C48" s="6" t="s">
        <v>94</v>
      </c>
    </row>
    <row r="49" spans="1:3" x14ac:dyDescent="0.35">
      <c r="A49" s="5" t="str">
        <f>HYPERLINK("#'QA7_4'!A1", "QA7_4")</f>
        <v>QA7_4</v>
      </c>
      <c r="B49" s="6" t="s">
        <v>95</v>
      </c>
      <c r="C49" s="6" t="s">
        <v>96</v>
      </c>
    </row>
    <row r="50" spans="1:3" ht="26" x14ac:dyDescent="0.35">
      <c r="A50" s="5" t="str">
        <f>HYPERLINK("#'QA8_1'!A1", "QA8_1")</f>
        <v>QA8_1</v>
      </c>
      <c r="B50" s="6" t="s">
        <v>97</v>
      </c>
      <c r="C50" s="6" t="s">
        <v>98</v>
      </c>
    </row>
    <row r="51" spans="1:3" ht="26" x14ac:dyDescent="0.35">
      <c r="A51" s="5" t="str">
        <f>HYPERLINK("#'QA8_2'!A1", "QA8_2")</f>
        <v>QA8_2</v>
      </c>
      <c r="B51" s="6" t="s">
        <v>99</v>
      </c>
      <c r="C51" s="6" t="s">
        <v>100</v>
      </c>
    </row>
    <row r="52" spans="1:3" ht="26" x14ac:dyDescent="0.35">
      <c r="A52" s="5" t="str">
        <f>HYPERLINK("#'QA8_3'!A1", "QA8_3")</f>
        <v>QA8_3</v>
      </c>
      <c r="B52" s="6" t="s">
        <v>101</v>
      </c>
      <c r="C52" s="6" t="s">
        <v>102</v>
      </c>
    </row>
    <row r="53" spans="1:3" ht="26" x14ac:dyDescent="0.35">
      <c r="A53" s="5" t="str">
        <f>HYPERLINK("#'QA8_4'!A1", "QA8_4")</f>
        <v>QA8_4</v>
      </c>
      <c r="B53" s="6" t="s">
        <v>103</v>
      </c>
      <c r="C53" s="6" t="s">
        <v>104</v>
      </c>
    </row>
    <row r="54" spans="1:3" ht="26" x14ac:dyDescent="0.35">
      <c r="A54" s="5" t="str">
        <f>HYPERLINK("#'QA9a'!A1", "QA9a")</f>
        <v>QA9a</v>
      </c>
      <c r="B54" s="6" t="s">
        <v>105</v>
      </c>
      <c r="C54" s="6" t="s">
        <v>106</v>
      </c>
    </row>
    <row r="55" spans="1:3" ht="26" x14ac:dyDescent="0.35">
      <c r="A55" s="5" t="str">
        <f>HYPERLINK("#'QA9b'!A1", "QA9b")</f>
        <v>QA9b</v>
      </c>
      <c r="B55" s="6" t="s">
        <v>107</v>
      </c>
      <c r="C55" s="6" t="s">
        <v>108</v>
      </c>
    </row>
    <row r="56" spans="1:3" ht="26" x14ac:dyDescent="0.35">
      <c r="A56" s="5" t="str">
        <f>HYPERLINK("#'QA9c'!A1", "QA9c")</f>
        <v>QA9c</v>
      </c>
      <c r="B56" s="6" t="s">
        <v>109</v>
      </c>
      <c r="C56" s="6" t="s">
        <v>110</v>
      </c>
    </row>
    <row r="57" spans="1:3" ht="26" x14ac:dyDescent="0.35">
      <c r="A57" s="5" t="str">
        <f>HYPERLINK("#'QA9d'!A1", "QA9d")</f>
        <v>QA9d</v>
      </c>
      <c r="B57" s="6" t="s">
        <v>111</v>
      </c>
      <c r="C57" s="6" t="s">
        <v>112</v>
      </c>
    </row>
    <row r="58" spans="1:3" ht="26" x14ac:dyDescent="0.35">
      <c r="A58" s="5" t="str">
        <f>HYPERLINK("#'QA9e'!A1", "QA9e")</f>
        <v>QA9e</v>
      </c>
      <c r="B58" s="6" t="s">
        <v>113</v>
      </c>
      <c r="C58" s="6" t="s">
        <v>114</v>
      </c>
    </row>
    <row r="59" spans="1:3" ht="26" x14ac:dyDescent="0.35">
      <c r="A59" s="5" t="str">
        <f>HYPERLINK("#'QA9f'!A1", "QA9f")</f>
        <v>QA9f</v>
      </c>
      <c r="B59" s="6" t="s">
        <v>115</v>
      </c>
      <c r="C59" s="6" t="s">
        <v>116</v>
      </c>
    </row>
    <row r="60" spans="1:3" ht="26" x14ac:dyDescent="0.35">
      <c r="A60" s="5" t="str">
        <f>HYPERLINK("#'QA10_1'!A1", "QA10_1")</f>
        <v>QA10_1</v>
      </c>
      <c r="B60" s="6" t="s">
        <v>117</v>
      </c>
      <c r="C60" s="6" t="s">
        <v>118</v>
      </c>
    </row>
    <row r="61" spans="1:3" ht="38.5" x14ac:dyDescent="0.35">
      <c r="A61" s="5" t="str">
        <f>HYPERLINK("#'QA10_2'!A1", "QA10_2")</f>
        <v>QA10_2</v>
      </c>
      <c r="B61" s="6" t="s">
        <v>119</v>
      </c>
      <c r="C61" s="6" t="s">
        <v>120</v>
      </c>
    </row>
    <row r="62" spans="1:3" ht="38.5" x14ac:dyDescent="0.35">
      <c r="A62" s="5" t="str">
        <f>HYPERLINK("#'QA10_4'!A1", "QA10_4")</f>
        <v>QA10_4</v>
      </c>
      <c r="B62" s="6" t="s">
        <v>121</v>
      </c>
      <c r="C62" s="6" t="s">
        <v>122</v>
      </c>
    </row>
    <row r="63" spans="1:3" ht="26" x14ac:dyDescent="0.35">
      <c r="A63" s="5" t="str">
        <f>HYPERLINK("#'QA11'!A1", "QA11")</f>
        <v>QA11</v>
      </c>
      <c r="B63" s="6" t="s">
        <v>123</v>
      </c>
      <c r="C63" s="6" t="s">
        <v>124</v>
      </c>
    </row>
    <row r="64" spans="1:3" ht="38.5" x14ac:dyDescent="0.35">
      <c r="A64" s="5" t="str">
        <f>HYPERLINK("#'SD18a'!A1", "SD18a")</f>
        <v>SD18a</v>
      </c>
      <c r="B64" s="6" t="s">
        <v>125</v>
      </c>
      <c r="C64" s="6" t="s">
        <v>126</v>
      </c>
    </row>
    <row r="65" spans="1:3" x14ac:dyDescent="0.35">
      <c r="A65" s="5" t="str">
        <f>HYPERLINK("#'SD18b'!A1", "SD18b")</f>
        <v>SD18b</v>
      </c>
      <c r="B65" s="6" t="s">
        <v>127</v>
      </c>
      <c r="C65" s="6" t="s">
        <v>128</v>
      </c>
    </row>
    <row r="66" spans="1:3" ht="26" x14ac:dyDescent="0.35">
      <c r="A66" s="5" t="str">
        <f>HYPERLINK("#'SD19a_1'!A1", "SD19a_1")</f>
        <v>SD19a_1</v>
      </c>
      <c r="B66" s="6" t="s">
        <v>129</v>
      </c>
      <c r="C66" s="6" t="s">
        <v>130</v>
      </c>
    </row>
    <row r="67" spans="1:3" ht="26" x14ac:dyDescent="0.35">
      <c r="A67" s="5" t="str">
        <f>HYPERLINK("#'SD19a_2'!A1", "SD19a_2")</f>
        <v>SD19a_2</v>
      </c>
      <c r="B67" s="6" t="s">
        <v>131</v>
      </c>
      <c r="C67" s="6" t="s">
        <v>132</v>
      </c>
    </row>
    <row r="68" spans="1:3" ht="26" x14ac:dyDescent="0.35">
      <c r="A68" s="5" t="str">
        <f>HYPERLINK("#'SD19a_3'!A1", "SD19a_3")</f>
        <v>SD19a_3</v>
      </c>
      <c r="B68" s="6" t="s">
        <v>133</v>
      </c>
      <c r="C68" s="6" t="s">
        <v>134</v>
      </c>
    </row>
    <row r="69" spans="1:3" ht="26" x14ac:dyDescent="0.35">
      <c r="A69" s="5" t="str">
        <f>HYPERLINK("#'QA12'!A1", "QA12")</f>
        <v>QA12</v>
      </c>
      <c r="B69" s="6" t="s">
        <v>135</v>
      </c>
      <c r="C69" s="6" t="s">
        <v>136</v>
      </c>
    </row>
    <row r="70" spans="1:3" ht="38.5" x14ac:dyDescent="0.35">
      <c r="A70" s="5" t="str">
        <f>HYPERLINK("#'QB1_1'!A1", "QB1_1")</f>
        <v>QB1_1</v>
      </c>
      <c r="B70" s="6" t="s">
        <v>137</v>
      </c>
      <c r="C70" s="6" t="s">
        <v>138</v>
      </c>
    </row>
    <row r="71" spans="1:3" ht="38.5" x14ac:dyDescent="0.35">
      <c r="A71" s="5" t="str">
        <f>HYPERLINK("#'QB1_2'!A1", "QB1_2")</f>
        <v>QB1_2</v>
      </c>
      <c r="B71" s="6" t="s">
        <v>139</v>
      </c>
      <c r="C71" s="6" t="s">
        <v>140</v>
      </c>
    </row>
    <row r="72" spans="1:3" ht="38.5" x14ac:dyDescent="0.35">
      <c r="A72" s="5" t="str">
        <f>HYPERLINK("#'QB1_3'!A1", "QB1_3")</f>
        <v>QB1_3</v>
      </c>
      <c r="B72" s="6" t="s">
        <v>141</v>
      </c>
      <c r="C72" s="6" t="s">
        <v>142</v>
      </c>
    </row>
    <row r="73" spans="1:3" ht="38.5" x14ac:dyDescent="0.35">
      <c r="A73" s="5" t="str">
        <f>HYPERLINK("#'QB1_4'!A1", "QB1_4")</f>
        <v>QB1_4</v>
      </c>
      <c r="B73" s="6" t="s">
        <v>143</v>
      </c>
      <c r="C73" s="6" t="s">
        <v>144</v>
      </c>
    </row>
    <row r="74" spans="1:3" ht="38.5" x14ac:dyDescent="0.35">
      <c r="A74" s="5" t="str">
        <f>HYPERLINK("#'QB1_5'!A1", "QB1_5")</f>
        <v>QB1_5</v>
      </c>
      <c r="B74" s="6" t="s">
        <v>145</v>
      </c>
      <c r="C74" s="6" t="s">
        <v>146</v>
      </c>
    </row>
    <row r="75" spans="1:3" ht="38.5" x14ac:dyDescent="0.35">
      <c r="A75" s="5" t="str">
        <f>HYPERLINK("#'QB1_6'!A1", "QB1_6")</f>
        <v>QB1_6</v>
      </c>
      <c r="B75" s="6" t="s">
        <v>147</v>
      </c>
      <c r="C75" s="6" t="s">
        <v>148</v>
      </c>
    </row>
    <row r="76" spans="1:3" ht="51" x14ac:dyDescent="0.35">
      <c r="A76" s="5" t="str">
        <f>HYPERLINK("#'QB1_7'!A1", "QB1_7")</f>
        <v>QB1_7</v>
      </c>
      <c r="B76" s="6" t="s">
        <v>149</v>
      </c>
      <c r="C76" s="6" t="s">
        <v>150</v>
      </c>
    </row>
    <row r="77" spans="1:3" ht="38.5" x14ac:dyDescent="0.35">
      <c r="A77" s="5" t="str">
        <f>HYPERLINK("#'QB1_8'!A1", "QB1_8")</f>
        <v>QB1_8</v>
      </c>
      <c r="B77" s="6" t="s">
        <v>151</v>
      </c>
      <c r="C77" s="6" t="s">
        <v>152</v>
      </c>
    </row>
    <row r="78" spans="1:3" ht="38.5" x14ac:dyDescent="0.35">
      <c r="A78" s="5" t="str">
        <f>HYPERLINK("#'QB1_9'!A1", "QB1_9")</f>
        <v>QB1_9</v>
      </c>
      <c r="B78" s="6" t="s">
        <v>153</v>
      </c>
      <c r="C78" s="6" t="s">
        <v>154</v>
      </c>
    </row>
    <row r="79" spans="1:3" ht="38.5" x14ac:dyDescent="0.35">
      <c r="A79" s="5" t="str">
        <f>HYPERLINK("#'QB1_10'!A1", "QB1_10")</f>
        <v>QB1_10</v>
      </c>
      <c r="B79" s="6" t="s">
        <v>155</v>
      </c>
      <c r="C79" s="6" t="s">
        <v>156</v>
      </c>
    </row>
    <row r="80" spans="1:3" ht="38.5" x14ac:dyDescent="0.35">
      <c r="A80" s="5" t="str">
        <f>HYPERLINK("#'QB1_11'!A1", "QB1_11")</f>
        <v>QB1_11</v>
      </c>
      <c r="B80" s="6" t="s">
        <v>157</v>
      </c>
      <c r="C80" s="6" t="s">
        <v>158</v>
      </c>
    </row>
    <row r="81" spans="1:3" ht="51" x14ac:dyDescent="0.35">
      <c r="A81" s="5" t="str">
        <f>HYPERLINK("#'QB2_1'!A1", "QB2_1")</f>
        <v>QB2_1</v>
      </c>
      <c r="B81" s="6" t="s">
        <v>159</v>
      </c>
      <c r="C81" s="6" t="s">
        <v>160</v>
      </c>
    </row>
    <row r="82" spans="1:3" ht="51" x14ac:dyDescent="0.35">
      <c r="A82" s="5" t="str">
        <f>HYPERLINK("#'QB2_2'!A1", "QB2_2")</f>
        <v>QB2_2</v>
      </c>
      <c r="B82" s="6" t="s">
        <v>161</v>
      </c>
      <c r="C82" s="6" t="s">
        <v>162</v>
      </c>
    </row>
    <row r="83" spans="1:3" ht="51" x14ac:dyDescent="0.35">
      <c r="A83" s="5" t="str">
        <f>HYPERLINK("#'QB2_3'!A1", "QB2_3")</f>
        <v>QB2_3</v>
      </c>
      <c r="B83" s="6" t="s">
        <v>163</v>
      </c>
      <c r="C83" s="6" t="s">
        <v>164</v>
      </c>
    </row>
    <row r="84" spans="1:3" ht="38.5" x14ac:dyDescent="0.35">
      <c r="A84" s="5" t="str">
        <f>HYPERLINK("#'QB2_4'!A1", "QB2_4")</f>
        <v>QB2_4</v>
      </c>
      <c r="B84" s="6" t="s">
        <v>165</v>
      </c>
      <c r="C84" s="6" t="s">
        <v>166</v>
      </c>
    </row>
    <row r="85" spans="1:3" ht="38.5" x14ac:dyDescent="0.35">
      <c r="A85" s="5" t="str">
        <f>HYPERLINK("#'QB2_5'!A1", "QB2_5")</f>
        <v>QB2_5</v>
      </c>
      <c r="B85" s="6" t="s">
        <v>167</v>
      </c>
      <c r="C85" s="6" t="s">
        <v>168</v>
      </c>
    </row>
    <row r="86" spans="1:3" ht="51" x14ac:dyDescent="0.35">
      <c r="A86" s="5" t="str">
        <f>HYPERLINK("#'QB3'!A1", "QB3")</f>
        <v>QB3</v>
      </c>
      <c r="B86" s="6" t="s">
        <v>169</v>
      </c>
      <c r="C86" s="6" t="s">
        <v>170</v>
      </c>
    </row>
    <row r="87" spans="1:3" ht="38.5" x14ac:dyDescent="0.35">
      <c r="A87" s="5" t="str">
        <f>HYPERLINK("#'QB4_1'!A1", "QB4_1")</f>
        <v>QB4_1</v>
      </c>
      <c r="B87" s="6" t="s">
        <v>171</v>
      </c>
      <c r="C87" s="6" t="s">
        <v>172</v>
      </c>
    </row>
    <row r="88" spans="1:3" ht="38.5" x14ac:dyDescent="0.35">
      <c r="A88" s="5" t="str">
        <f>HYPERLINK("#'QB4_2'!A1", "QB4_2")</f>
        <v>QB4_2</v>
      </c>
      <c r="B88" s="6" t="s">
        <v>173</v>
      </c>
      <c r="C88" s="6" t="s">
        <v>174</v>
      </c>
    </row>
    <row r="89" spans="1:3" ht="38.5" x14ac:dyDescent="0.35">
      <c r="A89" s="5" t="str">
        <f>HYPERLINK("#'QB5a'!A1", "QB5a")</f>
        <v>QB5a</v>
      </c>
      <c r="B89" s="6" t="s">
        <v>175</v>
      </c>
      <c r="C89" s="6" t="s">
        <v>176</v>
      </c>
    </row>
    <row r="90" spans="1:3" x14ac:dyDescent="0.35">
      <c r="A90" s="5" t="str">
        <f>HYPERLINK("#'QB5b'!A1", "QB5b")</f>
        <v>QB5b</v>
      </c>
      <c r="B90" s="6" t="s">
        <v>177</v>
      </c>
      <c r="C90" s="6" t="s">
        <v>178</v>
      </c>
    </row>
    <row r="91" spans="1:3" ht="38.5" x14ac:dyDescent="0.35">
      <c r="A91" s="5" t="str">
        <f>HYPERLINK("#'QB5ab'!A1", "QB5ab")</f>
        <v>QB5ab</v>
      </c>
      <c r="B91" s="6" t="s">
        <v>179</v>
      </c>
      <c r="C91" s="6" t="s">
        <v>180</v>
      </c>
    </row>
    <row r="92" spans="1:3" ht="38.5" x14ac:dyDescent="0.35">
      <c r="A92" s="5" t="str">
        <f>HYPERLINK("#'QB6a'!A1", "QB6a")</f>
        <v>QB6a</v>
      </c>
      <c r="B92" s="6" t="s">
        <v>181</v>
      </c>
      <c r="C92" s="6" t="s">
        <v>182</v>
      </c>
    </row>
    <row r="93" spans="1:3" x14ac:dyDescent="0.35">
      <c r="A93" s="5" t="str">
        <f>HYPERLINK("#'QB6b'!A1", "QB6b")</f>
        <v>QB6b</v>
      </c>
      <c r="B93" s="6" t="s">
        <v>183</v>
      </c>
      <c r="C93" s="6" t="s">
        <v>184</v>
      </c>
    </row>
    <row r="94" spans="1:3" ht="38.5" x14ac:dyDescent="0.35">
      <c r="A94" s="5" t="str">
        <f>HYPERLINK("#'QB6ab'!A1", "QB6ab")</f>
        <v>QB6ab</v>
      </c>
      <c r="B94" s="6" t="s">
        <v>185</v>
      </c>
      <c r="C94" s="6" t="s">
        <v>186</v>
      </c>
    </row>
    <row r="95" spans="1:3" ht="26" x14ac:dyDescent="0.35">
      <c r="A95" s="5" t="str">
        <f>HYPERLINK("#'QB7'!A1", "QB7")</f>
        <v>QB7</v>
      </c>
      <c r="B95" s="6" t="s">
        <v>187</v>
      </c>
      <c r="C95" s="6" t="s">
        <v>188</v>
      </c>
    </row>
    <row r="96" spans="1:3" ht="26" x14ac:dyDescent="0.35">
      <c r="A96" s="5" t="str">
        <f>HYPERLINK("#'QB8'!A1", "QB8")</f>
        <v>QB8</v>
      </c>
      <c r="B96" s="6" t="s">
        <v>189</v>
      </c>
      <c r="C96" s="6" t="s">
        <v>190</v>
      </c>
    </row>
    <row r="97" spans="1:3" ht="38.5" x14ac:dyDescent="0.35">
      <c r="A97" s="5" t="str">
        <f>HYPERLINK("#'QB9'!A1", "QB9")</f>
        <v>QB9</v>
      </c>
      <c r="B97" s="6" t="s">
        <v>191</v>
      </c>
      <c r="C97" s="6" t="s">
        <v>192</v>
      </c>
    </row>
    <row r="98" spans="1:3" ht="26" x14ac:dyDescent="0.35">
      <c r="A98" s="5" t="str">
        <f>HYPERLINK("#'QB10_1'!A1", "QB10_1")</f>
        <v>QB10_1</v>
      </c>
      <c r="B98" s="6" t="s">
        <v>193</v>
      </c>
      <c r="C98" s="6" t="s">
        <v>194</v>
      </c>
    </row>
    <row r="99" spans="1:3" ht="26" x14ac:dyDescent="0.35">
      <c r="A99" s="5" t="str">
        <f>HYPERLINK("#'QB10_2'!A1", "QB10_2")</f>
        <v>QB10_2</v>
      </c>
      <c r="B99" s="6" t="s">
        <v>195</v>
      </c>
      <c r="C99" s="6" t="s">
        <v>196</v>
      </c>
    </row>
    <row r="100" spans="1:3" ht="26" x14ac:dyDescent="0.35">
      <c r="A100" s="5" t="str">
        <f>HYPERLINK("#'QB10_3'!A1", "QB10_3")</f>
        <v>QB10_3</v>
      </c>
      <c r="B100" s="6" t="s">
        <v>197</v>
      </c>
      <c r="C100" s="6" t="s">
        <v>198</v>
      </c>
    </row>
    <row r="101" spans="1:3" ht="38.5" x14ac:dyDescent="0.35">
      <c r="A101" s="5" t="str">
        <f>HYPERLINK("#'QB11_1'!A1", "QB11_1")</f>
        <v>QB11_1</v>
      </c>
      <c r="B101" s="6" t="s">
        <v>199</v>
      </c>
      <c r="C101" s="6" t="s">
        <v>200</v>
      </c>
    </row>
    <row r="102" spans="1:3" ht="51" x14ac:dyDescent="0.35">
      <c r="A102" s="5" t="str">
        <f>HYPERLINK("#'QB11_2'!A1", "QB11_2")</f>
        <v>QB11_2</v>
      </c>
      <c r="B102" s="6" t="s">
        <v>201</v>
      </c>
      <c r="C102" s="6" t="s">
        <v>202</v>
      </c>
    </row>
    <row r="103" spans="1:3" ht="26" x14ac:dyDescent="0.35">
      <c r="A103" s="5" t="str">
        <f>HYPERLINK("#'QC1_1'!A1", "QC1_1")</f>
        <v>QC1_1</v>
      </c>
      <c r="B103" s="6" t="s">
        <v>203</v>
      </c>
      <c r="C103" s="6" t="s">
        <v>204</v>
      </c>
    </row>
    <row r="104" spans="1:3" ht="26" x14ac:dyDescent="0.35">
      <c r="A104" s="5" t="str">
        <f>HYPERLINK("#'QC1_2'!A1", "QC1_2")</f>
        <v>QC1_2</v>
      </c>
      <c r="B104" s="6" t="s">
        <v>205</v>
      </c>
      <c r="C104" s="6" t="s">
        <v>206</v>
      </c>
    </row>
    <row r="105" spans="1:3" ht="26" x14ac:dyDescent="0.35">
      <c r="A105" s="5" t="str">
        <f>HYPERLINK("#'QC1_3'!A1", "QC1_3")</f>
        <v>QC1_3</v>
      </c>
      <c r="B105" s="6" t="s">
        <v>207</v>
      </c>
      <c r="C105" s="6" t="s">
        <v>208</v>
      </c>
    </row>
    <row r="106" spans="1:3" x14ac:dyDescent="0.35">
      <c r="A106" s="5" t="str">
        <f>HYPERLINK("#'QC1_4'!A1", "QC1_4")</f>
        <v>QC1_4</v>
      </c>
      <c r="B106" s="6" t="s">
        <v>209</v>
      </c>
      <c r="C106" s="6" t="s">
        <v>210</v>
      </c>
    </row>
    <row r="107" spans="1:3" ht="38.5" x14ac:dyDescent="0.35">
      <c r="A107" s="5" t="str">
        <f>HYPERLINK("#'QC2_1'!A1", "QC2_1")</f>
        <v>QC2_1</v>
      </c>
      <c r="B107" s="6" t="s">
        <v>211</v>
      </c>
      <c r="C107" s="6" t="s">
        <v>212</v>
      </c>
    </row>
    <row r="108" spans="1:3" ht="38.5" x14ac:dyDescent="0.35">
      <c r="A108" s="5" t="str">
        <f>HYPERLINK("#'QC2_2'!A1", "QC2_2")</f>
        <v>QC2_2</v>
      </c>
      <c r="B108" s="6" t="s">
        <v>213</v>
      </c>
      <c r="C108" s="6" t="s">
        <v>214</v>
      </c>
    </row>
    <row r="109" spans="1:3" ht="38.5" x14ac:dyDescent="0.35">
      <c r="A109" s="5" t="str">
        <f>HYPERLINK("#'QC2_3'!A1", "QC2_3")</f>
        <v>QC2_3</v>
      </c>
      <c r="B109" s="6" t="s">
        <v>215</v>
      </c>
      <c r="C109" s="6" t="s">
        <v>216</v>
      </c>
    </row>
    <row r="110" spans="1:3" ht="26" x14ac:dyDescent="0.35">
      <c r="A110" s="5" t="str">
        <f>HYPERLINK("#'QC3a'!A1", "QC3a")</f>
        <v>QC3a</v>
      </c>
      <c r="B110" s="6" t="s">
        <v>217</v>
      </c>
      <c r="C110" s="6" t="s">
        <v>218</v>
      </c>
    </row>
    <row r="111" spans="1:3" x14ac:dyDescent="0.35">
      <c r="A111" s="5" t="str">
        <f>HYPERLINK("#'QC3b'!A1", "QC3b")</f>
        <v>QC3b</v>
      </c>
      <c r="B111" s="6" t="s">
        <v>219</v>
      </c>
      <c r="C111" s="6" t="s">
        <v>220</v>
      </c>
    </row>
    <row r="112" spans="1:3" ht="26" x14ac:dyDescent="0.35">
      <c r="A112" s="5" t="str">
        <f>HYPERLINK("#'QC3ab'!A1", "QC3ab")</f>
        <v>QC3ab</v>
      </c>
      <c r="B112" s="6" t="s">
        <v>221</v>
      </c>
      <c r="C112" s="6" t="s">
        <v>222</v>
      </c>
    </row>
    <row r="113" spans="1:3" ht="26" x14ac:dyDescent="0.35">
      <c r="A113" s="5" t="str">
        <f>HYPERLINK("#'QC4'!A1", "QC4")</f>
        <v>QC4</v>
      </c>
      <c r="B113" s="6" t="s">
        <v>223</v>
      </c>
      <c r="C113" s="6" t="s">
        <v>224</v>
      </c>
    </row>
    <row r="114" spans="1:3" ht="38.5" x14ac:dyDescent="0.35">
      <c r="A114" s="5" t="str">
        <f>HYPERLINK("#'QC5_1'!A1", "QC5_1")</f>
        <v>QC5_1</v>
      </c>
      <c r="B114" s="6" t="s">
        <v>225</v>
      </c>
      <c r="C114" s="6" t="s">
        <v>226</v>
      </c>
    </row>
    <row r="115" spans="1:3" ht="38.5" x14ac:dyDescent="0.35">
      <c r="A115" s="5" t="str">
        <f>HYPERLINK("#'QC5_2'!A1", "QC5_2")</f>
        <v>QC5_2</v>
      </c>
      <c r="B115" s="6" t="s">
        <v>227</v>
      </c>
      <c r="C115" s="6" t="s">
        <v>228</v>
      </c>
    </row>
    <row r="116" spans="1:3" ht="38.5" x14ac:dyDescent="0.35">
      <c r="A116" s="5" t="str">
        <f>HYPERLINK("#'QC5_3'!A1", "QC5_3")</f>
        <v>QC5_3</v>
      </c>
      <c r="B116" s="6" t="s">
        <v>229</v>
      </c>
      <c r="C116" s="6" t="s">
        <v>230</v>
      </c>
    </row>
    <row r="117" spans="1:3" ht="38.5" x14ac:dyDescent="0.35">
      <c r="A117" s="5" t="str">
        <f>HYPERLINK("#'SD20a_1'!A1", "SD20a_1")</f>
        <v>SD20a_1</v>
      </c>
      <c r="B117" s="6" t="s">
        <v>231</v>
      </c>
      <c r="C117" s="6" t="s">
        <v>232</v>
      </c>
    </row>
    <row r="118" spans="1:3" ht="38.5" x14ac:dyDescent="0.35">
      <c r="A118" s="5" t="str">
        <f>HYPERLINK("#'SD20a_2'!A1", "SD20a_2")</f>
        <v>SD20a_2</v>
      </c>
      <c r="B118" s="6" t="s">
        <v>233</v>
      </c>
      <c r="C118" s="6" t="s">
        <v>234</v>
      </c>
    </row>
    <row r="119" spans="1:3" ht="38.5" x14ac:dyDescent="0.35">
      <c r="A119" s="5" t="str">
        <f>HYPERLINK("#'SD20a_3'!A1", "SD20a_3")</f>
        <v>SD20a_3</v>
      </c>
      <c r="B119" s="6" t="s">
        <v>235</v>
      </c>
      <c r="C119" s="6" t="s">
        <v>236</v>
      </c>
    </row>
    <row r="120" spans="1:3" ht="26" x14ac:dyDescent="0.35">
      <c r="A120" s="5" t="str">
        <f>HYPERLINK("#'SD20aR1'!A1", "SD20aR1")</f>
        <v>SD20aR1</v>
      </c>
      <c r="B120" s="6" t="s">
        <v>237</v>
      </c>
      <c r="C120" s="6" t="s">
        <v>238</v>
      </c>
    </row>
    <row r="121" spans="1:3" ht="26" x14ac:dyDescent="0.35">
      <c r="A121" s="5" t="str">
        <f>HYPERLINK("#'SD20aR2'!A1", "SD20aR2")</f>
        <v>SD20aR2</v>
      </c>
      <c r="B121" s="6" t="s">
        <v>239</v>
      </c>
      <c r="C121" s="6" t="s">
        <v>240</v>
      </c>
    </row>
    <row r="122" spans="1:3" ht="26" x14ac:dyDescent="0.35">
      <c r="A122" s="5" t="str">
        <f>HYPERLINK("#'QD1_1'!A1", "QD1_1")</f>
        <v>QD1_1</v>
      </c>
      <c r="B122" s="6" t="s">
        <v>241</v>
      </c>
      <c r="C122" s="6" t="s">
        <v>242</v>
      </c>
    </row>
    <row r="123" spans="1:3" ht="26" x14ac:dyDescent="0.35">
      <c r="A123" s="5" t="str">
        <f>HYPERLINK("#'QD1_2'!A1", "QD1_2")</f>
        <v>QD1_2</v>
      </c>
      <c r="B123" s="6" t="s">
        <v>243</v>
      </c>
      <c r="C123" s="6" t="s">
        <v>244</v>
      </c>
    </row>
    <row r="124" spans="1:3" ht="51" x14ac:dyDescent="0.35">
      <c r="A124" s="5" t="str">
        <f>HYPERLINK("#'QD2_1'!A1", "QD2_1")</f>
        <v>QD2_1</v>
      </c>
      <c r="B124" s="6" t="s">
        <v>245</v>
      </c>
      <c r="C124" s="6" t="s">
        <v>246</v>
      </c>
    </row>
    <row r="125" spans="1:3" ht="38.5" x14ac:dyDescent="0.35">
      <c r="A125" s="5" t="str">
        <f>HYPERLINK("#'QD2_2'!A1", "QD2_2")</f>
        <v>QD2_2</v>
      </c>
      <c r="B125" s="6" t="s">
        <v>247</v>
      </c>
      <c r="C125" s="6" t="s">
        <v>248</v>
      </c>
    </row>
    <row r="126" spans="1:3" ht="38.5" x14ac:dyDescent="0.35">
      <c r="A126" s="5" t="str">
        <f>HYPERLINK("#'QD2_3'!A1", "QD2_3")</f>
        <v>QD2_3</v>
      </c>
      <c r="B126" s="6" t="s">
        <v>249</v>
      </c>
      <c r="C126" s="6" t="s">
        <v>250</v>
      </c>
    </row>
    <row r="127" spans="1:3" ht="38.5" x14ac:dyDescent="0.35">
      <c r="A127" s="5" t="str">
        <f>HYPERLINK("#'QD2_4'!A1", "QD2_4")</f>
        <v>QD2_4</v>
      </c>
      <c r="B127" s="6" t="s">
        <v>251</v>
      </c>
      <c r="C127" s="6" t="s">
        <v>252</v>
      </c>
    </row>
    <row r="128" spans="1:3" ht="38.5" x14ac:dyDescent="0.35">
      <c r="A128" s="5" t="str">
        <f>HYPERLINK("#'QD2_5'!A1", "QD2_5")</f>
        <v>QD2_5</v>
      </c>
      <c r="B128" s="6" t="s">
        <v>253</v>
      </c>
      <c r="C128" s="6" t="s">
        <v>254</v>
      </c>
    </row>
    <row r="129" spans="1:3" ht="38.5" x14ac:dyDescent="0.35">
      <c r="A129" s="5" t="str">
        <f>HYPERLINK("#'QD3_1'!A1", "QD3_1")</f>
        <v>QD3_1</v>
      </c>
      <c r="B129" s="6" t="s">
        <v>255</v>
      </c>
      <c r="C129" s="6" t="s">
        <v>256</v>
      </c>
    </row>
    <row r="130" spans="1:3" ht="38.5" x14ac:dyDescent="0.35">
      <c r="A130" s="5" t="str">
        <f>HYPERLINK("#'QD3_2'!A1", "QD3_2")</f>
        <v>QD3_2</v>
      </c>
      <c r="B130" s="6" t="s">
        <v>257</v>
      </c>
      <c r="C130" s="6" t="s">
        <v>258</v>
      </c>
    </row>
    <row r="131" spans="1:3" ht="38.5" x14ac:dyDescent="0.35">
      <c r="A131" s="5" t="str">
        <f>HYPERLINK("#'QD3_3'!A1", "QD3_3")</f>
        <v>QD3_3</v>
      </c>
      <c r="B131" s="6" t="s">
        <v>259</v>
      </c>
      <c r="C131" s="6" t="s">
        <v>260</v>
      </c>
    </row>
    <row r="132" spans="1:3" ht="38.5" x14ac:dyDescent="0.35">
      <c r="A132" s="5" t="str">
        <f>HYPERLINK("#'QD3_4'!A1", "QD3_4")</f>
        <v>QD3_4</v>
      </c>
      <c r="B132" s="6" t="s">
        <v>261</v>
      </c>
      <c r="C132" s="6" t="s">
        <v>262</v>
      </c>
    </row>
    <row r="133" spans="1:3" ht="38.5" x14ac:dyDescent="0.35">
      <c r="A133" s="5" t="str">
        <f>HYPERLINK("#'QD3_5'!A1", "QD3_5")</f>
        <v>QD3_5</v>
      </c>
      <c r="B133" s="6" t="s">
        <v>263</v>
      </c>
      <c r="C133" s="6" t="s">
        <v>264</v>
      </c>
    </row>
    <row r="134" spans="1:3" ht="38.5" x14ac:dyDescent="0.35">
      <c r="A134" s="5" t="str">
        <f>HYPERLINK("#'QD3_6'!A1", "QD3_6")</f>
        <v>QD3_6</v>
      </c>
      <c r="B134" s="6" t="s">
        <v>265</v>
      </c>
      <c r="C134" s="6" t="s">
        <v>266</v>
      </c>
    </row>
    <row r="135" spans="1:3" ht="38.5" x14ac:dyDescent="0.35">
      <c r="A135" s="5" t="str">
        <f>HYPERLINK("#'QD3_7'!A1", "QD3_7")</f>
        <v>QD3_7</v>
      </c>
      <c r="B135" s="6" t="s">
        <v>267</v>
      </c>
      <c r="C135" s="6" t="s">
        <v>268</v>
      </c>
    </row>
    <row r="136" spans="1:3" ht="38.5" x14ac:dyDescent="0.35">
      <c r="A136" s="5" t="str">
        <f>HYPERLINK("#'QD3_8'!A1", "QD3_8")</f>
        <v>QD3_8</v>
      </c>
      <c r="B136" s="6" t="s">
        <v>269</v>
      </c>
      <c r="C136" s="6" t="s">
        <v>270</v>
      </c>
    </row>
    <row r="137" spans="1:3" ht="51" x14ac:dyDescent="0.35">
      <c r="A137" s="5" t="str">
        <f>HYPERLINK("#'QD3_9'!A1", "QD3_9")</f>
        <v>QD3_9</v>
      </c>
      <c r="B137" s="6" t="s">
        <v>271</v>
      </c>
      <c r="C137" s="6" t="s">
        <v>272</v>
      </c>
    </row>
    <row r="138" spans="1:3" ht="51" x14ac:dyDescent="0.35">
      <c r="A138" s="5" t="str">
        <f>HYPERLINK("#'QD3_10'!A1", "QD3_10")</f>
        <v>QD3_10</v>
      </c>
      <c r="B138" s="6" t="s">
        <v>273</v>
      </c>
      <c r="C138" s="6" t="s">
        <v>274</v>
      </c>
    </row>
    <row r="139" spans="1:3" ht="26" x14ac:dyDescent="0.35">
      <c r="A139" s="5" t="str">
        <f>HYPERLINK("#'QE1'!A1", "QE1")</f>
        <v>QE1</v>
      </c>
      <c r="B139" s="6" t="s">
        <v>275</v>
      </c>
      <c r="C139" s="6" t="s">
        <v>276</v>
      </c>
    </row>
    <row r="140" spans="1:3" ht="26" x14ac:dyDescent="0.35">
      <c r="A140" s="5" t="str">
        <f>HYPERLINK("#'QE2_1'!A1", "QE2_1")</f>
        <v>QE2_1</v>
      </c>
      <c r="B140" s="6" t="s">
        <v>277</v>
      </c>
      <c r="C140" s="6" t="s">
        <v>278</v>
      </c>
    </row>
    <row r="141" spans="1:3" ht="26" x14ac:dyDescent="0.35">
      <c r="A141" s="5" t="str">
        <f>HYPERLINK("#'QE2_2'!A1", "QE2_2")</f>
        <v>QE2_2</v>
      </c>
      <c r="B141" s="6" t="s">
        <v>279</v>
      </c>
      <c r="C141" s="6" t="s">
        <v>280</v>
      </c>
    </row>
    <row r="142" spans="1:3" x14ac:dyDescent="0.35">
      <c r="A142" s="5" t="str">
        <f>HYPERLINK("#'QE2_3'!A1", "QE2_3")</f>
        <v>QE2_3</v>
      </c>
      <c r="B142" s="6" t="s">
        <v>281</v>
      </c>
      <c r="C142" s="6" t="s">
        <v>282</v>
      </c>
    </row>
    <row r="143" spans="1:3" x14ac:dyDescent="0.35">
      <c r="A143" s="5" t="str">
        <f>HYPERLINK("#'QE2_4'!A1", "QE2_4")</f>
        <v>QE2_4</v>
      </c>
      <c r="B143" s="6" t="s">
        <v>283</v>
      </c>
      <c r="C143" s="6" t="s">
        <v>284</v>
      </c>
    </row>
    <row r="144" spans="1:3" x14ac:dyDescent="0.35">
      <c r="A144" s="5" t="str">
        <f>HYPERLINK("#'QE2_5'!A1", "QE2_5")</f>
        <v>QE2_5</v>
      </c>
      <c r="B144" s="6" t="s">
        <v>285</v>
      </c>
      <c r="C144" s="6" t="s">
        <v>286</v>
      </c>
    </row>
    <row r="145" spans="1:3" ht="26" x14ac:dyDescent="0.35">
      <c r="A145" s="5" t="str">
        <f>HYPERLINK("#'QE2_6'!A1", "QE2_6")</f>
        <v>QE2_6</v>
      </c>
      <c r="B145" s="6" t="s">
        <v>287</v>
      </c>
      <c r="C145" s="6" t="s">
        <v>288</v>
      </c>
    </row>
    <row r="146" spans="1:3" ht="26" x14ac:dyDescent="0.35">
      <c r="A146" s="5" t="str">
        <f>HYPERLINK("#'QE2_7'!A1", "QE2_7")</f>
        <v>QE2_7</v>
      </c>
      <c r="B146" s="6" t="s">
        <v>289</v>
      </c>
      <c r="C146" s="6" t="s">
        <v>290</v>
      </c>
    </row>
    <row r="147" spans="1:3" x14ac:dyDescent="0.35">
      <c r="A147" s="5" t="str">
        <f>HYPERLINK("#'QE2R'!A1", "QE2R")</f>
        <v>QE2R</v>
      </c>
      <c r="B147" s="6" t="s">
        <v>291</v>
      </c>
      <c r="C147" s="6" t="s">
        <v>292</v>
      </c>
    </row>
    <row r="148" spans="1:3" x14ac:dyDescent="0.35">
      <c r="A148" s="5" t="str">
        <f>HYPERLINK("#'C4'!A1", "C4")</f>
        <v>C4</v>
      </c>
      <c r="B148" s="6" t="s">
        <v>293</v>
      </c>
      <c r="C148" s="6" t="s">
        <v>294</v>
      </c>
    </row>
    <row r="149" spans="1:3" ht="51" x14ac:dyDescent="0.35">
      <c r="A149" s="5" t="str">
        <f>HYPERLINK("#'QE3_1'!A1", "QE3_1")</f>
        <v>QE3_1</v>
      </c>
      <c r="B149" s="6" t="s">
        <v>295</v>
      </c>
      <c r="C149" s="6" t="s">
        <v>296</v>
      </c>
    </row>
    <row r="150" spans="1:3" ht="38.5" x14ac:dyDescent="0.35">
      <c r="A150" s="5" t="str">
        <f>HYPERLINK("#'QE3_2'!A1", "QE3_2")</f>
        <v>QE3_2</v>
      </c>
      <c r="B150" s="6" t="s">
        <v>297</v>
      </c>
      <c r="C150" s="6" t="s">
        <v>298</v>
      </c>
    </row>
    <row r="151" spans="1:3" ht="38.5" x14ac:dyDescent="0.35">
      <c r="A151" s="5" t="str">
        <f>HYPERLINK("#'QE3_3'!A1", "QE3_3")</f>
        <v>QE3_3</v>
      </c>
      <c r="B151" s="6" t="s">
        <v>299</v>
      </c>
      <c r="C151" s="6" t="s">
        <v>300</v>
      </c>
    </row>
    <row r="152" spans="1:3" ht="51" x14ac:dyDescent="0.35">
      <c r="A152" s="5" t="str">
        <f>HYPERLINK("#'QE3_4'!A1", "QE3_4")</f>
        <v>QE3_4</v>
      </c>
      <c r="B152" s="6" t="s">
        <v>301</v>
      </c>
      <c r="C152" s="6" t="s">
        <v>302</v>
      </c>
    </row>
    <row r="153" spans="1:3" ht="51" x14ac:dyDescent="0.35">
      <c r="A153" s="5" t="str">
        <f>HYPERLINK("#'QE3_5'!A1", "QE3_5")</f>
        <v>QE3_5</v>
      </c>
      <c r="B153" s="6" t="s">
        <v>303</v>
      </c>
      <c r="C153" s="6" t="s">
        <v>304</v>
      </c>
    </row>
    <row r="154" spans="1:3" x14ac:dyDescent="0.35">
      <c r="A154" s="5" t="str">
        <f>HYPERLINK("#'C5'!A1", "C5")</f>
        <v>C5</v>
      </c>
      <c r="B154" s="6" t="s">
        <v>305</v>
      </c>
      <c r="C154" s="6" t="s">
        <v>306</v>
      </c>
    </row>
    <row r="155" spans="1:3" ht="26" x14ac:dyDescent="0.35">
      <c r="A155" s="5" t="str">
        <f>HYPERLINK("#'QE4a'!A1", "QE4a")</f>
        <v>QE4a</v>
      </c>
      <c r="B155" s="6" t="s">
        <v>307</v>
      </c>
      <c r="C155" s="6" t="s">
        <v>308</v>
      </c>
    </row>
    <row r="156" spans="1:3" x14ac:dyDescent="0.35">
      <c r="A156" s="5" t="str">
        <f>HYPERLINK("#'QE4b'!A1", "QE4b")</f>
        <v>QE4b</v>
      </c>
      <c r="B156" s="6" t="s">
        <v>309</v>
      </c>
      <c r="C156" s="6" t="s">
        <v>310</v>
      </c>
    </row>
    <row r="157" spans="1:3" ht="38.5" x14ac:dyDescent="0.35">
      <c r="A157" s="5" t="str">
        <f>HYPERLINK("#'QE4ab'!A1", "QE4ab")</f>
        <v>QE4ab</v>
      </c>
      <c r="B157" s="6" t="s">
        <v>311</v>
      </c>
      <c r="C157" s="6" t="s">
        <v>312</v>
      </c>
    </row>
    <row r="158" spans="1:3" ht="38.5" x14ac:dyDescent="0.35">
      <c r="A158" s="5" t="str">
        <f>HYPERLINK("#'QE5'!A1", "QE5")</f>
        <v>QE5</v>
      </c>
      <c r="B158" s="6" t="s">
        <v>313</v>
      </c>
      <c r="C158" s="6" t="s">
        <v>314</v>
      </c>
    </row>
    <row r="159" spans="1:3" ht="63.5" x14ac:dyDescent="0.35">
      <c r="A159" s="5" t="str">
        <f>HYPERLINK("#'QE6_1'!A1", "QE6_1")</f>
        <v>QE6_1</v>
      </c>
      <c r="B159" s="6" t="s">
        <v>315</v>
      </c>
      <c r="C159" s="6" t="s">
        <v>316</v>
      </c>
    </row>
    <row r="160" spans="1:3" ht="63.5" x14ac:dyDescent="0.35">
      <c r="A160" s="5" t="str">
        <f>HYPERLINK("#'QE6_2'!A1", "QE6_2")</f>
        <v>QE6_2</v>
      </c>
      <c r="B160" s="6" t="s">
        <v>317</v>
      </c>
      <c r="C160" s="6" t="s">
        <v>318</v>
      </c>
    </row>
    <row r="161" spans="1:3" ht="63.5" x14ac:dyDescent="0.35">
      <c r="A161" s="5" t="str">
        <f>HYPERLINK("#'QE6_3'!A1", "QE6_3")</f>
        <v>QE6_3</v>
      </c>
      <c r="B161" s="6" t="s">
        <v>319</v>
      </c>
      <c r="C161" s="6" t="s">
        <v>320</v>
      </c>
    </row>
    <row r="162" spans="1:3" ht="63.5" x14ac:dyDescent="0.35">
      <c r="A162" s="5" t="str">
        <f>HYPERLINK("#'QE6_4'!A1", "QE6_4")</f>
        <v>QE6_4</v>
      </c>
      <c r="B162" s="6" t="s">
        <v>321</v>
      </c>
      <c r="C162" s="6" t="s">
        <v>322</v>
      </c>
    </row>
    <row r="163" spans="1:3" ht="63.5" x14ac:dyDescent="0.35">
      <c r="A163" s="5" t="str">
        <f>HYPERLINK("#'QE6R_1'!A1", "QE6R_1")</f>
        <v>QE6R_1</v>
      </c>
      <c r="B163" s="6" t="s">
        <v>323</v>
      </c>
      <c r="C163" s="6" t="s">
        <v>324</v>
      </c>
    </row>
    <row r="164" spans="1:3" ht="63.5" x14ac:dyDescent="0.35">
      <c r="A164" s="5" t="str">
        <f>HYPERLINK("#'QE6R_2'!A1", "QE6R_2")</f>
        <v>QE6R_2</v>
      </c>
      <c r="B164" s="6" t="s">
        <v>325</v>
      </c>
      <c r="C164" s="6" t="s">
        <v>326</v>
      </c>
    </row>
    <row r="165" spans="1:3" ht="63.5" x14ac:dyDescent="0.35">
      <c r="A165" s="5" t="str">
        <f>HYPERLINK("#'QE6R_3'!A1", "QE6R_3")</f>
        <v>QE6R_3</v>
      </c>
      <c r="B165" s="6" t="s">
        <v>327</v>
      </c>
      <c r="C165" s="6" t="s">
        <v>328</v>
      </c>
    </row>
    <row r="166" spans="1:3" ht="63.5" x14ac:dyDescent="0.35">
      <c r="A166" s="5" t="str">
        <f>HYPERLINK("#'QE6R_4'!A1", "QE6R_4")</f>
        <v>QE6R_4</v>
      </c>
      <c r="B166" s="6" t="s">
        <v>329</v>
      </c>
      <c r="C166" s="6" t="s">
        <v>330</v>
      </c>
    </row>
    <row r="167" spans="1:3" ht="38.5" x14ac:dyDescent="0.35">
      <c r="A167" s="5" t="str">
        <f>HYPERLINK("#'QE7_1'!A1", "QE7_1")</f>
        <v>QE7_1</v>
      </c>
      <c r="B167" s="6" t="s">
        <v>331</v>
      </c>
      <c r="C167" s="6" t="s">
        <v>332</v>
      </c>
    </row>
    <row r="168" spans="1:3" ht="38.5" x14ac:dyDescent="0.35">
      <c r="A168" s="5" t="str">
        <f>HYPERLINK("#'QE7_2'!A1", "QE7_2")</f>
        <v>QE7_2</v>
      </c>
      <c r="B168" s="6" t="s">
        <v>333</v>
      </c>
      <c r="C168" s="6" t="s">
        <v>334</v>
      </c>
    </row>
    <row r="169" spans="1:3" ht="51" x14ac:dyDescent="0.35">
      <c r="A169" s="5" t="str">
        <f>HYPERLINK("#'QE7_3'!A1", "QE7_3")</f>
        <v>QE7_3</v>
      </c>
      <c r="B169" s="6" t="s">
        <v>335</v>
      </c>
      <c r="C169" s="6" t="s">
        <v>336</v>
      </c>
    </row>
    <row r="170" spans="1:3" ht="38.5" x14ac:dyDescent="0.35">
      <c r="A170" s="5" t="str">
        <f>HYPERLINK("#'QE7_4'!A1", "QE7_4")</f>
        <v>QE7_4</v>
      </c>
      <c r="B170" s="6" t="s">
        <v>337</v>
      </c>
      <c r="C170" s="6" t="s">
        <v>338</v>
      </c>
    </row>
    <row r="171" spans="1:3" ht="51" x14ac:dyDescent="0.35">
      <c r="A171" s="5" t="str">
        <f>HYPERLINK("#'QE8_1'!A1", "QE8_1")</f>
        <v>QE8_1</v>
      </c>
      <c r="B171" s="6" t="s">
        <v>339</v>
      </c>
      <c r="C171" s="6" t="s">
        <v>340</v>
      </c>
    </row>
    <row r="172" spans="1:3" ht="51" x14ac:dyDescent="0.35">
      <c r="A172" s="5" t="str">
        <f>HYPERLINK("#'QE8_2'!A1", "QE8_2")</f>
        <v>QE8_2</v>
      </c>
      <c r="B172" s="6" t="s">
        <v>341</v>
      </c>
      <c r="C172" s="6" t="s">
        <v>342</v>
      </c>
    </row>
    <row r="173" spans="1:3" ht="51" x14ac:dyDescent="0.35">
      <c r="A173" s="5" t="str">
        <f>HYPERLINK("#'QE8_3'!A1", "QE8_3")</f>
        <v>QE8_3</v>
      </c>
      <c r="B173" s="6" t="s">
        <v>343</v>
      </c>
      <c r="C173" s="6" t="s">
        <v>344</v>
      </c>
    </row>
    <row r="174" spans="1:3" ht="51" x14ac:dyDescent="0.35">
      <c r="A174" s="5" t="str">
        <f>HYPERLINK("#'QE8_4'!A1", "QE8_4")</f>
        <v>QE8_4</v>
      </c>
      <c r="B174" s="6" t="s">
        <v>345</v>
      </c>
      <c r="C174" s="6" t="s">
        <v>346</v>
      </c>
    </row>
    <row r="175" spans="1:3" x14ac:dyDescent="0.35">
      <c r="A175" s="5" t="str">
        <f>HYPERLINK("#'QF1'!A1", "QF1")</f>
        <v>QF1</v>
      </c>
      <c r="B175" s="6" t="s">
        <v>347</v>
      </c>
      <c r="C175" s="6" t="s">
        <v>348</v>
      </c>
    </row>
    <row r="176" spans="1:3" ht="26" x14ac:dyDescent="0.35">
      <c r="A176" s="5" t="str">
        <f>HYPERLINK("#'QF2a'!A1", "QF2a")</f>
        <v>QF2a</v>
      </c>
      <c r="B176" s="6" t="s">
        <v>349</v>
      </c>
      <c r="C176" s="6" t="s">
        <v>350</v>
      </c>
    </row>
    <row r="177" spans="1:3" x14ac:dyDescent="0.35">
      <c r="A177" s="5" t="str">
        <f>HYPERLINK("#'QF2b'!A1", "QF2b")</f>
        <v>QF2b</v>
      </c>
      <c r="B177" s="6" t="s">
        <v>351</v>
      </c>
      <c r="C177" s="6" t="s">
        <v>352</v>
      </c>
    </row>
    <row r="178" spans="1:3" ht="38.5" x14ac:dyDescent="0.35">
      <c r="A178" s="5" t="str">
        <f>HYPERLINK("#'QF2ab'!A1", "QF2ab")</f>
        <v>QF2ab</v>
      </c>
      <c r="B178" s="6" t="s">
        <v>353</v>
      </c>
      <c r="C178" s="6" t="s">
        <v>354</v>
      </c>
    </row>
    <row r="179" spans="1:3" ht="26" x14ac:dyDescent="0.35">
      <c r="A179" s="5" t="str">
        <f>HYPERLINK("#'QF3a'!A1", "QF3a")</f>
        <v>QF3a</v>
      </c>
      <c r="B179" s="6" t="s">
        <v>355</v>
      </c>
      <c r="C179" s="6" t="s">
        <v>356</v>
      </c>
    </row>
    <row r="180" spans="1:3" x14ac:dyDescent="0.35">
      <c r="A180" s="5" t="str">
        <f>HYPERLINK("#'QF3b'!A1", "QF3b")</f>
        <v>QF3b</v>
      </c>
      <c r="B180" s="6" t="s">
        <v>357</v>
      </c>
      <c r="C180" s="6" t="s">
        <v>358</v>
      </c>
    </row>
    <row r="181" spans="1:3" ht="38.5" x14ac:dyDescent="0.35">
      <c r="A181" s="5" t="str">
        <f>HYPERLINK("#'QF3ab'!A1", "QF3ab")</f>
        <v>QF3ab</v>
      </c>
      <c r="B181" s="6" t="s">
        <v>359</v>
      </c>
      <c r="C181" s="6" t="s">
        <v>360</v>
      </c>
    </row>
    <row r="182" spans="1:3" x14ac:dyDescent="0.35">
      <c r="A182" s="5" t="str">
        <f>HYPERLINK("#'QF4'!A1", "QF4")</f>
        <v>QF4</v>
      </c>
      <c r="B182" s="6" t="s">
        <v>361</v>
      </c>
      <c r="C182" s="6" t="s">
        <v>362</v>
      </c>
    </row>
    <row r="183" spans="1:3" x14ac:dyDescent="0.35">
      <c r="A183" s="5" t="str">
        <f>HYPERLINK("#'D11'!A1", "D11")</f>
        <v>D11</v>
      </c>
      <c r="B183" s="6" t="s">
        <v>363</v>
      </c>
      <c r="C183" s="6" t="s">
        <v>364</v>
      </c>
    </row>
    <row r="184" spans="1:3" x14ac:dyDescent="0.35">
      <c r="A184" s="5" t="str">
        <f>HYPERLINK("#'D11R'!A1", "D11R")</f>
        <v>D11R</v>
      </c>
      <c r="B184" s="6" t="s">
        <v>365</v>
      </c>
      <c r="C184" s="6" t="s">
        <v>366</v>
      </c>
    </row>
    <row r="185" spans="1:3" x14ac:dyDescent="0.35">
      <c r="A185" s="5" t="str">
        <f>HYPERLINK("#'D11bis'!A1", "D11bis")</f>
        <v>D11bis</v>
      </c>
      <c r="B185" s="6" t="s">
        <v>367</v>
      </c>
      <c r="C185" s="6" t="s">
        <v>368</v>
      </c>
    </row>
    <row r="186" spans="1:3" x14ac:dyDescent="0.35">
      <c r="A186" s="5" t="str">
        <f>HYPERLINK("#'D11G'!A1", "D11G")</f>
        <v>D11G</v>
      </c>
      <c r="B186" s="6" t="s">
        <v>369</v>
      </c>
      <c r="C186" s="6" t="s">
        <v>370</v>
      </c>
    </row>
    <row r="187" spans="1:3" ht="26" x14ac:dyDescent="0.35">
      <c r="A187" s="5" t="str">
        <f>HYPERLINK("#'D7'!A1", "D7")</f>
        <v>D7</v>
      </c>
      <c r="B187" s="6" t="s">
        <v>371</v>
      </c>
      <c r="C187" s="6" t="s">
        <v>372</v>
      </c>
    </row>
    <row r="188" spans="1:3" x14ac:dyDescent="0.35">
      <c r="A188" s="5" t="str">
        <f>HYPERLINK("#'D7R1'!A1", "D7R1")</f>
        <v>D7R1</v>
      </c>
      <c r="B188" s="6" t="s">
        <v>373</v>
      </c>
      <c r="C188" s="6" t="s">
        <v>374</v>
      </c>
    </row>
    <row r="189" spans="1:3" x14ac:dyDescent="0.35">
      <c r="A189" s="5" t="str">
        <f>HYPERLINK("#'D7R2'!A1", "D7R2")</f>
        <v>D7R2</v>
      </c>
      <c r="B189" s="6" t="s">
        <v>375</v>
      </c>
      <c r="C189" s="6" t="s">
        <v>376</v>
      </c>
    </row>
    <row r="190" spans="1:3" x14ac:dyDescent="0.35">
      <c r="A190" s="5" t="str">
        <f>HYPERLINK("#'D8'!A1", "D8")</f>
        <v>D8</v>
      </c>
      <c r="B190" s="6" t="s">
        <v>377</v>
      </c>
      <c r="C190" s="6" t="s">
        <v>378</v>
      </c>
    </row>
    <row r="191" spans="1:3" x14ac:dyDescent="0.35">
      <c r="A191" s="5" t="str">
        <f>HYPERLINK("#'D8c'!A1", "D8c")</f>
        <v>D8c</v>
      </c>
      <c r="B191" s="6" t="s">
        <v>379</v>
      </c>
      <c r="C191" s="6" t="s">
        <v>380</v>
      </c>
    </row>
    <row r="192" spans="1:3" x14ac:dyDescent="0.35">
      <c r="A192" s="5" t="str">
        <f>HYPERLINK("#'D10'!A1", "D10")</f>
        <v>D10</v>
      </c>
      <c r="B192" s="6" t="s">
        <v>381</v>
      </c>
      <c r="C192" s="6" t="s">
        <v>382</v>
      </c>
    </row>
    <row r="193" spans="1:3" x14ac:dyDescent="0.35">
      <c r="A193" s="5" t="str">
        <f>HYPERLINK("#'D15a'!A1", "D15a")</f>
        <v>D15a</v>
      </c>
      <c r="B193" s="6" t="s">
        <v>383</v>
      </c>
      <c r="C193" s="6" t="s">
        <v>384</v>
      </c>
    </row>
    <row r="194" spans="1:3" x14ac:dyDescent="0.35">
      <c r="A194" s="5" t="str">
        <f>HYPERLINK("#'D15a2'!A1", "D15a2")</f>
        <v>D15a2</v>
      </c>
      <c r="B194" s="6" t="s">
        <v>385</v>
      </c>
      <c r="C194" s="6" t="s">
        <v>386</v>
      </c>
    </row>
    <row r="195" spans="1:3" x14ac:dyDescent="0.35">
      <c r="A195" s="5" t="str">
        <f>HYPERLINK("#'C14'!A1", "C14")</f>
        <v>C14</v>
      </c>
      <c r="B195" s="6" t="s">
        <v>387</v>
      </c>
      <c r="C195" s="6" t="s">
        <v>388</v>
      </c>
    </row>
    <row r="196" spans="1:3" ht="26" x14ac:dyDescent="0.35">
      <c r="A196" s="5" t="str">
        <f>HYPERLINK("#'D15b'!A1", "D15b")</f>
        <v>D15b</v>
      </c>
      <c r="B196" s="6" t="s">
        <v>389</v>
      </c>
      <c r="C196" s="6" t="s">
        <v>390</v>
      </c>
    </row>
    <row r="197" spans="1:3" x14ac:dyDescent="0.35">
      <c r="A197" s="5" t="str">
        <f>HYPERLINK("#'D15b2'!A1", "D15b2")</f>
        <v>D15b2</v>
      </c>
      <c r="B197" s="6" t="s">
        <v>391</v>
      </c>
      <c r="C197" s="6" t="s">
        <v>392</v>
      </c>
    </row>
    <row r="198" spans="1:3" x14ac:dyDescent="0.35">
      <c r="A198" s="5" t="str">
        <f>HYPERLINK("#'D25'!A1", "D25")</f>
        <v>D25</v>
      </c>
      <c r="B198" s="6" t="s">
        <v>393</v>
      </c>
      <c r="C198" s="6" t="s">
        <v>394</v>
      </c>
    </row>
    <row r="199" spans="1:3" ht="26" x14ac:dyDescent="0.35">
      <c r="A199" s="5" t="str">
        <f>HYPERLINK("#'D40a'!A1", "D40a")</f>
        <v>D40a</v>
      </c>
      <c r="B199" s="6" t="s">
        <v>395</v>
      </c>
      <c r="C199" s="6" t="s">
        <v>396</v>
      </c>
    </row>
    <row r="200" spans="1:3" x14ac:dyDescent="0.35">
      <c r="A200" s="5" t="str">
        <f>HYPERLINK("#'D40b'!A1", "D40b")</f>
        <v>D40b</v>
      </c>
      <c r="B200" s="6" t="s">
        <v>397</v>
      </c>
      <c r="C200" s="6" t="s">
        <v>398</v>
      </c>
    </row>
    <row r="201" spans="1:3" x14ac:dyDescent="0.35">
      <c r="A201" s="5" t="str">
        <f>HYPERLINK("#'D40c'!A1", "D40c")</f>
        <v>D40c</v>
      </c>
      <c r="B201" s="6" t="s">
        <v>399</v>
      </c>
      <c r="C201" s="6" t="s">
        <v>400</v>
      </c>
    </row>
    <row r="202" spans="1:3" x14ac:dyDescent="0.35">
      <c r="A202" s="5" t="str">
        <f>HYPERLINK("#'D40'!A1", "D40")</f>
        <v>D40</v>
      </c>
      <c r="B202" s="6" t="s">
        <v>401</v>
      </c>
      <c r="C202" s="6" t="s">
        <v>402</v>
      </c>
    </row>
    <row r="203" spans="1:3" x14ac:dyDescent="0.35">
      <c r="A203" s="5" t="str">
        <f>HYPERLINK("#'D40R'!A1", "D40R")</f>
        <v>D40R</v>
      </c>
      <c r="B203" s="6" t="s">
        <v>403</v>
      </c>
      <c r="C203" s="6" t="s">
        <v>404</v>
      </c>
    </row>
    <row r="204" spans="1:3" ht="26" x14ac:dyDescent="0.35">
      <c r="A204" s="5" t="str">
        <f>HYPERLINK("#'D60'!A1", "D60")</f>
        <v>D60</v>
      </c>
      <c r="B204" s="6" t="s">
        <v>405</v>
      </c>
      <c r="C204" s="6" t="s">
        <v>406</v>
      </c>
    </row>
    <row r="205" spans="1:3" x14ac:dyDescent="0.35">
      <c r="A205" s="5" t="str">
        <f>HYPERLINK("#'D62_1'!A1", "D62_1")</f>
        <v>D62_1</v>
      </c>
      <c r="B205" s="6" t="s">
        <v>407</v>
      </c>
      <c r="C205" s="6" t="s">
        <v>408</v>
      </c>
    </row>
    <row r="206" spans="1:3" x14ac:dyDescent="0.35">
      <c r="A206" s="5" t="str">
        <f>HYPERLINK("#'D62_2'!A1", "D62_2")</f>
        <v>D62_2</v>
      </c>
      <c r="B206" s="6" t="s">
        <v>409</v>
      </c>
      <c r="C206" s="6" t="s">
        <v>410</v>
      </c>
    </row>
    <row r="207" spans="1:3" ht="26" x14ac:dyDescent="0.35">
      <c r="A207" s="5" t="str">
        <f>HYPERLINK("#'D62_3'!A1", "D62_3")</f>
        <v>D62_3</v>
      </c>
      <c r="B207" s="6" t="s">
        <v>411</v>
      </c>
      <c r="C207" s="6" t="s">
        <v>412</v>
      </c>
    </row>
    <row r="208" spans="1:3" ht="26" x14ac:dyDescent="0.35">
      <c r="A208" s="5" t="str">
        <f>HYPERLINK("#'D62_4'!A1", "D62_4")</f>
        <v>D62_4</v>
      </c>
      <c r="B208" s="6" t="s">
        <v>413</v>
      </c>
      <c r="C208" s="6" t="s">
        <v>414</v>
      </c>
    </row>
    <row r="209" spans="1:3" x14ac:dyDescent="0.35">
      <c r="A209" s="5" t="str">
        <f>HYPERLINK("#'D62R'!A1", "D62R")</f>
        <v>D62R</v>
      </c>
      <c r="B209" s="6" t="s">
        <v>415</v>
      </c>
      <c r="C209" s="6" t="s">
        <v>416</v>
      </c>
    </row>
    <row r="210" spans="1:3" x14ac:dyDescent="0.35">
      <c r="A210" s="5" t="str">
        <f>HYPERLINK("#'D63'!A1", "D63")</f>
        <v>D63</v>
      </c>
      <c r="B210" s="6" t="s">
        <v>417</v>
      </c>
      <c r="C210" s="6" t="s">
        <v>418</v>
      </c>
    </row>
    <row r="211" spans="1:3" ht="38.5" x14ac:dyDescent="0.35">
      <c r="A211" s="5" t="str">
        <f>HYPERLINK("#'D1'!A1", "D1")</f>
        <v>D1</v>
      </c>
      <c r="B211" s="6" t="s">
        <v>419</v>
      </c>
      <c r="C211" s="6" t="s">
        <v>420</v>
      </c>
    </row>
    <row r="212" spans="1:3" x14ac:dyDescent="0.35">
      <c r="A212" s="5" t="str">
        <f>HYPERLINK("#'D1R1'!A1", "D1R1")</f>
        <v>D1R1</v>
      </c>
      <c r="B212" s="6" t="s">
        <v>421</v>
      </c>
      <c r="C212" s="6" t="s">
        <v>422</v>
      </c>
    </row>
    <row r="213" spans="1:3" x14ac:dyDescent="0.35">
      <c r="A213" s="5" t="str">
        <f>HYPERLINK("#'D1R2'!A1", "D1R2")</f>
        <v>D1R2</v>
      </c>
      <c r="B213" s="6" t="s">
        <v>423</v>
      </c>
      <c r="C213" s="6" t="s">
        <v>424</v>
      </c>
    </row>
    <row r="215" spans="1:3" x14ac:dyDescent="0.35">
      <c r="A215" t="s">
        <v>425</v>
      </c>
      <c r="B215" t="s">
        <v>426</v>
      </c>
      <c r="C215" t="s">
        <v>427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8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9</v>
      </c>
      <c r="C3" s="18"/>
      <c r="D3" s="18"/>
      <c r="E3" s="18"/>
      <c r="F3" s="18"/>
      <c r="H3" s="18" t="s">
        <v>10</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467</v>
      </c>
      <c r="C12" s="12">
        <v>0</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1007</v>
      </c>
      <c r="AL12" s="12">
        <v>0</v>
      </c>
      <c r="AM12" s="12">
        <v>0</v>
      </c>
      <c r="AN12" s="12">
        <v>0</v>
      </c>
      <c r="AO12" s="12">
        <v>0</v>
      </c>
      <c r="AP12" s="12">
        <v>0</v>
      </c>
      <c r="AQ12" s="12">
        <v>0</v>
      </c>
    </row>
    <row r="13" spans="1:43" x14ac:dyDescent="0.35">
      <c r="A13" s="19"/>
      <c r="B13" s="13" t="s">
        <v>467</v>
      </c>
      <c r="C13" s="14" t="s">
        <v>475</v>
      </c>
      <c r="D13" s="14" t="s">
        <v>475</v>
      </c>
      <c r="E13" s="14" t="s">
        <v>475</v>
      </c>
      <c r="F13" s="14" t="s">
        <v>475</v>
      </c>
      <c r="G13" s="14" t="s">
        <v>475</v>
      </c>
      <c r="H13" s="14" t="s">
        <v>475</v>
      </c>
      <c r="I13" s="14" t="s">
        <v>475</v>
      </c>
      <c r="J13" s="14" t="s">
        <v>475</v>
      </c>
      <c r="K13" s="14" t="s">
        <v>475</v>
      </c>
      <c r="L13" s="14" t="s">
        <v>475</v>
      </c>
      <c r="M13" s="14" t="s">
        <v>475</v>
      </c>
      <c r="N13" s="14" t="s">
        <v>475</v>
      </c>
      <c r="O13" s="14" t="s">
        <v>475</v>
      </c>
      <c r="P13" s="14" t="s">
        <v>475</v>
      </c>
      <c r="Q13" s="14" t="s">
        <v>475</v>
      </c>
      <c r="R13" s="14" t="s">
        <v>475</v>
      </c>
      <c r="S13" s="14" t="s">
        <v>475</v>
      </c>
      <c r="T13" s="14" t="s">
        <v>475</v>
      </c>
      <c r="U13" s="14" t="s">
        <v>475</v>
      </c>
      <c r="V13" s="14" t="s">
        <v>475</v>
      </c>
      <c r="W13" s="14" t="s">
        <v>475</v>
      </c>
      <c r="X13" s="14" t="s">
        <v>475</v>
      </c>
      <c r="Y13" s="14" t="s">
        <v>475</v>
      </c>
      <c r="Z13" s="14" t="s">
        <v>475</v>
      </c>
      <c r="AA13" s="14" t="s">
        <v>475</v>
      </c>
      <c r="AB13" s="14" t="s">
        <v>475</v>
      </c>
      <c r="AC13" s="14" t="s">
        <v>475</v>
      </c>
      <c r="AD13" s="14" t="s">
        <v>475</v>
      </c>
      <c r="AE13" s="14" t="s">
        <v>475</v>
      </c>
      <c r="AF13" s="14" t="s">
        <v>475</v>
      </c>
      <c r="AG13" s="14" t="s">
        <v>475</v>
      </c>
      <c r="AH13" s="14" t="s">
        <v>475</v>
      </c>
      <c r="AI13" s="14" t="s">
        <v>475</v>
      </c>
      <c r="AJ13" s="14" t="s">
        <v>475</v>
      </c>
      <c r="AK13" s="15">
        <v>1</v>
      </c>
      <c r="AL13" s="14" t="s">
        <v>475</v>
      </c>
      <c r="AM13" s="14" t="s">
        <v>475</v>
      </c>
      <c r="AN13" s="14" t="s">
        <v>475</v>
      </c>
      <c r="AO13" s="14" t="s">
        <v>475</v>
      </c>
      <c r="AP13" s="14" t="s">
        <v>475</v>
      </c>
      <c r="AQ13" s="14" t="s">
        <v>475</v>
      </c>
    </row>
    <row r="14" spans="1:43" x14ac:dyDescent="0.35">
      <c r="A14" s="19"/>
      <c r="B14" s="11" t="s">
        <v>455</v>
      </c>
      <c r="C14" s="12">
        <v>541</v>
      </c>
      <c r="D14" s="12">
        <v>0</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1003</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row>
    <row r="15" spans="1:43" x14ac:dyDescent="0.35">
      <c r="A15" s="19"/>
      <c r="B15" s="13" t="s">
        <v>455</v>
      </c>
      <c r="C15" s="15">
        <v>0.02</v>
      </c>
      <c r="D15" s="14" t="s">
        <v>475</v>
      </c>
      <c r="E15" s="14" t="s">
        <v>475</v>
      </c>
      <c r="F15" s="14" t="s">
        <v>475</v>
      </c>
      <c r="G15" s="14" t="s">
        <v>475</v>
      </c>
      <c r="H15" s="14" t="s">
        <v>475</v>
      </c>
      <c r="I15" s="14" t="s">
        <v>475</v>
      </c>
      <c r="J15" s="14" t="s">
        <v>475</v>
      </c>
      <c r="K15" s="14" t="s">
        <v>475</v>
      </c>
      <c r="L15" s="14" t="s">
        <v>475</v>
      </c>
      <c r="M15" s="14" t="s">
        <v>475</v>
      </c>
      <c r="N15" s="14" t="s">
        <v>475</v>
      </c>
      <c r="O15" s="14" t="s">
        <v>475</v>
      </c>
      <c r="P15" s="14" t="s">
        <v>475</v>
      </c>
      <c r="Q15" s="14" t="s">
        <v>475</v>
      </c>
      <c r="R15" s="14" t="s">
        <v>475</v>
      </c>
      <c r="S15" s="14" t="s">
        <v>475</v>
      </c>
      <c r="T15" s="14" t="s">
        <v>475</v>
      </c>
      <c r="U15" s="14" t="s">
        <v>475</v>
      </c>
      <c r="V15" s="14" t="s">
        <v>475</v>
      </c>
      <c r="W15" s="14" t="s">
        <v>475</v>
      </c>
      <c r="X15" s="14" t="s">
        <v>475</v>
      </c>
      <c r="Y15" s="15">
        <v>1</v>
      </c>
      <c r="Z15" s="14" t="s">
        <v>475</v>
      </c>
      <c r="AA15" s="14" t="s">
        <v>475</v>
      </c>
      <c r="AB15" s="14" t="s">
        <v>475</v>
      </c>
      <c r="AC15" s="14" t="s">
        <v>475</v>
      </c>
      <c r="AD15" s="14" t="s">
        <v>475</v>
      </c>
      <c r="AE15" s="14" t="s">
        <v>475</v>
      </c>
      <c r="AF15" s="14" t="s">
        <v>475</v>
      </c>
      <c r="AG15" s="14" t="s">
        <v>475</v>
      </c>
      <c r="AH15" s="14" t="s">
        <v>475</v>
      </c>
      <c r="AI15" s="14" t="s">
        <v>475</v>
      </c>
      <c r="AJ15" s="14" t="s">
        <v>475</v>
      </c>
      <c r="AK15" s="14" t="s">
        <v>475</v>
      </c>
      <c r="AL15" s="14" t="s">
        <v>475</v>
      </c>
      <c r="AM15" s="14" t="s">
        <v>475</v>
      </c>
      <c r="AN15" s="14" t="s">
        <v>475</v>
      </c>
      <c r="AO15" s="14" t="s">
        <v>475</v>
      </c>
      <c r="AP15" s="14" t="s">
        <v>475</v>
      </c>
      <c r="AQ15" s="14" t="s">
        <v>475</v>
      </c>
    </row>
    <row r="16" spans="1:43" x14ac:dyDescent="0.35">
      <c r="A16" s="19"/>
      <c r="B16" s="11" t="s">
        <v>434</v>
      </c>
      <c r="C16" s="12">
        <v>682</v>
      </c>
      <c r="D16" s="12">
        <v>1013</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row>
    <row r="17" spans="1:43" x14ac:dyDescent="0.35">
      <c r="A17" s="19"/>
      <c r="B17" s="13" t="s">
        <v>434</v>
      </c>
      <c r="C17" s="15">
        <v>0.03</v>
      </c>
      <c r="D17" s="15">
        <v>1</v>
      </c>
      <c r="E17" s="14" t="s">
        <v>475</v>
      </c>
      <c r="F17" s="14" t="s">
        <v>475</v>
      </c>
      <c r="G17" s="14" t="s">
        <v>475</v>
      </c>
      <c r="H17" s="14" t="s">
        <v>475</v>
      </c>
      <c r="I17" s="14" t="s">
        <v>475</v>
      </c>
      <c r="J17" s="14" t="s">
        <v>475</v>
      </c>
      <c r="K17" s="14" t="s">
        <v>475</v>
      </c>
      <c r="L17" s="14" t="s">
        <v>475</v>
      </c>
      <c r="M17" s="14" t="s">
        <v>475</v>
      </c>
      <c r="N17" s="14" t="s">
        <v>475</v>
      </c>
      <c r="O17" s="14" t="s">
        <v>475</v>
      </c>
      <c r="P17" s="14" t="s">
        <v>475</v>
      </c>
      <c r="Q17" s="14" t="s">
        <v>475</v>
      </c>
      <c r="R17" s="14" t="s">
        <v>475</v>
      </c>
      <c r="S17" s="14" t="s">
        <v>475</v>
      </c>
      <c r="T17" s="14" t="s">
        <v>475</v>
      </c>
      <c r="U17" s="14" t="s">
        <v>475</v>
      </c>
      <c r="V17" s="14" t="s">
        <v>475</v>
      </c>
      <c r="W17" s="14" t="s">
        <v>475</v>
      </c>
      <c r="X17" s="14" t="s">
        <v>475</v>
      </c>
      <c r="Y17" s="14" t="s">
        <v>475</v>
      </c>
      <c r="Z17" s="14" t="s">
        <v>475</v>
      </c>
      <c r="AA17" s="14" t="s">
        <v>475</v>
      </c>
      <c r="AB17" s="14" t="s">
        <v>475</v>
      </c>
      <c r="AC17" s="14" t="s">
        <v>475</v>
      </c>
      <c r="AD17" s="14" t="s">
        <v>475</v>
      </c>
      <c r="AE17" s="14" t="s">
        <v>475</v>
      </c>
      <c r="AF17" s="14" t="s">
        <v>475</v>
      </c>
      <c r="AG17" s="14" t="s">
        <v>475</v>
      </c>
      <c r="AH17" s="14" t="s">
        <v>475</v>
      </c>
      <c r="AI17" s="14" t="s">
        <v>475</v>
      </c>
      <c r="AJ17" s="14" t="s">
        <v>475</v>
      </c>
      <c r="AK17" s="14" t="s">
        <v>475</v>
      </c>
      <c r="AL17" s="14" t="s">
        <v>475</v>
      </c>
      <c r="AM17" s="14" t="s">
        <v>475</v>
      </c>
      <c r="AN17" s="14" t="s">
        <v>475</v>
      </c>
      <c r="AO17" s="14" t="s">
        <v>475</v>
      </c>
      <c r="AP17" s="14" t="s">
        <v>475</v>
      </c>
      <c r="AQ17" s="14" t="s">
        <v>475</v>
      </c>
    </row>
    <row r="18" spans="1:43" x14ac:dyDescent="0.35">
      <c r="A18" s="19"/>
      <c r="B18" s="11" t="s">
        <v>435</v>
      </c>
      <c r="C18" s="12">
        <v>382</v>
      </c>
      <c r="D18" s="12">
        <v>0</v>
      </c>
      <c r="E18" s="12">
        <v>1030</v>
      </c>
      <c r="F18" s="12">
        <v>0</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c r="AC18" s="12">
        <v>0</v>
      </c>
      <c r="AD18" s="12">
        <v>0</v>
      </c>
      <c r="AE18" s="12">
        <v>0</v>
      </c>
      <c r="AF18" s="12">
        <v>0</v>
      </c>
      <c r="AG18" s="12">
        <v>0</v>
      </c>
      <c r="AH18" s="12">
        <v>0</v>
      </c>
      <c r="AI18" s="12">
        <v>0</v>
      </c>
      <c r="AJ18" s="12">
        <v>0</v>
      </c>
      <c r="AK18" s="12">
        <v>0</v>
      </c>
      <c r="AL18" s="12">
        <v>0</v>
      </c>
      <c r="AM18" s="12">
        <v>0</v>
      </c>
      <c r="AN18" s="12">
        <v>0</v>
      </c>
      <c r="AO18" s="12">
        <v>0</v>
      </c>
      <c r="AP18" s="12">
        <v>0</v>
      </c>
      <c r="AQ18" s="12">
        <v>0</v>
      </c>
    </row>
    <row r="19" spans="1:43" x14ac:dyDescent="0.35">
      <c r="A19" s="19"/>
      <c r="B19" s="13" t="s">
        <v>435</v>
      </c>
      <c r="C19" s="15">
        <v>0.02</v>
      </c>
      <c r="D19" s="14" t="s">
        <v>475</v>
      </c>
      <c r="E19" s="15">
        <v>1</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row r="20" spans="1:43" x14ac:dyDescent="0.35">
      <c r="A20" s="19"/>
      <c r="B20" s="11" t="s">
        <v>470</v>
      </c>
      <c r="C20" s="12">
        <v>0</v>
      </c>
      <c r="D20" s="12">
        <v>0</v>
      </c>
      <c r="E20" s="12">
        <v>0</v>
      </c>
      <c r="F20" s="12">
        <v>0</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c r="AG20" s="12">
        <v>0</v>
      </c>
      <c r="AH20" s="12">
        <v>0</v>
      </c>
      <c r="AI20" s="12">
        <v>0</v>
      </c>
      <c r="AJ20" s="12">
        <v>0</v>
      </c>
      <c r="AK20" s="12">
        <v>0</v>
      </c>
      <c r="AL20" s="12">
        <v>0</v>
      </c>
      <c r="AM20" s="12">
        <v>0</v>
      </c>
      <c r="AN20" s="12">
        <v>1003</v>
      </c>
      <c r="AO20" s="12">
        <v>0</v>
      </c>
      <c r="AP20" s="12">
        <v>0</v>
      </c>
      <c r="AQ20" s="12">
        <v>0</v>
      </c>
    </row>
    <row r="21" spans="1:43" x14ac:dyDescent="0.35">
      <c r="A21" s="19"/>
      <c r="B21" s="13" t="s">
        <v>470</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5">
        <v>1</v>
      </c>
      <c r="AO21" s="14" t="s">
        <v>475</v>
      </c>
      <c r="AP21" s="14" t="s">
        <v>475</v>
      </c>
      <c r="AQ21" s="14" t="s">
        <v>475</v>
      </c>
    </row>
    <row r="22" spans="1:43" x14ac:dyDescent="0.35">
      <c r="A22" s="19"/>
      <c r="B22" s="11" t="s">
        <v>448</v>
      </c>
      <c r="C22" s="12">
        <v>56</v>
      </c>
      <c r="D22" s="12">
        <v>0</v>
      </c>
      <c r="E22" s="12">
        <v>0</v>
      </c>
      <c r="F22" s="12">
        <v>0</v>
      </c>
      <c r="G22" s="12">
        <v>0</v>
      </c>
      <c r="H22" s="12">
        <v>0</v>
      </c>
      <c r="I22" s="12">
        <v>0</v>
      </c>
      <c r="J22" s="12">
        <v>0</v>
      </c>
      <c r="K22" s="12">
        <v>0</v>
      </c>
      <c r="L22" s="12">
        <v>0</v>
      </c>
      <c r="M22" s="12">
        <v>0</v>
      </c>
      <c r="N22" s="12">
        <v>0</v>
      </c>
      <c r="O22" s="12">
        <v>0</v>
      </c>
      <c r="P22" s="12">
        <v>0</v>
      </c>
      <c r="Q22" s="12">
        <v>0</v>
      </c>
      <c r="R22" s="12">
        <v>504</v>
      </c>
      <c r="S22" s="12">
        <v>0</v>
      </c>
      <c r="T22" s="12">
        <v>0</v>
      </c>
      <c r="U22" s="12">
        <v>0</v>
      </c>
      <c r="V22" s="12">
        <v>0</v>
      </c>
      <c r="W22" s="12">
        <v>0</v>
      </c>
      <c r="X22" s="12">
        <v>0</v>
      </c>
      <c r="Y22" s="12">
        <v>0</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v>0</v>
      </c>
      <c r="AP22" s="12">
        <v>0</v>
      </c>
      <c r="AQ22" s="12">
        <v>0</v>
      </c>
    </row>
    <row r="23" spans="1:43" x14ac:dyDescent="0.35">
      <c r="A23" s="19"/>
      <c r="B23" s="13" t="s">
        <v>448</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5">
        <v>1</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row r="24" spans="1:43" x14ac:dyDescent="0.35">
      <c r="A24" s="19"/>
      <c r="B24" s="11" t="s">
        <v>476</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v>0</v>
      </c>
      <c r="AK24" s="12">
        <v>0</v>
      </c>
      <c r="AL24" s="12">
        <v>0</v>
      </c>
      <c r="AM24" s="12">
        <v>0</v>
      </c>
      <c r="AN24" s="12">
        <v>0</v>
      </c>
      <c r="AO24" s="12">
        <v>0</v>
      </c>
      <c r="AP24" s="12">
        <v>524</v>
      </c>
      <c r="AQ24" s="12">
        <v>0</v>
      </c>
    </row>
    <row r="25" spans="1:43" x14ac:dyDescent="0.35">
      <c r="A25" s="19"/>
      <c r="B25" s="13" t="s">
        <v>476</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5">
        <v>1</v>
      </c>
      <c r="AQ25" s="14" t="s">
        <v>475</v>
      </c>
    </row>
    <row r="26" spans="1:43" x14ac:dyDescent="0.35">
      <c r="A26" s="19"/>
      <c r="B26" s="11" t="s">
        <v>436</v>
      </c>
      <c r="C26" s="12">
        <v>632</v>
      </c>
      <c r="D26" s="12">
        <v>0</v>
      </c>
      <c r="E26" s="12">
        <v>0</v>
      </c>
      <c r="F26" s="12">
        <v>1102</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row>
    <row r="27" spans="1:43" x14ac:dyDescent="0.35">
      <c r="A27" s="19"/>
      <c r="B27" s="13" t="s">
        <v>436</v>
      </c>
      <c r="C27" s="15">
        <v>0.02</v>
      </c>
      <c r="D27" s="14" t="s">
        <v>475</v>
      </c>
      <c r="E27" s="14" t="s">
        <v>475</v>
      </c>
      <c r="F27" s="15">
        <v>1</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row r="28" spans="1:43" x14ac:dyDescent="0.35">
      <c r="A28" s="19"/>
      <c r="B28" s="11" t="s">
        <v>437</v>
      </c>
      <c r="C28" s="12">
        <v>346</v>
      </c>
      <c r="D28" s="12">
        <v>0</v>
      </c>
      <c r="E28" s="12">
        <v>0</v>
      </c>
      <c r="F28" s="12">
        <v>0</v>
      </c>
      <c r="G28" s="12">
        <v>1006</v>
      </c>
      <c r="H28" s="12">
        <v>0</v>
      </c>
      <c r="I28" s="12">
        <v>0</v>
      </c>
      <c r="J28" s="12">
        <v>0</v>
      </c>
      <c r="K28" s="12">
        <v>0</v>
      </c>
      <c r="L28" s="12">
        <v>0</v>
      </c>
      <c r="M28" s="12">
        <v>0</v>
      </c>
      <c r="N28" s="12">
        <v>0</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row>
    <row r="29" spans="1:43" x14ac:dyDescent="0.35">
      <c r="A29" s="19"/>
      <c r="B29" s="13" t="s">
        <v>437</v>
      </c>
      <c r="C29" s="15">
        <v>0.01</v>
      </c>
      <c r="D29" s="14" t="s">
        <v>475</v>
      </c>
      <c r="E29" s="14" t="s">
        <v>475</v>
      </c>
      <c r="F29" s="14" t="s">
        <v>475</v>
      </c>
      <c r="G29" s="15">
        <v>1</v>
      </c>
      <c r="H29" s="14" t="s">
        <v>475</v>
      </c>
      <c r="I29" s="14" t="s">
        <v>475</v>
      </c>
      <c r="J29" s="14" t="s">
        <v>475</v>
      </c>
      <c r="K29" s="14" t="s">
        <v>475</v>
      </c>
      <c r="L29" s="14" t="s">
        <v>475</v>
      </c>
      <c r="M29" s="14" t="s">
        <v>475</v>
      </c>
      <c r="N29" s="14" t="s">
        <v>475</v>
      </c>
      <c r="O29" s="14" t="s">
        <v>475</v>
      </c>
      <c r="P29" s="14" t="s">
        <v>475</v>
      </c>
      <c r="Q29" s="14" t="s">
        <v>475</v>
      </c>
      <c r="R29" s="14" t="s">
        <v>475</v>
      </c>
      <c r="S29" s="14" t="s">
        <v>475</v>
      </c>
      <c r="T29" s="14" t="s">
        <v>475</v>
      </c>
      <c r="U29" s="14" t="s">
        <v>475</v>
      </c>
      <c r="V29" s="14" t="s">
        <v>475</v>
      </c>
      <c r="W29" s="14" t="s">
        <v>475</v>
      </c>
      <c r="X29" s="14" t="s">
        <v>475</v>
      </c>
      <c r="Y29" s="14" t="s">
        <v>475</v>
      </c>
      <c r="Z29" s="14" t="s">
        <v>475</v>
      </c>
      <c r="AA29" s="14" t="s">
        <v>475</v>
      </c>
      <c r="AB29" s="14" t="s">
        <v>475</v>
      </c>
      <c r="AC29" s="14" t="s">
        <v>475</v>
      </c>
      <c r="AD29" s="14" t="s">
        <v>475</v>
      </c>
      <c r="AE29" s="14" t="s">
        <v>475</v>
      </c>
      <c r="AF29" s="14" t="s">
        <v>475</v>
      </c>
      <c r="AG29" s="14" t="s">
        <v>475</v>
      </c>
      <c r="AH29" s="14" t="s">
        <v>475</v>
      </c>
      <c r="AI29" s="14" t="s">
        <v>475</v>
      </c>
      <c r="AJ29" s="14" t="s">
        <v>475</v>
      </c>
      <c r="AK29" s="14" t="s">
        <v>475</v>
      </c>
      <c r="AL29" s="14" t="s">
        <v>475</v>
      </c>
      <c r="AM29" s="14" t="s">
        <v>475</v>
      </c>
      <c r="AN29" s="14" t="s">
        <v>475</v>
      </c>
      <c r="AO29" s="14" t="s">
        <v>475</v>
      </c>
      <c r="AP29" s="14" t="s">
        <v>475</v>
      </c>
      <c r="AQ29" s="14" t="s">
        <v>475</v>
      </c>
    </row>
    <row r="30" spans="1:43" x14ac:dyDescent="0.35">
      <c r="A30" s="19"/>
      <c r="B30" s="11" t="s">
        <v>441</v>
      </c>
      <c r="C30" s="12">
        <v>80</v>
      </c>
      <c r="D30" s="12">
        <v>0</v>
      </c>
      <c r="E30" s="12">
        <v>0</v>
      </c>
      <c r="F30" s="12">
        <v>0</v>
      </c>
      <c r="G30" s="12">
        <v>0</v>
      </c>
      <c r="H30" s="12">
        <v>0</v>
      </c>
      <c r="I30" s="12">
        <v>0</v>
      </c>
      <c r="J30" s="12">
        <v>0</v>
      </c>
      <c r="K30" s="12">
        <v>1002</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row>
    <row r="31" spans="1:43" x14ac:dyDescent="0.35">
      <c r="A31" s="19"/>
      <c r="B31" s="13" t="s">
        <v>441</v>
      </c>
      <c r="C31" s="14" t="s">
        <v>475</v>
      </c>
      <c r="D31" s="14" t="s">
        <v>475</v>
      </c>
      <c r="E31" s="14" t="s">
        <v>475</v>
      </c>
      <c r="F31" s="14" t="s">
        <v>475</v>
      </c>
      <c r="G31" s="14" t="s">
        <v>475</v>
      </c>
      <c r="H31" s="14" t="s">
        <v>475</v>
      </c>
      <c r="I31" s="14" t="s">
        <v>475</v>
      </c>
      <c r="J31" s="14" t="s">
        <v>475</v>
      </c>
      <c r="K31" s="15">
        <v>1</v>
      </c>
      <c r="L31" s="14" t="s">
        <v>475</v>
      </c>
      <c r="M31" s="14" t="s">
        <v>475</v>
      </c>
      <c r="N31" s="14" t="s">
        <v>475</v>
      </c>
      <c r="O31" s="14" t="s">
        <v>475</v>
      </c>
      <c r="P31" s="14" t="s">
        <v>475</v>
      </c>
      <c r="Q31" s="14" t="s">
        <v>475</v>
      </c>
      <c r="R31" s="14" t="s">
        <v>475</v>
      </c>
      <c r="S31" s="14" t="s">
        <v>475</v>
      </c>
      <c r="T31" s="14" t="s">
        <v>475</v>
      </c>
      <c r="U31" s="14" t="s">
        <v>475</v>
      </c>
      <c r="V31" s="14" t="s">
        <v>475</v>
      </c>
      <c r="W31" s="14" t="s">
        <v>475</v>
      </c>
      <c r="X31" s="14" t="s">
        <v>475</v>
      </c>
      <c r="Y31" s="14" t="s">
        <v>475</v>
      </c>
      <c r="Z31" s="14" t="s">
        <v>475</v>
      </c>
      <c r="AA31" s="14" t="s">
        <v>475</v>
      </c>
      <c r="AB31" s="14" t="s">
        <v>475</v>
      </c>
      <c r="AC31" s="14" t="s">
        <v>475</v>
      </c>
      <c r="AD31" s="14" t="s">
        <v>475</v>
      </c>
      <c r="AE31" s="14" t="s">
        <v>475</v>
      </c>
      <c r="AF31" s="14" t="s">
        <v>475</v>
      </c>
      <c r="AG31" s="14" t="s">
        <v>475</v>
      </c>
      <c r="AH31" s="14" t="s">
        <v>475</v>
      </c>
      <c r="AI31" s="14" t="s">
        <v>475</v>
      </c>
      <c r="AJ31" s="14" t="s">
        <v>475</v>
      </c>
      <c r="AK31" s="14" t="s">
        <v>475</v>
      </c>
      <c r="AL31" s="14" t="s">
        <v>475</v>
      </c>
      <c r="AM31" s="14" t="s">
        <v>475</v>
      </c>
      <c r="AN31" s="14" t="s">
        <v>475</v>
      </c>
      <c r="AO31" s="14" t="s">
        <v>475</v>
      </c>
      <c r="AP31" s="14" t="s">
        <v>475</v>
      </c>
      <c r="AQ31" s="14" t="s">
        <v>475</v>
      </c>
    </row>
    <row r="32" spans="1:43" x14ac:dyDescent="0.35">
      <c r="A32" s="19"/>
      <c r="B32" s="11" t="s">
        <v>443</v>
      </c>
      <c r="C32" s="12">
        <v>623</v>
      </c>
      <c r="D32" s="12">
        <v>0</v>
      </c>
      <c r="E32" s="12">
        <v>0</v>
      </c>
      <c r="F32" s="12">
        <v>0</v>
      </c>
      <c r="G32" s="12">
        <v>0</v>
      </c>
      <c r="H32" s="12">
        <v>0</v>
      </c>
      <c r="I32" s="12">
        <v>0</v>
      </c>
      <c r="J32" s="12">
        <v>0</v>
      </c>
      <c r="K32" s="12">
        <v>0</v>
      </c>
      <c r="L32" s="12">
        <v>0</v>
      </c>
      <c r="M32" s="12">
        <v>1010</v>
      </c>
      <c r="N32" s="12">
        <v>0</v>
      </c>
      <c r="O32" s="12">
        <v>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row>
    <row r="33" spans="1:43" x14ac:dyDescent="0.35">
      <c r="A33" s="19"/>
      <c r="B33" s="13" t="s">
        <v>443</v>
      </c>
      <c r="C33" s="15">
        <v>0.02</v>
      </c>
      <c r="D33" s="14" t="s">
        <v>475</v>
      </c>
      <c r="E33" s="14" t="s">
        <v>475</v>
      </c>
      <c r="F33" s="14" t="s">
        <v>475</v>
      </c>
      <c r="G33" s="14" t="s">
        <v>475</v>
      </c>
      <c r="H33" s="14" t="s">
        <v>475</v>
      </c>
      <c r="I33" s="14" t="s">
        <v>475</v>
      </c>
      <c r="J33" s="14" t="s">
        <v>475</v>
      </c>
      <c r="K33" s="14" t="s">
        <v>475</v>
      </c>
      <c r="L33" s="14" t="s">
        <v>475</v>
      </c>
      <c r="M33" s="15">
        <v>1</v>
      </c>
      <c r="N33" s="14" t="s">
        <v>475</v>
      </c>
      <c r="O33" s="14" t="s">
        <v>475</v>
      </c>
      <c r="P33" s="14" t="s">
        <v>475</v>
      </c>
      <c r="Q33" s="14" t="s">
        <v>475</v>
      </c>
      <c r="R33" s="14" t="s">
        <v>475</v>
      </c>
      <c r="S33" s="14" t="s">
        <v>475</v>
      </c>
      <c r="T33" s="14" t="s">
        <v>475</v>
      </c>
      <c r="U33" s="14" t="s">
        <v>475</v>
      </c>
      <c r="V33" s="14" t="s">
        <v>475</v>
      </c>
      <c r="W33" s="14" t="s">
        <v>475</v>
      </c>
      <c r="X33" s="14" t="s">
        <v>475</v>
      </c>
      <c r="Y33" s="14" t="s">
        <v>475</v>
      </c>
      <c r="Z33" s="14" t="s">
        <v>475</v>
      </c>
      <c r="AA33" s="14" t="s">
        <v>475</v>
      </c>
      <c r="AB33" s="14" t="s">
        <v>475</v>
      </c>
      <c r="AC33" s="14" t="s">
        <v>475</v>
      </c>
      <c r="AD33" s="14" t="s">
        <v>475</v>
      </c>
      <c r="AE33" s="14" t="s">
        <v>475</v>
      </c>
      <c r="AF33" s="14" t="s">
        <v>475</v>
      </c>
      <c r="AG33" s="14" t="s">
        <v>475</v>
      </c>
      <c r="AH33" s="14" t="s">
        <v>475</v>
      </c>
      <c r="AI33" s="14" t="s">
        <v>475</v>
      </c>
      <c r="AJ33" s="14" t="s">
        <v>475</v>
      </c>
      <c r="AK33" s="14" t="s">
        <v>475</v>
      </c>
      <c r="AL33" s="14" t="s">
        <v>475</v>
      </c>
      <c r="AM33" s="14" t="s">
        <v>475</v>
      </c>
      <c r="AN33" s="14" t="s">
        <v>475</v>
      </c>
      <c r="AO33" s="14" t="s">
        <v>475</v>
      </c>
      <c r="AP33" s="14" t="s">
        <v>475</v>
      </c>
      <c r="AQ33" s="14" t="s">
        <v>475</v>
      </c>
    </row>
    <row r="34" spans="1:43" x14ac:dyDescent="0.35">
      <c r="A34" s="19"/>
      <c r="B34" s="11" t="s">
        <v>444</v>
      </c>
      <c r="C34" s="12">
        <v>2908</v>
      </c>
      <c r="D34" s="12">
        <v>0</v>
      </c>
      <c r="E34" s="12">
        <v>0</v>
      </c>
      <c r="F34" s="12">
        <v>0</v>
      </c>
      <c r="G34" s="12">
        <v>0</v>
      </c>
      <c r="H34" s="12">
        <v>0</v>
      </c>
      <c r="I34" s="12">
        <v>0</v>
      </c>
      <c r="J34" s="12">
        <v>0</v>
      </c>
      <c r="K34" s="12">
        <v>0</v>
      </c>
      <c r="L34" s="12">
        <v>0</v>
      </c>
      <c r="M34" s="12">
        <v>0</v>
      </c>
      <c r="N34" s="12">
        <v>1003</v>
      </c>
      <c r="O34" s="12">
        <v>0</v>
      </c>
      <c r="P34" s="12">
        <v>0</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row>
    <row r="35" spans="1:43" x14ac:dyDescent="0.35">
      <c r="A35" s="19"/>
      <c r="B35" s="13" t="s">
        <v>444</v>
      </c>
      <c r="C35" s="15">
        <v>0.11</v>
      </c>
      <c r="D35" s="14" t="s">
        <v>475</v>
      </c>
      <c r="E35" s="14" t="s">
        <v>475</v>
      </c>
      <c r="F35" s="14" t="s">
        <v>475</v>
      </c>
      <c r="G35" s="14" t="s">
        <v>475</v>
      </c>
      <c r="H35" s="14" t="s">
        <v>475</v>
      </c>
      <c r="I35" s="14" t="s">
        <v>475</v>
      </c>
      <c r="J35" s="14" t="s">
        <v>475</v>
      </c>
      <c r="K35" s="14" t="s">
        <v>475</v>
      </c>
      <c r="L35" s="14" t="s">
        <v>475</v>
      </c>
      <c r="M35" s="14" t="s">
        <v>475</v>
      </c>
      <c r="N35" s="15">
        <v>1</v>
      </c>
      <c r="O35" s="14" t="s">
        <v>475</v>
      </c>
      <c r="P35" s="14" t="s">
        <v>475</v>
      </c>
      <c r="Q35" s="14" t="s">
        <v>475</v>
      </c>
      <c r="R35" s="14" t="s">
        <v>475</v>
      </c>
      <c r="S35" s="14" t="s">
        <v>475</v>
      </c>
      <c r="T35" s="14" t="s">
        <v>475</v>
      </c>
      <c r="U35" s="14" t="s">
        <v>475</v>
      </c>
      <c r="V35" s="14" t="s">
        <v>475</v>
      </c>
      <c r="W35" s="14" t="s">
        <v>475</v>
      </c>
      <c r="X35" s="14" t="s">
        <v>475</v>
      </c>
      <c r="Y35" s="14" t="s">
        <v>475</v>
      </c>
      <c r="Z35" s="14" t="s">
        <v>475</v>
      </c>
      <c r="AA35" s="14" t="s">
        <v>475</v>
      </c>
      <c r="AB35" s="14" t="s">
        <v>475</v>
      </c>
      <c r="AC35" s="14" t="s">
        <v>475</v>
      </c>
      <c r="AD35" s="14" t="s">
        <v>475</v>
      </c>
      <c r="AE35" s="14" t="s">
        <v>475</v>
      </c>
      <c r="AF35" s="14" t="s">
        <v>475</v>
      </c>
      <c r="AG35" s="14" t="s">
        <v>475</v>
      </c>
      <c r="AH35" s="14" t="s">
        <v>475</v>
      </c>
      <c r="AI35" s="14" t="s">
        <v>475</v>
      </c>
      <c r="AJ35" s="14" t="s">
        <v>475</v>
      </c>
      <c r="AK35" s="14" t="s">
        <v>475</v>
      </c>
      <c r="AL35" s="14" t="s">
        <v>475</v>
      </c>
      <c r="AM35" s="14" t="s">
        <v>475</v>
      </c>
      <c r="AN35" s="14" t="s">
        <v>475</v>
      </c>
      <c r="AO35" s="14" t="s">
        <v>475</v>
      </c>
      <c r="AP35" s="14" t="s">
        <v>475</v>
      </c>
      <c r="AQ35" s="14" t="s">
        <v>475</v>
      </c>
    </row>
    <row r="36" spans="1:43" x14ac:dyDescent="0.35">
      <c r="A36" s="19"/>
      <c r="B36" s="11" t="s">
        <v>461</v>
      </c>
      <c r="C36" s="12">
        <v>329</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0</v>
      </c>
      <c r="AD36" s="12">
        <v>0</v>
      </c>
      <c r="AE36" s="12">
        <v>1012</v>
      </c>
      <c r="AF36" s="12">
        <v>0</v>
      </c>
      <c r="AG36" s="12">
        <v>0</v>
      </c>
      <c r="AH36" s="12">
        <v>0</v>
      </c>
      <c r="AI36" s="12">
        <v>0</v>
      </c>
      <c r="AJ36" s="12">
        <v>0</v>
      </c>
      <c r="AK36" s="12">
        <v>0</v>
      </c>
      <c r="AL36" s="12">
        <v>0</v>
      </c>
      <c r="AM36" s="12">
        <v>0</v>
      </c>
      <c r="AN36" s="12">
        <v>0</v>
      </c>
      <c r="AO36" s="12">
        <v>0</v>
      </c>
      <c r="AP36" s="12">
        <v>0</v>
      </c>
      <c r="AQ36" s="12">
        <v>0</v>
      </c>
    </row>
    <row r="37" spans="1:43" x14ac:dyDescent="0.35">
      <c r="A37" s="19"/>
      <c r="B37" s="13" t="s">
        <v>461</v>
      </c>
      <c r="C37" s="15">
        <v>0.01</v>
      </c>
      <c r="D37" s="14" t="s">
        <v>475</v>
      </c>
      <c r="E37" s="14" t="s">
        <v>475</v>
      </c>
      <c r="F37" s="14" t="s">
        <v>475</v>
      </c>
      <c r="G37" s="14" t="s">
        <v>475</v>
      </c>
      <c r="H37" s="14" t="s">
        <v>475</v>
      </c>
      <c r="I37" s="14" t="s">
        <v>475</v>
      </c>
      <c r="J37" s="14" t="s">
        <v>475</v>
      </c>
      <c r="K37" s="14" t="s">
        <v>475</v>
      </c>
      <c r="L37" s="14" t="s">
        <v>475</v>
      </c>
      <c r="M37" s="14" t="s">
        <v>475</v>
      </c>
      <c r="N37" s="14" t="s">
        <v>475</v>
      </c>
      <c r="O37" s="14" t="s">
        <v>475</v>
      </c>
      <c r="P37" s="14" t="s">
        <v>475</v>
      </c>
      <c r="Q37" s="14" t="s">
        <v>475</v>
      </c>
      <c r="R37" s="14" t="s">
        <v>475</v>
      </c>
      <c r="S37" s="14" t="s">
        <v>475</v>
      </c>
      <c r="T37" s="14" t="s">
        <v>475</v>
      </c>
      <c r="U37" s="14" t="s">
        <v>475</v>
      </c>
      <c r="V37" s="14" t="s">
        <v>475</v>
      </c>
      <c r="W37" s="14" t="s">
        <v>475</v>
      </c>
      <c r="X37" s="14" t="s">
        <v>475</v>
      </c>
      <c r="Y37" s="14" t="s">
        <v>475</v>
      </c>
      <c r="Z37" s="14" t="s">
        <v>475</v>
      </c>
      <c r="AA37" s="14" t="s">
        <v>475</v>
      </c>
      <c r="AB37" s="14" t="s">
        <v>475</v>
      </c>
      <c r="AC37" s="14" t="s">
        <v>475</v>
      </c>
      <c r="AD37" s="14" t="s">
        <v>475</v>
      </c>
      <c r="AE37" s="15">
        <v>1</v>
      </c>
      <c r="AF37" s="14" t="s">
        <v>475</v>
      </c>
      <c r="AG37" s="14" t="s">
        <v>475</v>
      </c>
      <c r="AH37" s="14" t="s">
        <v>475</v>
      </c>
      <c r="AI37" s="14" t="s">
        <v>475</v>
      </c>
      <c r="AJ37" s="14" t="s">
        <v>475</v>
      </c>
      <c r="AK37" s="14" t="s">
        <v>475</v>
      </c>
      <c r="AL37" s="14" t="s">
        <v>475</v>
      </c>
      <c r="AM37" s="14" t="s">
        <v>475</v>
      </c>
      <c r="AN37" s="14" t="s">
        <v>475</v>
      </c>
      <c r="AO37" s="14" t="s">
        <v>475</v>
      </c>
      <c r="AP37" s="14" t="s">
        <v>475</v>
      </c>
      <c r="AQ37" s="14" t="s">
        <v>475</v>
      </c>
    </row>
    <row r="38" spans="1:43" x14ac:dyDescent="0.35">
      <c r="A38" s="19"/>
      <c r="B38" s="11" t="s">
        <v>445</v>
      </c>
      <c r="C38" s="12">
        <v>3920</v>
      </c>
      <c r="D38" s="12">
        <v>0</v>
      </c>
      <c r="E38" s="12">
        <v>0</v>
      </c>
      <c r="F38" s="12">
        <v>0</v>
      </c>
      <c r="G38" s="12">
        <v>0</v>
      </c>
      <c r="H38" s="12">
        <v>0</v>
      </c>
      <c r="I38" s="12">
        <v>0</v>
      </c>
      <c r="J38" s="12">
        <v>0</v>
      </c>
      <c r="K38" s="12">
        <v>0</v>
      </c>
      <c r="L38" s="12">
        <v>0</v>
      </c>
      <c r="M38" s="12">
        <v>0</v>
      </c>
      <c r="N38" s="12">
        <v>0</v>
      </c>
      <c r="O38" s="12">
        <v>1001</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c r="AG38" s="12">
        <v>0</v>
      </c>
      <c r="AH38" s="12">
        <v>0</v>
      </c>
      <c r="AI38" s="12">
        <v>0</v>
      </c>
      <c r="AJ38" s="12">
        <v>0</v>
      </c>
      <c r="AK38" s="12">
        <v>0</v>
      </c>
      <c r="AL38" s="12">
        <v>0</v>
      </c>
      <c r="AM38" s="12">
        <v>0</v>
      </c>
      <c r="AN38" s="12">
        <v>0</v>
      </c>
      <c r="AO38" s="12">
        <v>0</v>
      </c>
      <c r="AP38" s="12">
        <v>0</v>
      </c>
      <c r="AQ38" s="12">
        <v>0</v>
      </c>
    </row>
    <row r="39" spans="1:43" x14ac:dyDescent="0.35">
      <c r="A39" s="19"/>
      <c r="B39" s="13" t="s">
        <v>445</v>
      </c>
      <c r="C39" s="15">
        <v>0.15</v>
      </c>
      <c r="D39" s="14" t="s">
        <v>475</v>
      </c>
      <c r="E39" s="14" t="s">
        <v>475</v>
      </c>
      <c r="F39" s="14" t="s">
        <v>475</v>
      </c>
      <c r="G39" s="14" t="s">
        <v>475</v>
      </c>
      <c r="H39" s="14" t="s">
        <v>475</v>
      </c>
      <c r="I39" s="14" t="s">
        <v>475</v>
      </c>
      <c r="J39" s="14" t="s">
        <v>475</v>
      </c>
      <c r="K39" s="14" t="s">
        <v>475</v>
      </c>
      <c r="L39" s="14" t="s">
        <v>475</v>
      </c>
      <c r="M39" s="14" t="s">
        <v>475</v>
      </c>
      <c r="N39" s="14" t="s">
        <v>475</v>
      </c>
      <c r="O39" s="15">
        <v>1</v>
      </c>
      <c r="P39" s="14" t="s">
        <v>475</v>
      </c>
      <c r="Q39" s="14" t="s">
        <v>475</v>
      </c>
      <c r="R39" s="14" t="s">
        <v>475</v>
      </c>
      <c r="S39" s="14" t="s">
        <v>475</v>
      </c>
      <c r="T39" s="14" t="s">
        <v>475</v>
      </c>
      <c r="U39" s="14" t="s">
        <v>475</v>
      </c>
      <c r="V39" s="14" t="s">
        <v>475</v>
      </c>
      <c r="W39" s="14" t="s">
        <v>475</v>
      </c>
      <c r="X39" s="14" t="s">
        <v>475</v>
      </c>
      <c r="Y39" s="14" t="s">
        <v>475</v>
      </c>
      <c r="Z39" s="14" t="s">
        <v>475</v>
      </c>
      <c r="AA39" s="14" t="s">
        <v>475</v>
      </c>
      <c r="AB39" s="14" t="s">
        <v>475</v>
      </c>
      <c r="AC39" s="14" t="s">
        <v>475</v>
      </c>
      <c r="AD39" s="14" t="s">
        <v>475</v>
      </c>
      <c r="AE39" s="14" t="s">
        <v>475</v>
      </c>
      <c r="AF39" s="14" t="s">
        <v>475</v>
      </c>
      <c r="AG39" s="14" t="s">
        <v>475</v>
      </c>
      <c r="AH39" s="14" t="s">
        <v>475</v>
      </c>
      <c r="AI39" s="14" t="s">
        <v>475</v>
      </c>
      <c r="AJ39" s="14" t="s">
        <v>475</v>
      </c>
      <c r="AK39" s="14" t="s">
        <v>475</v>
      </c>
      <c r="AL39" s="14" t="s">
        <v>475</v>
      </c>
      <c r="AM39" s="14" t="s">
        <v>475</v>
      </c>
      <c r="AN39" s="14" t="s">
        <v>475</v>
      </c>
      <c r="AO39" s="14" t="s">
        <v>475</v>
      </c>
      <c r="AP39" s="14" t="s">
        <v>475</v>
      </c>
      <c r="AQ39" s="14" t="s">
        <v>475</v>
      </c>
    </row>
    <row r="40" spans="1:43" x14ac:dyDescent="0.35">
      <c r="A40" s="19"/>
      <c r="B40" s="11" t="s">
        <v>446</v>
      </c>
      <c r="C40" s="12">
        <v>229</v>
      </c>
      <c r="D40" s="12">
        <v>0</v>
      </c>
      <c r="E40" s="12">
        <v>0</v>
      </c>
      <c r="F40" s="12">
        <v>0</v>
      </c>
      <c r="G40" s="12">
        <v>0</v>
      </c>
      <c r="H40" s="12">
        <v>0</v>
      </c>
      <c r="I40" s="12">
        <v>0</v>
      </c>
      <c r="J40" s="12">
        <v>0</v>
      </c>
      <c r="K40" s="12">
        <v>0</v>
      </c>
      <c r="L40" s="12">
        <v>0</v>
      </c>
      <c r="M40" s="12">
        <v>0</v>
      </c>
      <c r="N40" s="12">
        <v>0</v>
      </c>
      <c r="O40" s="12">
        <v>0</v>
      </c>
      <c r="P40" s="12">
        <v>1004</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row>
    <row r="41" spans="1:43" x14ac:dyDescent="0.35">
      <c r="A41" s="19"/>
      <c r="B41" s="13" t="s">
        <v>446</v>
      </c>
      <c r="C41" s="15">
        <v>0.01</v>
      </c>
      <c r="D41" s="14" t="s">
        <v>475</v>
      </c>
      <c r="E41" s="14" t="s">
        <v>475</v>
      </c>
      <c r="F41" s="14" t="s">
        <v>475</v>
      </c>
      <c r="G41" s="14" t="s">
        <v>475</v>
      </c>
      <c r="H41" s="14" t="s">
        <v>475</v>
      </c>
      <c r="I41" s="14" t="s">
        <v>475</v>
      </c>
      <c r="J41" s="14" t="s">
        <v>475</v>
      </c>
      <c r="K41" s="14" t="s">
        <v>475</v>
      </c>
      <c r="L41" s="14" t="s">
        <v>475</v>
      </c>
      <c r="M41" s="14" t="s">
        <v>475</v>
      </c>
      <c r="N41" s="14" t="s">
        <v>475</v>
      </c>
      <c r="O41" s="14" t="s">
        <v>475</v>
      </c>
      <c r="P41" s="15">
        <v>1</v>
      </c>
      <c r="Q41" s="14" t="s">
        <v>475</v>
      </c>
      <c r="R41" s="14" t="s">
        <v>475</v>
      </c>
      <c r="S41" s="14" t="s">
        <v>475</v>
      </c>
      <c r="T41" s="14" t="s">
        <v>475</v>
      </c>
      <c r="U41" s="14" t="s">
        <v>475</v>
      </c>
      <c r="V41" s="14" t="s">
        <v>475</v>
      </c>
      <c r="W41" s="14" t="s">
        <v>475</v>
      </c>
      <c r="X41" s="14" t="s">
        <v>475</v>
      </c>
      <c r="Y41" s="14" t="s">
        <v>475</v>
      </c>
      <c r="Z41" s="14" t="s">
        <v>475</v>
      </c>
      <c r="AA41" s="14" t="s">
        <v>475</v>
      </c>
      <c r="AB41" s="14" t="s">
        <v>475</v>
      </c>
      <c r="AC41" s="14" t="s">
        <v>475</v>
      </c>
      <c r="AD41" s="14" t="s">
        <v>475</v>
      </c>
      <c r="AE41" s="14" t="s">
        <v>475</v>
      </c>
      <c r="AF41" s="14" t="s">
        <v>475</v>
      </c>
      <c r="AG41" s="14" t="s">
        <v>475</v>
      </c>
      <c r="AH41" s="14" t="s">
        <v>475</v>
      </c>
      <c r="AI41" s="14" t="s">
        <v>475</v>
      </c>
      <c r="AJ41" s="14" t="s">
        <v>475</v>
      </c>
      <c r="AK41" s="14" t="s">
        <v>475</v>
      </c>
      <c r="AL41" s="14" t="s">
        <v>475</v>
      </c>
      <c r="AM41" s="14" t="s">
        <v>475</v>
      </c>
      <c r="AN41" s="14" t="s">
        <v>475</v>
      </c>
      <c r="AO41" s="14" t="s">
        <v>475</v>
      </c>
      <c r="AP41" s="14" t="s">
        <v>475</v>
      </c>
      <c r="AQ41" s="14" t="s">
        <v>475</v>
      </c>
    </row>
    <row r="42" spans="1:43" x14ac:dyDescent="0.35">
      <c r="A42" s="19"/>
      <c r="B42" s="11" t="s">
        <v>452</v>
      </c>
      <c r="C42" s="12">
        <v>565</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0</v>
      </c>
      <c r="U42" s="12">
        <v>0</v>
      </c>
      <c r="V42" s="12">
        <v>1015</v>
      </c>
      <c r="W42" s="12">
        <v>0</v>
      </c>
      <c r="X42" s="12">
        <v>0</v>
      </c>
      <c r="Y42" s="12">
        <v>0</v>
      </c>
      <c r="Z42" s="12">
        <v>0</v>
      </c>
      <c r="AA42" s="12">
        <v>0</v>
      </c>
      <c r="AB42" s="12">
        <v>0</v>
      </c>
      <c r="AC42" s="12">
        <v>0</v>
      </c>
      <c r="AD42" s="12">
        <v>0</v>
      </c>
      <c r="AE42" s="12">
        <v>0</v>
      </c>
      <c r="AF42" s="12">
        <v>0</v>
      </c>
      <c r="AG42" s="12">
        <v>0</v>
      </c>
      <c r="AH42" s="12">
        <v>0</v>
      </c>
      <c r="AI42" s="12">
        <v>0</v>
      </c>
      <c r="AJ42" s="12">
        <v>0</v>
      </c>
      <c r="AK42" s="12">
        <v>0</v>
      </c>
      <c r="AL42" s="12">
        <v>0</v>
      </c>
      <c r="AM42" s="12">
        <v>0</v>
      </c>
      <c r="AN42" s="12">
        <v>0</v>
      </c>
      <c r="AO42" s="12">
        <v>0</v>
      </c>
      <c r="AP42" s="12">
        <v>0</v>
      </c>
      <c r="AQ42" s="12">
        <v>0</v>
      </c>
    </row>
    <row r="43" spans="1:43" x14ac:dyDescent="0.35">
      <c r="A43" s="19"/>
      <c r="B43" s="13" t="s">
        <v>452</v>
      </c>
      <c r="C43" s="15">
        <v>0.02</v>
      </c>
      <c r="D43" s="14" t="s">
        <v>475</v>
      </c>
      <c r="E43" s="14" t="s">
        <v>475</v>
      </c>
      <c r="F43" s="14" t="s">
        <v>475</v>
      </c>
      <c r="G43" s="14" t="s">
        <v>475</v>
      </c>
      <c r="H43" s="14" t="s">
        <v>475</v>
      </c>
      <c r="I43" s="14" t="s">
        <v>475</v>
      </c>
      <c r="J43" s="14" t="s">
        <v>475</v>
      </c>
      <c r="K43" s="14" t="s">
        <v>475</v>
      </c>
      <c r="L43" s="14" t="s">
        <v>475</v>
      </c>
      <c r="M43" s="14" t="s">
        <v>475</v>
      </c>
      <c r="N43" s="14" t="s">
        <v>475</v>
      </c>
      <c r="O43" s="14" t="s">
        <v>475</v>
      </c>
      <c r="P43" s="14" t="s">
        <v>475</v>
      </c>
      <c r="Q43" s="14" t="s">
        <v>475</v>
      </c>
      <c r="R43" s="14" t="s">
        <v>475</v>
      </c>
      <c r="S43" s="14" t="s">
        <v>475</v>
      </c>
      <c r="T43" s="14" t="s">
        <v>475</v>
      </c>
      <c r="U43" s="14" t="s">
        <v>475</v>
      </c>
      <c r="V43" s="15">
        <v>1</v>
      </c>
      <c r="W43" s="14" t="s">
        <v>475</v>
      </c>
      <c r="X43" s="14" t="s">
        <v>475</v>
      </c>
      <c r="Y43" s="14" t="s">
        <v>475</v>
      </c>
      <c r="Z43" s="14" t="s">
        <v>475</v>
      </c>
      <c r="AA43" s="14" t="s">
        <v>475</v>
      </c>
      <c r="AB43" s="14" t="s">
        <v>475</v>
      </c>
      <c r="AC43" s="14" t="s">
        <v>475</v>
      </c>
      <c r="AD43" s="14" t="s">
        <v>475</v>
      </c>
      <c r="AE43" s="14" t="s">
        <v>475</v>
      </c>
      <c r="AF43" s="14" t="s">
        <v>475</v>
      </c>
      <c r="AG43" s="14" t="s">
        <v>475</v>
      </c>
      <c r="AH43" s="14" t="s">
        <v>475</v>
      </c>
      <c r="AI43" s="14" t="s">
        <v>475</v>
      </c>
      <c r="AJ43" s="14" t="s">
        <v>475</v>
      </c>
      <c r="AK43" s="14" t="s">
        <v>475</v>
      </c>
      <c r="AL43" s="14" t="s">
        <v>475</v>
      </c>
      <c r="AM43" s="14" t="s">
        <v>475</v>
      </c>
      <c r="AN43" s="14" t="s">
        <v>475</v>
      </c>
      <c r="AO43" s="14" t="s">
        <v>475</v>
      </c>
      <c r="AP43" s="14" t="s">
        <v>475</v>
      </c>
      <c r="AQ43" s="14" t="s">
        <v>475</v>
      </c>
    </row>
    <row r="44" spans="1:43" x14ac:dyDescent="0.35">
      <c r="A44" s="19"/>
      <c r="B44" s="11" t="s">
        <v>442</v>
      </c>
      <c r="C44" s="12">
        <v>299</v>
      </c>
      <c r="D44" s="12">
        <v>0</v>
      </c>
      <c r="E44" s="12">
        <v>0</v>
      </c>
      <c r="F44" s="12">
        <v>0</v>
      </c>
      <c r="G44" s="12">
        <v>0</v>
      </c>
      <c r="H44" s="12">
        <v>0</v>
      </c>
      <c r="I44" s="12">
        <v>0</v>
      </c>
      <c r="J44" s="12">
        <v>0</v>
      </c>
      <c r="K44" s="12">
        <v>0</v>
      </c>
      <c r="L44" s="12">
        <v>1002</v>
      </c>
      <c r="M44" s="12">
        <v>0</v>
      </c>
      <c r="N44" s="12">
        <v>0</v>
      </c>
      <c r="O44" s="12">
        <v>0</v>
      </c>
      <c r="P44" s="12">
        <v>0</v>
      </c>
      <c r="Q44" s="12">
        <v>0</v>
      </c>
      <c r="R44" s="12">
        <v>0</v>
      </c>
      <c r="S44" s="12">
        <v>0</v>
      </c>
      <c r="T44" s="12">
        <v>0</v>
      </c>
      <c r="U44" s="12">
        <v>0</v>
      </c>
      <c r="V44" s="12">
        <v>0</v>
      </c>
      <c r="W44" s="12">
        <v>0</v>
      </c>
      <c r="X44" s="12">
        <v>0</v>
      </c>
      <c r="Y44" s="12">
        <v>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row>
    <row r="45" spans="1:43" x14ac:dyDescent="0.35">
      <c r="A45" s="19"/>
      <c r="B45" s="13" t="s">
        <v>442</v>
      </c>
      <c r="C45" s="15">
        <v>0.01</v>
      </c>
      <c r="D45" s="14" t="s">
        <v>475</v>
      </c>
      <c r="E45" s="14" t="s">
        <v>475</v>
      </c>
      <c r="F45" s="14" t="s">
        <v>475</v>
      </c>
      <c r="G45" s="14" t="s">
        <v>475</v>
      </c>
      <c r="H45" s="14" t="s">
        <v>475</v>
      </c>
      <c r="I45" s="14" t="s">
        <v>475</v>
      </c>
      <c r="J45" s="14" t="s">
        <v>475</v>
      </c>
      <c r="K45" s="14" t="s">
        <v>475</v>
      </c>
      <c r="L45" s="15">
        <v>1</v>
      </c>
      <c r="M45" s="14" t="s">
        <v>475</v>
      </c>
      <c r="N45" s="14" t="s">
        <v>475</v>
      </c>
      <c r="O45" s="14" t="s">
        <v>475</v>
      </c>
      <c r="P45" s="14" t="s">
        <v>475</v>
      </c>
      <c r="Q45" s="14" t="s">
        <v>475</v>
      </c>
      <c r="R45" s="14" t="s">
        <v>475</v>
      </c>
      <c r="S45" s="14" t="s">
        <v>475</v>
      </c>
      <c r="T45" s="14" t="s">
        <v>475</v>
      </c>
      <c r="U45" s="14" t="s">
        <v>475</v>
      </c>
      <c r="V45" s="14" t="s">
        <v>475</v>
      </c>
      <c r="W45" s="14" t="s">
        <v>475</v>
      </c>
      <c r="X45" s="14" t="s">
        <v>475</v>
      </c>
      <c r="Y45" s="14" t="s">
        <v>475</v>
      </c>
      <c r="Z45" s="14" t="s">
        <v>475</v>
      </c>
      <c r="AA45" s="14" t="s">
        <v>475</v>
      </c>
      <c r="AB45" s="14" t="s">
        <v>475</v>
      </c>
      <c r="AC45" s="14" t="s">
        <v>475</v>
      </c>
      <c r="AD45" s="14" t="s">
        <v>475</v>
      </c>
      <c r="AE45" s="14" t="s">
        <v>475</v>
      </c>
      <c r="AF45" s="14" t="s">
        <v>475</v>
      </c>
      <c r="AG45" s="14" t="s">
        <v>475</v>
      </c>
      <c r="AH45" s="14" t="s">
        <v>475</v>
      </c>
      <c r="AI45" s="14" t="s">
        <v>475</v>
      </c>
      <c r="AJ45" s="14" t="s">
        <v>475</v>
      </c>
      <c r="AK45" s="14" t="s">
        <v>475</v>
      </c>
      <c r="AL45" s="14" t="s">
        <v>475</v>
      </c>
      <c r="AM45" s="14" t="s">
        <v>475</v>
      </c>
      <c r="AN45" s="14" t="s">
        <v>475</v>
      </c>
      <c r="AO45" s="14" t="s">
        <v>475</v>
      </c>
      <c r="AP45" s="14" t="s">
        <v>475</v>
      </c>
      <c r="AQ45" s="14" t="s">
        <v>475</v>
      </c>
    </row>
    <row r="46" spans="1:43" x14ac:dyDescent="0.35">
      <c r="A46" s="19"/>
      <c r="B46" s="11" t="s">
        <v>447</v>
      </c>
      <c r="C46" s="12">
        <v>3570</v>
      </c>
      <c r="D46" s="12">
        <v>0</v>
      </c>
      <c r="E46" s="12">
        <v>0</v>
      </c>
      <c r="F46" s="12">
        <v>0</v>
      </c>
      <c r="G46" s="12">
        <v>0</v>
      </c>
      <c r="H46" s="12">
        <v>0</v>
      </c>
      <c r="I46" s="12">
        <v>0</v>
      </c>
      <c r="J46" s="12">
        <v>0</v>
      </c>
      <c r="K46" s="12">
        <v>0</v>
      </c>
      <c r="L46" s="12">
        <v>0</v>
      </c>
      <c r="M46" s="12">
        <v>0</v>
      </c>
      <c r="N46" s="12">
        <v>0</v>
      </c>
      <c r="O46" s="12">
        <v>0</v>
      </c>
      <c r="P46" s="12">
        <v>0</v>
      </c>
      <c r="Q46" s="12">
        <v>1027</v>
      </c>
      <c r="R46" s="12">
        <v>0</v>
      </c>
      <c r="S46" s="12">
        <v>0</v>
      </c>
      <c r="T46" s="12">
        <v>0</v>
      </c>
      <c r="U46" s="12">
        <v>0</v>
      </c>
      <c r="V46" s="12">
        <v>0</v>
      </c>
      <c r="W46" s="12">
        <v>0</v>
      </c>
      <c r="X46" s="12">
        <v>0</v>
      </c>
      <c r="Y46" s="12">
        <v>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row>
    <row r="47" spans="1:43" x14ac:dyDescent="0.35">
      <c r="A47" s="19"/>
      <c r="B47" s="13" t="s">
        <v>447</v>
      </c>
      <c r="C47" s="15">
        <v>0.14000000000000001</v>
      </c>
      <c r="D47" s="14" t="s">
        <v>475</v>
      </c>
      <c r="E47" s="14" t="s">
        <v>475</v>
      </c>
      <c r="F47" s="14" t="s">
        <v>475</v>
      </c>
      <c r="G47" s="14" t="s">
        <v>475</v>
      </c>
      <c r="H47" s="14" t="s">
        <v>475</v>
      </c>
      <c r="I47" s="14" t="s">
        <v>475</v>
      </c>
      <c r="J47" s="14" t="s">
        <v>475</v>
      </c>
      <c r="K47" s="14" t="s">
        <v>475</v>
      </c>
      <c r="L47" s="14" t="s">
        <v>475</v>
      </c>
      <c r="M47" s="14" t="s">
        <v>475</v>
      </c>
      <c r="N47" s="14" t="s">
        <v>475</v>
      </c>
      <c r="O47" s="14" t="s">
        <v>475</v>
      </c>
      <c r="P47" s="14" t="s">
        <v>475</v>
      </c>
      <c r="Q47" s="15">
        <v>1</v>
      </c>
      <c r="R47" s="14" t="s">
        <v>475</v>
      </c>
      <c r="S47" s="14" t="s">
        <v>475</v>
      </c>
      <c r="T47" s="14" t="s">
        <v>475</v>
      </c>
      <c r="U47" s="14" t="s">
        <v>475</v>
      </c>
      <c r="V47" s="14" t="s">
        <v>475</v>
      </c>
      <c r="W47" s="14" t="s">
        <v>475</v>
      </c>
      <c r="X47" s="14" t="s">
        <v>475</v>
      </c>
      <c r="Y47" s="14" t="s">
        <v>475</v>
      </c>
      <c r="Z47" s="14" t="s">
        <v>475</v>
      </c>
      <c r="AA47" s="14" t="s">
        <v>475</v>
      </c>
      <c r="AB47" s="14" t="s">
        <v>475</v>
      </c>
      <c r="AC47" s="14" t="s">
        <v>475</v>
      </c>
      <c r="AD47" s="14" t="s">
        <v>475</v>
      </c>
      <c r="AE47" s="14" t="s">
        <v>475</v>
      </c>
      <c r="AF47" s="14" t="s">
        <v>475</v>
      </c>
      <c r="AG47" s="14" t="s">
        <v>475</v>
      </c>
      <c r="AH47" s="14" t="s">
        <v>475</v>
      </c>
      <c r="AI47" s="14" t="s">
        <v>475</v>
      </c>
      <c r="AJ47" s="14" t="s">
        <v>475</v>
      </c>
      <c r="AK47" s="14" t="s">
        <v>475</v>
      </c>
      <c r="AL47" s="14" t="s">
        <v>475</v>
      </c>
      <c r="AM47" s="14" t="s">
        <v>475</v>
      </c>
      <c r="AN47" s="14" t="s">
        <v>475</v>
      </c>
      <c r="AO47" s="14" t="s">
        <v>475</v>
      </c>
      <c r="AP47" s="14" t="s">
        <v>475</v>
      </c>
      <c r="AQ47" s="14" t="s">
        <v>475</v>
      </c>
    </row>
    <row r="48" spans="1:43" x14ac:dyDescent="0.35">
      <c r="A48" s="19"/>
      <c r="B48" s="11" t="s">
        <v>471</v>
      </c>
      <c r="C48" s="12">
        <v>0</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0</v>
      </c>
      <c r="X48" s="12">
        <v>0</v>
      </c>
      <c r="Y48" s="12">
        <v>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1005</v>
      </c>
      <c r="AP48" s="12">
        <v>0</v>
      </c>
      <c r="AQ48" s="12">
        <v>0</v>
      </c>
    </row>
    <row r="49" spans="1:43" x14ac:dyDescent="0.35">
      <c r="A49" s="19"/>
      <c r="B49" s="13" t="s">
        <v>471</v>
      </c>
      <c r="C49" s="14" t="s">
        <v>475</v>
      </c>
      <c r="D49" s="14" t="s">
        <v>475</v>
      </c>
      <c r="E49" s="14" t="s">
        <v>475</v>
      </c>
      <c r="F49" s="14" t="s">
        <v>475</v>
      </c>
      <c r="G49" s="14" t="s">
        <v>475</v>
      </c>
      <c r="H49" s="14" t="s">
        <v>475</v>
      </c>
      <c r="I49" s="14" t="s">
        <v>475</v>
      </c>
      <c r="J49" s="14" t="s">
        <v>475</v>
      </c>
      <c r="K49" s="14" t="s">
        <v>475</v>
      </c>
      <c r="L49" s="14" t="s">
        <v>475</v>
      </c>
      <c r="M49" s="14" t="s">
        <v>475</v>
      </c>
      <c r="N49" s="14" t="s">
        <v>475</v>
      </c>
      <c r="O49" s="14" t="s">
        <v>475</v>
      </c>
      <c r="P49" s="14" t="s">
        <v>475</v>
      </c>
      <c r="Q49" s="14" t="s">
        <v>475</v>
      </c>
      <c r="R49" s="14" t="s">
        <v>475</v>
      </c>
      <c r="S49" s="14" t="s">
        <v>475</v>
      </c>
      <c r="T49" s="14" t="s">
        <v>475</v>
      </c>
      <c r="U49" s="14" t="s">
        <v>475</v>
      </c>
      <c r="V49" s="14" t="s">
        <v>475</v>
      </c>
      <c r="W49" s="14" t="s">
        <v>475</v>
      </c>
      <c r="X49" s="14" t="s">
        <v>475</v>
      </c>
      <c r="Y49" s="14" t="s">
        <v>475</v>
      </c>
      <c r="Z49" s="14" t="s">
        <v>475</v>
      </c>
      <c r="AA49" s="14" t="s">
        <v>475</v>
      </c>
      <c r="AB49" s="14" t="s">
        <v>475</v>
      </c>
      <c r="AC49" s="14" t="s">
        <v>475</v>
      </c>
      <c r="AD49" s="14" t="s">
        <v>475</v>
      </c>
      <c r="AE49" s="14" t="s">
        <v>475</v>
      </c>
      <c r="AF49" s="14" t="s">
        <v>475</v>
      </c>
      <c r="AG49" s="14" t="s">
        <v>475</v>
      </c>
      <c r="AH49" s="14" t="s">
        <v>475</v>
      </c>
      <c r="AI49" s="14" t="s">
        <v>475</v>
      </c>
      <c r="AJ49" s="14" t="s">
        <v>475</v>
      </c>
      <c r="AK49" s="14" t="s">
        <v>475</v>
      </c>
      <c r="AL49" s="14" t="s">
        <v>475</v>
      </c>
      <c r="AM49" s="14" t="s">
        <v>475</v>
      </c>
      <c r="AN49" s="14" t="s">
        <v>475</v>
      </c>
      <c r="AO49" s="15">
        <v>1</v>
      </c>
      <c r="AP49" s="14" t="s">
        <v>475</v>
      </c>
      <c r="AQ49" s="14" t="s">
        <v>475</v>
      </c>
    </row>
    <row r="50" spans="1:43" x14ac:dyDescent="0.35">
      <c r="A50" s="19"/>
      <c r="B50" s="11" t="s">
        <v>450</v>
      </c>
      <c r="C50" s="12">
        <v>170</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1006</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row>
    <row r="51" spans="1:43" x14ac:dyDescent="0.35">
      <c r="A51" s="19"/>
      <c r="B51" s="13" t="s">
        <v>450</v>
      </c>
      <c r="C51" s="15">
        <v>0.01</v>
      </c>
      <c r="D51" s="14" t="s">
        <v>475</v>
      </c>
      <c r="E51" s="14" t="s">
        <v>475</v>
      </c>
      <c r="F51" s="14" t="s">
        <v>475</v>
      </c>
      <c r="G51" s="14" t="s">
        <v>475</v>
      </c>
      <c r="H51" s="14" t="s">
        <v>475</v>
      </c>
      <c r="I51" s="14" t="s">
        <v>475</v>
      </c>
      <c r="J51" s="14" t="s">
        <v>475</v>
      </c>
      <c r="K51" s="14" t="s">
        <v>475</v>
      </c>
      <c r="L51" s="14" t="s">
        <v>475</v>
      </c>
      <c r="M51" s="14" t="s">
        <v>475</v>
      </c>
      <c r="N51" s="14" t="s">
        <v>475</v>
      </c>
      <c r="O51" s="14" t="s">
        <v>475</v>
      </c>
      <c r="P51" s="14" t="s">
        <v>475</v>
      </c>
      <c r="Q51" s="14" t="s">
        <v>475</v>
      </c>
      <c r="R51" s="14" t="s">
        <v>475</v>
      </c>
      <c r="S51" s="14" t="s">
        <v>475</v>
      </c>
      <c r="T51" s="15">
        <v>1</v>
      </c>
      <c r="U51" s="14" t="s">
        <v>475</v>
      </c>
      <c r="V51" s="14" t="s">
        <v>475</v>
      </c>
      <c r="W51" s="14" t="s">
        <v>475</v>
      </c>
      <c r="X51" s="14" t="s">
        <v>475</v>
      </c>
      <c r="Y51" s="14" t="s">
        <v>475</v>
      </c>
      <c r="Z51" s="14" t="s">
        <v>475</v>
      </c>
      <c r="AA51" s="14" t="s">
        <v>475</v>
      </c>
      <c r="AB51" s="14" t="s">
        <v>475</v>
      </c>
      <c r="AC51" s="14" t="s">
        <v>475</v>
      </c>
      <c r="AD51" s="14" t="s">
        <v>475</v>
      </c>
      <c r="AE51" s="14" t="s">
        <v>475</v>
      </c>
      <c r="AF51" s="14" t="s">
        <v>475</v>
      </c>
      <c r="AG51" s="14" t="s">
        <v>475</v>
      </c>
      <c r="AH51" s="14" t="s">
        <v>475</v>
      </c>
      <c r="AI51" s="14" t="s">
        <v>475</v>
      </c>
      <c r="AJ51" s="14" t="s">
        <v>475</v>
      </c>
      <c r="AK51" s="14" t="s">
        <v>475</v>
      </c>
      <c r="AL51" s="14" t="s">
        <v>475</v>
      </c>
      <c r="AM51" s="14" t="s">
        <v>475</v>
      </c>
      <c r="AN51" s="14" t="s">
        <v>475</v>
      </c>
      <c r="AO51" s="14" t="s">
        <v>475</v>
      </c>
      <c r="AP51" s="14" t="s">
        <v>475</v>
      </c>
      <c r="AQ51" s="14" t="s">
        <v>475</v>
      </c>
    </row>
    <row r="52" spans="1:43" x14ac:dyDescent="0.35">
      <c r="A52" s="19"/>
      <c r="B52" s="11" t="s">
        <v>451</v>
      </c>
      <c r="C52" s="12">
        <v>39</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504</v>
      </c>
      <c r="V52" s="12">
        <v>0</v>
      </c>
      <c r="W52" s="12">
        <v>0</v>
      </c>
      <c r="X52" s="12">
        <v>0</v>
      </c>
      <c r="Y52" s="12">
        <v>0</v>
      </c>
      <c r="Z52" s="12">
        <v>0</v>
      </c>
      <c r="AA52" s="12">
        <v>0</v>
      </c>
      <c r="AB52" s="12">
        <v>0</v>
      </c>
      <c r="AC52" s="12">
        <v>0</v>
      </c>
      <c r="AD52" s="12">
        <v>0</v>
      </c>
      <c r="AE52" s="12">
        <v>0</v>
      </c>
      <c r="AF52" s="12">
        <v>0</v>
      </c>
      <c r="AG52" s="12">
        <v>0</v>
      </c>
      <c r="AH52" s="12">
        <v>0</v>
      </c>
      <c r="AI52" s="12">
        <v>0</v>
      </c>
      <c r="AJ52" s="12">
        <v>0</v>
      </c>
      <c r="AK52" s="12">
        <v>0</v>
      </c>
      <c r="AL52" s="12">
        <v>0</v>
      </c>
      <c r="AM52" s="12">
        <v>0</v>
      </c>
      <c r="AN52" s="12">
        <v>0</v>
      </c>
      <c r="AO52" s="12">
        <v>0</v>
      </c>
      <c r="AP52" s="12">
        <v>0</v>
      </c>
      <c r="AQ52" s="12">
        <v>0</v>
      </c>
    </row>
    <row r="53" spans="1:43" x14ac:dyDescent="0.35">
      <c r="A53" s="19"/>
      <c r="B53" s="13" t="s">
        <v>451</v>
      </c>
      <c r="C53" s="14" t="s">
        <v>475</v>
      </c>
      <c r="D53" s="14" t="s">
        <v>475</v>
      </c>
      <c r="E53" s="14" t="s">
        <v>475</v>
      </c>
      <c r="F53" s="14" t="s">
        <v>475</v>
      </c>
      <c r="G53" s="14" t="s">
        <v>475</v>
      </c>
      <c r="H53" s="14" t="s">
        <v>475</v>
      </c>
      <c r="I53" s="14" t="s">
        <v>475</v>
      </c>
      <c r="J53" s="14" t="s">
        <v>475</v>
      </c>
      <c r="K53" s="14" t="s">
        <v>475</v>
      </c>
      <c r="L53" s="14" t="s">
        <v>475</v>
      </c>
      <c r="M53" s="14" t="s">
        <v>475</v>
      </c>
      <c r="N53" s="14" t="s">
        <v>475</v>
      </c>
      <c r="O53" s="14" t="s">
        <v>475</v>
      </c>
      <c r="P53" s="14" t="s">
        <v>475</v>
      </c>
      <c r="Q53" s="14" t="s">
        <v>475</v>
      </c>
      <c r="R53" s="14" t="s">
        <v>475</v>
      </c>
      <c r="S53" s="14" t="s">
        <v>475</v>
      </c>
      <c r="T53" s="14" t="s">
        <v>475</v>
      </c>
      <c r="U53" s="15">
        <v>1</v>
      </c>
      <c r="V53" s="14" t="s">
        <v>475</v>
      </c>
      <c r="W53" s="14" t="s">
        <v>475</v>
      </c>
      <c r="X53" s="14" t="s">
        <v>475</v>
      </c>
      <c r="Y53" s="14" t="s">
        <v>475</v>
      </c>
      <c r="Z53" s="14" t="s">
        <v>475</v>
      </c>
      <c r="AA53" s="14" t="s">
        <v>475</v>
      </c>
      <c r="AB53" s="14" t="s">
        <v>475</v>
      </c>
      <c r="AC53" s="14" t="s">
        <v>475</v>
      </c>
      <c r="AD53" s="14" t="s">
        <v>475</v>
      </c>
      <c r="AE53" s="14" t="s">
        <v>475</v>
      </c>
      <c r="AF53" s="14" t="s">
        <v>475</v>
      </c>
      <c r="AG53" s="14" t="s">
        <v>475</v>
      </c>
      <c r="AH53" s="14" t="s">
        <v>475</v>
      </c>
      <c r="AI53" s="14" t="s">
        <v>475</v>
      </c>
      <c r="AJ53" s="14" t="s">
        <v>475</v>
      </c>
      <c r="AK53" s="14" t="s">
        <v>475</v>
      </c>
      <c r="AL53" s="14" t="s">
        <v>475</v>
      </c>
      <c r="AM53" s="14" t="s">
        <v>475</v>
      </c>
      <c r="AN53" s="14" t="s">
        <v>475</v>
      </c>
      <c r="AO53" s="14" t="s">
        <v>475</v>
      </c>
      <c r="AP53" s="14" t="s">
        <v>475</v>
      </c>
      <c r="AQ53" s="14" t="s">
        <v>475</v>
      </c>
    </row>
    <row r="54" spans="1:43" x14ac:dyDescent="0.35">
      <c r="A54" s="19"/>
      <c r="B54" s="11" t="s">
        <v>449</v>
      </c>
      <c r="C54" s="12">
        <v>109</v>
      </c>
      <c r="D54" s="12">
        <v>0</v>
      </c>
      <c r="E54" s="12">
        <v>0</v>
      </c>
      <c r="F54" s="12">
        <v>0</v>
      </c>
      <c r="G54" s="12">
        <v>0</v>
      </c>
      <c r="H54" s="12">
        <v>0</v>
      </c>
      <c r="I54" s="12">
        <v>0</v>
      </c>
      <c r="J54" s="12">
        <v>0</v>
      </c>
      <c r="K54" s="12">
        <v>0</v>
      </c>
      <c r="L54" s="12">
        <v>0</v>
      </c>
      <c r="M54" s="12">
        <v>0</v>
      </c>
      <c r="N54" s="12">
        <v>0</v>
      </c>
      <c r="O54" s="12">
        <v>0</v>
      </c>
      <c r="P54" s="12">
        <v>0</v>
      </c>
      <c r="Q54" s="12">
        <v>0</v>
      </c>
      <c r="R54" s="12">
        <v>0</v>
      </c>
      <c r="S54" s="12">
        <v>1002</v>
      </c>
      <c r="T54" s="12">
        <v>0</v>
      </c>
      <c r="U54" s="12">
        <v>0</v>
      </c>
      <c r="V54" s="12">
        <v>0</v>
      </c>
      <c r="W54" s="12">
        <v>0</v>
      </c>
      <c r="X54" s="12">
        <v>0</v>
      </c>
      <c r="Y54" s="12">
        <v>0</v>
      </c>
      <c r="Z54" s="12">
        <v>0</v>
      </c>
      <c r="AA54" s="12">
        <v>0</v>
      </c>
      <c r="AB54" s="12">
        <v>0</v>
      </c>
      <c r="AC54" s="12">
        <v>0</v>
      </c>
      <c r="AD54" s="12">
        <v>0</v>
      </c>
      <c r="AE54" s="12">
        <v>0</v>
      </c>
      <c r="AF54" s="12">
        <v>0</v>
      </c>
      <c r="AG54" s="12">
        <v>0</v>
      </c>
      <c r="AH54" s="12">
        <v>0</v>
      </c>
      <c r="AI54" s="12">
        <v>0</v>
      </c>
      <c r="AJ54" s="12">
        <v>0</v>
      </c>
      <c r="AK54" s="12">
        <v>0</v>
      </c>
      <c r="AL54" s="12">
        <v>0</v>
      </c>
      <c r="AM54" s="12">
        <v>0</v>
      </c>
      <c r="AN54" s="12">
        <v>0</v>
      </c>
      <c r="AO54" s="12">
        <v>0</v>
      </c>
      <c r="AP54" s="12">
        <v>0</v>
      </c>
      <c r="AQ54" s="12">
        <v>0</v>
      </c>
    </row>
    <row r="55" spans="1:43" x14ac:dyDescent="0.35">
      <c r="A55" s="19"/>
      <c r="B55" s="13" t="s">
        <v>449</v>
      </c>
      <c r="C55" s="14" t="s">
        <v>475</v>
      </c>
      <c r="D55" s="14" t="s">
        <v>475</v>
      </c>
      <c r="E55" s="14" t="s">
        <v>475</v>
      </c>
      <c r="F55" s="14" t="s">
        <v>475</v>
      </c>
      <c r="G55" s="14" t="s">
        <v>475</v>
      </c>
      <c r="H55" s="14" t="s">
        <v>475</v>
      </c>
      <c r="I55" s="14" t="s">
        <v>475</v>
      </c>
      <c r="J55" s="14" t="s">
        <v>475</v>
      </c>
      <c r="K55" s="14" t="s">
        <v>475</v>
      </c>
      <c r="L55" s="14" t="s">
        <v>475</v>
      </c>
      <c r="M55" s="14" t="s">
        <v>475</v>
      </c>
      <c r="N55" s="14" t="s">
        <v>475</v>
      </c>
      <c r="O55" s="14" t="s">
        <v>475</v>
      </c>
      <c r="P55" s="14" t="s">
        <v>475</v>
      </c>
      <c r="Q55" s="14" t="s">
        <v>475</v>
      </c>
      <c r="R55" s="14" t="s">
        <v>475</v>
      </c>
      <c r="S55" s="15">
        <v>1</v>
      </c>
      <c r="T55" s="14" t="s">
        <v>475</v>
      </c>
      <c r="U55" s="14" t="s">
        <v>475</v>
      </c>
      <c r="V55" s="14" t="s">
        <v>475</v>
      </c>
      <c r="W55" s="14" t="s">
        <v>475</v>
      </c>
      <c r="X55" s="14" t="s">
        <v>475</v>
      </c>
      <c r="Y55" s="14" t="s">
        <v>475</v>
      </c>
      <c r="Z55" s="14" t="s">
        <v>475</v>
      </c>
      <c r="AA55" s="14" t="s">
        <v>475</v>
      </c>
      <c r="AB55" s="14" t="s">
        <v>475</v>
      </c>
      <c r="AC55" s="14" t="s">
        <v>475</v>
      </c>
      <c r="AD55" s="14" t="s">
        <v>475</v>
      </c>
      <c r="AE55" s="14" t="s">
        <v>475</v>
      </c>
      <c r="AF55" s="14" t="s">
        <v>475</v>
      </c>
      <c r="AG55" s="14" t="s">
        <v>475</v>
      </c>
      <c r="AH55" s="14" t="s">
        <v>475</v>
      </c>
      <c r="AI55" s="14" t="s">
        <v>475</v>
      </c>
      <c r="AJ55" s="14" t="s">
        <v>475</v>
      </c>
      <c r="AK55" s="14" t="s">
        <v>475</v>
      </c>
      <c r="AL55" s="14" t="s">
        <v>475</v>
      </c>
      <c r="AM55" s="14" t="s">
        <v>475</v>
      </c>
      <c r="AN55" s="14" t="s">
        <v>475</v>
      </c>
      <c r="AO55" s="14" t="s">
        <v>475</v>
      </c>
      <c r="AP55" s="14" t="s">
        <v>475</v>
      </c>
      <c r="AQ55" s="14" t="s">
        <v>475</v>
      </c>
    </row>
    <row r="56" spans="1:43" x14ac:dyDescent="0.35">
      <c r="A56" s="19"/>
      <c r="B56" s="11" t="s">
        <v>465</v>
      </c>
      <c r="C56" s="12">
        <v>0</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0</v>
      </c>
      <c r="AC56" s="12">
        <v>0</v>
      </c>
      <c r="AD56" s="12">
        <v>0</v>
      </c>
      <c r="AE56" s="12">
        <v>0</v>
      </c>
      <c r="AF56" s="12">
        <v>0</v>
      </c>
      <c r="AG56" s="12">
        <v>0</v>
      </c>
      <c r="AH56" s="12">
        <v>0</v>
      </c>
      <c r="AI56" s="12">
        <v>523</v>
      </c>
      <c r="AJ56" s="12">
        <v>0</v>
      </c>
      <c r="AK56" s="12">
        <v>0</v>
      </c>
      <c r="AL56" s="12">
        <v>0</v>
      </c>
      <c r="AM56" s="12">
        <v>0</v>
      </c>
      <c r="AN56" s="12">
        <v>0</v>
      </c>
      <c r="AO56" s="12">
        <v>0</v>
      </c>
      <c r="AP56" s="12">
        <v>0</v>
      </c>
      <c r="AQ56" s="12">
        <v>0</v>
      </c>
    </row>
    <row r="57" spans="1:43" x14ac:dyDescent="0.35">
      <c r="A57" s="19"/>
      <c r="B57" s="13" t="s">
        <v>465</v>
      </c>
      <c r="C57" s="14" t="s">
        <v>475</v>
      </c>
      <c r="D57" s="14" t="s">
        <v>475</v>
      </c>
      <c r="E57" s="14" t="s">
        <v>475</v>
      </c>
      <c r="F57" s="14" t="s">
        <v>475</v>
      </c>
      <c r="G57" s="14" t="s">
        <v>475</v>
      </c>
      <c r="H57" s="14" t="s">
        <v>475</v>
      </c>
      <c r="I57" s="14" t="s">
        <v>475</v>
      </c>
      <c r="J57" s="14" t="s">
        <v>475</v>
      </c>
      <c r="K57" s="14" t="s">
        <v>475</v>
      </c>
      <c r="L57" s="14" t="s">
        <v>475</v>
      </c>
      <c r="M57" s="14" t="s">
        <v>475</v>
      </c>
      <c r="N57" s="14" t="s">
        <v>475</v>
      </c>
      <c r="O57" s="14" t="s">
        <v>475</v>
      </c>
      <c r="P57" s="14" t="s">
        <v>475</v>
      </c>
      <c r="Q57" s="14" t="s">
        <v>475</v>
      </c>
      <c r="R57" s="14" t="s">
        <v>475</v>
      </c>
      <c r="S57" s="14" t="s">
        <v>475</v>
      </c>
      <c r="T57" s="14" t="s">
        <v>475</v>
      </c>
      <c r="U57" s="14" t="s">
        <v>475</v>
      </c>
      <c r="V57" s="14" t="s">
        <v>475</v>
      </c>
      <c r="W57" s="14" t="s">
        <v>475</v>
      </c>
      <c r="X57" s="14" t="s">
        <v>475</v>
      </c>
      <c r="Y57" s="14" t="s">
        <v>475</v>
      </c>
      <c r="Z57" s="14" t="s">
        <v>475</v>
      </c>
      <c r="AA57" s="14" t="s">
        <v>475</v>
      </c>
      <c r="AB57" s="14" t="s">
        <v>475</v>
      </c>
      <c r="AC57" s="14" t="s">
        <v>475</v>
      </c>
      <c r="AD57" s="14" t="s">
        <v>475</v>
      </c>
      <c r="AE57" s="14" t="s">
        <v>475</v>
      </c>
      <c r="AF57" s="14" t="s">
        <v>475</v>
      </c>
      <c r="AG57" s="14" t="s">
        <v>475</v>
      </c>
      <c r="AH57" s="14" t="s">
        <v>475</v>
      </c>
      <c r="AI57" s="15">
        <v>1</v>
      </c>
      <c r="AJ57" s="14" t="s">
        <v>475</v>
      </c>
      <c r="AK57" s="14" t="s">
        <v>475</v>
      </c>
      <c r="AL57" s="14" t="s">
        <v>475</v>
      </c>
      <c r="AM57" s="14" t="s">
        <v>475</v>
      </c>
      <c r="AN57" s="14" t="s">
        <v>475</v>
      </c>
      <c r="AO57" s="14" t="s">
        <v>475</v>
      </c>
      <c r="AP57" s="14" t="s">
        <v>475</v>
      </c>
      <c r="AQ57" s="14" t="s">
        <v>475</v>
      </c>
    </row>
    <row r="58" spans="1:43" x14ac:dyDescent="0.35">
      <c r="A58" s="19"/>
      <c r="B58" s="11" t="s">
        <v>464</v>
      </c>
      <c r="C58" s="12">
        <v>0</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0</v>
      </c>
      <c r="AG58" s="12">
        <v>0</v>
      </c>
      <c r="AH58" s="12">
        <v>1013</v>
      </c>
      <c r="AI58" s="12">
        <v>0</v>
      </c>
      <c r="AJ58" s="12">
        <v>0</v>
      </c>
      <c r="AK58" s="12">
        <v>0</v>
      </c>
      <c r="AL58" s="12">
        <v>0</v>
      </c>
      <c r="AM58" s="12">
        <v>0</v>
      </c>
      <c r="AN58" s="12">
        <v>0</v>
      </c>
      <c r="AO58" s="12">
        <v>0</v>
      </c>
      <c r="AP58" s="12">
        <v>0</v>
      </c>
      <c r="AQ58" s="12">
        <v>0</v>
      </c>
    </row>
    <row r="59" spans="1:43" x14ac:dyDescent="0.35">
      <c r="A59" s="19"/>
      <c r="B59" s="13" t="s">
        <v>464</v>
      </c>
      <c r="C59" s="14" t="s">
        <v>475</v>
      </c>
      <c r="D59" s="14" t="s">
        <v>475</v>
      </c>
      <c r="E59" s="14" t="s">
        <v>475</v>
      </c>
      <c r="F59" s="14" t="s">
        <v>475</v>
      </c>
      <c r="G59" s="14" t="s">
        <v>475</v>
      </c>
      <c r="H59" s="14" t="s">
        <v>475</v>
      </c>
      <c r="I59" s="14" t="s">
        <v>475</v>
      </c>
      <c r="J59" s="14" t="s">
        <v>475</v>
      </c>
      <c r="K59" s="14" t="s">
        <v>475</v>
      </c>
      <c r="L59" s="14" t="s">
        <v>475</v>
      </c>
      <c r="M59" s="14" t="s">
        <v>475</v>
      </c>
      <c r="N59" s="14" t="s">
        <v>475</v>
      </c>
      <c r="O59" s="14" t="s">
        <v>475</v>
      </c>
      <c r="P59" s="14" t="s">
        <v>475</v>
      </c>
      <c r="Q59" s="14" t="s">
        <v>475</v>
      </c>
      <c r="R59" s="14" t="s">
        <v>475</v>
      </c>
      <c r="S59" s="14" t="s">
        <v>475</v>
      </c>
      <c r="T59" s="14" t="s">
        <v>475</v>
      </c>
      <c r="U59" s="14" t="s">
        <v>475</v>
      </c>
      <c r="V59" s="14" t="s">
        <v>475</v>
      </c>
      <c r="W59" s="14" t="s">
        <v>475</v>
      </c>
      <c r="X59" s="14" t="s">
        <v>475</v>
      </c>
      <c r="Y59" s="14" t="s">
        <v>475</v>
      </c>
      <c r="Z59" s="14" t="s">
        <v>475</v>
      </c>
      <c r="AA59" s="14" t="s">
        <v>475</v>
      </c>
      <c r="AB59" s="14" t="s">
        <v>475</v>
      </c>
      <c r="AC59" s="14" t="s">
        <v>475</v>
      </c>
      <c r="AD59" s="14" t="s">
        <v>475</v>
      </c>
      <c r="AE59" s="14" t="s">
        <v>475</v>
      </c>
      <c r="AF59" s="14" t="s">
        <v>475</v>
      </c>
      <c r="AG59" s="14" t="s">
        <v>475</v>
      </c>
      <c r="AH59" s="15">
        <v>1</v>
      </c>
      <c r="AI59" s="14" t="s">
        <v>475</v>
      </c>
      <c r="AJ59" s="14" t="s">
        <v>475</v>
      </c>
      <c r="AK59" s="14" t="s">
        <v>475</v>
      </c>
      <c r="AL59" s="14" t="s">
        <v>475</v>
      </c>
      <c r="AM59" s="14" t="s">
        <v>475</v>
      </c>
      <c r="AN59" s="14" t="s">
        <v>475</v>
      </c>
      <c r="AO59" s="14" t="s">
        <v>475</v>
      </c>
      <c r="AP59" s="14" t="s">
        <v>475</v>
      </c>
      <c r="AQ59" s="14" t="s">
        <v>475</v>
      </c>
    </row>
    <row r="60" spans="1:43" x14ac:dyDescent="0.35">
      <c r="A60" s="19"/>
      <c r="B60" s="11" t="s">
        <v>453</v>
      </c>
      <c r="C60" s="12">
        <v>34</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508</v>
      </c>
      <c r="X60" s="12">
        <v>0</v>
      </c>
      <c r="Y60" s="12">
        <v>0</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row>
    <row r="61" spans="1:43" x14ac:dyDescent="0.35">
      <c r="A61" s="19"/>
      <c r="B61" s="13" t="s">
        <v>453</v>
      </c>
      <c r="C61" s="14" t="s">
        <v>475</v>
      </c>
      <c r="D61" s="14" t="s">
        <v>475</v>
      </c>
      <c r="E61" s="14" t="s">
        <v>475</v>
      </c>
      <c r="F61" s="14" t="s">
        <v>475</v>
      </c>
      <c r="G61" s="14" t="s">
        <v>475</v>
      </c>
      <c r="H61" s="14" t="s">
        <v>475</v>
      </c>
      <c r="I61" s="14" t="s">
        <v>475</v>
      </c>
      <c r="J61" s="14" t="s">
        <v>475</v>
      </c>
      <c r="K61" s="14" t="s">
        <v>475</v>
      </c>
      <c r="L61" s="14" t="s">
        <v>475</v>
      </c>
      <c r="M61" s="14" t="s">
        <v>475</v>
      </c>
      <c r="N61" s="14" t="s">
        <v>475</v>
      </c>
      <c r="O61" s="14" t="s">
        <v>475</v>
      </c>
      <c r="P61" s="14" t="s">
        <v>475</v>
      </c>
      <c r="Q61" s="14" t="s">
        <v>475</v>
      </c>
      <c r="R61" s="14" t="s">
        <v>475</v>
      </c>
      <c r="S61" s="14" t="s">
        <v>475</v>
      </c>
      <c r="T61" s="14" t="s">
        <v>475</v>
      </c>
      <c r="U61" s="14" t="s">
        <v>475</v>
      </c>
      <c r="V61" s="14" t="s">
        <v>475</v>
      </c>
      <c r="W61" s="15">
        <v>1</v>
      </c>
      <c r="X61" s="14" t="s">
        <v>475</v>
      </c>
      <c r="Y61" s="14" t="s">
        <v>475</v>
      </c>
      <c r="Z61" s="14" t="s">
        <v>475</v>
      </c>
      <c r="AA61" s="14" t="s">
        <v>475</v>
      </c>
      <c r="AB61" s="14" t="s">
        <v>475</v>
      </c>
      <c r="AC61" s="14" t="s">
        <v>475</v>
      </c>
      <c r="AD61" s="14" t="s">
        <v>475</v>
      </c>
      <c r="AE61" s="14" t="s">
        <v>475</v>
      </c>
      <c r="AF61" s="14" t="s">
        <v>475</v>
      </c>
      <c r="AG61" s="14" t="s">
        <v>475</v>
      </c>
      <c r="AH61" s="14" t="s">
        <v>475</v>
      </c>
      <c r="AI61" s="14" t="s">
        <v>475</v>
      </c>
      <c r="AJ61" s="14" t="s">
        <v>475</v>
      </c>
      <c r="AK61" s="14" t="s">
        <v>475</v>
      </c>
      <c r="AL61" s="14" t="s">
        <v>475</v>
      </c>
      <c r="AM61" s="14" t="s">
        <v>475</v>
      </c>
      <c r="AN61" s="14" t="s">
        <v>475</v>
      </c>
      <c r="AO61" s="14" t="s">
        <v>475</v>
      </c>
      <c r="AP61" s="14" t="s">
        <v>475</v>
      </c>
      <c r="AQ61" s="14" t="s">
        <v>475</v>
      </c>
    </row>
    <row r="62" spans="1:43" x14ac:dyDescent="0.35">
      <c r="A62" s="19"/>
      <c r="B62" s="11" t="s">
        <v>454</v>
      </c>
      <c r="C62" s="12">
        <v>1050</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1009</v>
      </c>
      <c r="Y62" s="12">
        <v>0</v>
      </c>
      <c r="Z62" s="12">
        <v>0</v>
      </c>
      <c r="AA62" s="12">
        <v>0</v>
      </c>
      <c r="AB62" s="12">
        <v>0</v>
      </c>
      <c r="AC62" s="12">
        <v>0</v>
      </c>
      <c r="AD62" s="12">
        <v>0</v>
      </c>
      <c r="AE62" s="12">
        <v>0</v>
      </c>
      <c r="AF62" s="12">
        <v>0</v>
      </c>
      <c r="AG62" s="12">
        <v>0</v>
      </c>
      <c r="AH62" s="12">
        <v>0</v>
      </c>
      <c r="AI62" s="12">
        <v>0</v>
      </c>
      <c r="AJ62" s="12">
        <v>0</v>
      </c>
      <c r="AK62" s="12">
        <v>0</v>
      </c>
      <c r="AL62" s="12">
        <v>0</v>
      </c>
      <c r="AM62" s="12">
        <v>0</v>
      </c>
      <c r="AN62" s="12">
        <v>0</v>
      </c>
      <c r="AO62" s="12">
        <v>0</v>
      </c>
      <c r="AP62" s="12">
        <v>0</v>
      </c>
      <c r="AQ62" s="12">
        <v>0</v>
      </c>
    </row>
    <row r="63" spans="1:43" x14ac:dyDescent="0.35">
      <c r="A63" s="19"/>
      <c r="B63" s="13" t="s">
        <v>454</v>
      </c>
      <c r="C63" s="15">
        <v>0.04</v>
      </c>
      <c r="D63" s="14" t="s">
        <v>475</v>
      </c>
      <c r="E63" s="14" t="s">
        <v>475</v>
      </c>
      <c r="F63" s="14" t="s">
        <v>475</v>
      </c>
      <c r="G63" s="14" t="s">
        <v>475</v>
      </c>
      <c r="H63" s="14" t="s">
        <v>475</v>
      </c>
      <c r="I63" s="14" t="s">
        <v>475</v>
      </c>
      <c r="J63" s="14" t="s">
        <v>475</v>
      </c>
      <c r="K63" s="14" t="s">
        <v>475</v>
      </c>
      <c r="L63" s="14" t="s">
        <v>475</v>
      </c>
      <c r="M63" s="14" t="s">
        <v>475</v>
      </c>
      <c r="N63" s="14" t="s">
        <v>475</v>
      </c>
      <c r="O63" s="14" t="s">
        <v>475</v>
      </c>
      <c r="P63" s="14" t="s">
        <v>475</v>
      </c>
      <c r="Q63" s="14" t="s">
        <v>475</v>
      </c>
      <c r="R63" s="14" t="s">
        <v>475</v>
      </c>
      <c r="S63" s="14" t="s">
        <v>475</v>
      </c>
      <c r="T63" s="14" t="s">
        <v>475</v>
      </c>
      <c r="U63" s="14" t="s">
        <v>475</v>
      </c>
      <c r="V63" s="14" t="s">
        <v>475</v>
      </c>
      <c r="W63" s="14" t="s">
        <v>475</v>
      </c>
      <c r="X63" s="15">
        <v>1</v>
      </c>
      <c r="Y63" s="14" t="s">
        <v>475</v>
      </c>
      <c r="Z63" s="14" t="s">
        <v>475</v>
      </c>
      <c r="AA63" s="14" t="s">
        <v>475</v>
      </c>
      <c r="AB63" s="14" t="s">
        <v>475</v>
      </c>
      <c r="AC63" s="14" t="s">
        <v>475</v>
      </c>
      <c r="AD63" s="14" t="s">
        <v>475</v>
      </c>
      <c r="AE63" s="14" t="s">
        <v>475</v>
      </c>
      <c r="AF63" s="14" t="s">
        <v>475</v>
      </c>
      <c r="AG63" s="14" t="s">
        <v>475</v>
      </c>
      <c r="AH63" s="14" t="s">
        <v>475</v>
      </c>
      <c r="AI63" s="14" t="s">
        <v>475</v>
      </c>
      <c r="AJ63" s="14" t="s">
        <v>475</v>
      </c>
      <c r="AK63" s="14" t="s">
        <v>475</v>
      </c>
      <c r="AL63" s="14" t="s">
        <v>475</v>
      </c>
      <c r="AM63" s="14" t="s">
        <v>475</v>
      </c>
      <c r="AN63" s="14" t="s">
        <v>475</v>
      </c>
      <c r="AO63" s="14" t="s">
        <v>475</v>
      </c>
      <c r="AP63" s="14" t="s">
        <v>475</v>
      </c>
      <c r="AQ63" s="14" t="s">
        <v>475</v>
      </c>
    </row>
    <row r="64" spans="1:43" x14ac:dyDescent="0.35">
      <c r="A64" s="19"/>
      <c r="B64" s="11" t="s">
        <v>456</v>
      </c>
      <c r="C64" s="12">
        <v>2143</v>
      </c>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1031</v>
      </c>
      <c r="AA64" s="12">
        <v>0</v>
      </c>
      <c r="AB64" s="12">
        <v>0</v>
      </c>
      <c r="AC64" s="12">
        <v>0</v>
      </c>
      <c r="AD64" s="12">
        <v>0</v>
      </c>
      <c r="AE64" s="12">
        <v>0</v>
      </c>
      <c r="AF64" s="12">
        <v>0</v>
      </c>
      <c r="AG64" s="12">
        <v>0</v>
      </c>
      <c r="AH64" s="12">
        <v>0</v>
      </c>
      <c r="AI64" s="12">
        <v>0</v>
      </c>
      <c r="AJ64" s="12">
        <v>0</v>
      </c>
      <c r="AK64" s="12">
        <v>0</v>
      </c>
      <c r="AL64" s="12">
        <v>0</v>
      </c>
      <c r="AM64" s="12">
        <v>0</v>
      </c>
      <c r="AN64" s="12">
        <v>0</v>
      </c>
      <c r="AO64" s="12">
        <v>0</v>
      </c>
      <c r="AP64" s="12">
        <v>0</v>
      </c>
      <c r="AQ64" s="12">
        <v>0</v>
      </c>
    </row>
    <row r="65" spans="1:43" x14ac:dyDescent="0.35">
      <c r="A65" s="19"/>
      <c r="B65" s="13" t="s">
        <v>456</v>
      </c>
      <c r="C65" s="15">
        <v>0.08</v>
      </c>
      <c r="D65" s="14" t="s">
        <v>475</v>
      </c>
      <c r="E65" s="14" t="s">
        <v>475</v>
      </c>
      <c r="F65" s="14" t="s">
        <v>475</v>
      </c>
      <c r="G65" s="14" t="s">
        <v>475</v>
      </c>
      <c r="H65" s="14" t="s">
        <v>475</v>
      </c>
      <c r="I65" s="14" t="s">
        <v>475</v>
      </c>
      <c r="J65" s="14" t="s">
        <v>475</v>
      </c>
      <c r="K65" s="14" t="s">
        <v>475</v>
      </c>
      <c r="L65" s="14" t="s">
        <v>475</v>
      </c>
      <c r="M65" s="14" t="s">
        <v>475</v>
      </c>
      <c r="N65" s="14" t="s">
        <v>475</v>
      </c>
      <c r="O65" s="14" t="s">
        <v>475</v>
      </c>
      <c r="P65" s="14" t="s">
        <v>475</v>
      </c>
      <c r="Q65" s="14" t="s">
        <v>475</v>
      </c>
      <c r="R65" s="14" t="s">
        <v>475</v>
      </c>
      <c r="S65" s="14" t="s">
        <v>475</v>
      </c>
      <c r="T65" s="14" t="s">
        <v>475</v>
      </c>
      <c r="U65" s="14" t="s">
        <v>475</v>
      </c>
      <c r="V65" s="14" t="s">
        <v>475</v>
      </c>
      <c r="W65" s="14" t="s">
        <v>475</v>
      </c>
      <c r="X65" s="14" t="s">
        <v>475</v>
      </c>
      <c r="Y65" s="14" t="s">
        <v>475</v>
      </c>
      <c r="Z65" s="15">
        <v>1</v>
      </c>
      <c r="AA65" s="14" t="s">
        <v>475</v>
      </c>
      <c r="AB65" s="14" t="s">
        <v>475</v>
      </c>
      <c r="AC65" s="14" t="s">
        <v>475</v>
      </c>
      <c r="AD65" s="14" t="s">
        <v>475</v>
      </c>
      <c r="AE65" s="14" t="s">
        <v>475</v>
      </c>
      <c r="AF65" s="14" t="s">
        <v>475</v>
      </c>
      <c r="AG65" s="14" t="s">
        <v>475</v>
      </c>
      <c r="AH65" s="14" t="s">
        <v>475</v>
      </c>
      <c r="AI65" s="14" t="s">
        <v>475</v>
      </c>
      <c r="AJ65" s="14" t="s">
        <v>475</v>
      </c>
      <c r="AK65" s="14" t="s">
        <v>475</v>
      </c>
      <c r="AL65" s="14" t="s">
        <v>475</v>
      </c>
      <c r="AM65" s="14" t="s">
        <v>475</v>
      </c>
      <c r="AN65" s="14" t="s">
        <v>475</v>
      </c>
      <c r="AO65" s="14" t="s">
        <v>475</v>
      </c>
      <c r="AP65" s="14" t="s">
        <v>475</v>
      </c>
      <c r="AQ65" s="14" t="s">
        <v>475</v>
      </c>
    </row>
    <row r="66" spans="1:43" x14ac:dyDescent="0.35">
      <c r="A66" s="19"/>
      <c r="B66" s="11" t="s">
        <v>457</v>
      </c>
      <c r="C66" s="12">
        <v>639</v>
      </c>
      <c r="D66" s="12">
        <v>0</v>
      </c>
      <c r="E66" s="12">
        <v>0</v>
      </c>
      <c r="F66" s="12">
        <v>0</v>
      </c>
      <c r="G66" s="12">
        <v>0</v>
      </c>
      <c r="H66" s="12">
        <v>0</v>
      </c>
      <c r="I66" s="12">
        <v>0</v>
      </c>
      <c r="J66" s="12">
        <v>0</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1033</v>
      </c>
      <c r="AB66" s="12">
        <v>0</v>
      </c>
      <c r="AC66" s="12">
        <v>0</v>
      </c>
      <c r="AD66" s="12">
        <v>0</v>
      </c>
      <c r="AE66" s="12">
        <v>0</v>
      </c>
      <c r="AF66" s="12">
        <v>0</v>
      </c>
      <c r="AG66" s="12">
        <v>0</v>
      </c>
      <c r="AH66" s="12">
        <v>0</v>
      </c>
      <c r="AI66" s="12">
        <v>0</v>
      </c>
      <c r="AJ66" s="12">
        <v>0</v>
      </c>
      <c r="AK66" s="12">
        <v>0</v>
      </c>
      <c r="AL66" s="12">
        <v>0</v>
      </c>
      <c r="AM66" s="12">
        <v>0</v>
      </c>
      <c r="AN66" s="12">
        <v>0</v>
      </c>
      <c r="AO66" s="12">
        <v>0</v>
      </c>
      <c r="AP66" s="12">
        <v>0</v>
      </c>
      <c r="AQ66" s="12">
        <v>0</v>
      </c>
    </row>
    <row r="67" spans="1:43" x14ac:dyDescent="0.35">
      <c r="A67" s="19"/>
      <c r="B67" s="13" t="s">
        <v>457</v>
      </c>
      <c r="C67" s="15">
        <v>0.03</v>
      </c>
      <c r="D67" s="14" t="s">
        <v>475</v>
      </c>
      <c r="E67" s="14" t="s">
        <v>475</v>
      </c>
      <c r="F67" s="14" t="s">
        <v>475</v>
      </c>
      <c r="G67" s="14" t="s">
        <v>475</v>
      </c>
      <c r="H67" s="14" t="s">
        <v>475</v>
      </c>
      <c r="I67" s="14" t="s">
        <v>475</v>
      </c>
      <c r="J67" s="14" t="s">
        <v>475</v>
      </c>
      <c r="K67" s="14" t="s">
        <v>475</v>
      </c>
      <c r="L67" s="14" t="s">
        <v>475</v>
      </c>
      <c r="M67" s="14" t="s">
        <v>475</v>
      </c>
      <c r="N67" s="14" t="s">
        <v>475</v>
      </c>
      <c r="O67" s="14" t="s">
        <v>475</v>
      </c>
      <c r="P67" s="14" t="s">
        <v>475</v>
      </c>
      <c r="Q67" s="14" t="s">
        <v>475</v>
      </c>
      <c r="R67" s="14" t="s">
        <v>475</v>
      </c>
      <c r="S67" s="14" t="s">
        <v>475</v>
      </c>
      <c r="T67" s="14" t="s">
        <v>475</v>
      </c>
      <c r="U67" s="14" t="s">
        <v>475</v>
      </c>
      <c r="V67" s="14" t="s">
        <v>475</v>
      </c>
      <c r="W67" s="14" t="s">
        <v>475</v>
      </c>
      <c r="X67" s="14" t="s">
        <v>475</v>
      </c>
      <c r="Y67" s="14" t="s">
        <v>475</v>
      </c>
      <c r="Z67" s="14" t="s">
        <v>475</v>
      </c>
      <c r="AA67" s="15">
        <v>1</v>
      </c>
      <c r="AB67" s="14" t="s">
        <v>475</v>
      </c>
      <c r="AC67" s="14" t="s">
        <v>475</v>
      </c>
      <c r="AD67" s="14" t="s">
        <v>475</v>
      </c>
      <c r="AE67" s="14" t="s">
        <v>475</v>
      </c>
      <c r="AF67" s="14" t="s">
        <v>475</v>
      </c>
      <c r="AG67" s="14" t="s">
        <v>475</v>
      </c>
      <c r="AH67" s="14" t="s">
        <v>475</v>
      </c>
      <c r="AI67" s="14" t="s">
        <v>475</v>
      </c>
      <c r="AJ67" s="14" t="s">
        <v>475</v>
      </c>
      <c r="AK67" s="14" t="s">
        <v>475</v>
      </c>
      <c r="AL67" s="14" t="s">
        <v>475</v>
      </c>
      <c r="AM67" s="14" t="s">
        <v>475</v>
      </c>
      <c r="AN67" s="14" t="s">
        <v>475</v>
      </c>
      <c r="AO67" s="14" t="s">
        <v>475</v>
      </c>
      <c r="AP67" s="14" t="s">
        <v>475</v>
      </c>
      <c r="AQ67" s="14" t="s">
        <v>475</v>
      </c>
    </row>
    <row r="68" spans="1:43" x14ac:dyDescent="0.35">
      <c r="A68" s="19"/>
      <c r="B68" s="11" t="s">
        <v>458</v>
      </c>
      <c r="C68" s="12">
        <v>1105</v>
      </c>
      <c r="D68" s="12">
        <v>0</v>
      </c>
      <c r="E68" s="12">
        <v>0</v>
      </c>
      <c r="F68" s="12">
        <v>0</v>
      </c>
      <c r="G68" s="12">
        <v>0</v>
      </c>
      <c r="H68" s="12">
        <v>0</v>
      </c>
      <c r="I68" s="12">
        <v>0</v>
      </c>
      <c r="J68" s="12">
        <v>0</v>
      </c>
      <c r="K68" s="12">
        <v>0</v>
      </c>
      <c r="L68" s="12">
        <v>0</v>
      </c>
      <c r="M68" s="12">
        <v>0</v>
      </c>
      <c r="N68" s="12">
        <v>0</v>
      </c>
      <c r="O68" s="12">
        <v>0</v>
      </c>
      <c r="P68" s="12">
        <v>0</v>
      </c>
      <c r="Q68" s="12">
        <v>0</v>
      </c>
      <c r="R68" s="12">
        <v>0</v>
      </c>
      <c r="S68" s="12">
        <v>0</v>
      </c>
      <c r="T68" s="12">
        <v>0</v>
      </c>
      <c r="U68" s="12">
        <v>0</v>
      </c>
      <c r="V68" s="12">
        <v>0</v>
      </c>
      <c r="W68" s="12">
        <v>0</v>
      </c>
      <c r="X68" s="12">
        <v>0</v>
      </c>
      <c r="Y68" s="12">
        <v>0</v>
      </c>
      <c r="Z68" s="12">
        <v>0</v>
      </c>
      <c r="AA68" s="12">
        <v>0</v>
      </c>
      <c r="AB68" s="12">
        <v>1051</v>
      </c>
      <c r="AC68" s="12">
        <v>0</v>
      </c>
      <c r="AD68" s="12">
        <v>0</v>
      </c>
      <c r="AE68" s="12">
        <v>0</v>
      </c>
      <c r="AF68" s="12">
        <v>0</v>
      </c>
      <c r="AG68" s="12">
        <v>0</v>
      </c>
      <c r="AH68" s="12">
        <v>0</v>
      </c>
      <c r="AI68" s="12">
        <v>0</v>
      </c>
      <c r="AJ68" s="12">
        <v>0</v>
      </c>
      <c r="AK68" s="12">
        <v>0</v>
      </c>
      <c r="AL68" s="12">
        <v>0</v>
      </c>
      <c r="AM68" s="12">
        <v>0</v>
      </c>
      <c r="AN68" s="12">
        <v>0</v>
      </c>
      <c r="AO68" s="12">
        <v>0</v>
      </c>
      <c r="AP68" s="12">
        <v>0</v>
      </c>
      <c r="AQ68" s="12">
        <v>0</v>
      </c>
    </row>
    <row r="69" spans="1:43" x14ac:dyDescent="0.35">
      <c r="A69" s="19"/>
      <c r="B69" s="13" t="s">
        <v>458</v>
      </c>
      <c r="C69" s="15">
        <v>0.04</v>
      </c>
      <c r="D69" s="14" t="s">
        <v>475</v>
      </c>
      <c r="E69" s="14" t="s">
        <v>475</v>
      </c>
      <c r="F69" s="14" t="s">
        <v>475</v>
      </c>
      <c r="G69" s="14" t="s">
        <v>475</v>
      </c>
      <c r="H69" s="14" t="s">
        <v>475</v>
      </c>
      <c r="I69" s="14" t="s">
        <v>475</v>
      </c>
      <c r="J69" s="14" t="s">
        <v>475</v>
      </c>
      <c r="K69" s="14" t="s">
        <v>475</v>
      </c>
      <c r="L69" s="14" t="s">
        <v>475</v>
      </c>
      <c r="M69" s="14" t="s">
        <v>475</v>
      </c>
      <c r="N69" s="14" t="s">
        <v>475</v>
      </c>
      <c r="O69" s="14" t="s">
        <v>475</v>
      </c>
      <c r="P69" s="14" t="s">
        <v>475</v>
      </c>
      <c r="Q69" s="14" t="s">
        <v>475</v>
      </c>
      <c r="R69" s="14" t="s">
        <v>475</v>
      </c>
      <c r="S69" s="14" t="s">
        <v>475</v>
      </c>
      <c r="T69" s="14" t="s">
        <v>475</v>
      </c>
      <c r="U69" s="14" t="s">
        <v>475</v>
      </c>
      <c r="V69" s="14" t="s">
        <v>475</v>
      </c>
      <c r="W69" s="14" t="s">
        <v>475</v>
      </c>
      <c r="X69" s="14" t="s">
        <v>475</v>
      </c>
      <c r="Y69" s="14" t="s">
        <v>475</v>
      </c>
      <c r="Z69" s="14" t="s">
        <v>475</v>
      </c>
      <c r="AA69" s="14" t="s">
        <v>475</v>
      </c>
      <c r="AB69" s="15">
        <v>1</v>
      </c>
      <c r="AC69" s="14" t="s">
        <v>475</v>
      </c>
      <c r="AD69" s="14" t="s">
        <v>475</v>
      </c>
      <c r="AE69" s="14" t="s">
        <v>475</v>
      </c>
      <c r="AF69" s="14" t="s">
        <v>475</v>
      </c>
      <c r="AG69" s="14" t="s">
        <v>475</v>
      </c>
      <c r="AH69" s="14" t="s">
        <v>475</v>
      </c>
      <c r="AI69" s="14" t="s">
        <v>475</v>
      </c>
      <c r="AJ69" s="14" t="s">
        <v>475</v>
      </c>
      <c r="AK69" s="14" t="s">
        <v>475</v>
      </c>
      <c r="AL69" s="14" t="s">
        <v>475</v>
      </c>
      <c r="AM69" s="14" t="s">
        <v>475</v>
      </c>
      <c r="AN69" s="14" t="s">
        <v>475</v>
      </c>
      <c r="AO69" s="14" t="s">
        <v>475</v>
      </c>
      <c r="AP69" s="14" t="s">
        <v>475</v>
      </c>
      <c r="AQ69" s="14" t="s">
        <v>475</v>
      </c>
    </row>
    <row r="70" spans="1:43" x14ac:dyDescent="0.35">
      <c r="A70" s="19"/>
      <c r="B70" s="11" t="s">
        <v>466</v>
      </c>
      <c r="C70" s="12">
        <v>0</v>
      </c>
      <c r="D70" s="12">
        <v>0</v>
      </c>
      <c r="E70" s="12">
        <v>0</v>
      </c>
      <c r="F70" s="12">
        <v>0</v>
      </c>
      <c r="G70" s="12">
        <v>0</v>
      </c>
      <c r="H70" s="12">
        <v>0</v>
      </c>
      <c r="I70" s="12">
        <v>0</v>
      </c>
      <c r="J70" s="12">
        <v>0</v>
      </c>
      <c r="K70" s="12">
        <v>0</v>
      </c>
      <c r="L70" s="12">
        <v>0</v>
      </c>
      <c r="M70" s="12">
        <v>0</v>
      </c>
      <c r="N70" s="12">
        <v>0</v>
      </c>
      <c r="O70" s="12">
        <v>0</v>
      </c>
      <c r="P70" s="12">
        <v>0</v>
      </c>
      <c r="Q70" s="12">
        <v>0</v>
      </c>
      <c r="R70" s="12">
        <v>0</v>
      </c>
      <c r="S70" s="12">
        <v>0</v>
      </c>
      <c r="T70" s="12">
        <v>0</v>
      </c>
      <c r="U70" s="12">
        <v>0</v>
      </c>
      <c r="V70" s="12">
        <v>0</v>
      </c>
      <c r="W70" s="12">
        <v>0</v>
      </c>
      <c r="X70" s="12">
        <v>0</v>
      </c>
      <c r="Y70" s="12">
        <v>0</v>
      </c>
      <c r="Z70" s="12">
        <v>0</v>
      </c>
      <c r="AA70" s="12">
        <v>0</v>
      </c>
      <c r="AB70" s="12">
        <v>0</v>
      </c>
      <c r="AC70" s="12">
        <v>0</v>
      </c>
      <c r="AD70" s="12">
        <v>0</v>
      </c>
      <c r="AE70" s="12">
        <v>0</v>
      </c>
      <c r="AF70" s="12">
        <v>0</v>
      </c>
      <c r="AG70" s="12">
        <v>0</v>
      </c>
      <c r="AH70" s="12">
        <v>0</v>
      </c>
      <c r="AI70" s="12">
        <v>0</v>
      </c>
      <c r="AJ70" s="12">
        <v>1037</v>
      </c>
      <c r="AK70" s="12">
        <v>0</v>
      </c>
      <c r="AL70" s="12">
        <v>0</v>
      </c>
      <c r="AM70" s="12">
        <v>0</v>
      </c>
      <c r="AN70" s="12">
        <v>0</v>
      </c>
      <c r="AO70" s="12">
        <v>0</v>
      </c>
      <c r="AP70" s="12">
        <v>0</v>
      </c>
      <c r="AQ70" s="12">
        <v>0</v>
      </c>
    </row>
    <row r="71" spans="1:43" x14ac:dyDescent="0.35">
      <c r="A71" s="19"/>
      <c r="B71" s="13" t="s">
        <v>466</v>
      </c>
      <c r="C71" s="14" t="s">
        <v>475</v>
      </c>
      <c r="D71" s="14" t="s">
        <v>475</v>
      </c>
      <c r="E71" s="14" t="s">
        <v>475</v>
      </c>
      <c r="F71" s="14" t="s">
        <v>475</v>
      </c>
      <c r="G71" s="14" t="s">
        <v>475</v>
      </c>
      <c r="H71" s="14" t="s">
        <v>475</v>
      </c>
      <c r="I71" s="14" t="s">
        <v>475</v>
      </c>
      <c r="J71" s="14" t="s">
        <v>475</v>
      </c>
      <c r="K71" s="14" t="s">
        <v>475</v>
      </c>
      <c r="L71" s="14" t="s">
        <v>475</v>
      </c>
      <c r="M71" s="14" t="s">
        <v>475</v>
      </c>
      <c r="N71" s="14" t="s">
        <v>475</v>
      </c>
      <c r="O71" s="14" t="s">
        <v>475</v>
      </c>
      <c r="P71" s="14" t="s">
        <v>475</v>
      </c>
      <c r="Q71" s="14" t="s">
        <v>475</v>
      </c>
      <c r="R71" s="14" t="s">
        <v>475</v>
      </c>
      <c r="S71" s="14" t="s">
        <v>475</v>
      </c>
      <c r="T71" s="14" t="s">
        <v>475</v>
      </c>
      <c r="U71" s="14" t="s">
        <v>475</v>
      </c>
      <c r="V71" s="14" t="s">
        <v>475</v>
      </c>
      <c r="W71" s="14" t="s">
        <v>475</v>
      </c>
      <c r="X71" s="14" t="s">
        <v>475</v>
      </c>
      <c r="Y71" s="14" t="s">
        <v>475</v>
      </c>
      <c r="Z71" s="14" t="s">
        <v>475</v>
      </c>
      <c r="AA71" s="14" t="s">
        <v>475</v>
      </c>
      <c r="AB71" s="14" t="s">
        <v>475</v>
      </c>
      <c r="AC71" s="14" t="s">
        <v>475</v>
      </c>
      <c r="AD71" s="14" t="s">
        <v>475</v>
      </c>
      <c r="AE71" s="14" t="s">
        <v>475</v>
      </c>
      <c r="AF71" s="14" t="s">
        <v>475</v>
      </c>
      <c r="AG71" s="14" t="s">
        <v>475</v>
      </c>
      <c r="AH71" s="14" t="s">
        <v>475</v>
      </c>
      <c r="AI71" s="14" t="s">
        <v>475</v>
      </c>
      <c r="AJ71" s="15">
        <v>1</v>
      </c>
      <c r="AK71" s="14" t="s">
        <v>475</v>
      </c>
      <c r="AL71" s="14" t="s">
        <v>475</v>
      </c>
      <c r="AM71" s="14" t="s">
        <v>475</v>
      </c>
      <c r="AN71" s="14" t="s">
        <v>475</v>
      </c>
      <c r="AO71" s="14" t="s">
        <v>475</v>
      </c>
      <c r="AP71" s="14" t="s">
        <v>475</v>
      </c>
      <c r="AQ71" s="14" t="s">
        <v>475</v>
      </c>
    </row>
    <row r="72" spans="1:43" x14ac:dyDescent="0.35">
      <c r="A72" s="19"/>
      <c r="B72" s="11" t="s">
        <v>462</v>
      </c>
      <c r="C72" s="12">
        <v>603</v>
      </c>
      <c r="D72" s="12">
        <v>0</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0</v>
      </c>
      <c r="Y72" s="12">
        <v>0</v>
      </c>
      <c r="Z72" s="12">
        <v>0</v>
      </c>
      <c r="AA72" s="12">
        <v>0</v>
      </c>
      <c r="AB72" s="12">
        <v>0</v>
      </c>
      <c r="AC72" s="12">
        <v>0</v>
      </c>
      <c r="AD72" s="12">
        <v>0</v>
      </c>
      <c r="AE72" s="12">
        <v>0</v>
      </c>
      <c r="AF72" s="12">
        <v>1043</v>
      </c>
      <c r="AG72" s="12">
        <v>0</v>
      </c>
      <c r="AH72" s="12">
        <v>0</v>
      </c>
      <c r="AI72" s="12">
        <v>0</v>
      </c>
      <c r="AJ72" s="12">
        <v>0</v>
      </c>
      <c r="AK72" s="12">
        <v>0</v>
      </c>
      <c r="AL72" s="12">
        <v>0</v>
      </c>
      <c r="AM72" s="12">
        <v>0</v>
      </c>
      <c r="AN72" s="12">
        <v>0</v>
      </c>
      <c r="AO72" s="12">
        <v>0</v>
      </c>
      <c r="AP72" s="12">
        <v>0</v>
      </c>
      <c r="AQ72" s="12">
        <v>0</v>
      </c>
    </row>
    <row r="73" spans="1:43" x14ac:dyDescent="0.35">
      <c r="A73" s="19"/>
      <c r="B73" s="13" t="s">
        <v>462</v>
      </c>
      <c r="C73" s="15">
        <v>0.02</v>
      </c>
      <c r="D73" s="14" t="s">
        <v>475</v>
      </c>
      <c r="E73" s="14" t="s">
        <v>475</v>
      </c>
      <c r="F73" s="14" t="s">
        <v>475</v>
      </c>
      <c r="G73" s="14" t="s">
        <v>475</v>
      </c>
      <c r="H73" s="14" t="s">
        <v>475</v>
      </c>
      <c r="I73" s="14" t="s">
        <v>475</v>
      </c>
      <c r="J73" s="14" t="s">
        <v>475</v>
      </c>
      <c r="K73" s="14" t="s">
        <v>475</v>
      </c>
      <c r="L73" s="14" t="s">
        <v>475</v>
      </c>
      <c r="M73" s="14" t="s">
        <v>475</v>
      </c>
      <c r="N73" s="14" t="s">
        <v>475</v>
      </c>
      <c r="O73" s="14" t="s">
        <v>475</v>
      </c>
      <c r="P73" s="14" t="s">
        <v>475</v>
      </c>
      <c r="Q73" s="14" t="s">
        <v>475</v>
      </c>
      <c r="R73" s="14" t="s">
        <v>475</v>
      </c>
      <c r="S73" s="14" t="s">
        <v>475</v>
      </c>
      <c r="T73" s="14" t="s">
        <v>475</v>
      </c>
      <c r="U73" s="14" t="s">
        <v>475</v>
      </c>
      <c r="V73" s="14" t="s">
        <v>475</v>
      </c>
      <c r="W73" s="14" t="s">
        <v>475</v>
      </c>
      <c r="X73" s="14" t="s">
        <v>475</v>
      </c>
      <c r="Y73" s="14" t="s">
        <v>475</v>
      </c>
      <c r="Z73" s="14" t="s">
        <v>475</v>
      </c>
      <c r="AA73" s="14" t="s">
        <v>475</v>
      </c>
      <c r="AB73" s="14" t="s">
        <v>475</v>
      </c>
      <c r="AC73" s="14" t="s">
        <v>475</v>
      </c>
      <c r="AD73" s="14" t="s">
        <v>475</v>
      </c>
      <c r="AE73" s="14" t="s">
        <v>475</v>
      </c>
      <c r="AF73" s="15">
        <v>1</v>
      </c>
      <c r="AG73" s="14" t="s">
        <v>475</v>
      </c>
      <c r="AH73" s="14" t="s">
        <v>475</v>
      </c>
      <c r="AI73" s="14" t="s">
        <v>475</v>
      </c>
      <c r="AJ73" s="14" t="s">
        <v>475</v>
      </c>
      <c r="AK73" s="14" t="s">
        <v>475</v>
      </c>
      <c r="AL73" s="14" t="s">
        <v>475</v>
      </c>
      <c r="AM73" s="14" t="s">
        <v>475</v>
      </c>
      <c r="AN73" s="14" t="s">
        <v>475</v>
      </c>
      <c r="AO73" s="14" t="s">
        <v>475</v>
      </c>
      <c r="AP73" s="14" t="s">
        <v>475</v>
      </c>
      <c r="AQ73" s="14" t="s">
        <v>475</v>
      </c>
    </row>
    <row r="74" spans="1:43" x14ac:dyDescent="0.35">
      <c r="A74" s="19"/>
      <c r="B74" s="11" t="s">
        <v>459</v>
      </c>
      <c r="C74" s="12">
        <v>125</v>
      </c>
      <c r="D74" s="12">
        <v>0</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1003</v>
      </c>
      <c r="AD74" s="12">
        <v>0</v>
      </c>
      <c r="AE74" s="12">
        <v>0</v>
      </c>
      <c r="AF74" s="12">
        <v>0</v>
      </c>
      <c r="AG74" s="12">
        <v>0</v>
      </c>
      <c r="AH74" s="12">
        <v>0</v>
      </c>
      <c r="AI74" s="12">
        <v>0</v>
      </c>
      <c r="AJ74" s="12">
        <v>0</v>
      </c>
      <c r="AK74" s="12">
        <v>0</v>
      </c>
      <c r="AL74" s="12">
        <v>0</v>
      </c>
      <c r="AM74" s="12">
        <v>0</v>
      </c>
      <c r="AN74" s="12">
        <v>0</v>
      </c>
      <c r="AO74" s="12">
        <v>0</v>
      </c>
      <c r="AP74" s="12">
        <v>0</v>
      </c>
      <c r="AQ74" s="12">
        <v>0</v>
      </c>
    </row>
    <row r="75" spans="1:43" x14ac:dyDescent="0.35">
      <c r="A75" s="19"/>
      <c r="B75" s="13" t="s">
        <v>459</v>
      </c>
      <c r="C75" s="15">
        <v>0.01</v>
      </c>
      <c r="D75" s="14" t="s">
        <v>475</v>
      </c>
      <c r="E75" s="14" t="s">
        <v>475</v>
      </c>
      <c r="F75" s="14" t="s">
        <v>475</v>
      </c>
      <c r="G75" s="14" t="s">
        <v>475</v>
      </c>
      <c r="H75" s="14" t="s">
        <v>475</v>
      </c>
      <c r="I75" s="14" t="s">
        <v>475</v>
      </c>
      <c r="J75" s="14" t="s">
        <v>475</v>
      </c>
      <c r="K75" s="14" t="s">
        <v>475</v>
      </c>
      <c r="L75" s="14" t="s">
        <v>475</v>
      </c>
      <c r="M75" s="14" t="s">
        <v>475</v>
      </c>
      <c r="N75" s="14" t="s">
        <v>475</v>
      </c>
      <c r="O75" s="14" t="s">
        <v>475</v>
      </c>
      <c r="P75" s="14" t="s">
        <v>475</v>
      </c>
      <c r="Q75" s="14" t="s">
        <v>475</v>
      </c>
      <c r="R75" s="14" t="s">
        <v>475</v>
      </c>
      <c r="S75" s="14" t="s">
        <v>475</v>
      </c>
      <c r="T75" s="14" t="s">
        <v>475</v>
      </c>
      <c r="U75" s="14" t="s">
        <v>475</v>
      </c>
      <c r="V75" s="14" t="s">
        <v>475</v>
      </c>
      <c r="W75" s="14" t="s">
        <v>475</v>
      </c>
      <c r="X75" s="14" t="s">
        <v>475</v>
      </c>
      <c r="Y75" s="14" t="s">
        <v>475</v>
      </c>
      <c r="Z75" s="14" t="s">
        <v>475</v>
      </c>
      <c r="AA75" s="14" t="s">
        <v>475</v>
      </c>
      <c r="AB75" s="14" t="s">
        <v>475</v>
      </c>
      <c r="AC75" s="15">
        <v>1</v>
      </c>
      <c r="AD75" s="14" t="s">
        <v>475</v>
      </c>
      <c r="AE75" s="14" t="s">
        <v>475</v>
      </c>
      <c r="AF75" s="14" t="s">
        <v>475</v>
      </c>
      <c r="AG75" s="14" t="s">
        <v>475</v>
      </c>
      <c r="AH75" s="14" t="s">
        <v>475</v>
      </c>
      <c r="AI75" s="14" t="s">
        <v>475</v>
      </c>
      <c r="AJ75" s="14" t="s">
        <v>475</v>
      </c>
      <c r="AK75" s="14" t="s">
        <v>475</v>
      </c>
      <c r="AL75" s="14" t="s">
        <v>475</v>
      </c>
      <c r="AM75" s="14" t="s">
        <v>475</v>
      </c>
      <c r="AN75" s="14" t="s">
        <v>475</v>
      </c>
      <c r="AO75" s="14" t="s">
        <v>475</v>
      </c>
      <c r="AP75" s="14" t="s">
        <v>475</v>
      </c>
      <c r="AQ75" s="14" t="s">
        <v>475</v>
      </c>
    </row>
    <row r="76" spans="1:43" x14ac:dyDescent="0.35">
      <c r="A76" s="19"/>
      <c r="B76" s="11" t="s">
        <v>460</v>
      </c>
      <c r="C76" s="12">
        <v>314</v>
      </c>
      <c r="D76" s="12">
        <v>0</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2">
        <v>0</v>
      </c>
      <c r="V76" s="12">
        <v>0</v>
      </c>
      <c r="W76" s="12">
        <v>0</v>
      </c>
      <c r="X76" s="12">
        <v>0</v>
      </c>
      <c r="Y76" s="12">
        <v>0</v>
      </c>
      <c r="Z76" s="12">
        <v>0</v>
      </c>
      <c r="AA76" s="12">
        <v>0</v>
      </c>
      <c r="AB76" s="12">
        <v>0</v>
      </c>
      <c r="AC76" s="12">
        <v>0</v>
      </c>
      <c r="AD76" s="12">
        <v>1005</v>
      </c>
      <c r="AE76" s="12">
        <v>0</v>
      </c>
      <c r="AF76" s="12">
        <v>0</v>
      </c>
      <c r="AG76" s="12">
        <v>0</v>
      </c>
      <c r="AH76" s="12">
        <v>0</v>
      </c>
      <c r="AI76" s="12">
        <v>0</v>
      </c>
      <c r="AJ76" s="12">
        <v>0</v>
      </c>
      <c r="AK76" s="12">
        <v>0</v>
      </c>
      <c r="AL76" s="12">
        <v>0</v>
      </c>
      <c r="AM76" s="12">
        <v>0</v>
      </c>
      <c r="AN76" s="12">
        <v>0</v>
      </c>
      <c r="AO76" s="12">
        <v>0</v>
      </c>
      <c r="AP76" s="12">
        <v>0</v>
      </c>
      <c r="AQ76" s="12">
        <v>0</v>
      </c>
    </row>
    <row r="77" spans="1:43" x14ac:dyDescent="0.35">
      <c r="A77" s="19"/>
      <c r="B77" s="13" t="s">
        <v>460</v>
      </c>
      <c r="C77" s="15">
        <v>0.01</v>
      </c>
      <c r="D77" s="14" t="s">
        <v>475</v>
      </c>
      <c r="E77" s="14" t="s">
        <v>475</v>
      </c>
      <c r="F77" s="14" t="s">
        <v>475</v>
      </c>
      <c r="G77" s="14" t="s">
        <v>475</v>
      </c>
      <c r="H77" s="14" t="s">
        <v>475</v>
      </c>
      <c r="I77" s="14" t="s">
        <v>475</v>
      </c>
      <c r="J77" s="14" t="s">
        <v>475</v>
      </c>
      <c r="K77" s="14" t="s">
        <v>475</v>
      </c>
      <c r="L77" s="14" t="s">
        <v>475</v>
      </c>
      <c r="M77" s="14" t="s">
        <v>475</v>
      </c>
      <c r="N77" s="14" t="s">
        <v>475</v>
      </c>
      <c r="O77" s="14" t="s">
        <v>475</v>
      </c>
      <c r="P77" s="14" t="s">
        <v>475</v>
      </c>
      <c r="Q77" s="14" t="s">
        <v>475</v>
      </c>
      <c r="R77" s="14" t="s">
        <v>475</v>
      </c>
      <c r="S77" s="14" t="s">
        <v>475</v>
      </c>
      <c r="T77" s="14" t="s">
        <v>475</v>
      </c>
      <c r="U77" s="14" t="s">
        <v>475</v>
      </c>
      <c r="V77" s="14" t="s">
        <v>475</v>
      </c>
      <c r="W77" s="14" t="s">
        <v>475</v>
      </c>
      <c r="X77" s="14" t="s">
        <v>475</v>
      </c>
      <c r="Y77" s="14" t="s">
        <v>475</v>
      </c>
      <c r="Z77" s="14" t="s">
        <v>475</v>
      </c>
      <c r="AA77" s="14" t="s">
        <v>475</v>
      </c>
      <c r="AB77" s="14" t="s">
        <v>475</v>
      </c>
      <c r="AC77" s="14" t="s">
        <v>475</v>
      </c>
      <c r="AD77" s="15">
        <v>1</v>
      </c>
      <c r="AE77" s="14" t="s">
        <v>475</v>
      </c>
      <c r="AF77" s="14" t="s">
        <v>475</v>
      </c>
      <c r="AG77" s="14" t="s">
        <v>475</v>
      </c>
      <c r="AH77" s="14" t="s">
        <v>475</v>
      </c>
      <c r="AI77" s="14" t="s">
        <v>475</v>
      </c>
      <c r="AJ77" s="14" t="s">
        <v>475</v>
      </c>
      <c r="AK77" s="14" t="s">
        <v>475</v>
      </c>
      <c r="AL77" s="14" t="s">
        <v>475</v>
      </c>
      <c r="AM77" s="14" t="s">
        <v>475</v>
      </c>
      <c r="AN77" s="14" t="s">
        <v>475</v>
      </c>
      <c r="AO77" s="14" t="s">
        <v>475</v>
      </c>
      <c r="AP77" s="14" t="s">
        <v>475</v>
      </c>
      <c r="AQ77" s="14" t="s">
        <v>475</v>
      </c>
    </row>
    <row r="78" spans="1:43" x14ac:dyDescent="0.35">
      <c r="A78" s="19"/>
      <c r="B78" s="11" t="s">
        <v>463</v>
      </c>
      <c r="C78" s="12">
        <v>0</v>
      </c>
      <c r="D78" s="12">
        <v>0</v>
      </c>
      <c r="E78" s="12">
        <v>0</v>
      </c>
      <c r="F78" s="12">
        <v>0</v>
      </c>
      <c r="G78" s="12">
        <v>0</v>
      </c>
      <c r="H78" s="12">
        <v>0</v>
      </c>
      <c r="I78" s="12">
        <v>0</v>
      </c>
      <c r="J78" s="12">
        <v>0</v>
      </c>
      <c r="K78" s="12">
        <v>0</v>
      </c>
      <c r="L78" s="12">
        <v>0</v>
      </c>
      <c r="M78" s="12">
        <v>0</v>
      </c>
      <c r="N78" s="12">
        <v>0</v>
      </c>
      <c r="O78" s="12">
        <v>0</v>
      </c>
      <c r="P78" s="12">
        <v>0</v>
      </c>
      <c r="Q78" s="12">
        <v>0</v>
      </c>
      <c r="R78" s="12">
        <v>0</v>
      </c>
      <c r="S78" s="12">
        <v>0</v>
      </c>
      <c r="T78" s="12">
        <v>0</v>
      </c>
      <c r="U78" s="12">
        <v>0</v>
      </c>
      <c r="V78" s="12">
        <v>0</v>
      </c>
      <c r="W78" s="12">
        <v>0</v>
      </c>
      <c r="X78" s="12">
        <v>0</v>
      </c>
      <c r="Y78" s="12">
        <v>0</v>
      </c>
      <c r="Z78" s="12">
        <v>0</v>
      </c>
      <c r="AA78" s="12">
        <v>0</v>
      </c>
      <c r="AB78" s="12">
        <v>0</v>
      </c>
      <c r="AC78" s="12">
        <v>0</v>
      </c>
      <c r="AD78" s="12">
        <v>0</v>
      </c>
      <c r="AE78" s="12">
        <v>0</v>
      </c>
      <c r="AF78" s="12">
        <v>0</v>
      </c>
      <c r="AG78" s="12">
        <v>1035</v>
      </c>
      <c r="AH78" s="12">
        <v>0</v>
      </c>
      <c r="AI78" s="12">
        <v>0</v>
      </c>
      <c r="AJ78" s="12">
        <v>0</v>
      </c>
      <c r="AK78" s="12">
        <v>0</v>
      </c>
      <c r="AL78" s="12">
        <v>0</v>
      </c>
      <c r="AM78" s="12">
        <v>0</v>
      </c>
      <c r="AN78" s="12">
        <v>0</v>
      </c>
      <c r="AO78" s="12">
        <v>0</v>
      </c>
      <c r="AP78" s="12">
        <v>0</v>
      </c>
      <c r="AQ78" s="12">
        <v>0</v>
      </c>
    </row>
    <row r="79" spans="1:43" x14ac:dyDescent="0.35">
      <c r="A79" s="19"/>
      <c r="B79" s="13" t="s">
        <v>463</v>
      </c>
      <c r="C79" s="14" t="s">
        <v>475</v>
      </c>
      <c r="D79" s="14" t="s">
        <v>475</v>
      </c>
      <c r="E79" s="14" t="s">
        <v>475</v>
      </c>
      <c r="F79" s="14" t="s">
        <v>475</v>
      </c>
      <c r="G79" s="14" t="s">
        <v>475</v>
      </c>
      <c r="H79" s="14" t="s">
        <v>475</v>
      </c>
      <c r="I79" s="14" t="s">
        <v>475</v>
      </c>
      <c r="J79" s="14" t="s">
        <v>475</v>
      </c>
      <c r="K79" s="14" t="s">
        <v>475</v>
      </c>
      <c r="L79" s="14" t="s">
        <v>475</v>
      </c>
      <c r="M79" s="14" t="s">
        <v>475</v>
      </c>
      <c r="N79" s="14" t="s">
        <v>475</v>
      </c>
      <c r="O79" s="14" t="s">
        <v>475</v>
      </c>
      <c r="P79" s="14" t="s">
        <v>475</v>
      </c>
      <c r="Q79" s="14" t="s">
        <v>475</v>
      </c>
      <c r="R79" s="14" t="s">
        <v>475</v>
      </c>
      <c r="S79" s="14" t="s">
        <v>475</v>
      </c>
      <c r="T79" s="14" t="s">
        <v>475</v>
      </c>
      <c r="U79" s="14" t="s">
        <v>475</v>
      </c>
      <c r="V79" s="14" t="s">
        <v>475</v>
      </c>
      <c r="W79" s="14" t="s">
        <v>475</v>
      </c>
      <c r="X79" s="14" t="s">
        <v>475</v>
      </c>
      <c r="Y79" s="14" t="s">
        <v>475</v>
      </c>
      <c r="Z79" s="14" t="s">
        <v>475</v>
      </c>
      <c r="AA79" s="14" t="s">
        <v>475</v>
      </c>
      <c r="AB79" s="14" t="s">
        <v>475</v>
      </c>
      <c r="AC79" s="14" t="s">
        <v>475</v>
      </c>
      <c r="AD79" s="14" t="s">
        <v>475</v>
      </c>
      <c r="AE79" s="14" t="s">
        <v>475</v>
      </c>
      <c r="AF79" s="14" t="s">
        <v>475</v>
      </c>
      <c r="AG79" s="15">
        <v>1</v>
      </c>
      <c r="AH79" s="14" t="s">
        <v>475</v>
      </c>
      <c r="AI79" s="14" t="s">
        <v>475</v>
      </c>
      <c r="AJ79" s="14" t="s">
        <v>475</v>
      </c>
      <c r="AK79" s="14" t="s">
        <v>475</v>
      </c>
      <c r="AL79" s="14" t="s">
        <v>475</v>
      </c>
      <c r="AM79" s="14" t="s">
        <v>475</v>
      </c>
      <c r="AN79" s="14" t="s">
        <v>475</v>
      </c>
      <c r="AO79" s="14" t="s">
        <v>475</v>
      </c>
      <c r="AP79" s="14" t="s">
        <v>475</v>
      </c>
      <c r="AQ79" s="14" t="s">
        <v>475</v>
      </c>
    </row>
    <row r="80" spans="1:43" x14ac:dyDescent="0.35">
      <c r="A80" s="19"/>
      <c r="B80" s="11" t="s">
        <v>469</v>
      </c>
      <c r="C80" s="12">
        <v>0</v>
      </c>
      <c r="D80" s="12">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c r="AM80" s="12">
        <v>1040</v>
      </c>
      <c r="AN80" s="12">
        <v>0</v>
      </c>
      <c r="AO80" s="12">
        <v>0</v>
      </c>
      <c r="AP80" s="12">
        <v>0</v>
      </c>
      <c r="AQ80" s="12">
        <v>0</v>
      </c>
    </row>
    <row r="81" spans="1:43" x14ac:dyDescent="0.35">
      <c r="A81" s="19"/>
      <c r="B81" s="13" t="s">
        <v>469</v>
      </c>
      <c r="C81" s="14" t="s">
        <v>475</v>
      </c>
      <c r="D81" s="14" t="s">
        <v>475</v>
      </c>
      <c r="E81" s="14" t="s">
        <v>475</v>
      </c>
      <c r="F81" s="14" t="s">
        <v>475</v>
      </c>
      <c r="G81" s="14" t="s">
        <v>475</v>
      </c>
      <c r="H81" s="14" t="s">
        <v>475</v>
      </c>
      <c r="I81" s="14" t="s">
        <v>475</v>
      </c>
      <c r="J81" s="14" t="s">
        <v>475</v>
      </c>
      <c r="K81" s="14" t="s">
        <v>475</v>
      </c>
      <c r="L81" s="14" t="s">
        <v>475</v>
      </c>
      <c r="M81" s="14" t="s">
        <v>475</v>
      </c>
      <c r="N81" s="14" t="s">
        <v>475</v>
      </c>
      <c r="O81" s="14" t="s">
        <v>475</v>
      </c>
      <c r="P81" s="14" t="s">
        <v>475</v>
      </c>
      <c r="Q81" s="14" t="s">
        <v>475</v>
      </c>
      <c r="R81" s="14" t="s">
        <v>475</v>
      </c>
      <c r="S81" s="14" t="s">
        <v>475</v>
      </c>
      <c r="T81" s="14" t="s">
        <v>475</v>
      </c>
      <c r="U81" s="14" t="s">
        <v>475</v>
      </c>
      <c r="V81" s="14" t="s">
        <v>475</v>
      </c>
      <c r="W81" s="14" t="s">
        <v>475</v>
      </c>
      <c r="X81" s="14" t="s">
        <v>475</v>
      </c>
      <c r="Y81" s="14" t="s">
        <v>475</v>
      </c>
      <c r="Z81" s="14" t="s">
        <v>475</v>
      </c>
      <c r="AA81" s="14" t="s">
        <v>475</v>
      </c>
      <c r="AB81" s="14" t="s">
        <v>475</v>
      </c>
      <c r="AC81" s="14" t="s">
        <v>475</v>
      </c>
      <c r="AD81" s="14" t="s">
        <v>475</v>
      </c>
      <c r="AE81" s="14" t="s">
        <v>475</v>
      </c>
      <c r="AF81" s="14" t="s">
        <v>475</v>
      </c>
      <c r="AG81" s="14" t="s">
        <v>475</v>
      </c>
      <c r="AH81" s="14" t="s">
        <v>475</v>
      </c>
      <c r="AI81" s="14" t="s">
        <v>475</v>
      </c>
      <c r="AJ81" s="14" t="s">
        <v>475</v>
      </c>
      <c r="AK81" s="14" t="s">
        <v>475</v>
      </c>
      <c r="AL81" s="14" t="s">
        <v>475</v>
      </c>
      <c r="AM81" s="15">
        <v>1</v>
      </c>
      <c r="AN81" s="14" t="s">
        <v>475</v>
      </c>
      <c r="AO81" s="14" t="s">
        <v>475</v>
      </c>
      <c r="AP81" s="14" t="s">
        <v>475</v>
      </c>
      <c r="AQ81" s="14" t="s">
        <v>475</v>
      </c>
    </row>
    <row r="82" spans="1:43" x14ac:dyDescent="0.35">
      <c r="A82" s="19"/>
      <c r="B82" s="11" t="s">
        <v>468</v>
      </c>
      <c r="C82" s="12">
        <v>0</v>
      </c>
      <c r="D82" s="12">
        <v>0</v>
      </c>
      <c r="E82" s="12">
        <v>0</v>
      </c>
      <c r="F82" s="12">
        <v>0</v>
      </c>
      <c r="G82" s="12">
        <v>0</v>
      </c>
      <c r="H82" s="12">
        <v>0</v>
      </c>
      <c r="I82" s="12">
        <v>0</v>
      </c>
      <c r="J82" s="12">
        <v>0</v>
      </c>
      <c r="K82" s="12">
        <v>0</v>
      </c>
      <c r="L82" s="12">
        <v>0</v>
      </c>
      <c r="M82" s="12">
        <v>0</v>
      </c>
      <c r="N82" s="12">
        <v>0</v>
      </c>
      <c r="O82" s="12">
        <v>0</v>
      </c>
      <c r="P82" s="12">
        <v>0</v>
      </c>
      <c r="Q82" s="12">
        <v>0</v>
      </c>
      <c r="R82" s="12">
        <v>0</v>
      </c>
      <c r="S82" s="12">
        <v>0</v>
      </c>
      <c r="T82" s="12">
        <v>0</v>
      </c>
      <c r="U82" s="12">
        <v>0</v>
      </c>
      <c r="V82" s="12">
        <v>0</v>
      </c>
      <c r="W82" s="12">
        <v>0</v>
      </c>
      <c r="X82" s="12">
        <v>0</v>
      </c>
      <c r="Y82" s="12">
        <v>0</v>
      </c>
      <c r="Z82" s="12">
        <v>0</v>
      </c>
      <c r="AA82" s="12">
        <v>0</v>
      </c>
      <c r="AB82" s="12">
        <v>0</v>
      </c>
      <c r="AC82" s="12">
        <v>0</v>
      </c>
      <c r="AD82" s="12">
        <v>0</v>
      </c>
      <c r="AE82" s="12">
        <v>0</v>
      </c>
      <c r="AF82" s="12">
        <v>0</v>
      </c>
      <c r="AG82" s="12">
        <v>0</v>
      </c>
      <c r="AH82" s="12">
        <v>0</v>
      </c>
      <c r="AI82" s="12">
        <v>0</v>
      </c>
      <c r="AJ82" s="12">
        <v>0</v>
      </c>
      <c r="AK82" s="12">
        <v>0</v>
      </c>
      <c r="AL82" s="12">
        <v>1012</v>
      </c>
      <c r="AM82" s="12">
        <v>0</v>
      </c>
      <c r="AN82" s="12">
        <v>0</v>
      </c>
      <c r="AO82" s="12">
        <v>0</v>
      </c>
      <c r="AP82" s="12">
        <v>0</v>
      </c>
      <c r="AQ82" s="12">
        <v>0</v>
      </c>
    </row>
    <row r="83" spans="1:43" x14ac:dyDescent="0.35">
      <c r="A83" s="19"/>
      <c r="B83" s="13" t="s">
        <v>468</v>
      </c>
      <c r="C83" s="14" t="s">
        <v>475</v>
      </c>
      <c r="D83" s="14" t="s">
        <v>475</v>
      </c>
      <c r="E83" s="14" t="s">
        <v>475</v>
      </c>
      <c r="F83" s="14" t="s">
        <v>475</v>
      </c>
      <c r="G83" s="14" t="s">
        <v>475</v>
      </c>
      <c r="H83" s="14" t="s">
        <v>475</v>
      </c>
      <c r="I83" s="14" t="s">
        <v>475</v>
      </c>
      <c r="J83" s="14" t="s">
        <v>475</v>
      </c>
      <c r="K83" s="14" t="s">
        <v>475</v>
      </c>
      <c r="L83" s="14" t="s">
        <v>475</v>
      </c>
      <c r="M83" s="14" t="s">
        <v>475</v>
      </c>
      <c r="N83" s="14" t="s">
        <v>475</v>
      </c>
      <c r="O83" s="14" t="s">
        <v>475</v>
      </c>
      <c r="P83" s="14" t="s">
        <v>475</v>
      </c>
      <c r="Q83" s="14" t="s">
        <v>475</v>
      </c>
      <c r="R83" s="14" t="s">
        <v>475</v>
      </c>
      <c r="S83" s="14" t="s">
        <v>475</v>
      </c>
      <c r="T83" s="14" t="s">
        <v>475</v>
      </c>
      <c r="U83" s="14" t="s">
        <v>475</v>
      </c>
      <c r="V83" s="14" t="s">
        <v>475</v>
      </c>
      <c r="W83" s="14" t="s">
        <v>475</v>
      </c>
      <c r="X83" s="14" t="s">
        <v>475</v>
      </c>
      <c r="Y83" s="14" t="s">
        <v>475</v>
      </c>
      <c r="Z83" s="14" t="s">
        <v>475</v>
      </c>
      <c r="AA83" s="14" t="s">
        <v>475</v>
      </c>
      <c r="AB83" s="14" t="s">
        <v>475</v>
      </c>
      <c r="AC83" s="14" t="s">
        <v>475</v>
      </c>
      <c r="AD83" s="14" t="s">
        <v>475</v>
      </c>
      <c r="AE83" s="14" t="s">
        <v>475</v>
      </c>
      <c r="AF83" s="14" t="s">
        <v>475</v>
      </c>
      <c r="AG83" s="14" t="s">
        <v>475</v>
      </c>
      <c r="AH83" s="14" t="s">
        <v>475</v>
      </c>
      <c r="AI83" s="14" t="s">
        <v>475</v>
      </c>
      <c r="AJ83" s="14" t="s">
        <v>475</v>
      </c>
      <c r="AK83" s="14" t="s">
        <v>475</v>
      </c>
      <c r="AL83" s="15">
        <v>1</v>
      </c>
      <c r="AM83" s="14" t="s">
        <v>475</v>
      </c>
      <c r="AN83" s="14" t="s">
        <v>475</v>
      </c>
      <c r="AO83" s="14" t="s">
        <v>475</v>
      </c>
      <c r="AP83" s="14" t="s">
        <v>475</v>
      </c>
      <c r="AQ83" s="14" t="s">
        <v>475</v>
      </c>
    </row>
    <row r="84" spans="1:43" x14ac:dyDescent="0.35">
      <c r="A84" s="19"/>
      <c r="B84" s="11" t="s">
        <v>473</v>
      </c>
      <c r="C84" s="12">
        <v>0</v>
      </c>
      <c r="D84" s="12">
        <v>0</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1002</v>
      </c>
    </row>
    <row r="85" spans="1:43" x14ac:dyDescent="0.35">
      <c r="A85" s="19"/>
      <c r="B85" s="13" t="s">
        <v>473</v>
      </c>
      <c r="C85" s="14" t="s">
        <v>475</v>
      </c>
      <c r="D85" s="14" t="s">
        <v>475</v>
      </c>
      <c r="E85" s="14" t="s">
        <v>475</v>
      </c>
      <c r="F85" s="14" t="s">
        <v>475</v>
      </c>
      <c r="G85" s="14" t="s">
        <v>475</v>
      </c>
      <c r="H85" s="14" t="s">
        <v>475</v>
      </c>
      <c r="I85" s="14" t="s">
        <v>475</v>
      </c>
      <c r="J85" s="14" t="s">
        <v>475</v>
      </c>
      <c r="K85" s="14" t="s">
        <v>475</v>
      </c>
      <c r="L85" s="14" t="s">
        <v>475</v>
      </c>
      <c r="M85" s="14" t="s">
        <v>475</v>
      </c>
      <c r="N85" s="14" t="s">
        <v>475</v>
      </c>
      <c r="O85" s="14" t="s">
        <v>475</v>
      </c>
      <c r="P85" s="14" t="s">
        <v>475</v>
      </c>
      <c r="Q85" s="14" t="s">
        <v>475</v>
      </c>
      <c r="R85" s="14" t="s">
        <v>475</v>
      </c>
      <c r="S85" s="14" t="s">
        <v>475</v>
      </c>
      <c r="T85" s="14" t="s">
        <v>475</v>
      </c>
      <c r="U85" s="14" t="s">
        <v>475</v>
      </c>
      <c r="V85" s="14" t="s">
        <v>475</v>
      </c>
      <c r="W85" s="14" t="s">
        <v>475</v>
      </c>
      <c r="X85" s="14" t="s">
        <v>475</v>
      </c>
      <c r="Y85" s="14" t="s">
        <v>475</v>
      </c>
      <c r="Z85" s="14" t="s">
        <v>475</v>
      </c>
      <c r="AA85" s="14" t="s">
        <v>475</v>
      </c>
      <c r="AB85" s="14" t="s">
        <v>475</v>
      </c>
      <c r="AC85" s="14" t="s">
        <v>475</v>
      </c>
      <c r="AD85" s="14" t="s">
        <v>475</v>
      </c>
      <c r="AE85" s="14" t="s">
        <v>475</v>
      </c>
      <c r="AF85" s="14" t="s">
        <v>475</v>
      </c>
      <c r="AG85" s="14" t="s">
        <v>475</v>
      </c>
      <c r="AH85" s="14" t="s">
        <v>475</v>
      </c>
      <c r="AI85" s="14" t="s">
        <v>475</v>
      </c>
      <c r="AJ85" s="14" t="s">
        <v>475</v>
      </c>
      <c r="AK85" s="14" t="s">
        <v>475</v>
      </c>
      <c r="AL85" s="14" t="s">
        <v>475</v>
      </c>
      <c r="AM85" s="14" t="s">
        <v>475</v>
      </c>
      <c r="AN85" s="14" t="s">
        <v>475</v>
      </c>
      <c r="AO85" s="14" t="s">
        <v>475</v>
      </c>
      <c r="AP85" s="14" t="s">
        <v>475</v>
      </c>
      <c r="AQ85" s="15">
        <v>1</v>
      </c>
    </row>
    <row r="86" spans="1:43" x14ac:dyDescent="0.35">
      <c r="A86" s="19"/>
      <c r="B86" s="11" t="s">
        <v>438</v>
      </c>
      <c r="C86" s="12">
        <v>3988</v>
      </c>
      <c r="D86" s="12">
        <v>0</v>
      </c>
      <c r="E86" s="12">
        <v>0</v>
      </c>
      <c r="F86" s="12">
        <v>0</v>
      </c>
      <c r="G86" s="12">
        <v>0</v>
      </c>
      <c r="H86" s="12">
        <v>1221</v>
      </c>
      <c r="I86" s="12">
        <v>1221</v>
      </c>
      <c r="J86" s="12">
        <v>0</v>
      </c>
      <c r="K86" s="12">
        <v>0</v>
      </c>
      <c r="L86" s="12">
        <v>0</v>
      </c>
      <c r="M86" s="12">
        <v>0</v>
      </c>
      <c r="N86" s="12">
        <v>0</v>
      </c>
      <c r="O86" s="12">
        <v>0</v>
      </c>
      <c r="P86" s="12">
        <v>0</v>
      </c>
      <c r="Q86" s="12">
        <v>0</v>
      </c>
      <c r="R86" s="12">
        <v>0</v>
      </c>
      <c r="S86" s="12">
        <v>0</v>
      </c>
      <c r="T86" s="12">
        <v>0</v>
      </c>
      <c r="U86" s="12">
        <v>0</v>
      </c>
      <c r="V86" s="12">
        <v>0</v>
      </c>
      <c r="W86" s="12">
        <v>0</v>
      </c>
      <c r="X86" s="12">
        <v>0</v>
      </c>
      <c r="Y86" s="12">
        <v>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row>
    <row r="87" spans="1:43" x14ac:dyDescent="0.35">
      <c r="A87" s="19"/>
      <c r="B87" s="13" t="s">
        <v>438</v>
      </c>
      <c r="C87" s="15">
        <v>0.15</v>
      </c>
      <c r="D87" s="14" t="s">
        <v>475</v>
      </c>
      <c r="E87" s="14" t="s">
        <v>475</v>
      </c>
      <c r="F87" s="14" t="s">
        <v>475</v>
      </c>
      <c r="G87" s="14" t="s">
        <v>475</v>
      </c>
      <c r="H87" s="15">
        <v>1</v>
      </c>
      <c r="I87" s="15">
        <v>0.81</v>
      </c>
      <c r="J87" s="14" t="s">
        <v>475</v>
      </c>
      <c r="K87" s="14" t="s">
        <v>475</v>
      </c>
      <c r="L87" s="14" t="s">
        <v>475</v>
      </c>
      <c r="M87" s="14" t="s">
        <v>475</v>
      </c>
      <c r="N87" s="14" t="s">
        <v>475</v>
      </c>
      <c r="O87" s="14" t="s">
        <v>475</v>
      </c>
      <c r="P87" s="14" t="s">
        <v>475</v>
      </c>
      <c r="Q87" s="14" t="s">
        <v>475</v>
      </c>
      <c r="R87" s="14" t="s">
        <v>475</v>
      </c>
      <c r="S87" s="14" t="s">
        <v>475</v>
      </c>
      <c r="T87" s="14" t="s">
        <v>475</v>
      </c>
      <c r="U87" s="14" t="s">
        <v>475</v>
      </c>
      <c r="V87" s="14" t="s">
        <v>475</v>
      </c>
      <c r="W87" s="14" t="s">
        <v>475</v>
      </c>
      <c r="X87" s="14" t="s">
        <v>475</v>
      </c>
      <c r="Y87" s="14" t="s">
        <v>475</v>
      </c>
      <c r="Z87" s="14" t="s">
        <v>475</v>
      </c>
      <c r="AA87" s="14" t="s">
        <v>475</v>
      </c>
      <c r="AB87" s="14" t="s">
        <v>475</v>
      </c>
      <c r="AC87" s="14" t="s">
        <v>475</v>
      </c>
      <c r="AD87" s="14" t="s">
        <v>475</v>
      </c>
      <c r="AE87" s="14" t="s">
        <v>475</v>
      </c>
      <c r="AF87" s="14" t="s">
        <v>475</v>
      </c>
      <c r="AG87" s="14" t="s">
        <v>475</v>
      </c>
      <c r="AH87" s="14" t="s">
        <v>475</v>
      </c>
      <c r="AI87" s="14" t="s">
        <v>475</v>
      </c>
      <c r="AJ87" s="14" t="s">
        <v>475</v>
      </c>
      <c r="AK87" s="14" t="s">
        <v>475</v>
      </c>
      <c r="AL87" s="14" t="s">
        <v>475</v>
      </c>
      <c r="AM87" s="14" t="s">
        <v>475</v>
      </c>
      <c r="AN87" s="14" t="s">
        <v>475</v>
      </c>
      <c r="AO87" s="14" t="s">
        <v>475</v>
      </c>
      <c r="AP87" s="14" t="s">
        <v>475</v>
      </c>
      <c r="AQ87" s="14" t="s">
        <v>475</v>
      </c>
    </row>
    <row r="88" spans="1:43" x14ac:dyDescent="0.35">
      <c r="A88" s="19"/>
      <c r="B88" s="11" t="s">
        <v>440</v>
      </c>
      <c r="C88" s="12">
        <v>963</v>
      </c>
      <c r="D88" s="12">
        <v>0</v>
      </c>
      <c r="E88" s="12">
        <v>0</v>
      </c>
      <c r="F88" s="12">
        <v>0</v>
      </c>
      <c r="G88" s="12">
        <v>0</v>
      </c>
      <c r="H88" s="12">
        <v>0</v>
      </c>
      <c r="I88" s="12">
        <v>295</v>
      </c>
      <c r="J88" s="12">
        <v>295</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row>
    <row r="89" spans="1:43" x14ac:dyDescent="0.35">
      <c r="A89" s="19"/>
      <c r="B89" s="13" t="s">
        <v>440</v>
      </c>
      <c r="C89" s="15">
        <v>0.04</v>
      </c>
      <c r="D89" s="14" t="s">
        <v>475</v>
      </c>
      <c r="E89" s="14" t="s">
        <v>475</v>
      </c>
      <c r="F89" s="14" t="s">
        <v>475</v>
      </c>
      <c r="G89" s="14" t="s">
        <v>475</v>
      </c>
      <c r="H89" s="14" t="s">
        <v>475</v>
      </c>
      <c r="I89" s="15">
        <v>0.19</v>
      </c>
      <c r="J89" s="15">
        <v>1</v>
      </c>
      <c r="K89" s="14" t="s">
        <v>475</v>
      </c>
      <c r="L89" s="14" t="s">
        <v>475</v>
      </c>
      <c r="M89" s="14" t="s">
        <v>475</v>
      </c>
      <c r="N89" s="14" t="s">
        <v>475</v>
      </c>
      <c r="O89" s="14" t="s">
        <v>475</v>
      </c>
      <c r="P89" s="14" t="s">
        <v>475</v>
      </c>
      <c r="Q89" s="14" t="s">
        <v>475</v>
      </c>
      <c r="R89" s="14" t="s">
        <v>475</v>
      </c>
      <c r="S89" s="14" t="s">
        <v>475</v>
      </c>
      <c r="T89" s="14" t="s">
        <v>475</v>
      </c>
      <c r="U89" s="14" t="s">
        <v>475</v>
      </c>
      <c r="V89" s="14" t="s">
        <v>475</v>
      </c>
      <c r="W89" s="14" t="s">
        <v>475</v>
      </c>
      <c r="X89" s="14" t="s">
        <v>475</v>
      </c>
      <c r="Y89" s="14" t="s">
        <v>475</v>
      </c>
      <c r="Z89" s="14" t="s">
        <v>475</v>
      </c>
      <c r="AA89" s="14" t="s">
        <v>475</v>
      </c>
      <c r="AB89" s="14" t="s">
        <v>475</v>
      </c>
      <c r="AC89" s="14" t="s">
        <v>475</v>
      </c>
      <c r="AD89" s="14" t="s">
        <v>475</v>
      </c>
      <c r="AE89" s="14" t="s">
        <v>475</v>
      </c>
      <c r="AF89" s="14" t="s">
        <v>475</v>
      </c>
      <c r="AG89" s="14" t="s">
        <v>475</v>
      </c>
      <c r="AH89" s="14" t="s">
        <v>475</v>
      </c>
      <c r="AI89" s="14" t="s">
        <v>475</v>
      </c>
      <c r="AJ89" s="14" t="s">
        <v>475</v>
      </c>
      <c r="AK89" s="14" t="s">
        <v>475</v>
      </c>
      <c r="AL89" s="14" t="s">
        <v>475</v>
      </c>
      <c r="AM89" s="14" t="s">
        <v>475</v>
      </c>
      <c r="AN89" s="14" t="s">
        <v>475</v>
      </c>
      <c r="AO89" s="14" t="s">
        <v>475</v>
      </c>
      <c r="AP89" s="14" t="s">
        <v>475</v>
      </c>
      <c r="AQ89" s="14" t="s">
        <v>475</v>
      </c>
    </row>
  </sheetData>
  <mergeCells count="9">
    <mergeCell ref="B10:B11"/>
    <mergeCell ref="H4:L4"/>
    <mergeCell ref="A10:A89"/>
    <mergeCell ref="B4:F4"/>
    <mergeCell ref="H3:L3"/>
    <mergeCell ref="B3:F3"/>
    <mergeCell ref="B5:F5"/>
    <mergeCell ref="C8:AQ8"/>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11</v>
      </c>
      <c r="C3" s="18"/>
      <c r="D3" s="18"/>
      <c r="E3" s="18"/>
      <c r="F3" s="18"/>
      <c r="H3" s="18" t="s">
        <v>12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477</v>
      </c>
      <c r="C12" s="12">
        <v>5986</v>
      </c>
      <c r="D12" s="12">
        <v>271</v>
      </c>
      <c r="E12" s="12">
        <v>112</v>
      </c>
      <c r="F12" s="12">
        <v>219</v>
      </c>
      <c r="G12" s="12">
        <v>649</v>
      </c>
      <c r="H12" s="12">
        <v>298</v>
      </c>
      <c r="I12" s="12">
        <v>356</v>
      </c>
      <c r="J12" s="12">
        <v>57</v>
      </c>
      <c r="K12" s="12">
        <v>144</v>
      </c>
      <c r="L12" s="12">
        <v>460</v>
      </c>
      <c r="M12" s="12">
        <v>88</v>
      </c>
      <c r="N12" s="12">
        <v>314</v>
      </c>
      <c r="O12" s="12">
        <v>185</v>
      </c>
      <c r="P12" s="12">
        <v>176</v>
      </c>
      <c r="Q12" s="12">
        <v>139</v>
      </c>
      <c r="R12" s="12">
        <v>108</v>
      </c>
      <c r="S12" s="12">
        <v>183</v>
      </c>
      <c r="T12" s="12">
        <v>232</v>
      </c>
      <c r="U12" s="12">
        <v>186</v>
      </c>
      <c r="V12" s="12">
        <v>129</v>
      </c>
      <c r="W12" s="12">
        <v>118</v>
      </c>
      <c r="X12" s="12">
        <v>489</v>
      </c>
      <c r="Y12" s="12">
        <v>346</v>
      </c>
      <c r="Z12" s="12">
        <v>203</v>
      </c>
      <c r="AA12" s="12">
        <v>44</v>
      </c>
      <c r="AB12" s="12">
        <v>92</v>
      </c>
      <c r="AC12" s="12">
        <v>392</v>
      </c>
      <c r="AD12" s="12">
        <v>214</v>
      </c>
      <c r="AE12" s="12">
        <v>376</v>
      </c>
      <c r="AF12" s="12">
        <v>422</v>
      </c>
      <c r="AG12" s="12">
        <v>285</v>
      </c>
      <c r="AH12" s="12">
        <v>135</v>
      </c>
      <c r="AI12" s="12">
        <v>100</v>
      </c>
      <c r="AJ12" s="12">
        <v>188</v>
      </c>
      <c r="AK12" s="12">
        <v>121</v>
      </c>
      <c r="AL12" s="12">
        <v>148</v>
      </c>
      <c r="AM12" s="12">
        <v>365</v>
      </c>
      <c r="AN12" s="12">
        <v>190</v>
      </c>
      <c r="AO12" s="12">
        <v>382</v>
      </c>
      <c r="AP12" s="12">
        <v>226</v>
      </c>
      <c r="AQ12" s="12">
        <v>154</v>
      </c>
    </row>
    <row r="13" spans="1:43" x14ac:dyDescent="0.35">
      <c r="A13" s="19"/>
      <c r="B13" s="13" t="s">
        <v>478</v>
      </c>
      <c r="C13" s="15">
        <v>0.23</v>
      </c>
      <c r="D13" s="15">
        <v>0.27</v>
      </c>
      <c r="E13" s="15">
        <v>0.11</v>
      </c>
      <c r="F13" s="15">
        <v>0.2</v>
      </c>
      <c r="G13" s="15">
        <v>0.65</v>
      </c>
      <c r="H13" s="15">
        <v>0.25</v>
      </c>
      <c r="I13" s="15">
        <v>0.23</v>
      </c>
      <c r="J13" s="15">
        <v>0.2</v>
      </c>
      <c r="K13" s="15">
        <v>0.14000000000000001</v>
      </c>
      <c r="L13" s="15">
        <v>0.46</v>
      </c>
      <c r="M13" s="15">
        <v>0.09</v>
      </c>
      <c r="N13" s="15">
        <v>0.31</v>
      </c>
      <c r="O13" s="15">
        <v>0.19</v>
      </c>
      <c r="P13" s="15">
        <v>0.17</v>
      </c>
      <c r="Q13" s="15">
        <v>0.14000000000000001</v>
      </c>
      <c r="R13" s="15">
        <v>0.21</v>
      </c>
      <c r="S13" s="15">
        <v>0.18</v>
      </c>
      <c r="T13" s="15">
        <v>0.23</v>
      </c>
      <c r="U13" s="15">
        <v>0.37</v>
      </c>
      <c r="V13" s="15">
        <v>0.13</v>
      </c>
      <c r="W13" s="15">
        <v>0.23</v>
      </c>
      <c r="X13" s="15">
        <v>0.48</v>
      </c>
      <c r="Y13" s="15">
        <v>0.35</v>
      </c>
      <c r="Z13" s="15">
        <v>0.2</v>
      </c>
      <c r="AA13" s="15">
        <v>0.04</v>
      </c>
      <c r="AB13" s="15">
        <v>0.09</v>
      </c>
      <c r="AC13" s="15">
        <v>0.39</v>
      </c>
      <c r="AD13" s="15">
        <v>0.21</v>
      </c>
      <c r="AE13" s="15">
        <v>0.37</v>
      </c>
      <c r="AF13" s="15">
        <v>0.4</v>
      </c>
      <c r="AG13" s="15">
        <v>0.28000000000000003</v>
      </c>
      <c r="AH13" s="15">
        <v>0.13</v>
      </c>
      <c r="AI13" s="15">
        <v>0.19</v>
      </c>
      <c r="AJ13" s="15">
        <v>0.18</v>
      </c>
      <c r="AK13" s="15">
        <v>0.12</v>
      </c>
      <c r="AL13" s="15">
        <v>0.15</v>
      </c>
      <c r="AM13" s="15">
        <v>0.35</v>
      </c>
      <c r="AN13" s="15">
        <v>0.19</v>
      </c>
      <c r="AO13" s="15">
        <v>0.38</v>
      </c>
      <c r="AP13" s="15">
        <v>0.43</v>
      </c>
      <c r="AQ13" s="15">
        <v>0.15</v>
      </c>
    </row>
    <row r="14" spans="1:43" x14ac:dyDescent="0.35">
      <c r="A14" s="19"/>
      <c r="B14" s="11" t="s">
        <v>479</v>
      </c>
      <c r="C14" s="12">
        <v>16821</v>
      </c>
      <c r="D14" s="12">
        <v>603</v>
      </c>
      <c r="E14" s="12">
        <v>531</v>
      </c>
      <c r="F14" s="12">
        <v>757</v>
      </c>
      <c r="G14" s="12">
        <v>323</v>
      </c>
      <c r="H14" s="12">
        <v>818</v>
      </c>
      <c r="I14" s="12">
        <v>1004</v>
      </c>
      <c r="J14" s="12">
        <v>185</v>
      </c>
      <c r="K14" s="12">
        <v>690</v>
      </c>
      <c r="L14" s="12">
        <v>501</v>
      </c>
      <c r="M14" s="12">
        <v>547</v>
      </c>
      <c r="N14" s="12">
        <v>605</v>
      </c>
      <c r="O14" s="12">
        <v>670</v>
      </c>
      <c r="P14" s="12">
        <v>620</v>
      </c>
      <c r="Q14" s="12">
        <v>712</v>
      </c>
      <c r="R14" s="12">
        <v>316</v>
      </c>
      <c r="S14" s="12">
        <v>657</v>
      </c>
      <c r="T14" s="12">
        <v>656</v>
      </c>
      <c r="U14" s="12">
        <v>290</v>
      </c>
      <c r="V14" s="12">
        <v>705</v>
      </c>
      <c r="W14" s="12">
        <v>349</v>
      </c>
      <c r="X14" s="12">
        <v>474</v>
      </c>
      <c r="Y14" s="12">
        <v>535</v>
      </c>
      <c r="Z14" s="12">
        <v>734</v>
      </c>
      <c r="AA14" s="12">
        <v>824</v>
      </c>
      <c r="AB14" s="12">
        <v>548</v>
      </c>
      <c r="AC14" s="12">
        <v>569</v>
      </c>
      <c r="AD14" s="12">
        <v>661</v>
      </c>
      <c r="AE14" s="12">
        <v>591</v>
      </c>
      <c r="AF14" s="12">
        <v>583</v>
      </c>
      <c r="AG14" s="12">
        <v>353</v>
      </c>
      <c r="AH14" s="12">
        <v>656</v>
      </c>
      <c r="AI14" s="12">
        <v>311</v>
      </c>
      <c r="AJ14" s="12">
        <v>469</v>
      </c>
      <c r="AK14" s="12">
        <v>555</v>
      </c>
      <c r="AL14" s="12">
        <v>612</v>
      </c>
      <c r="AM14" s="12">
        <v>583</v>
      </c>
      <c r="AN14" s="12">
        <v>618</v>
      </c>
      <c r="AO14" s="12">
        <v>457</v>
      </c>
      <c r="AP14" s="12">
        <v>201</v>
      </c>
      <c r="AQ14" s="12">
        <v>485</v>
      </c>
    </row>
    <row r="15" spans="1:43" x14ac:dyDescent="0.35">
      <c r="A15" s="19"/>
      <c r="B15" s="13" t="s">
        <v>480</v>
      </c>
      <c r="C15" s="15">
        <v>0.63</v>
      </c>
      <c r="D15" s="15">
        <v>0.6</v>
      </c>
      <c r="E15" s="15">
        <v>0.51</v>
      </c>
      <c r="F15" s="15">
        <v>0.69000000000000006</v>
      </c>
      <c r="G15" s="15">
        <v>0.32</v>
      </c>
      <c r="H15" s="15">
        <v>0.67</v>
      </c>
      <c r="I15" s="15">
        <v>0.66</v>
      </c>
      <c r="J15" s="15">
        <v>0.63</v>
      </c>
      <c r="K15" s="15">
        <v>0.69000000000000006</v>
      </c>
      <c r="L15" s="15">
        <v>0.5</v>
      </c>
      <c r="M15" s="15">
        <v>0.54</v>
      </c>
      <c r="N15" s="15">
        <v>0.6</v>
      </c>
      <c r="O15" s="15">
        <v>0.67</v>
      </c>
      <c r="P15" s="15">
        <v>0.62</v>
      </c>
      <c r="Q15" s="15">
        <v>0.69000000000000006</v>
      </c>
      <c r="R15" s="15">
        <v>0.63</v>
      </c>
      <c r="S15" s="15">
        <v>0.66</v>
      </c>
      <c r="T15" s="15">
        <v>0.65</v>
      </c>
      <c r="U15" s="15">
        <v>0.57000000000000006</v>
      </c>
      <c r="V15" s="15">
        <v>0.69000000000000006</v>
      </c>
      <c r="W15" s="15">
        <v>0.69000000000000006</v>
      </c>
      <c r="X15" s="15">
        <v>0.47</v>
      </c>
      <c r="Y15" s="15">
        <v>0.53</v>
      </c>
      <c r="Z15" s="15">
        <v>0.71</v>
      </c>
      <c r="AA15" s="15">
        <v>0.8</v>
      </c>
      <c r="AB15" s="15">
        <v>0.52</v>
      </c>
      <c r="AC15" s="15">
        <v>0.57000000000000006</v>
      </c>
      <c r="AD15" s="15">
        <v>0.66</v>
      </c>
      <c r="AE15" s="15">
        <v>0.59</v>
      </c>
      <c r="AF15" s="15">
        <v>0.56000000000000005</v>
      </c>
      <c r="AG15" s="15">
        <v>0.34</v>
      </c>
      <c r="AH15" s="15">
        <v>0.65</v>
      </c>
      <c r="AI15" s="15">
        <v>0.59</v>
      </c>
      <c r="AJ15" s="15">
        <v>0.45</v>
      </c>
      <c r="AK15" s="15">
        <v>0.55000000000000004</v>
      </c>
      <c r="AL15" s="15">
        <v>0.6</v>
      </c>
      <c r="AM15" s="15">
        <v>0.56000000000000005</v>
      </c>
      <c r="AN15" s="15">
        <v>0.62</v>
      </c>
      <c r="AO15" s="15">
        <v>0.46</v>
      </c>
      <c r="AP15" s="15">
        <v>0.38</v>
      </c>
      <c r="AQ15" s="15">
        <v>0.49</v>
      </c>
    </row>
    <row r="16" spans="1:43" x14ac:dyDescent="0.35">
      <c r="A16" s="19"/>
      <c r="B16" s="11" t="s">
        <v>481</v>
      </c>
      <c r="C16" s="12">
        <v>3075</v>
      </c>
      <c r="D16" s="12">
        <v>106</v>
      </c>
      <c r="E16" s="12">
        <v>299</v>
      </c>
      <c r="F16" s="12">
        <v>112</v>
      </c>
      <c r="G16" s="12">
        <v>32</v>
      </c>
      <c r="H16" s="12">
        <v>101</v>
      </c>
      <c r="I16" s="12">
        <v>146</v>
      </c>
      <c r="J16" s="12">
        <v>45</v>
      </c>
      <c r="K16" s="12">
        <v>148</v>
      </c>
      <c r="L16" s="12">
        <v>38</v>
      </c>
      <c r="M16" s="12">
        <v>280</v>
      </c>
      <c r="N16" s="12">
        <v>74</v>
      </c>
      <c r="O16" s="12">
        <v>114</v>
      </c>
      <c r="P16" s="12">
        <v>187</v>
      </c>
      <c r="Q16" s="12">
        <v>156</v>
      </c>
      <c r="R16" s="12">
        <v>66</v>
      </c>
      <c r="S16" s="12">
        <v>139</v>
      </c>
      <c r="T16" s="12">
        <v>110</v>
      </c>
      <c r="U16" s="12">
        <v>24</v>
      </c>
      <c r="V16" s="12">
        <v>151</v>
      </c>
      <c r="W16" s="12">
        <v>37</v>
      </c>
      <c r="X16" s="12">
        <v>39</v>
      </c>
      <c r="Y16" s="12">
        <v>111</v>
      </c>
      <c r="Z16" s="12">
        <v>78</v>
      </c>
      <c r="AA16" s="12">
        <v>155</v>
      </c>
      <c r="AB16" s="12">
        <v>320</v>
      </c>
      <c r="AC16" s="12">
        <v>38</v>
      </c>
      <c r="AD16" s="12">
        <v>118</v>
      </c>
      <c r="AE16" s="12">
        <v>43</v>
      </c>
      <c r="AF16" s="12">
        <v>28</v>
      </c>
      <c r="AG16" s="12">
        <v>196</v>
      </c>
      <c r="AH16" s="12">
        <v>170</v>
      </c>
      <c r="AI16" s="12">
        <v>104</v>
      </c>
      <c r="AJ16" s="12">
        <v>297</v>
      </c>
      <c r="AK16" s="12">
        <v>234</v>
      </c>
      <c r="AL16" s="12">
        <v>203</v>
      </c>
      <c r="AM16" s="12">
        <v>76</v>
      </c>
      <c r="AN16" s="12">
        <v>179</v>
      </c>
      <c r="AO16" s="12">
        <v>93</v>
      </c>
      <c r="AP16" s="12">
        <v>54</v>
      </c>
      <c r="AQ16" s="12">
        <v>281</v>
      </c>
    </row>
    <row r="17" spans="1:43" x14ac:dyDescent="0.35">
      <c r="A17" s="19"/>
      <c r="B17" s="13" t="s">
        <v>482</v>
      </c>
      <c r="C17" s="15">
        <v>0.12</v>
      </c>
      <c r="D17" s="15">
        <v>0.1</v>
      </c>
      <c r="E17" s="15">
        <v>0.28999999999999998</v>
      </c>
      <c r="F17" s="15">
        <v>0.1</v>
      </c>
      <c r="G17" s="15">
        <v>0.03</v>
      </c>
      <c r="H17" s="15">
        <v>0.08</v>
      </c>
      <c r="I17" s="15">
        <v>0.1</v>
      </c>
      <c r="J17" s="15">
        <v>0.15</v>
      </c>
      <c r="K17" s="15">
        <v>0.15</v>
      </c>
      <c r="L17" s="15">
        <v>0.04</v>
      </c>
      <c r="M17" s="15">
        <v>0.28000000000000003</v>
      </c>
      <c r="N17" s="15">
        <v>0.08</v>
      </c>
      <c r="O17" s="15">
        <v>0.11</v>
      </c>
      <c r="P17" s="15">
        <v>0.19</v>
      </c>
      <c r="Q17" s="15">
        <v>0.15</v>
      </c>
      <c r="R17" s="15">
        <v>0.13</v>
      </c>
      <c r="S17" s="15">
        <v>0.14000000000000001</v>
      </c>
      <c r="T17" s="15">
        <v>0.11</v>
      </c>
      <c r="U17" s="15">
        <v>0.05</v>
      </c>
      <c r="V17" s="15">
        <v>0.15</v>
      </c>
      <c r="W17" s="15">
        <v>7.0000000000000007E-2</v>
      </c>
      <c r="X17" s="15">
        <v>0.04</v>
      </c>
      <c r="Y17" s="15">
        <v>0.11</v>
      </c>
      <c r="Z17" s="15">
        <v>0.08</v>
      </c>
      <c r="AA17" s="15">
        <v>0.15</v>
      </c>
      <c r="AB17" s="15">
        <v>0.3</v>
      </c>
      <c r="AC17" s="15">
        <v>0.04</v>
      </c>
      <c r="AD17" s="15">
        <v>0.12</v>
      </c>
      <c r="AE17" s="15">
        <v>0.04</v>
      </c>
      <c r="AF17" s="15">
        <v>0.03</v>
      </c>
      <c r="AG17" s="15">
        <v>0.19</v>
      </c>
      <c r="AH17" s="15">
        <v>0.17</v>
      </c>
      <c r="AI17" s="15">
        <v>0.2</v>
      </c>
      <c r="AJ17" s="15">
        <v>0.28999999999999998</v>
      </c>
      <c r="AK17" s="15">
        <v>0.23</v>
      </c>
      <c r="AL17" s="15">
        <v>0.2</v>
      </c>
      <c r="AM17" s="15">
        <v>7.0000000000000007E-2</v>
      </c>
      <c r="AN17" s="15">
        <v>0.18</v>
      </c>
      <c r="AO17" s="15">
        <v>0.09</v>
      </c>
      <c r="AP17" s="15">
        <v>0.11</v>
      </c>
      <c r="AQ17" s="15">
        <v>0.28000000000000003</v>
      </c>
    </row>
    <row r="18" spans="1:43" x14ac:dyDescent="0.35">
      <c r="A18" s="19"/>
      <c r="B18" s="11" t="s">
        <v>483</v>
      </c>
      <c r="C18" s="12">
        <v>520</v>
      </c>
      <c r="D18" s="12">
        <v>31</v>
      </c>
      <c r="E18" s="12">
        <v>79</v>
      </c>
      <c r="F18" s="12">
        <v>11</v>
      </c>
      <c r="G18" s="12">
        <v>2</v>
      </c>
      <c r="H18" s="12">
        <v>1</v>
      </c>
      <c r="I18" s="12">
        <v>8</v>
      </c>
      <c r="J18" s="12">
        <v>7</v>
      </c>
      <c r="K18" s="12">
        <v>12</v>
      </c>
      <c r="L18" s="12">
        <v>2</v>
      </c>
      <c r="M18" s="12">
        <v>94</v>
      </c>
      <c r="N18" s="12">
        <v>9</v>
      </c>
      <c r="O18" s="12">
        <v>31</v>
      </c>
      <c r="P18" s="12">
        <v>20</v>
      </c>
      <c r="Q18" s="12">
        <v>21</v>
      </c>
      <c r="R18" s="12">
        <v>14</v>
      </c>
      <c r="S18" s="12">
        <v>22</v>
      </c>
      <c r="T18" s="12">
        <v>7</v>
      </c>
      <c r="U18" s="12">
        <v>4</v>
      </c>
      <c r="V18" s="12">
        <v>30</v>
      </c>
      <c r="W18" s="12">
        <v>4</v>
      </c>
      <c r="X18" s="12">
        <v>6</v>
      </c>
      <c r="Y18" s="12">
        <v>11</v>
      </c>
      <c r="Z18" s="12">
        <v>5</v>
      </c>
      <c r="AA18" s="12">
        <v>10</v>
      </c>
      <c r="AB18" s="12">
        <v>91</v>
      </c>
      <c r="AC18" s="12">
        <v>4</v>
      </c>
      <c r="AD18" s="12">
        <v>12</v>
      </c>
      <c r="AE18" s="12">
        <v>2</v>
      </c>
      <c r="AF18" s="12">
        <v>6</v>
      </c>
      <c r="AG18" s="12">
        <v>201</v>
      </c>
      <c r="AH18" s="12">
        <v>51</v>
      </c>
      <c r="AI18" s="12">
        <v>9</v>
      </c>
      <c r="AJ18" s="12">
        <v>83</v>
      </c>
      <c r="AK18" s="12">
        <v>97</v>
      </c>
      <c r="AL18" s="12">
        <v>43</v>
      </c>
      <c r="AM18" s="12">
        <v>11</v>
      </c>
      <c r="AN18" s="12">
        <v>15</v>
      </c>
      <c r="AO18" s="12">
        <v>73</v>
      </c>
      <c r="AP18" s="12">
        <v>42</v>
      </c>
      <c r="AQ18" s="12">
        <v>81</v>
      </c>
    </row>
    <row r="19" spans="1:43" x14ac:dyDescent="0.35">
      <c r="A19" s="19"/>
      <c r="B19" s="13" t="s">
        <v>484</v>
      </c>
      <c r="C19" s="15">
        <v>0.02</v>
      </c>
      <c r="D19" s="15">
        <v>0.03</v>
      </c>
      <c r="E19" s="15">
        <v>0.08</v>
      </c>
      <c r="F19" s="15">
        <v>0.01</v>
      </c>
      <c r="G19" s="14" t="s">
        <v>475</v>
      </c>
      <c r="H19" s="14" t="s">
        <v>475</v>
      </c>
      <c r="I19" s="15">
        <v>0.01</v>
      </c>
      <c r="J19" s="15">
        <v>0.02</v>
      </c>
      <c r="K19" s="15">
        <v>0.01</v>
      </c>
      <c r="L19" s="14" t="s">
        <v>475</v>
      </c>
      <c r="M19" s="15">
        <v>0.09</v>
      </c>
      <c r="N19" s="15">
        <v>0.01</v>
      </c>
      <c r="O19" s="15">
        <v>0.03</v>
      </c>
      <c r="P19" s="15">
        <v>0.02</v>
      </c>
      <c r="Q19" s="15">
        <v>0.02</v>
      </c>
      <c r="R19" s="15">
        <v>0.03</v>
      </c>
      <c r="S19" s="15">
        <v>0.02</v>
      </c>
      <c r="T19" s="15">
        <v>0.01</v>
      </c>
      <c r="U19" s="15">
        <v>0.01</v>
      </c>
      <c r="V19" s="15">
        <v>0.03</v>
      </c>
      <c r="W19" s="15">
        <v>0.01</v>
      </c>
      <c r="X19" s="15">
        <v>0.01</v>
      </c>
      <c r="Y19" s="15">
        <v>0.01</v>
      </c>
      <c r="Z19" s="14" t="s">
        <v>475</v>
      </c>
      <c r="AA19" s="15">
        <v>0.01</v>
      </c>
      <c r="AB19" s="15">
        <v>0.09</v>
      </c>
      <c r="AC19" s="14" t="s">
        <v>475</v>
      </c>
      <c r="AD19" s="15">
        <v>0.01</v>
      </c>
      <c r="AE19" s="14" t="s">
        <v>475</v>
      </c>
      <c r="AF19" s="15">
        <v>0.01</v>
      </c>
      <c r="AG19" s="15">
        <v>0.19</v>
      </c>
      <c r="AH19" s="15">
        <v>0.05</v>
      </c>
      <c r="AI19" s="15">
        <v>0.02</v>
      </c>
      <c r="AJ19" s="15">
        <v>0.08</v>
      </c>
      <c r="AK19" s="15">
        <v>0.1</v>
      </c>
      <c r="AL19" s="15">
        <v>0.04</v>
      </c>
      <c r="AM19" s="15">
        <v>0.01</v>
      </c>
      <c r="AN19" s="15">
        <v>0.01</v>
      </c>
      <c r="AO19" s="15">
        <v>7.0000000000000007E-2</v>
      </c>
      <c r="AP19" s="15">
        <v>0.08</v>
      </c>
      <c r="AQ19" s="15">
        <v>0.08</v>
      </c>
    </row>
    <row r="20" spans="1:43" x14ac:dyDescent="0.35">
      <c r="A20" s="19"/>
      <c r="B20" s="11" t="s">
        <v>485</v>
      </c>
      <c r="C20" s="12">
        <v>43</v>
      </c>
      <c r="D20" s="12">
        <v>1</v>
      </c>
      <c r="E20" s="12">
        <v>9</v>
      </c>
      <c r="F20" s="12">
        <v>2</v>
      </c>
      <c r="G20" s="12">
        <v>1</v>
      </c>
      <c r="H20" s="12">
        <v>2</v>
      </c>
      <c r="I20" s="12">
        <v>3</v>
      </c>
      <c r="J20" s="12">
        <v>1</v>
      </c>
      <c r="K20" s="12">
        <v>8</v>
      </c>
      <c r="L20" s="12">
        <v>0</v>
      </c>
      <c r="M20" s="12">
        <v>0</v>
      </c>
      <c r="N20" s="12">
        <v>0</v>
      </c>
      <c r="O20" s="12">
        <v>1</v>
      </c>
      <c r="P20" s="12">
        <v>1</v>
      </c>
      <c r="Q20" s="12">
        <v>0</v>
      </c>
      <c r="R20" s="12">
        <v>0</v>
      </c>
      <c r="S20" s="12">
        <v>1</v>
      </c>
      <c r="T20" s="12">
        <v>0</v>
      </c>
      <c r="U20" s="12">
        <v>0</v>
      </c>
      <c r="V20" s="12">
        <v>0</v>
      </c>
      <c r="W20" s="12">
        <v>0</v>
      </c>
      <c r="X20" s="12">
        <v>0</v>
      </c>
      <c r="Y20" s="12">
        <v>0</v>
      </c>
      <c r="Z20" s="12">
        <v>10</v>
      </c>
      <c r="AA20" s="12">
        <v>0</v>
      </c>
      <c r="AB20" s="12">
        <v>0</v>
      </c>
      <c r="AC20" s="12">
        <v>0</v>
      </c>
      <c r="AD20" s="12">
        <v>0</v>
      </c>
      <c r="AE20" s="12">
        <v>0</v>
      </c>
      <c r="AF20" s="12">
        <v>5</v>
      </c>
      <c r="AG20" s="12">
        <v>0</v>
      </c>
      <c r="AH20" s="12">
        <v>0</v>
      </c>
      <c r="AI20" s="12">
        <v>0</v>
      </c>
      <c r="AJ20" s="12">
        <v>0</v>
      </c>
      <c r="AK20" s="12">
        <v>0</v>
      </c>
      <c r="AL20" s="12">
        <v>6</v>
      </c>
      <c r="AM20" s="12">
        <v>5</v>
      </c>
      <c r="AN20" s="12">
        <v>1</v>
      </c>
      <c r="AO20" s="12">
        <v>0</v>
      </c>
      <c r="AP20" s="12">
        <v>0</v>
      </c>
      <c r="AQ20" s="12">
        <v>1</v>
      </c>
    </row>
    <row r="21" spans="1:43" x14ac:dyDescent="0.35">
      <c r="A21" s="19"/>
      <c r="B21" s="13" t="s">
        <v>486</v>
      </c>
      <c r="C21" s="14" t="s">
        <v>475</v>
      </c>
      <c r="D21" s="14" t="s">
        <v>475</v>
      </c>
      <c r="E21" s="15">
        <v>0.01</v>
      </c>
      <c r="F21" s="14" t="s">
        <v>475</v>
      </c>
      <c r="G21" s="14" t="s">
        <v>475</v>
      </c>
      <c r="H21" s="14" t="s">
        <v>475</v>
      </c>
      <c r="I21" s="14" t="s">
        <v>475</v>
      </c>
      <c r="J21" s="14" t="s">
        <v>475</v>
      </c>
      <c r="K21" s="15">
        <v>0.01</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5">
        <v>0.01</v>
      </c>
      <c r="AA21" s="14" t="s">
        <v>475</v>
      </c>
      <c r="AB21" s="14" t="s">
        <v>475</v>
      </c>
      <c r="AC21" s="14" t="s">
        <v>475</v>
      </c>
      <c r="AD21" s="14" t="s">
        <v>475</v>
      </c>
      <c r="AE21" s="14" t="s">
        <v>475</v>
      </c>
      <c r="AF21" s="14" t="s">
        <v>475</v>
      </c>
      <c r="AG21" s="14" t="s">
        <v>475</v>
      </c>
      <c r="AH21" s="14" t="s">
        <v>475</v>
      </c>
      <c r="AI21" s="14" t="s">
        <v>475</v>
      </c>
      <c r="AJ21" s="14" t="s">
        <v>475</v>
      </c>
      <c r="AK21" s="14" t="s">
        <v>475</v>
      </c>
      <c r="AL21" s="15">
        <v>0.01</v>
      </c>
      <c r="AM21" s="15">
        <v>0.01</v>
      </c>
      <c r="AN21" s="14" t="s">
        <v>475</v>
      </c>
      <c r="AO21" s="14" t="s">
        <v>475</v>
      </c>
      <c r="AP21" s="14" t="s">
        <v>475</v>
      </c>
      <c r="AQ21" s="14" t="s">
        <v>475</v>
      </c>
    </row>
    <row r="22" spans="1:43" x14ac:dyDescent="0.35">
      <c r="A22" s="19"/>
      <c r="B22" s="11" t="s">
        <v>487</v>
      </c>
      <c r="C22" s="12">
        <v>22807</v>
      </c>
      <c r="D22" s="12">
        <v>874</v>
      </c>
      <c r="E22" s="12">
        <v>643</v>
      </c>
      <c r="F22" s="12">
        <v>976</v>
      </c>
      <c r="G22" s="12">
        <v>972</v>
      </c>
      <c r="H22" s="12">
        <v>1116</v>
      </c>
      <c r="I22" s="12">
        <v>1360</v>
      </c>
      <c r="J22" s="12">
        <v>242</v>
      </c>
      <c r="K22" s="12">
        <v>834</v>
      </c>
      <c r="L22" s="12">
        <v>961</v>
      </c>
      <c r="M22" s="12">
        <v>635</v>
      </c>
      <c r="N22" s="12">
        <v>919</v>
      </c>
      <c r="O22" s="12">
        <v>855</v>
      </c>
      <c r="P22" s="12">
        <v>796</v>
      </c>
      <c r="Q22" s="12">
        <v>851</v>
      </c>
      <c r="R22" s="12">
        <v>424</v>
      </c>
      <c r="S22" s="12">
        <v>840</v>
      </c>
      <c r="T22" s="12">
        <v>888</v>
      </c>
      <c r="U22" s="12">
        <v>476</v>
      </c>
      <c r="V22" s="12">
        <v>834</v>
      </c>
      <c r="W22" s="12">
        <v>467</v>
      </c>
      <c r="X22" s="12">
        <v>963</v>
      </c>
      <c r="Y22" s="12">
        <v>881</v>
      </c>
      <c r="Z22" s="12">
        <v>937</v>
      </c>
      <c r="AA22" s="12">
        <v>868</v>
      </c>
      <c r="AB22" s="12">
        <v>640</v>
      </c>
      <c r="AC22" s="12">
        <v>961</v>
      </c>
      <c r="AD22" s="12">
        <v>875</v>
      </c>
      <c r="AE22" s="12">
        <v>967</v>
      </c>
      <c r="AF22" s="12">
        <v>1005</v>
      </c>
      <c r="AG22" s="12">
        <v>638</v>
      </c>
      <c r="AH22" s="12">
        <v>791</v>
      </c>
      <c r="AI22" s="12">
        <v>411</v>
      </c>
      <c r="AJ22" s="12">
        <v>657</v>
      </c>
      <c r="AK22" s="12">
        <v>676</v>
      </c>
      <c r="AL22" s="12">
        <v>760</v>
      </c>
      <c r="AM22" s="12">
        <v>948</v>
      </c>
      <c r="AN22" s="12">
        <v>808</v>
      </c>
      <c r="AO22" s="12">
        <v>839</v>
      </c>
      <c r="AP22" s="12">
        <v>427</v>
      </c>
      <c r="AQ22" s="12">
        <v>639</v>
      </c>
    </row>
    <row r="23" spans="1:43" x14ac:dyDescent="0.35">
      <c r="A23" s="19"/>
      <c r="B23" s="13" t="s">
        <v>488</v>
      </c>
      <c r="C23" s="15">
        <v>0.86</v>
      </c>
      <c r="D23" s="15">
        <v>0.87</v>
      </c>
      <c r="E23" s="15">
        <v>0.62</v>
      </c>
      <c r="F23" s="15">
        <v>0.89</v>
      </c>
      <c r="G23" s="15">
        <v>0.97</v>
      </c>
      <c r="H23" s="15">
        <v>0.92</v>
      </c>
      <c r="I23" s="15">
        <v>0.89</v>
      </c>
      <c r="J23" s="15">
        <v>0.83000000000000007</v>
      </c>
      <c r="K23" s="15">
        <v>0.83000000000000007</v>
      </c>
      <c r="L23" s="15">
        <v>0.96</v>
      </c>
      <c r="M23" s="15">
        <v>0.63</v>
      </c>
      <c r="N23" s="15">
        <v>0.91</v>
      </c>
      <c r="O23" s="15">
        <v>0.86</v>
      </c>
      <c r="P23" s="15">
        <v>0.79</v>
      </c>
      <c r="Q23" s="15">
        <v>0.83000000000000007</v>
      </c>
      <c r="R23" s="15">
        <v>0.84</v>
      </c>
      <c r="S23" s="15">
        <v>0.84</v>
      </c>
      <c r="T23" s="15">
        <v>0.88</v>
      </c>
      <c r="U23" s="15">
        <v>0.94000000000000006</v>
      </c>
      <c r="V23" s="15">
        <v>0.82000000000000006</v>
      </c>
      <c r="W23" s="15">
        <v>0.92</v>
      </c>
      <c r="X23" s="15">
        <v>0.95000000000000007</v>
      </c>
      <c r="Y23" s="15">
        <v>0.88</v>
      </c>
      <c r="Z23" s="15">
        <v>0.91</v>
      </c>
      <c r="AA23" s="15">
        <v>0.84</v>
      </c>
      <c r="AB23" s="15">
        <v>0.61</v>
      </c>
      <c r="AC23" s="15">
        <v>0.96</v>
      </c>
      <c r="AD23" s="15">
        <v>0.87</v>
      </c>
      <c r="AE23" s="15">
        <v>0.96</v>
      </c>
      <c r="AF23" s="15">
        <v>0.96</v>
      </c>
      <c r="AG23" s="15">
        <v>0.62</v>
      </c>
      <c r="AH23" s="15">
        <v>0.78</v>
      </c>
      <c r="AI23" s="15">
        <v>0.78</v>
      </c>
      <c r="AJ23" s="15">
        <v>0.63</v>
      </c>
      <c r="AK23" s="15">
        <v>0.67</v>
      </c>
      <c r="AL23" s="15">
        <v>0.75</v>
      </c>
      <c r="AM23" s="15">
        <v>0.91</v>
      </c>
      <c r="AN23" s="15">
        <v>0.81</v>
      </c>
      <c r="AO23" s="15">
        <v>0.84</v>
      </c>
      <c r="AP23" s="15">
        <v>0.81</v>
      </c>
      <c r="AQ23" s="15">
        <v>0.64</v>
      </c>
    </row>
    <row r="24" spans="1:43" x14ac:dyDescent="0.35">
      <c r="A24" s="19"/>
      <c r="B24" s="11" t="s">
        <v>489</v>
      </c>
      <c r="C24" s="12">
        <v>3595</v>
      </c>
      <c r="D24" s="12">
        <v>137</v>
      </c>
      <c r="E24" s="12">
        <v>378</v>
      </c>
      <c r="F24" s="12">
        <v>123</v>
      </c>
      <c r="G24" s="12">
        <v>34</v>
      </c>
      <c r="H24" s="12">
        <v>102</v>
      </c>
      <c r="I24" s="12">
        <v>154</v>
      </c>
      <c r="J24" s="12">
        <v>52</v>
      </c>
      <c r="K24" s="12">
        <v>160</v>
      </c>
      <c r="L24" s="12">
        <v>40</v>
      </c>
      <c r="M24" s="12">
        <v>374</v>
      </c>
      <c r="N24" s="12">
        <v>83</v>
      </c>
      <c r="O24" s="12">
        <v>145</v>
      </c>
      <c r="P24" s="12">
        <v>207</v>
      </c>
      <c r="Q24" s="12">
        <v>177</v>
      </c>
      <c r="R24" s="12">
        <v>80</v>
      </c>
      <c r="S24" s="12">
        <v>161</v>
      </c>
      <c r="T24" s="12">
        <v>117</v>
      </c>
      <c r="U24" s="12">
        <v>28</v>
      </c>
      <c r="V24" s="12">
        <v>181</v>
      </c>
      <c r="W24" s="12">
        <v>41</v>
      </c>
      <c r="X24" s="12">
        <v>45</v>
      </c>
      <c r="Y24" s="12">
        <v>122</v>
      </c>
      <c r="Z24" s="12">
        <v>83</v>
      </c>
      <c r="AA24" s="12">
        <v>165</v>
      </c>
      <c r="AB24" s="12">
        <v>411</v>
      </c>
      <c r="AC24" s="12">
        <v>42</v>
      </c>
      <c r="AD24" s="12">
        <v>130</v>
      </c>
      <c r="AE24" s="12">
        <v>45</v>
      </c>
      <c r="AF24" s="12">
        <v>34</v>
      </c>
      <c r="AG24" s="12">
        <v>397</v>
      </c>
      <c r="AH24" s="12">
        <v>221</v>
      </c>
      <c r="AI24" s="12">
        <v>113</v>
      </c>
      <c r="AJ24" s="12">
        <v>380</v>
      </c>
      <c r="AK24" s="12">
        <v>331</v>
      </c>
      <c r="AL24" s="12">
        <v>246</v>
      </c>
      <c r="AM24" s="12">
        <v>87</v>
      </c>
      <c r="AN24" s="12">
        <v>194</v>
      </c>
      <c r="AO24" s="12">
        <v>166</v>
      </c>
      <c r="AP24" s="12">
        <v>96</v>
      </c>
      <c r="AQ24" s="12">
        <v>362</v>
      </c>
    </row>
    <row r="25" spans="1:43" x14ac:dyDescent="0.35">
      <c r="A25" s="19"/>
      <c r="B25" s="13" t="s">
        <v>490</v>
      </c>
      <c r="C25" s="15">
        <v>0.14000000000000001</v>
      </c>
      <c r="D25" s="15">
        <v>0.13</v>
      </c>
      <c r="E25" s="15">
        <v>0.37</v>
      </c>
      <c r="F25" s="15">
        <v>0.11</v>
      </c>
      <c r="G25" s="15">
        <v>0.03</v>
      </c>
      <c r="H25" s="15">
        <v>0.08</v>
      </c>
      <c r="I25" s="15">
        <v>0.11</v>
      </c>
      <c r="J25" s="15">
        <v>0.17</v>
      </c>
      <c r="K25" s="15">
        <v>0.16</v>
      </c>
      <c r="L25" s="15">
        <v>0.04</v>
      </c>
      <c r="M25" s="15">
        <v>0.37</v>
      </c>
      <c r="N25" s="15">
        <v>0.09</v>
      </c>
      <c r="O25" s="15">
        <v>0.14000000000000001</v>
      </c>
      <c r="P25" s="15">
        <v>0.21</v>
      </c>
      <c r="Q25" s="15">
        <v>0.17</v>
      </c>
      <c r="R25" s="15">
        <v>0.16</v>
      </c>
      <c r="S25" s="15">
        <v>0.16</v>
      </c>
      <c r="T25" s="15">
        <v>0.12</v>
      </c>
      <c r="U25" s="15">
        <v>0.06</v>
      </c>
      <c r="V25" s="15">
        <v>0.18</v>
      </c>
      <c r="W25" s="15">
        <v>0.08</v>
      </c>
      <c r="X25" s="15">
        <v>0.05</v>
      </c>
      <c r="Y25" s="15">
        <v>0.12</v>
      </c>
      <c r="Z25" s="15">
        <v>0.08</v>
      </c>
      <c r="AA25" s="15">
        <v>0.16</v>
      </c>
      <c r="AB25" s="15">
        <v>0.39</v>
      </c>
      <c r="AC25" s="15">
        <v>0.04</v>
      </c>
      <c r="AD25" s="15">
        <v>0.13</v>
      </c>
      <c r="AE25" s="15">
        <v>0.04</v>
      </c>
      <c r="AF25" s="15">
        <v>0.04</v>
      </c>
      <c r="AG25" s="15">
        <v>0.38</v>
      </c>
      <c r="AH25" s="15">
        <v>0.22</v>
      </c>
      <c r="AI25" s="15">
        <v>0.22</v>
      </c>
      <c r="AJ25" s="15">
        <v>0.37</v>
      </c>
      <c r="AK25" s="15">
        <v>0.33</v>
      </c>
      <c r="AL25" s="15">
        <v>0.24</v>
      </c>
      <c r="AM25" s="15">
        <v>0.08</v>
      </c>
      <c r="AN25" s="15">
        <v>0.19</v>
      </c>
      <c r="AO25" s="15">
        <v>0.16</v>
      </c>
      <c r="AP25" s="15">
        <v>0.19</v>
      </c>
      <c r="AQ25" s="15">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13</v>
      </c>
      <c r="C3" s="18"/>
      <c r="D3" s="18"/>
      <c r="E3" s="18"/>
      <c r="F3" s="18"/>
      <c r="H3" s="18" t="s">
        <v>14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477</v>
      </c>
      <c r="C12" s="12">
        <v>5626</v>
      </c>
      <c r="D12" s="12">
        <v>242</v>
      </c>
      <c r="E12" s="12">
        <v>112</v>
      </c>
      <c r="F12" s="12">
        <v>192</v>
      </c>
      <c r="G12" s="12">
        <v>638</v>
      </c>
      <c r="H12" s="12">
        <v>287</v>
      </c>
      <c r="I12" s="12">
        <v>338</v>
      </c>
      <c r="J12" s="12">
        <v>51</v>
      </c>
      <c r="K12" s="12">
        <v>127</v>
      </c>
      <c r="L12" s="12">
        <v>427</v>
      </c>
      <c r="M12" s="12">
        <v>84</v>
      </c>
      <c r="N12" s="12">
        <v>286</v>
      </c>
      <c r="O12" s="12">
        <v>183</v>
      </c>
      <c r="P12" s="12">
        <v>184</v>
      </c>
      <c r="Q12" s="12">
        <v>142</v>
      </c>
      <c r="R12" s="12">
        <v>108</v>
      </c>
      <c r="S12" s="12">
        <v>148</v>
      </c>
      <c r="T12" s="12">
        <v>242</v>
      </c>
      <c r="U12" s="12">
        <v>170</v>
      </c>
      <c r="V12" s="12">
        <v>115</v>
      </c>
      <c r="W12" s="12">
        <v>92</v>
      </c>
      <c r="X12" s="12">
        <v>440</v>
      </c>
      <c r="Y12" s="12">
        <v>328</v>
      </c>
      <c r="Z12" s="12">
        <v>181</v>
      </c>
      <c r="AA12" s="12">
        <v>50</v>
      </c>
      <c r="AB12" s="12">
        <v>80</v>
      </c>
      <c r="AC12" s="12">
        <v>346</v>
      </c>
      <c r="AD12" s="12">
        <v>218</v>
      </c>
      <c r="AE12" s="12">
        <v>354</v>
      </c>
      <c r="AF12" s="12">
        <v>370</v>
      </c>
      <c r="AG12" s="12">
        <v>261</v>
      </c>
      <c r="AH12" s="12">
        <v>143</v>
      </c>
      <c r="AI12" s="12">
        <v>104</v>
      </c>
      <c r="AJ12" s="12">
        <v>177</v>
      </c>
      <c r="AK12" s="12">
        <v>139</v>
      </c>
      <c r="AL12" s="12">
        <v>130</v>
      </c>
      <c r="AM12" s="12">
        <v>340</v>
      </c>
      <c r="AN12" s="12">
        <v>200</v>
      </c>
      <c r="AO12" s="12">
        <v>367</v>
      </c>
      <c r="AP12" s="12">
        <v>213</v>
      </c>
      <c r="AQ12" s="12">
        <v>156</v>
      </c>
    </row>
    <row r="13" spans="1:43" x14ac:dyDescent="0.35">
      <c r="A13" s="19"/>
      <c r="B13" s="13" t="s">
        <v>478</v>
      </c>
      <c r="C13" s="15">
        <v>0.21</v>
      </c>
      <c r="D13" s="15">
        <v>0.24</v>
      </c>
      <c r="E13" s="15">
        <v>0.11</v>
      </c>
      <c r="F13" s="15">
        <v>0.17</v>
      </c>
      <c r="G13" s="15">
        <v>0.64</v>
      </c>
      <c r="H13" s="15">
        <v>0.23</v>
      </c>
      <c r="I13" s="15">
        <v>0.22</v>
      </c>
      <c r="J13" s="15">
        <v>0.17</v>
      </c>
      <c r="K13" s="15">
        <v>0.13</v>
      </c>
      <c r="L13" s="15">
        <v>0.43</v>
      </c>
      <c r="M13" s="15">
        <v>0.08</v>
      </c>
      <c r="N13" s="15">
        <v>0.28999999999999998</v>
      </c>
      <c r="O13" s="15">
        <v>0.18</v>
      </c>
      <c r="P13" s="15">
        <v>0.18</v>
      </c>
      <c r="Q13" s="15">
        <v>0.14000000000000001</v>
      </c>
      <c r="R13" s="15">
        <v>0.21</v>
      </c>
      <c r="S13" s="15">
        <v>0.15</v>
      </c>
      <c r="T13" s="15">
        <v>0.24</v>
      </c>
      <c r="U13" s="15">
        <v>0.34</v>
      </c>
      <c r="V13" s="15">
        <v>0.11</v>
      </c>
      <c r="W13" s="15">
        <v>0.18</v>
      </c>
      <c r="X13" s="15">
        <v>0.44</v>
      </c>
      <c r="Y13" s="15">
        <v>0.33</v>
      </c>
      <c r="Z13" s="15">
        <v>0.17</v>
      </c>
      <c r="AA13" s="15">
        <v>0.05</v>
      </c>
      <c r="AB13" s="15">
        <v>0.08</v>
      </c>
      <c r="AC13" s="15">
        <v>0.34</v>
      </c>
      <c r="AD13" s="15">
        <v>0.22</v>
      </c>
      <c r="AE13" s="15">
        <v>0.35</v>
      </c>
      <c r="AF13" s="15">
        <v>0.35</v>
      </c>
      <c r="AG13" s="15">
        <v>0.25</v>
      </c>
      <c r="AH13" s="15">
        <v>0.14000000000000001</v>
      </c>
      <c r="AI13" s="15">
        <v>0.2</v>
      </c>
      <c r="AJ13" s="15">
        <v>0.17</v>
      </c>
      <c r="AK13" s="15">
        <v>0.14000000000000001</v>
      </c>
      <c r="AL13" s="15">
        <v>0.13</v>
      </c>
      <c r="AM13" s="15">
        <v>0.33</v>
      </c>
      <c r="AN13" s="15">
        <v>0.2</v>
      </c>
      <c r="AO13" s="15">
        <v>0.36</v>
      </c>
      <c r="AP13" s="15">
        <v>0.41</v>
      </c>
      <c r="AQ13" s="15">
        <v>0.16</v>
      </c>
    </row>
    <row r="14" spans="1:43" x14ac:dyDescent="0.35">
      <c r="A14" s="19"/>
      <c r="B14" s="11" t="s">
        <v>479</v>
      </c>
      <c r="C14" s="12">
        <v>16910</v>
      </c>
      <c r="D14" s="12">
        <v>625</v>
      </c>
      <c r="E14" s="12">
        <v>547</v>
      </c>
      <c r="F14" s="12">
        <v>781</v>
      </c>
      <c r="G14" s="12">
        <v>330</v>
      </c>
      <c r="H14" s="12">
        <v>823</v>
      </c>
      <c r="I14" s="12">
        <v>1017</v>
      </c>
      <c r="J14" s="12">
        <v>193</v>
      </c>
      <c r="K14" s="12">
        <v>685</v>
      </c>
      <c r="L14" s="12">
        <v>529</v>
      </c>
      <c r="M14" s="12">
        <v>540</v>
      </c>
      <c r="N14" s="12">
        <v>626</v>
      </c>
      <c r="O14" s="12">
        <v>663</v>
      </c>
      <c r="P14" s="12">
        <v>605</v>
      </c>
      <c r="Q14" s="12">
        <v>700</v>
      </c>
      <c r="R14" s="12">
        <v>311</v>
      </c>
      <c r="S14" s="12">
        <v>718</v>
      </c>
      <c r="T14" s="12">
        <v>645</v>
      </c>
      <c r="U14" s="12">
        <v>297</v>
      </c>
      <c r="V14" s="12">
        <v>687</v>
      </c>
      <c r="W14" s="12">
        <v>354</v>
      </c>
      <c r="X14" s="12">
        <v>501</v>
      </c>
      <c r="Y14" s="12">
        <v>553</v>
      </c>
      <c r="Z14" s="12">
        <v>748</v>
      </c>
      <c r="AA14" s="12">
        <v>757</v>
      </c>
      <c r="AB14" s="12">
        <v>543</v>
      </c>
      <c r="AC14" s="12">
        <v>610</v>
      </c>
      <c r="AD14" s="12">
        <v>628</v>
      </c>
      <c r="AE14" s="12">
        <v>597</v>
      </c>
      <c r="AF14" s="12">
        <v>595</v>
      </c>
      <c r="AG14" s="12">
        <v>363</v>
      </c>
      <c r="AH14" s="12">
        <v>615</v>
      </c>
      <c r="AI14" s="12">
        <v>315</v>
      </c>
      <c r="AJ14" s="12">
        <v>478</v>
      </c>
      <c r="AK14" s="12">
        <v>568</v>
      </c>
      <c r="AL14" s="12">
        <v>650</v>
      </c>
      <c r="AM14" s="12">
        <v>608</v>
      </c>
      <c r="AN14" s="12">
        <v>598</v>
      </c>
      <c r="AO14" s="12">
        <v>478</v>
      </c>
      <c r="AP14" s="12">
        <v>218</v>
      </c>
      <c r="AQ14" s="12">
        <v>478</v>
      </c>
    </row>
    <row r="15" spans="1:43" x14ac:dyDescent="0.35">
      <c r="A15" s="19"/>
      <c r="B15" s="13" t="s">
        <v>480</v>
      </c>
      <c r="C15" s="15">
        <v>0.64</v>
      </c>
      <c r="D15" s="15">
        <v>0.62</v>
      </c>
      <c r="E15" s="15">
        <v>0.53</v>
      </c>
      <c r="F15" s="15">
        <v>0.71</v>
      </c>
      <c r="G15" s="15">
        <v>0.33</v>
      </c>
      <c r="H15" s="15">
        <v>0.67</v>
      </c>
      <c r="I15" s="15">
        <v>0.67</v>
      </c>
      <c r="J15" s="15">
        <v>0.66</v>
      </c>
      <c r="K15" s="15">
        <v>0.68</v>
      </c>
      <c r="L15" s="15">
        <v>0.53</v>
      </c>
      <c r="M15" s="15">
        <v>0.54</v>
      </c>
      <c r="N15" s="15">
        <v>0.62</v>
      </c>
      <c r="O15" s="15">
        <v>0.66</v>
      </c>
      <c r="P15" s="15">
        <v>0.6</v>
      </c>
      <c r="Q15" s="15">
        <v>0.68</v>
      </c>
      <c r="R15" s="15">
        <v>0.62</v>
      </c>
      <c r="S15" s="15">
        <v>0.72</v>
      </c>
      <c r="T15" s="15">
        <v>0.64</v>
      </c>
      <c r="U15" s="15">
        <v>0.59</v>
      </c>
      <c r="V15" s="15">
        <v>0.68</v>
      </c>
      <c r="W15" s="15">
        <v>0.70000000000000007</v>
      </c>
      <c r="X15" s="15">
        <v>0.5</v>
      </c>
      <c r="Y15" s="15">
        <v>0.55000000000000004</v>
      </c>
      <c r="Z15" s="15">
        <v>0.72</v>
      </c>
      <c r="AA15" s="15">
        <v>0.73</v>
      </c>
      <c r="AB15" s="15">
        <v>0.52</v>
      </c>
      <c r="AC15" s="15">
        <v>0.61</v>
      </c>
      <c r="AD15" s="15">
        <v>0.62</v>
      </c>
      <c r="AE15" s="15">
        <v>0.59</v>
      </c>
      <c r="AF15" s="15">
        <v>0.57000000000000006</v>
      </c>
      <c r="AG15" s="15">
        <v>0.35</v>
      </c>
      <c r="AH15" s="15">
        <v>0.61</v>
      </c>
      <c r="AI15" s="15">
        <v>0.6</v>
      </c>
      <c r="AJ15" s="15">
        <v>0.46</v>
      </c>
      <c r="AK15" s="15">
        <v>0.56000000000000005</v>
      </c>
      <c r="AL15" s="15">
        <v>0.64</v>
      </c>
      <c r="AM15" s="15">
        <v>0.59</v>
      </c>
      <c r="AN15" s="15">
        <v>0.59</v>
      </c>
      <c r="AO15" s="15">
        <v>0.48</v>
      </c>
      <c r="AP15" s="15">
        <v>0.42</v>
      </c>
      <c r="AQ15" s="15">
        <v>0.48</v>
      </c>
    </row>
    <row r="16" spans="1:43" x14ac:dyDescent="0.35">
      <c r="A16" s="19"/>
      <c r="B16" s="11" t="s">
        <v>491</v>
      </c>
      <c r="C16" s="12">
        <v>3354</v>
      </c>
      <c r="D16" s="12">
        <v>121</v>
      </c>
      <c r="E16" s="12">
        <v>293</v>
      </c>
      <c r="F16" s="12">
        <v>108</v>
      </c>
      <c r="G16" s="12">
        <v>33</v>
      </c>
      <c r="H16" s="12">
        <v>104</v>
      </c>
      <c r="I16" s="12">
        <v>151</v>
      </c>
      <c r="J16" s="12">
        <v>46</v>
      </c>
      <c r="K16" s="12">
        <v>155</v>
      </c>
      <c r="L16" s="12">
        <v>44</v>
      </c>
      <c r="M16" s="12">
        <v>297</v>
      </c>
      <c r="N16" s="12">
        <v>82</v>
      </c>
      <c r="O16" s="12">
        <v>127</v>
      </c>
      <c r="P16" s="12">
        <v>197</v>
      </c>
      <c r="Q16" s="12">
        <v>162</v>
      </c>
      <c r="R16" s="12">
        <v>72</v>
      </c>
      <c r="S16" s="12">
        <v>120</v>
      </c>
      <c r="T16" s="12">
        <v>110</v>
      </c>
      <c r="U16" s="12">
        <v>29</v>
      </c>
      <c r="V16" s="12">
        <v>177</v>
      </c>
      <c r="W16" s="12">
        <v>58</v>
      </c>
      <c r="X16" s="12">
        <v>62</v>
      </c>
      <c r="Y16" s="12">
        <v>108</v>
      </c>
      <c r="Z16" s="12">
        <v>89</v>
      </c>
      <c r="AA16" s="12">
        <v>212</v>
      </c>
      <c r="AB16" s="12">
        <v>339</v>
      </c>
      <c r="AC16" s="12">
        <v>42</v>
      </c>
      <c r="AD16" s="12">
        <v>150</v>
      </c>
      <c r="AE16" s="12">
        <v>56</v>
      </c>
      <c r="AF16" s="12">
        <v>68</v>
      </c>
      <c r="AG16" s="12">
        <v>174</v>
      </c>
      <c r="AH16" s="12">
        <v>199</v>
      </c>
      <c r="AI16" s="12">
        <v>98</v>
      </c>
      <c r="AJ16" s="12">
        <v>290</v>
      </c>
      <c r="AK16" s="12">
        <v>230</v>
      </c>
      <c r="AL16" s="12">
        <v>194</v>
      </c>
      <c r="AM16" s="12">
        <v>75</v>
      </c>
      <c r="AN16" s="12">
        <v>178</v>
      </c>
      <c r="AO16" s="12">
        <v>88</v>
      </c>
      <c r="AP16" s="12">
        <v>54</v>
      </c>
      <c r="AQ16" s="12">
        <v>293</v>
      </c>
    </row>
    <row r="17" spans="1:43" x14ac:dyDescent="0.35">
      <c r="A17" s="19"/>
      <c r="B17" s="13" t="s">
        <v>482</v>
      </c>
      <c r="C17" s="15">
        <v>0.13</v>
      </c>
      <c r="D17" s="15">
        <v>0.12</v>
      </c>
      <c r="E17" s="15">
        <v>0.28000000000000003</v>
      </c>
      <c r="F17" s="15">
        <v>0.1</v>
      </c>
      <c r="G17" s="15">
        <v>0.03</v>
      </c>
      <c r="H17" s="15">
        <v>0.09</v>
      </c>
      <c r="I17" s="15">
        <v>0.1</v>
      </c>
      <c r="J17" s="15">
        <v>0.16</v>
      </c>
      <c r="K17" s="15">
        <v>0.16</v>
      </c>
      <c r="L17" s="15">
        <v>0.04</v>
      </c>
      <c r="M17" s="15">
        <v>0.28999999999999998</v>
      </c>
      <c r="N17" s="15">
        <v>0.08</v>
      </c>
      <c r="O17" s="15">
        <v>0.13</v>
      </c>
      <c r="P17" s="15">
        <v>0.2</v>
      </c>
      <c r="Q17" s="15">
        <v>0.16</v>
      </c>
      <c r="R17" s="15">
        <v>0.14000000000000001</v>
      </c>
      <c r="S17" s="15">
        <v>0.12</v>
      </c>
      <c r="T17" s="15">
        <v>0.11</v>
      </c>
      <c r="U17" s="15">
        <v>0.06</v>
      </c>
      <c r="V17" s="15">
        <v>0.18</v>
      </c>
      <c r="W17" s="15">
        <v>0.11</v>
      </c>
      <c r="X17" s="15">
        <v>0.06</v>
      </c>
      <c r="Y17" s="15">
        <v>0.11</v>
      </c>
      <c r="Z17" s="15">
        <v>0.09</v>
      </c>
      <c r="AA17" s="15">
        <v>0.21</v>
      </c>
      <c r="AB17" s="15">
        <v>0.32</v>
      </c>
      <c r="AC17" s="15">
        <v>0.04</v>
      </c>
      <c r="AD17" s="15">
        <v>0.15</v>
      </c>
      <c r="AE17" s="15">
        <v>0.06</v>
      </c>
      <c r="AF17" s="15">
        <v>7.0000000000000007E-2</v>
      </c>
      <c r="AG17" s="15">
        <v>0.17</v>
      </c>
      <c r="AH17" s="15">
        <v>0.2</v>
      </c>
      <c r="AI17" s="15">
        <v>0.19</v>
      </c>
      <c r="AJ17" s="15">
        <v>0.28000000000000003</v>
      </c>
      <c r="AK17" s="15">
        <v>0.23</v>
      </c>
      <c r="AL17" s="15">
        <v>0.19</v>
      </c>
      <c r="AM17" s="15">
        <v>7.0000000000000007E-2</v>
      </c>
      <c r="AN17" s="15">
        <v>0.18</v>
      </c>
      <c r="AO17" s="15">
        <v>0.09</v>
      </c>
      <c r="AP17" s="15">
        <v>0.1</v>
      </c>
      <c r="AQ17" s="15">
        <v>0.28999999999999998</v>
      </c>
    </row>
    <row r="18" spans="1:43" x14ac:dyDescent="0.35">
      <c r="A18" s="19"/>
      <c r="B18" s="11" t="s">
        <v>483</v>
      </c>
      <c r="C18" s="12">
        <v>501</v>
      </c>
      <c r="D18" s="12">
        <v>23</v>
      </c>
      <c r="E18" s="12">
        <v>69</v>
      </c>
      <c r="F18" s="12">
        <v>18</v>
      </c>
      <c r="G18" s="12">
        <v>4</v>
      </c>
      <c r="H18" s="12">
        <v>0</v>
      </c>
      <c r="I18" s="12">
        <v>4</v>
      </c>
      <c r="J18" s="12">
        <v>4</v>
      </c>
      <c r="K18" s="12">
        <v>24</v>
      </c>
      <c r="L18" s="12">
        <v>2</v>
      </c>
      <c r="M18" s="12">
        <v>89</v>
      </c>
      <c r="N18" s="12">
        <v>8</v>
      </c>
      <c r="O18" s="12">
        <v>28</v>
      </c>
      <c r="P18" s="12">
        <v>17</v>
      </c>
      <c r="Q18" s="12">
        <v>24</v>
      </c>
      <c r="R18" s="12">
        <v>13</v>
      </c>
      <c r="S18" s="12">
        <v>16</v>
      </c>
      <c r="T18" s="12">
        <v>9</v>
      </c>
      <c r="U18" s="12">
        <v>8</v>
      </c>
      <c r="V18" s="12">
        <v>35</v>
      </c>
      <c r="W18" s="12">
        <v>4</v>
      </c>
      <c r="X18" s="12">
        <v>5</v>
      </c>
      <c r="Y18" s="12">
        <v>15</v>
      </c>
      <c r="Z18" s="12">
        <v>6</v>
      </c>
      <c r="AA18" s="12">
        <v>15</v>
      </c>
      <c r="AB18" s="12">
        <v>88</v>
      </c>
      <c r="AC18" s="12">
        <v>5</v>
      </c>
      <c r="AD18" s="12">
        <v>8</v>
      </c>
      <c r="AE18" s="12">
        <v>3</v>
      </c>
      <c r="AF18" s="12">
        <v>6</v>
      </c>
      <c r="AG18" s="12">
        <v>237</v>
      </c>
      <c r="AH18" s="12">
        <v>56</v>
      </c>
      <c r="AI18" s="12">
        <v>6</v>
      </c>
      <c r="AJ18" s="12">
        <v>91</v>
      </c>
      <c r="AK18" s="12">
        <v>70</v>
      </c>
      <c r="AL18" s="12">
        <v>33</v>
      </c>
      <c r="AM18" s="12">
        <v>12</v>
      </c>
      <c r="AN18" s="12">
        <v>27</v>
      </c>
      <c r="AO18" s="12">
        <v>73</v>
      </c>
      <c r="AP18" s="12">
        <v>39</v>
      </c>
      <c r="AQ18" s="12">
        <v>74</v>
      </c>
    </row>
    <row r="19" spans="1:43" x14ac:dyDescent="0.35">
      <c r="A19" s="19"/>
      <c r="B19" s="13" t="s">
        <v>484</v>
      </c>
      <c r="C19" s="15">
        <v>0.02</v>
      </c>
      <c r="D19" s="15">
        <v>0.02</v>
      </c>
      <c r="E19" s="15">
        <v>7.0000000000000007E-2</v>
      </c>
      <c r="F19" s="15">
        <v>0.02</v>
      </c>
      <c r="G19" s="14" t="s">
        <v>475</v>
      </c>
      <c r="H19" s="14" t="s">
        <v>475</v>
      </c>
      <c r="I19" s="14" t="s">
        <v>475</v>
      </c>
      <c r="J19" s="15">
        <v>0.01</v>
      </c>
      <c r="K19" s="15">
        <v>0.02</v>
      </c>
      <c r="L19" s="14" t="s">
        <v>475</v>
      </c>
      <c r="M19" s="15">
        <v>0.09</v>
      </c>
      <c r="N19" s="15">
        <v>0.01</v>
      </c>
      <c r="O19" s="15">
        <v>0.03</v>
      </c>
      <c r="P19" s="15">
        <v>0.02</v>
      </c>
      <c r="Q19" s="15">
        <v>0.02</v>
      </c>
      <c r="R19" s="15">
        <v>0.03</v>
      </c>
      <c r="S19" s="15">
        <v>0.01</v>
      </c>
      <c r="T19" s="15">
        <v>0.01</v>
      </c>
      <c r="U19" s="15">
        <v>0.01</v>
      </c>
      <c r="V19" s="15">
        <v>0.03</v>
      </c>
      <c r="W19" s="15">
        <v>0.01</v>
      </c>
      <c r="X19" s="14" t="s">
        <v>475</v>
      </c>
      <c r="Y19" s="15">
        <v>0.01</v>
      </c>
      <c r="Z19" s="15">
        <v>0.01</v>
      </c>
      <c r="AA19" s="15">
        <v>0.01</v>
      </c>
      <c r="AB19" s="15">
        <v>0.08</v>
      </c>
      <c r="AC19" s="15">
        <v>0.01</v>
      </c>
      <c r="AD19" s="15">
        <v>0.01</v>
      </c>
      <c r="AE19" s="14" t="s">
        <v>475</v>
      </c>
      <c r="AF19" s="15">
        <v>0.01</v>
      </c>
      <c r="AG19" s="15">
        <v>0.23</v>
      </c>
      <c r="AH19" s="15">
        <v>0.05</v>
      </c>
      <c r="AI19" s="15">
        <v>0.01</v>
      </c>
      <c r="AJ19" s="15">
        <v>0.09</v>
      </c>
      <c r="AK19" s="15">
        <v>7.0000000000000007E-2</v>
      </c>
      <c r="AL19" s="15">
        <v>0.03</v>
      </c>
      <c r="AM19" s="15">
        <v>0.01</v>
      </c>
      <c r="AN19" s="15">
        <v>0.03</v>
      </c>
      <c r="AO19" s="15">
        <v>7.0000000000000007E-2</v>
      </c>
      <c r="AP19" s="15">
        <v>7.0000000000000007E-2</v>
      </c>
      <c r="AQ19" s="15">
        <v>7.0000000000000007E-2</v>
      </c>
    </row>
    <row r="20" spans="1:43" x14ac:dyDescent="0.35">
      <c r="A20" s="19"/>
      <c r="B20" s="11" t="s">
        <v>485</v>
      </c>
      <c r="C20" s="12">
        <v>54</v>
      </c>
      <c r="D20" s="12">
        <v>3</v>
      </c>
      <c r="E20" s="12">
        <v>9</v>
      </c>
      <c r="F20" s="12">
        <v>2</v>
      </c>
      <c r="G20" s="12">
        <v>1</v>
      </c>
      <c r="H20" s="12">
        <v>7</v>
      </c>
      <c r="I20" s="12">
        <v>7</v>
      </c>
      <c r="J20" s="12">
        <v>1</v>
      </c>
      <c r="K20" s="12">
        <v>11</v>
      </c>
      <c r="L20" s="12">
        <v>0</v>
      </c>
      <c r="M20" s="12">
        <v>0</v>
      </c>
      <c r="N20" s="12">
        <v>1</v>
      </c>
      <c r="O20" s="12">
        <v>1</v>
      </c>
      <c r="P20" s="12">
        <v>1</v>
      </c>
      <c r="Q20" s="12">
        <v>0</v>
      </c>
      <c r="R20" s="12">
        <v>0</v>
      </c>
      <c r="S20" s="12">
        <v>1</v>
      </c>
      <c r="T20" s="12">
        <v>0</v>
      </c>
      <c r="U20" s="12">
        <v>0</v>
      </c>
      <c r="V20" s="12">
        <v>1</v>
      </c>
      <c r="W20" s="12">
        <v>0</v>
      </c>
      <c r="X20" s="12">
        <v>1</v>
      </c>
      <c r="Y20" s="12">
        <v>0</v>
      </c>
      <c r="Z20" s="12">
        <v>6</v>
      </c>
      <c r="AA20" s="12">
        <v>0</v>
      </c>
      <c r="AB20" s="12">
        <v>0</v>
      </c>
      <c r="AC20" s="12">
        <v>0</v>
      </c>
      <c r="AD20" s="12">
        <v>1</v>
      </c>
      <c r="AE20" s="12">
        <v>2</v>
      </c>
      <c r="AF20" s="12">
        <v>4</v>
      </c>
      <c r="AG20" s="12">
        <v>0</v>
      </c>
      <c r="AH20" s="12">
        <v>0</v>
      </c>
      <c r="AI20" s="12">
        <v>0</v>
      </c>
      <c r="AJ20" s="12">
        <v>2</v>
      </c>
      <c r="AK20" s="12">
        <v>0</v>
      </c>
      <c r="AL20" s="12">
        <v>6</v>
      </c>
      <c r="AM20" s="12">
        <v>5</v>
      </c>
      <c r="AN20" s="12">
        <v>0</v>
      </c>
      <c r="AO20" s="12">
        <v>0</v>
      </c>
      <c r="AP20" s="12">
        <v>0</v>
      </c>
      <c r="AQ20" s="12">
        <v>1</v>
      </c>
    </row>
    <row r="21" spans="1:43" x14ac:dyDescent="0.35">
      <c r="A21" s="19"/>
      <c r="B21" s="13" t="s">
        <v>486</v>
      </c>
      <c r="C21" s="14" t="s">
        <v>475</v>
      </c>
      <c r="D21" s="14" t="s">
        <v>475</v>
      </c>
      <c r="E21" s="15">
        <v>0.01</v>
      </c>
      <c r="F21" s="14" t="s">
        <v>475</v>
      </c>
      <c r="G21" s="14" t="s">
        <v>475</v>
      </c>
      <c r="H21" s="15">
        <v>0.01</v>
      </c>
      <c r="I21" s="15">
        <v>0.01</v>
      </c>
      <c r="J21" s="14" t="s">
        <v>475</v>
      </c>
      <c r="K21" s="15">
        <v>0.01</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5">
        <v>0.01</v>
      </c>
      <c r="AA21" s="14" t="s">
        <v>475</v>
      </c>
      <c r="AB21" s="14" t="s">
        <v>475</v>
      </c>
      <c r="AC21" s="14" t="s">
        <v>475</v>
      </c>
      <c r="AD21" s="14" t="s">
        <v>475</v>
      </c>
      <c r="AE21" s="14" t="s">
        <v>475</v>
      </c>
      <c r="AF21" s="14" t="s">
        <v>475</v>
      </c>
      <c r="AG21" s="14" t="s">
        <v>475</v>
      </c>
      <c r="AH21" s="14" t="s">
        <v>475</v>
      </c>
      <c r="AI21" s="14" t="s">
        <v>475</v>
      </c>
      <c r="AJ21" s="14" t="s">
        <v>475</v>
      </c>
      <c r="AK21" s="14" t="s">
        <v>475</v>
      </c>
      <c r="AL21" s="15">
        <v>0.01</v>
      </c>
      <c r="AM21" s="14" t="s">
        <v>475</v>
      </c>
      <c r="AN21" s="14" t="s">
        <v>475</v>
      </c>
      <c r="AO21" s="14" t="s">
        <v>475</v>
      </c>
      <c r="AP21" s="14" t="s">
        <v>475</v>
      </c>
      <c r="AQ21" s="14" t="s">
        <v>475</v>
      </c>
    </row>
    <row r="22" spans="1:43" x14ac:dyDescent="0.35">
      <c r="A22" s="19"/>
      <c r="B22" s="11" t="s">
        <v>487</v>
      </c>
      <c r="C22" s="12">
        <v>22536</v>
      </c>
      <c r="D22" s="12">
        <v>867</v>
      </c>
      <c r="E22" s="12">
        <v>659</v>
      </c>
      <c r="F22" s="12">
        <v>973</v>
      </c>
      <c r="G22" s="12">
        <v>968</v>
      </c>
      <c r="H22" s="12">
        <v>1110</v>
      </c>
      <c r="I22" s="12">
        <v>1355</v>
      </c>
      <c r="J22" s="12">
        <v>244</v>
      </c>
      <c r="K22" s="12">
        <v>812</v>
      </c>
      <c r="L22" s="12">
        <v>956</v>
      </c>
      <c r="M22" s="12">
        <v>624</v>
      </c>
      <c r="N22" s="12">
        <v>912</v>
      </c>
      <c r="O22" s="12">
        <v>846</v>
      </c>
      <c r="P22" s="12">
        <v>789</v>
      </c>
      <c r="Q22" s="12">
        <v>842</v>
      </c>
      <c r="R22" s="12">
        <v>419</v>
      </c>
      <c r="S22" s="12">
        <v>866</v>
      </c>
      <c r="T22" s="12">
        <v>887</v>
      </c>
      <c r="U22" s="12">
        <v>467</v>
      </c>
      <c r="V22" s="12">
        <v>802</v>
      </c>
      <c r="W22" s="12">
        <v>446</v>
      </c>
      <c r="X22" s="12">
        <v>941</v>
      </c>
      <c r="Y22" s="12">
        <v>881</v>
      </c>
      <c r="Z22" s="12">
        <v>929</v>
      </c>
      <c r="AA22" s="12">
        <v>807</v>
      </c>
      <c r="AB22" s="12">
        <v>623</v>
      </c>
      <c r="AC22" s="12">
        <v>956</v>
      </c>
      <c r="AD22" s="12">
        <v>846</v>
      </c>
      <c r="AE22" s="12">
        <v>951</v>
      </c>
      <c r="AF22" s="12">
        <v>965</v>
      </c>
      <c r="AG22" s="12">
        <v>624</v>
      </c>
      <c r="AH22" s="12">
        <v>758</v>
      </c>
      <c r="AI22" s="12">
        <v>419</v>
      </c>
      <c r="AJ22" s="12">
        <v>655</v>
      </c>
      <c r="AK22" s="12">
        <v>707</v>
      </c>
      <c r="AL22" s="12">
        <v>780</v>
      </c>
      <c r="AM22" s="12">
        <v>948</v>
      </c>
      <c r="AN22" s="12">
        <v>798</v>
      </c>
      <c r="AO22" s="12">
        <v>845</v>
      </c>
      <c r="AP22" s="12">
        <v>431</v>
      </c>
      <c r="AQ22" s="12">
        <v>634</v>
      </c>
    </row>
    <row r="23" spans="1:43" x14ac:dyDescent="0.35">
      <c r="A23" s="19"/>
      <c r="B23" s="13" t="s">
        <v>488</v>
      </c>
      <c r="C23" s="15">
        <v>0.85</v>
      </c>
      <c r="D23" s="15">
        <v>0.86</v>
      </c>
      <c r="E23" s="15">
        <v>0.64</v>
      </c>
      <c r="F23" s="15">
        <v>0.88</v>
      </c>
      <c r="G23" s="15">
        <v>0.97</v>
      </c>
      <c r="H23" s="15">
        <v>0.9</v>
      </c>
      <c r="I23" s="15">
        <v>0.89</v>
      </c>
      <c r="J23" s="15">
        <v>0.83000000000000007</v>
      </c>
      <c r="K23" s="15">
        <v>0.81</v>
      </c>
      <c r="L23" s="15">
        <v>0.96</v>
      </c>
      <c r="M23" s="15">
        <v>0.62</v>
      </c>
      <c r="N23" s="15">
        <v>0.91</v>
      </c>
      <c r="O23" s="15">
        <v>0.84</v>
      </c>
      <c r="P23" s="15">
        <v>0.78</v>
      </c>
      <c r="Q23" s="15">
        <v>0.82000000000000006</v>
      </c>
      <c r="R23" s="15">
        <v>0.83000000000000007</v>
      </c>
      <c r="S23" s="15">
        <v>0.87</v>
      </c>
      <c r="T23" s="15">
        <v>0.88</v>
      </c>
      <c r="U23" s="15">
        <v>0.93</v>
      </c>
      <c r="V23" s="15">
        <v>0.79</v>
      </c>
      <c r="W23" s="15">
        <v>0.88</v>
      </c>
      <c r="X23" s="15">
        <v>0.94000000000000006</v>
      </c>
      <c r="Y23" s="15">
        <v>0.88</v>
      </c>
      <c r="Z23" s="15">
        <v>0.89</v>
      </c>
      <c r="AA23" s="15">
        <v>0.78</v>
      </c>
      <c r="AB23" s="15">
        <v>0.6</v>
      </c>
      <c r="AC23" s="15">
        <v>0.95000000000000007</v>
      </c>
      <c r="AD23" s="15">
        <v>0.84</v>
      </c>
      <c r="AE23" s="15">
        <v>0.94000000000000006</v>
      </c>
      <c r="AF23" s="15">
        <v>0.92</v>
      </c>
      <c r="AG23" s="15">
        <v>0.6</v>
      </c>
      <c r="AH23" s="15">
        <v>0.75</v>
      </c>
      <c r="AI23" s="15">
        <v>0.8</v>
      </c>
      <c r="AJ23" s="15">
        <v>0.63</v>
      </c>
      <c r="AK23" s="15">
        <v>0.70000000000000007</v>
      </c>
      <c r="AL23" s="15">
        <v>0.77</v>
      </c>
      <c r="AM23" s="15">
        <v>0.92</v>
      </c>
      <c r="AN23" s="15">
        <v>0.79</v>
      </c>
      <c r="AO23" s="15">
        <v>0.84</v>
      </c>
      <c r="AP23" s="15">
        <v>0.83000000000000007</v>
      </c>
      <c r="AQ23" s="15">
        <v>0.64</v>
      </c>
    </row>
    <row r="24" spans="1:43" x14ac:dyDescent="0.35">
      <c r="A24" s="19"/>
      <c r="B24" s="11" t="s">
        <v>489</v>
      </c>
      <c r="C24" s="12">
        <v>3855</v>
      </c>
      <c r="D24" s="12">
        <v>144</v>
      </c>
      <c r="E24" s="12">
        <v>362</v>
      </c>
      <c r="F24" s="12">
        <v>126</v>
      </c>
      <c r="G24" s="12">
        <v>37</v>
      </c>
      <c r="H24" s="12">
        <v>104</v>
      </c>
      <c r="I24" s="12">
        <v>155</v>
      </c>
      <c r="J24" s="12">
        <v>50</v>
      </c>
      <c r="K24" s="12">
        <v>179</v>
      </c>
      <c r="L24" s="12">
        <v>46</v>
      </c>
      <c r="M24" s="12">
        <v>386</v>
      </c>
      <c r="N24" s="12">
        <v>90</v>
      </c>
      <c r="O24" s="12">
        <v>155</v>
      </c>
      <c r="P24" s="12">
        <v>214</v>
      </c>
      <c r="Q24" s="12">
        <v>186</v>
      </c>
      <c r="R24" s="12">
        <v>85</v>
      </c>
      <c r="S24" s="12">
        <v>136</v>
      </c>
      <c r="T24" s="12">
        <v>119</v>
      </c>
      <c r="U24" s="12">
        <v>37</v>
      </c>
      <c r="V24" s="12">
        <v>212</v>
      </c>
      <c r="W24" s="12">
        <v>62</v>
      </c>
      <c r="X24" s="12">
        <v>67</v>
      </c>
      <c r="Y24" s="12">
        <v>123</v>
      </c>
      <c r="Z24" s="12">
        <v>95</v>
      </c>
      <c r="AA24" s="12">
        <v>227</v>
      </c>
      <c r="AB24" s="12">
        <v>427</v>
      </c>
      <c r="AC24" s="12">
        <v>47</v>
      </c>
      <c r="AD24" s="12">
        <v>158</v>
      </c>
      <c r="AE24" s="12">
        <v>59</v>
      </c>
      <c r="AF24" s="12">
        <v>74</v>
      </c>
      <c r="AG24" s="12">
        <v>411</v>
      </c>
      <c r="AH24" s="12">
        <v>255</v>
      </c>
      <c r="AI24" s="12">
        <v>104</v>
      </c>
      <c r="AJ24" s="12">
        <v>381</v>
      </c>
      <c r="AK24" s="12">
        <v>300</v>
      </c>
      <c r="AL24" s="12">
        <v>227</v>
      </c>
      <c r="AM24" s="12">
        <v>87</v>
      </c>
      <c r="AN24" s="12">
        <v>205</v>
      </c>
      <c r="AO24" s="12">
        <v>161</v>
      </c>
      <c r="AP24" s="12">
        <v>93</v>
      </c>
      <c r="AQ24" s="12">
        <v>367</v>
      </c>
    </row>
    <row r="25" spans="1:43" x14ac:dyDescent="0.35">
      <c r="A25" s="19"/>
      <c r="B25" s="13" t="s">
        <v>490</v>
      </c>
      <c r="C25" s="15">
        <v>0.15</v>
      </c>
      <c r="D25" s="15">
        <v>0.14000000000000001</v>
      </c>
      <c r="E25" s="15">
        <v>0.35</v>
      </c>
      <c r="F25" s="15">
        <v>0.12</v>
      </c>
      <c r="G25" s="15">
        <v>0.03</v>
      </c>
      <c r="H25" s="15">
        <v>0.09</v>
      </c>
      <c r="I25" s="15">
        <v>0.1</v>
      </c>
      <c r="J25" s="15">
        <v>0.17</v>
      </c>
      <c r="K25" s="15">
        <v>0.18</v>
      </c>
      <c r="L25" s="15">
        <v>0.04</v>
      </c>
      <c r="M25" s="15">
        <v>0.38</v>
      </c>
      <c r="N25" s="15">
        <v>0.09</v>
      </c>
      <c r="O25" s="15">
        <v>0.16</v>
      </c>
      <c r="P25" s="15">
        <v>0.22</v>
      </c>
      <c r="Q25" s="15">
        <v>0.18</v>
      </c>
      <c r="R25" s="15">
        <v>0.17</v>
      </c>
      <c r="S25" s="15">
        <v>0.13</v>
      </c>
      <c r="T25" s="15">
        <v>0.12</v>
      </c>
      <c r="U25" s="15">
        <v>7.0000000000000007E-2</v>
      </c>
      <c r="V25" s="15">
        <v>0.21</v>
      </c>
      <c r="W25" s="15">
        <v>0.12</v>
      </c>
      <c r="X25" s="15">
        <v>0.06</v>
      </c>
      <c r="Y25" s="15">
        <v>0.12</v>
      </c>
      <c r="Z25" s="15">
        <v>0.1</v>
      </c>
      <c r="AA25" s="15">
        <v>0.22</v>
      </c>
      <c r="AB25" s="15">
        <v>0.4</v>
      </c>
      <c r="AC25" s="15">
        <v>0.05</v>
      </c>
      <c r="AD25" s="15">
        <v>0.16</v>
      </c>
      <c r="AE25" s="15">
        <v>0.06</v>
      </c>
      <c r="AF25" s="15">
        <v>0.08</v>
      </c>
      <c r="AG25" s="15">
        <v>0.4</v>
      </c>
      <c r="AH25" s="15">
        <v>0.25</v>
      </c>
      <c r="AI25" s="15">
        <v>0.2</v>
      </c>
      <c r="AJ25" s="15">
        <v>0.37</v>
      </c>
      <c r="AK25" s="15">
        <v>0.3</v>
      </c>
      <c r="AL25" s="15">
        <v>0.22</v>
      </c>
      <c r="AM25" s="15">
        <v>0.08</v>
      </c>
      <c r="AN25" s="15">
        <v>0.21</v>
      </c>
      <c r="AO25" s="15">
        <v>0.16</v>
      </c>
      <c r="AP25" s="15">
        <v>0.17</v>
      </c>
      <c r="AQ25" s="15">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492</v>
      </c>
      <c r="C3" s="18"/>
      <c r="D3" s="18"/>
      <c r="E3" s="18"/>
      <c r="F3" s="18"/>
      <c r="H3" s="18" t="s">
        <v>493</v>
      </c>
      <c r="I3" s="18"/>
      <c r="J3" s="18"/>
      <c r="K3" s="18"/>
      <c r="L3" s="18"/>
    </row>
    <row r="4" spans="1:43" ht="27" customHeight="1" x14ac:dyDescent="0.35">
      <c r="B4" s="18" t="s">
        <v>494</v>
      </c>
      <c r="C4" s="18"/>
      <c r="D4" s="18"/>
      <c r="E4" s="18"/>
      <c r="F4" s="18"/>
      <c r="H4" s="18" t="s">
        <v>495</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496</v>
      </c>
      <c r="C12" s="12">
        <v>6478</v>
      </c>
      <c r="D12" s="12">
        <v>182</v>
      </c>
      <c r="E12" s="12">
        <v>294</v>
      </c>
      <c r="F12" s="12">
        <v>242</v>
      </c>
      <c r="G12" s="12">
        <v>307</v>
      </c>
      <c r="H12" s="12">
        <v>373</v>
      </c>
      <c r="I12" s="12">
        <v>458</v>
      </c>
      <c r="J12" s="12">
        <v>84</v>
      </c>
      <c r="K12" s="12">
        <v>194</v>
      </c>
      <c r="L12" s="12">
        <v>258</v>
      </c>
      <c r="M12" s="12">
        <v>398</v>
      </c>
      <c r="N12" s="12">
        <v>241</v>
      </c>
      <c r="O12" s="12">
        <v>204</v>
      </c>
      <c r="P12" s="12">
        <v>157</v>
      </c>
      <c r="Q12" s="12">
        <v>217</v>
      </c>
      <c r="R12" s="12">
        <v>121</v>
      </c>
      <c r="S12" s="12">
        <v>157</v>
      </c>
      <c r="T12" s="12">
        <v>198</v>
      </c>
      <c r="U12" s="12">
        <v>121</v>
      </c>
      <c r="V12" s="12">
        <v>187</v>
      </c>
      <c r="W12" s="12">
        <v>166</v>
      </c>
      <c r="X12" s="12">
        <v>466</v>
      </c>
      <c r="Y12" s="12">
        <v>285</v>
      </c>
      <c r="Z12" s="12">
        <v>181</v>
      </c>
      <c r="AA12" s="12">
        <v>129</v>
      </c>
      <c r="AB12" s="12">
        <v>190</v>
      </c>
      <c r="AC12" s="12">
        <v>119</v>
      </c>
      <c r="AD12" s="12">
        <v>210</v>
      </c>
      <c r="AE12" s="12">
        <v>268</v>
      </c>
      <c r="AF12" s="12">
        <v>396</v>
      </c>
      <c r="AG12" s="12">
        <v>242</v>
      </c>
      <c r="AH12" s="12">
        <v>204</v>
      </c>
      <c r="AI12" s="12">
        <v>120</v>
      </c>
      <c r="AJ12" s="12">
        <v>340</v>
      </c>
      <c r="AK12" s="12">
        <v>189</v>
      </c>
      <c r="AL12" s="12">
        <v>118</v>
      </c>
      <c r="AM12" s="12">
        <v>279</v>
      </c>
      <c r="AN12" s="12">
        <v>227</v>
      </c>
      <c r="AO12" s="12">
        <v>335</v>
      </c>
      <c r="AP12" s="12">
        <v>119</v>
      </c>
      <c r="AQ12" s="12">
        <v>136</v>
      </c>
    </row>
    <row r="13" spans="1:43" x14ac:dyDescent="0.35">
      <c r="A13" s="19"/>
      <c r="B13" s="13" t="s">
        <v>497</v>
      </c>
      <c r="C13" s="15">
        <v>0.24</v>
      </c>
      <c r="D13" s="15">
        <v>0.18</v>
      </c>
      <c r="E13" s="15">
        <v>0.28999999999999998</v>
      </c>
      <c r="F13" s="15">
        <v>0.22</v>
      </c>
      <c r="G13" s="15">
        <v>0.3</v>
      </c>
      <c r="H13" s="15">
        <v>0.31</v>
      </c>
      <c r="I13" s="15">
        <v>0.3</v>
      </c>
      <c r="J13" s="15">
        <v>0.28999999999999998</v>
      </c>
      <c r="K13" s="15">
        <v>0.2</v>
      </c>
      <c r="L13" s="15">
        <v>0.26</v>
      </c>
      <c r="M13" s="15">
        <v>0.4</v>
      </c>
      <c r="N13" s="15">
        <v>0.24</v>
      </c>
      <c r="O13" s="15">
        <v>0.2</v>
      </c>
      <c r="P13" s="15">
        <v>0.16</v>
      </c>
      <c r="Q13" s="15">
        <v>0.21</v>
      </c>
      <c r="R13" s="15">
        <v>0.24</v>
      </c>
      <c r="S13" s="15">
        <v>0.16</v>
      </c>
      <c r="T13" s="15">
        <v>0.2</v>
      </c>
      <c r="U13" s="15">
        <v>0.24</v>
      </c>
      <c r="V13" s="15">
        <v>0.19</v>
      </c>
      <c r="W13" s="15">
        <v>0.33</v>
      </c>
      <c r="X13" s="15">
        <v>0.46</v>
      </c>
      <c r="Y13" s="15">
        <v>0.28000000000000003</v>
      </c>
      <c r="Z13" s="15">
        <v>0.17</v>
      </c>
      <c r="AA13" s="15">
        <v>0.12</v>
      </c>
      <c r="AB13" s="15">
        <v>0.18</v>
      </c>
      <c r="AC13" s="15">
        <v>0.12</v>
      </c>
      <c r="AD13" s="15">
        <v>0.21</v>
      </c>
      <c r="AE13" s="15">
        <v>0.27</v>
      </c>
      <c r="AF13" s="15">
        <v>0.38</v>
      </c>
      <c r="AG13" s="15">
        <v>0.24</v>
      </c>
      <c r="AH13" s="15">
        <v>0.2</v>
      </c>
      <c r="AI13" s="15">
        <v>0.23</v>
      </c>
      <c r="AJ13" s="15">
        <v>0.33</v>
      </c>
      <c r="AK13" s="15">
        <v>0.19</v>
      </c>
      <c r="AL13" s="15">
        <v>0.12</v>
      </c>
      <c r="AM13" s="15">
        <v>0.27</v>
      </c>
      <c r="AN13" s="15">
        <v>0.23</v>
      </c>
      <c r="AO13" s="15">
        <v>0.33</v>
      </c>
      <c r="AP13" s="15">
        <v>0.23</v>
      </c>
      <c r="AQ13" s="15">
        <v>0.14000000000000001</v>
      </c>
    </row>
    <row r="14" spans="1:43" x14ac:dyDescent="0.35">
      <c r="A14" s="19"/>
      <c r="B14" s="11" t="s">
        <v>498</v>
      </c>
      <c r="C14" s="12">
        <v>15033</v>
      </c>
      <c r="D14" s="12">
        <v>610</v>
      </c>
      <c r="E14" s="12">
        <v>599</v>
      </c>
      <c r="F14" s="12">
        <v>630</v>
      </c>
      <c r="G14" s="12">
        <v>560</v>
      </c>
      <c r="H14" s="12">
        <v>776</v>
      </c>
      <c r="I14" s="12">
        <v>974</v>
      </c>
      <c r="J14" s="12">
        <v>198</v>
      </c>
      <c r="K14" s="12">
        <v>554</v>
      </c>
      <c r="L14" s="12">
        <v>501</v>
      </c>
      <c r="M14" s="12">
        <v>508</v>
      </c>
      <c r="N14" s="12">
        <v>457</v>
      </c>
      <c r="O14" s="12">
        <v>500</v>
      </c>
      <c r="P14" s="12">
        <v>633</v>
      </c>
      <c r="Q14" s="12">
        <v>584</v>
      </c>
      <c r="R14" s="12">
        <v>212</v>
      </c>
      <c r="S14" s="12">
        <v>585</v>
      </c>
      <c r="T14" s="12">
        <v>577</v>
      </c>
      <c r="U14" s="12">
        <v>272</v>
      </c>
      <c r="V14" s="12">
        <v>692</v>
      </c>
      <c r="W14" s="12">
        <v>266</v>
      </c>
      <c r="X14" s="12">
        <v>468</v>
      </c>
      <c r="Y14" s="12">
        <v>567</v>
      </c>
      <c r="Z14" s="12">
        <v>656</v>
      </c>
      <c r="AA14" s="12">
        <v>646</v>
      </c>
      <c r="AB14" s="12">
        <v>694</v>
      </c>
      <c r="AC14" s="12">
        <v>648</v>
      </c>
      <c r="AD14" s="12">
        <v>674</v>
      </c>
      <c r="AE14" s="12">
        <v>590</v>
      </c>
      <c r="AF14" s="12">
        <v>569</v>
      </c>
      <c r="AG14" s="12">
        <v>540</v>
      </c>
      <c r="AH14" s="12">
        <v>590</v>
      </c>
      <c r="AI14" s="12">
        <v>336</v>
      </c>
      <c r="AJ14" s="12">
        <v>503</v>
      </c>
      <c r="AK14" s="12">
        <v>499</v>
      </c>
      <c r="AL14" s="12">
        <v>466</v>
      </c>
      <c r="AM14" s="12">
        <v>483</v>
      </c>
      <c r="AN14" s="12">
        <v>556</v>
      </c>
      <c r="AO14" s="12">
        <v>393</v>
      </c>
      <c r="AP14" s="12">
        <v>207</v>
      </c>
      <c r="AQ14" s="12">
        <v>406</v>
      </c>
    </row>
    <row r="15" spans="1:43" x14ac:dyDescent="0.35">
      <c r="A15" s="19"/>
      <c r="B15" s="13" t="s">
        <v>499</v>
      </c>
      <c r="C15" s="15">
        <v>0.57000000000000006</v>
      </c>
      <c r="D15" s="15">
        <v>0.6</v>
      </c>
      <c r="E15" s="15">
        <v>0.57999999999999996</v>
      </c>
      <c r="F15" s="15">
        <v>0.57000000000000006</v>
      </c>
      <c r="G15" s="15">
        <v>0.56000000000000005</v>
      </c>
      <c r="H15" s="15">
        <v>0.63</v>
      </c>
      <c r="I15" s="15">
        <v>0.64</v>
      </c>
      <c r="J15" s="15">
        <v>0.67</v>
      </c>
      <c r="K15" s="15">
        <v>0.55000000000000004</v>
      </c>
      <c r="L15" s="15">
        <v>0.5</v>
      </c>
      <c r="M15" s="15">
        <v>0.5</v>
      </c>
      <c r="N15" s="15">
        <v>0.46</v>
      </c>
      <c r="O15" s="15">
        <v>0.5</v>
      </c>
      <c r="P15" s="15">
        <v>0.63</v>
      </c>
      <c r="Q15" s="15">
        <v>0.57000000000000006</v>
      </c>
      <c r="R15" s="15">
        <v>0.42</v>
      </c>
      <c r="S15" s="15">
        <v>0.57999999999999996</v>
      </c>
      <c r="T15" s="15">
        <v>0.57000000000000006</v>
      </c>
      <c r="U15" s="15">
        <v>0.54</v>
      </c>
      <c r="V15" s="15">
        <v>0.68</v>
      </c>
      <c r="W15" s="15">
        <v>0.52</v>
      </c>
      <c r="X15" s="15">
        <v>0.46</v>
      </c>
      <c r="Y15" s="15">
        <v>0.57000000000000006</v>
      </c>
      <c r="Z15" s="15">
        <v>0.64</v>
      </c>
      <c r="AA15" s="15">
        <v>0.63</v>
      </c>
      <c r="AB15" s="15">
        <v>0.66</v>
      </c>
      <c r="AC15" s="15">
        <v>0.65</v>
      </c>
      <c r="AD15" s="15">
        <v>0.67</v>
      </c>
      <c r="AE15" s="15">
        <v>0.57999999999999996</v>
      </c>
      <c r="AF15" s="15">
        <v>0.55000000000000004</v>
      </c>
      <c r="AG15" s="15">
        <v>0.52</v>
      </c>
      <c r="AH15" s="15">
        <v>0.57999999999999996</v>
      </c>
      <c r="AI15" s="15">
        <v>0.64</v>
      </c>
      <c r="AJ15" s="15">
        <v>0.48</v>
      </c>
      <c r="AK15" s="15">
        <v>0.49</v>
      </c>
      <c r="AL15" s="15">
        <v>0.46</v>
      </c>
      <c r="AM15" s="15">
        <v>0.46</v>
      </c>
      <c r="AN15" s="15">
        <v>0.55000000000000004</v>
      </c>
      <c r="AO15" s="15">
        <v>0.39</v>
      </c>
      <c r="AP15" s="15">
        <v>0.39</v>
      </c>
      <c r="AQ15" s="15">
        <v>0.4</v>
      </c>
    </row>
    <row r="16" spans="1:43" x14ac:dyDescent="0.35">
      <c r="A16" s="19"/>
      <c r="B16" s="11" t="s">
        <v>500</v>
      </c>
      <c r="C16" s="12">
        <v>4928</v>
      </c>
      <c r="D16" s="12">
        <v>219</v>
      </c>
      <c r="E16" s="12">
        <v>136</v>
      </c>
      <c r="F16" s="12">
        <v>229</v>
      </c>
      <c r="G16" s="12">
        <v>136</v>
      </c>
      <c r="H16" s="12">
        <v>72</v>
      </c>
      <c r="I16" s="12">
        <v>85</v>
      </c>
      <c r="J16" s="12">
        <v>13</v>
      </c>
      <c r="K16" s="12">
        <v>251</v>
      </c>
      <c r="L16" s="12">
        <v>243</v>
      </c>
      <c r="M16" s="12">
        <v>104</v>
      </c>
      <c r="N16" s="12">
        <v>305</v>
      </c>
      <c r="O16" s="12">
        <v>297</v>
      </c>
      <c r="P16" s="12">
        <v>214</v>
      </c>
      <c r="Q16" s="12">
        <v>226</v>
      </c>
      <c r="R16" s="12">
        <v>170</v>
      </c>
      <c r="S16" s="12">
        <v>258</v>
      </c>
      <c r="T16" s="12">
        <v>229</v>
      </c>
      <c r="U16" s="12">
        <v>112</v>
      </c>
      <c r="V16" s="12">
        <v>135</v>
      </c>
      <c r="W16" s="12">
        <v>75</v>
      </c>
      <c r="X16" s="12">
        <v>75</v>
      </c>
      <c r="Y16" s="12">
        <v>149</v>
      </c>
      <c r="Z16" s="12">
        <v>194</v>
      </c>
      <c r="AA16" s="12">
        <v>258</v>
      </c>
      <c r="AB16" s="12">
        <v>168</v>
      </c>
      <c r="AC16" s="12">
        <v>236</v>
      </c>
      <c r="AD16" s="12">
        <v>121</v>
      </c>
      <c r="AE16" s="12">
        <v>153</v>
      </c>
      <c r="AF16" s="12">
        <v>78</v>
      </c>
      <c r="AG16" s="12">
        <v>252</v>
      </c>
      <c r="AH16" s="12">
        <v>218</v>
      </c>
      <c r="AI16" s="12">
        <v>63</v>
      </c>
      <c r="AJ16" s="12">
        <v>194</v>
      </c>
      <c r="AK16" s="12">
        <v>319</v>
      </c>
      <c r="AL16" s="12">
        <v>424</v>
      </c>
      <c r="AM16" s="12">
        <v>277</v>
      </c>
      <c r="AN16" s="12">
        <v>220</v>
      </c>
      <c r="AO16" s="12">
        <v>271</v>
      </c>
      <c r="AP16" s="12">
        <v>199</v>
      </c>
      <c r="AQ16" s="12">
        <v>461</v>
      </c>
    </row>
    <row r="17" spans="1:43" x14ac:dyDescent="0.35">
      <c r="A17" s="19"/>
      <c r="B17" s="13" t="s">
        <v>501</v>
      </c>
      <c r="C17" s="15">
        <v>0.19</v>
      </c>
      <c r="D17" s="15">
        <v>0.22</v>
      </c>
      <c r="E17" s="15">
        <v>0.13</v>
      </c>
      <c r="F17" s="15">
        <v>0.21</v>
      </c>
      <c r="G17" s="15">
        <v>0.14000000000000001</v>
      </c>
      <c r="H17" s="15">
        <v>0.06</v>
      </c>
      <c r="I17" s="15">
        <v>0.06</v>
      </c>
      <c r="J17" s="15">
        <v>0.04</v>
      </c>
      <c r="K17" s="15">
        <v>0.25</v>
      </c>
      <c r="L17" s="15">
        <v>0.24</v>
      </c>
      <c r="M17" s="15">
        <v>0.1</v>
      </c>
      <c r="N17" s="15">
        <v>0.3</v>
      </c>
      <c r="O17" s="15">
        <v>0.3</v>
      </c>
      <c r="P17" s="15">
        <v>0.21</v>
      </c>
      <c r="Q17" s="15">
        <v>0.22</v>
      </c>
      <c r="R17" s="15">
        <v>0.34</v>
      </c>
      <c r="S17" s="15">
        <v>0.26</v>
      </c>
      <c r="T17" s="15">
        <v>0.23</v>
      </c>
      <c r="U17" s="15">
        <v>0.22</v>
      </c>
      <c r="V17" s="15">
        <v>0.13</v>
      </c>
      <c r="W17" s="15">
        <v>0.15</v>
      </c>
      <c r="X17" s="15">
        <v>0.08</v>
      </c>
      <c r="Y17" s="15">
        <v>0.15</v>
      </c>
      <c r="Z17" s="15">
        <v>0.19</v>
      </c>
      <c r="AA17" s="15">
        <v>0.25</v>
      </c>
      <c r="AB17" s="15">
        <v>0.16</v>
      </c>
      <c r="AC17" s="15">
        <v>0.23</v>
      </c>
      <c r="AD17" s="15">
        <v>0.12</v>
      </c>
      <c r="AE17" s="15">
        <v>0.15</v>
      </c>
      <c r="AF17" s="15">
        <v>7.0000000000000007E-2</v>
      </c>
      <c r="AG17" s="15">
        <v>0.24</v>
      </c>
      <c r="AH17" s="15">
        <v>0.22</v>
      </c>
      <c r="AI17" s="15">
        <v>0.12</v>
      </c>
      <c r="AJ17" s="15">
        <v>0.19</v>
      </c>
      <c r="AK17" s="15">
        <v>0.32</v>
      </c>
      <c r="AL17" s="15">
        <v>0.42</v>
      </c>
      <c r="AM17" s="15">
        <v>0.27</v>
      </c>
      <c r="AN17" s="15">
        <v>0.22</v>
      </c>
      <c r="AO17" s="15">
        <v>0.27</v>
      </c>
      <c r="AP17" s="15">
        <v>0.38</v>
      </c>
      <c r="AQ17" s="15">
        <v>0.46</v>
      </c>
    </row>
    <row r="18" spans="1:43" x14ac:dyDescent="0.35">
      <c r="A18" s="19"/>
      <c r="B18" s="11" t="s">
        <v>485</v>
      </c>
      <c r="C18" s="12">
        <v>6</v>
      </c>
      <c r="D18" s="12">
        <v>2</v>
      </c>
      <c r="E18" s="12">
        <v>1</v>
      </c>
      <c r="F18" s="12">
        <v>1</v>
      </c>
      <c r="G18" s="12">
        <v>3</v>
      </c>
      <c r="H18" s="12">
        <v>0</v>
      </c>
      <c r="I18" s="12">
        <v>0</v>
      </c>
      <c r="J18" s="12">
        <v>0</v>
      </c>
      <c r="K18" s="12">
        <v>2</v>
      </c>
      <c r="L18" s="12">
        <v>0</v>
      </c>
      <c r="M18" s="12">
        <v>0</v>
      </c>
      <c r="N18" s="12">
        <v>0</v>
      </c>
      <c r="O18" s="12">
        <v>0</v>
      </c>
      <c r="P18" s="12">
        <v>0</v>
      </c>
      <c r="Q18" s="12">
        <v>0</v>
      </c>
      <c r="R18" s="12">
        <v>0</v>
      </c>
      <c r="S18" s="12">
        <v>2</v>
      </c>
      <c r="T18" s="12">
        <v>3</v>
      </c>
      <c r="U18" s="12">
        <v>0</v>
      </c>
      <c r="V18" s="12">
        <v>0</v>
      </c>
      <c r="W18" s="12">
        <v>1</v>
      </c>
      <c r="X18" s="12">
        <v>0</v>
      </c>
      <c r="Y18" s="12">
        <v>2</v>
      </c>
      <c r="Z18" s="12">
        <v>0</v>
      </c>
      <c r="AA18" s="12">
        <v>0</v>
      </c>
      <c r="AB18" s="12">
        <v>0</v>
      </c>
      <c r="AC18" s="12">
        <v>0</v>
      </c>
      <c r="AD18" s="12">
        <v>0</v>
      </c>
      <c r="AE18" s="12">
        <v>1</v>
      </c>
      <c r="AF18" s="12">
        <v>0</v>
      </c>
      <c r="AG18" s="12">
        <v>0</v>
      </c>
      <c r="AH18" s="12">
        <v>1</v>
      </c>
      <c r="AI18" s="12">
        <v>4</v>
      </c>
      <c r="AJ18" s="12">
        <v>0</v>
      </c>
      <c r="AK18" s="12">
        <v>0</v>
      </c>
      <c r="AL18" s="12">
        <v>5</v>
      </c>
      <c r="AM18" s="12">
        <v>1</v>
      </c>
      <c r="AN18" s="12">
        <v>0</v>
      </c>
      <c r="AO18" s="12">
        <v>5</v>
      </c>
      <c r="AP18" s="12">
        <v>0</v>
      </c>
      <c r="AQ18" s="12">
        <v>0</v>
      </c>
    </row>
    <row r="19" spans="1:43" x14ac:dyDescent="0.35">
      <c r="A19" s="19"/>
      <c r="B19" s="13" t="s">
        <v>486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5">
        <v>0.01</v>
      </c>
      <c r="AJ19" s="14" t="s">
        <v>475</v>
      </c>
      <c r="AK19" s="14" t="s">
        <v>475</v>
      </c>
      <c r="AL19" s="14" t="s">
        <v>475</v>
      </c>
      <c r="AM19" s="14" t="s">
        <v>475</v>
      </c>
      <c r="AN19" s="14" t="s">
        <v>475</v>
      </c>
      <c r="AO19" s="15">
        <v>0.01</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502</v>
      </c>
      <c r="C3" s="18"/>
      <c r="D3" s="18"/>
      <c r="E3" s="18"/>
      <c r="F3" s="18"/>
      <c r="H3" s="18" t="s">
        <v>503</v>
      </c>
      <c r="I3" s="18"/>
      <c r="J3" s="18"/>
      <c r="K3" s="18"/>
      <c r="L3" s="18"/>
    </row>
    <row r="4" spans="1:43" ht="27" customHeight="1" x14ac:dyDescent="0.35">
      <c r="B4" s="18" t="s">
        <v>504</v>
      </c>
      <c r="C4" s="18"/>
      <c r="D4" s="18"/>
      <c r="E4" s="18"/>
      <c r="F4" s="18"/>
      <c r="H4" s="18" t="s">
        <v>505</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496</v>
      </c>
      <c r="C12" s="12">
        <v>3942</v>
      </c>
      <c r="D12" s="12">
        <v>121</v>
      </c>
      <c r="E12" s="12">
        <v>169</v>
      </c>
      <c r="F12" s="12">
        <v>111</v>
      </c>
      <c r="G12" s="12">
        <v>239</v>
      </c>
      <c r="H12" s="12">
        <v>244</v>
      </c>
      <c r="I12" s="12">
        <v>293</v>
      </c>
      <c r="J12" s="12">
        <v>49</v>
      </c>
      <c r="K12" s="12">
        <v>112</v>
      </c>
      <c r="L12" s="12">
        <v>165</v>
      </c>
      <c r="M12" s="12">
        <v>223</v>
      </c>
      <c r="N12" s="12">
        <v>142</v>
      </c>
      <c r="O12" s="12">
        <v>104</v>
      </c>
      <c r="P12" s="12">
        <v>104</v>
      </c>
      <c r="Q12" s="12">
        <v>125</v>
      </c>
      <c r="R12" s="12">
        <v>68</v>
      </c>
      <c r="S12" s="12">
        <v>127</v>
      </c>
      <c r="T12" s="12">
        <v>175</v>
      </c>
      <c r="U12" s="12">
        <v>136</v>
      </c>
      <c r="V12" s="12">
        <v>139</v>
      </c>
      <c r="W12" s="12">
        <v>60</v>
      </c>
      <c r="X12" s="12">
        <v>213</v>
      </c>
      <c r="Y12" s="12">
        <v>210</v>
      </c>
      <c r="Z12" s="12">
        <v>113</v>
      </c>
      <c r="AA12" s="12">
        <v>96</v>
      </c>
      <c r="AB12" s="12">
        <v>145</v>
      </c>
      <c r="AC12" s="12">
        <v>79</v>
      </c>
      <c r="AD12" s="12">
        <v>170</v>
      </c>
      <c r="AE12" s="12">
        <v>195</v>
      </c>
      <c r="AF12" s="12">
        <v>297</v>
      </c>
      <c r="AG12" s="12">
        <v>146</v>
      </c>
      <c r="AH12" s="12">
        <v>156</v>
      </c>
      <c r="AI12" s="12">
        <v>127</v>
      </c>
      <c r="AJ12" s="12">
        <v>159</v>
      </c>
      <c r="AK12" s="12">
        <v>129</v>
      </c>
      <c r="AL12" s="12">
        <v>96</v>
      </c>
      <c r="AM12" s="12">
        <v>169</v>
      </c>
      <c r="AN12" s="12">
        <v>188</v>
      </c>
      <c r="AO12" s="12">
        <v>250</v>
      </c>
      <c r="AP12" s="12">
        <v>119</v>
      </c>
      <c r="AQ12" s="12">
        <v>120</v>
      </c>
    </row>
    <row r="13" spans="1:43" x14ac:dyDescent="0.35">
      <c r="A13" s="19"/>
      <c r="B13" s="13" t="s">
        <v>497</v>
      </c>
      <c r="C13" s="15">
        <v>0.15</v>
      </c>
      <c r="D13" s="15">
        <v>0.12</v>
      </c>
      <c r="E13" s="15">
        <v>0.16</v>
      </c>
      <c r="F13" s="15">
        <v>0.1</v>
      </c>
      <c r="G13" s="15">
        <v>0.24</v>
      </c>
      <c r="H13" s="15">
        <v>0.2</v>
      </c>
      <c r="I13" s="15">
        <v>0.19</v>
      </c>
      <c r="J13" s="15">
        <v>0.17</v>
      </c>
      <c r="K13" s="15">
        <v>0.11</v>
      </c>
      <c r="L13" s="15">
        <v>0.16</v>
      </c>
      <c r="M13" s="15">
        <v>0.22</v>
      </c>
      <c r="N13" s="15">
        <v>0.14000000000000001</v>
      </c>
      <c r="O13" s="15">
        <v>0.1</v>
      </c>
      <c r="P13" s="15">
        <v>0.1</v>
      </c>
      <c r="Q13" s="15">
        <v>0.12</v>
      </c>
      <c r="R13" s="15">
        <v>0.14000000000000001</v>
      </c>
      <c r="S13" s="15">
        <v>0.13</v>
      </c>
      <c r="T13" s="15">
        <v>0.17</v>
      </c>
      <c r="U13" s="15">
        <v>0.27</v>
      </c>
      <c r="V13" s="15">
        <v>0.14000000000000001</v>
      </c>
      <c r="W13" s="15">
        <v>0.12</v>
      </c>
      <c r="X13" s="15">
        <v>0.21</v>
      </c>
      <c r="Y13" s="15">
        <v>0.21</v>
      </c>
      <c r="Z13" s="15">
        <v>0.11</v>
      </c>
      <c r="AA13" s="15">
        <v>0.09</v>
      </c>
      <c r="AB13" s="15">
        <v>0.14000000000000001</v>
      </c>
      <c r="AC13" s="15">
        <v>0.08</v>
      </c>
      <c r="AD13" s="15">
        <v>0.17</v>
      </c>
      <c r="AE13" s="15">
        <v>0.19</v>
      </c>
      <c r="AF13" s="15">
        <v>0.28999999999999998</v>
      </c>
      <c r="AG13" s="15">
        <v>0.14000000000000001</v>
      </c>
      <c r="AH13" s="15">
        <v>0.15</v>
      </c>
      <c r="AI13" s="15">
        <v>0.24</v>
      </c>
      <c r="AJ13" s="15">
        <v>0.15</v>
      </c>
      <c r="AK13" s="15">
        <v>0.13</v>
      </c>
      <c r="AL13" s="15">
        <v>0.09</v>
      </c>
      <c r="AM13" s="15">
        <v>0.16</v>
      </c>
      <c r="AN13" s="15">
        <v>0.19</v>
      </c>
      <c r="AO13" s="15">
        <v>0.25</v>
      </c>
      <c r="AP13" s="15">
        <v>0.23</v>
      </c>
      <c r="AQ13" s="15">
        <v>0.12</v>
      </c>
    </row>
    <row r="14" spans="1:43" x14ac:dyDescent="0.35">
      <c r="A14" s="19"/>
      <c r="B14" s="11" t="s">
        <v>498</v>
      </c>
      <c r="C14" s="12">
        <v>14665</v>
      </c>
      <c r="D14" s="12">
        <v>589</v>
      </c>
      <c r="E14" s="12">
        <v>605</v>
      </c>
      <c r="F14" s="12">
        <v>628</v>
      </c>
      <c r="G14" s="12">
        <v>565</v>
      </c>
      <c r="H14" s="12">
        <v>798</v>
      </c>
      <c r="I14" s="12">
        <v>998</v>
      </c>
      <c r="J14" s="12">
        <v>200</v>
      </c>
      <c r="K14" s="12">
        <v>517</v>
      </c>
      <c r="L14" s="12">
        <v>477</v>
      </c>
      <c r="M14" s="12">
        <v>539</v>
      </c>
      <c r="N14" s="12">
        <v>413</v>
      </c>
      <c r="O14" s="12">
        <v>429</v>
      </c>
      <c r="P14" s="12">
        <v>588</v>
      </c>
      <c r="Q14" s="12">
        <v>603</v>
      </c>
      <c r="R14" s="12">
        <v>231</v>
      </c>
      <c r="S14" s="12">
        <v>547</v>
      </c>
      <c r="T14" s="12">
        <v>562</v>
      </c>
      <c r="U14" s="12">
        <v>274</v>
      </c>
      <c r="V14" s="12">
        <v>668</v>
      </c>
      <c r="W14" s="12">
        <v>324</v>
      </c>
      <c r="X14" s="12">
        <v>589</v>
      </c>
      <c r="Y14" s="12">
        <v>582</v>
      </c>
      <c r="Z14" s="12">
        <v>628</v>
      </c>
      <c r="AA14" s="12">
        <v>479</v>
      </c>
      <c r="AB14" s="12">
        <v>614</v>
      </c>
      <c r="AC14" s="12">
        <v>619</v>
      </c>
      <c r="AD14" s="12">
        <v>655</v>
      </c>
      <c r="AE14" s="12">
        <v>610</v>
      </c>
      <c r="AF14" s="12">
        <v>617</v>
      </c>
      <c r="AG14" s="12">
        <v>603</v>
      </c>
      <c r="AH14" s="12">
        <v>554</v>
      </c>
      <c r="AI14" s="12">
        <v>290</v>
      </c>
      <c r="AJ14" s="12">
        <v>524</v>
      </c>
      <c r="AK14" s="12">
        <v>455</v>
      </c>
      <c r="AL14" s="12">
        <v>382</v>
      </c>
      <c r="AM14" s="12">
        <v>463</v>
      </c>
      <c r="AN14" s="12">
        <v>530</v>
      </c>
      <c r="AO14" s="12">
        <v>395</v>
      </c>
      <c r="AP14" s="12">
        <v>165</v>
      </c>
      <c r="AQ14" s="12">
        <v>346</v>
      </c>
    </row>
    <row r="15" spans="1:43" x14ac:dyDescent="0.35">
      <c r="A15" s="19"/>
      <c r="B15" s="13" t="s">
        <v>499</v>
      </c>
      <c r="C15" s="15">
        <v>0.56000000000000005</v>
      </c>
      <c r="D15" s="15">
        <v>0.57999999999999996</v>
      </c>
      <c r="E15" s="15">
        <v>0.59</v>
      </c>
      <c r="F15" s="15">
        <v>0.57000000000000006</v>
      </c>
      <c r="G15" s="15">
        <v>0.56000000000000005</v>
      </c>
      <c r="H15" s="15">
        <v>0.65</v>
      </c>
      <c r="I15" s="15">
        <v>0.66</v>
      </c>
      <c r="J15" s="15">
        <v>0.68</v>
      </c>
      <c r="K15" s="15">
        <v>0.52</v>
      </c>
      <c r="L15" s="15">
        <v>0.48</v>
      </c>
      <c r="M15" s="15">
        <v>0.53</v>
      </c>
      <c r="N15" s="15">
        <v>0.41</v>
      </c>
      <c r="O15" s="15">
        <v>0.43</v>
      </c>
      <c r="P15" s="15">
        <v>0.59</v>
      </c>
      <c r="Q15" s="15">
        <v>0.59</v>
      </c>
      <c r="R15" s="15">
        <v>0.46</v>
      </c>
      <c r="S15" s="15">
        <v>0.55000000000000004</v>
      </c>
      <c r="T15" s="15">
        <v>0.56000000000000005</v>
      </c>
      <c r="U15" s="15">
        <v>0.54</v>
      </c>
      <c r="V15" s="15">
        <v>0.66</v>
      </c>
      <c r="W15" s="15">
        <v>0.64</v>
      </c>
      <c r="X15" s="15">
        <v>0.57999999999999996</v>
      </c>
      <c r="Y15" s="15">
        <v>0.57999999999999996</v>
      </c>
      <c r="Z15" s="15">
        <v>0.61</v>
      </c>
      <c r="AA15" s="15">
        <v>0.47</v>
      </c>
      <c r="AB15" s="15">
        <v>0.57999999999999996</v>
      </c>
      <c r="AC15" s="15">
        <v>0.62</v>
      </c>
      <c r="AD15" s="15">
        <v>0.65</v>
      </c>
      <c r="AE15" s="15">
        <v>0.61</v>
      </c>
      <c r="AF15" s="15">
        <v>0.59</v>
      </c>
      <c r="AG15" s="15">
        <v>0.57999999999999996</v>
      </c>
      <c r="AH15" s="15">
        <v>0.55000000000000004</v>
      </c>
      <c r="AI15" s="15">
        <v>0.56000000000000005</v>
      </c>
      <c r="AJ15" s="15">
        <v>0.51</v>
      </c>
      <c r="AK15" s="15">
        <v>0.45</v>
      </c>
      <c r="AL15" s="15">
        <v>0.38</v>
      </c>
      <c r="AM15" s="15">
        <v>0.45</v>
      </c>
      <c r="AN15" s="15">
        <v>0.53</v>
      </c>
      <c r="AO15" s="15">
        <v>0.39</v>
      </c>
      <c r="AP15" s="15">
        <v>0.31</v>
      </c>
      <c r="AQ15" s="15">
        <v>0.35</v>
      </c>
    </row>
    <row r="16" spans="1:43" x14ac:dyDescent="0.35">
      <c r="A16" s="19"/>
      <c r="B16" s="11" t="s">
        <v>500</v>
      </c>
      <c r="C16" s="12">
        <v>7786</v>
      </c>
      <c r="D16" s="12">
        <v>298</v>
      </c>
      <c r="E16" s="12">
        <v>250</v>
      </c>
      <c r="F16" s="12">
        <v>357</v>
      </c>
      <c r="G16" s="12">
        <v>198</v>
      </c>
      <c r="H16" s="12">
        <v>177</v>
      </c>
      <c r="I16" s="12">
        <v>221</v>
      </c>
      <c r="J16" s="12">
        <v>44</v>
      </c>
      <c r="K16" s="12">
        <v>367</v>
      </c>
      <c r="L16" s="12">
        <v>358</v>
      </c>
      <c r="M16" s="12">
        <v>248</v>
      </c>
      <c r="N16" s="12">
        <v>447</v>
      </c>
      <c r="O16" s="12">
        <v>466</v>
      </c>
      <c r="P16" s="12">
        <v>312</v>
      </c>
      <c r="Q16" s="12">
        <v>298</v>
      </c>
      <c r="R16" s="12">
        <v>204</v>
      </c>
      <c r="S16" s="12">
        <v>324</v>
      </c>
      <c r="T16" s="12">
        <v>261</v>
      </c>
      <c r="U16" s="12">
        <v>94</v>
      </c>
      <c r="V16" s="12">
        <v>207</v>
      </c>
      <c r="W16" s="12">
        <v>123</v>
      </c>
      <c r="X16" s="12">
        <v>206</v>
      </c>
      <c r="Y16" s="12">
        <v>208</v>
      </c>
      <c r="Z16" s="12">
        <v>286</v>
      </c>
      <c r="AA16" s="12">
        <v>457</v>
      </c>
      <c r="AB16" s="12">
        <v>291</v>
      </c>
      <c r="AC16" s="12">
        <v>303</v>
      </c>
      <c r="AD16" s="12">
        <v>177</v>
      </c>
      <c r="AE16" s="12">
        <v>206</v>
      </c>
      <c r="AF16" s="12">
        <v>129</v>
      </c>
      <c r="AG16" s="12">
        <v>280</v>
      </c>
      <c r="AH16" s="12">
        <v>301</v>
      </c>
      <c r="AI16" s="12">
        <v>97</v>
      </c>
      <c r="AJ16" s="12">
        <v>353</v>
      </c>
      <c r="AK16" s="12">
        <v>421</v>
      </c>
      <c r="AL16" s="12">
        <v>526</v>
      </c>
      <c r="AM16" s="12">
        <v>407</v>
      </c>
      <c r="AN16" s="12">
        <v>279</v>
      </c>
      <c r="AO16" s="12">
        <v>354</v>
      </c>
      <c r="AP16" s="12">
        <v>240</v>
      </c>
      <c r="AQ16" s="12">
        <v>534</v>
      </c>
    </row>
    <row r="17" spans="1:43" x14ac:dyDescent="0.35">
      <c r="A17" s="19"/>
      <c r="B17" s="13" t="s">
        <v>501</v>
      </c>
      <c r="C17" s="15">
        <v>0.28999999999999998</v>
      </c>
      <c r="D17" s="15">
        <v>0.28999999999999998</v>
      </c>
      <c r="E17" s="15">
        <v>0.24</v>
      </c>
      <c r="F17" s="15">
        <v>0.32</v>
      </c>
      <c r="G17" s="15">
        <v>0.2</v>
      </c>
      <c r="H17" s="15">
        <v>0.15</v>
      </c>
      <c r="I17" s="15">
        <v>0.15</v>
      </c>
      <c r="J17" s="15">
        <v>0.15</v>
      </c>
      <c r="K17" s="15">
        <v>0.37</v>
      </c>
      <c r="L17" s="15">
        <v>0.36</v>
      </c>
      <c r="M17" s="15">
        <v>0.25</v>
      </c>
      <c r="N17" s="15">
        <v>0.45</v>
      </c>
      <c r="O17" s="15">
        <v>0.47</v>
      </c>
      <c r="P17" s="15">
        <v>0.31</v>
      </c>
      <c r="Q17" s="15">
        <v>0.28999999999999998</v>
      </c>
      <c r="R17" s="15">
        <v>0.4</v>
      </c>
      <c r="S17" s="15">
        <v>0.32</v>
      </c>
      <c r="T17" s="15">
        <v>0.26</v>
      </c>
      <c r="U17" s="15">
        <v>0.19</v>
      </c>
      <c r="V17" s="15">
        <v>0.2</v>
      </c>
      <c r="W17" s="15">
        <v>0.24</v>
      </c>
      <c r="X17" s="15">
        <v>0.21</v>
      </c>
      <c r="Y17" s="15">
        <v>0.21</v>
      </c>
      <c r="Z17" s="15">
        <v>0.28000000000000003</v>
      </c>
      <c r="AA17" s="15">
        <v>0.44</v>
      </c>
      <c r="AB17" s="15">
        <v>0.28000000000000003</v>
      </c>
      <c r="AC17" s="15">
        <v>0.3</v>
      </c>
      <c r="AD17" s="15">
        <v>0.18</v>
      </c>
      <c r="AE17" s="15">
        <v>0.2</v>
      </c>
      <c r="AF17" s="15">
        <v>0.12</v>
      </c>
      <c r="AG17" s="15">
        <v>0.27</v>
      </c>
      <c r="AH17" s="15">
        <v>0.3</v>
      </c>
      <c r="AI17" s="15">
        <v>0.18</v>
      </c>
      <c r="AJ17" s="15">
        <v>0.34</v>
      </c>
      <c r="AK17" s="15">
        <v>0.42</v>
      </c>
      <c r="AL17" s="15">
        <v>0.52</v>
      </c>
      <c r="AM17" s="15">
        <v>0.39</v>
      </c>
      <c r="AN17" s="15">
        <v>0.28000000000000003</v>
      </c>
      <c r="AO17" s="15">
        <v>0.35</v>
      </c>
      <c r="AP17" s="15">
        <v>0.46</v>
      </c>
      <c r="AQ17" s="15">
        <v>0.53</v>
      </c>
    </row>
    <row r="18" spans="1:43" x14ac:dyDescent="0.35">
      <c r="A18" s="19"/>
      <c r="B18" s="11" t="s">
        <v>485</v>
      </c>
      <c r="C18" s="12">
        <v>53</v>
      </c>
      <c r="D18" s="12">
        <v>5</v>
      </c>
      <c r="E18" s="12">
        <v>6</v>
      </c>
      <c r="F18" s="12">
        <v>6</v>
      </c>
      <c r="G18" s="12">
        <v>4</v>
      </c>
      <c r="H18" s="12">
        <v>2</v>
      </c>
      <c r="I18" s="12">
        <v>3</v>
      </c>
      <c r="J18" s="12">
        <v>1</v>
      </c>
      <c r="K18" s="12">
        <v>6</v>
      </c>
      <c r="L18" s="12">
        <v>2</v>
      </c>
      <c r="M18" s="12">
        <v>0</v>
      </c>
      <c r="N18" s="12">
        <v>0</v>
      </c>
      <c r="O18" s="12">
        <v>2</v>
      </c>
      <c r="P18" s="12">
        <v>1</v>
      </c>
      <c r="Q18" s="12">
        <v>2</v>
      </c>
      <c r="R18" s="12">
        <v>0</v>
      </c>
      <c r="S18" s="12">
        <v>4</v>
      </c>
      <c r="T18" s="12">
        <v>8</v>
      </c>
      <c r="U18" s="12">
        <v>0</v>
      </c>
      <c r="V18" s="12">
        <v>1</v>
      </c>
      <c r="W18" s="12">
        <v>1</v>
      </c>
      <c r="X18" s="12">
        <v>1</v>
      </c>
      <c r="Y18" s="12">
        <v>3</v>
      </c>
      <c r="Z18" s="12">
        <v>4</v>
      </c>
      <c r="AA18" s="12">
        <v>2</v>
      </c>
      <c r="AB18" s="12">
        <v>2</v>
      </c>
      <c r="AC18" s="12">
        <v>1</v>
      </c>
      <c r="AD18" s="12">
        <v>2</v>
      </c>
      <c r="AE18" s="12">
        <v>1</v>
      </c>
      <c r="AF18" s="12">
        <v>0</v>
      </c>
      <c r="AG18" s="12">
        <v>5</v>
      </c>
      <c r="AH18" s="12">
        <v>3</v>
      </c>
      <c r="AI18" s="12">
        <v>9</v>
      </c>
      <c r="AJ18" s="12">
        <v>1</v>
      </c>
      <c r="AK18" s="12">
        <v>2</v>
      </c>
      <c r="AL18" s="12">
        <v>8</v>
      </c>
      <c r="AM18" s="12">
        <v>1</v>
      </c>
      <c r="AN18" s="12">
        <v>6</v>
      </c>
      <c r="AO18" s="12">
        <v>6</v>
      </c>
      <c r="AP18" s="12">
        <v>0</v>
      </c>
      <c r="AQ18" s="12">
        <v>2</v>
      </c>
    </row>
    <row r="19" spans="1:43" x14ac:dyDescent="0.35">
      <c r="A19" s="19"/>
      <c r="B19" s="13" t="s">
        <v>486</v>
      </c>
      <c r="C19" s="14" t="s">
        <v>475</v>
      </c>
      <c r="D19" s="15">
        <v>0.01</v>
      </c>
      <c r="E19" s="15">
        <v>0.01</v>
      </c>
      <c r="F19" s="15">
        <v>0.01</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5">
        <v>0.01</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5">
        <v>0.01</v>
      </c>
      <c r="AH19" s="14" t="s">
        <v>475</v>
      </c>
      <c r="AI19" s="15">
        <v>0.02</v>
      </c>
      <c r="AJ19" s="14" t="s">
        <v>475</v>
      </c>
      <c r="AK19" s="14" t="s">
        <v>475</v>
      </c>
      <c r="AL19" s="15">
        <v>0.01</v>
      </c>
      <c r="AM19" s="14" t="s">
        <v>475</v>
      </c>
      <c r="AN19" s="14" t="s">
        <v>475</v>
      </c>
      <c r="AO19" s="15">
        <v>0.01</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506</v>
      </c>
      <c r="C3" s="18"/>
      <c r="D3" s="18"/>
      <c r="E3" s="18"/>
      <c r="F3" s="18"/>
      <c r="H3" s="18" t="s">
        <v>507</v>
      </c>
      <c r="I3" s="18"/>
      <c r="J3" s="18"/>
      <c r="K3" s="18"/>
      <c r="L3" s="18"/>
    </row>
    <row r="4" spans="1:43" ht="27" customHeight="1" x14ac:dyDescent="0.35">
      <c r="B4" s="18" t="s">
        <v>508</v>
      </c>
      <c r="C4" s="18"/>
      <c r="D4" s="18"/>
      <c r="E4" s="18"/>
      <c r="F4" s="18"/>
      <c r="H4" s="18" t="s">
        <v>509</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496</v>
      </c>
      <c r="C12" s="12">
        <v>5839</v>
      </c>
      <c r="D12" s="12">
        <v>182</v>
      </c>
      <c r="E12" s="12">
        <v>338</v>
      </c>
      <c r="F12" s="12">
        <v>240</v>
      </c>
      <c r="G12" s="12">
        <v>220</v>
      </c>
      <c r="H12" s="12">
        <v>382</v>
      </c>
      <c r="I12" s="12">
        <v>490</v>
      </c>
      <c r="J12" s="12">
        <v>108</v>
      </c>
      <c r="K12" s="12">
        <v>194</v>
      </c>
      <c r="L12" s="12">
        <v>274</v>
      </c>
      <c r="M12" s="12">
        <v>406</v>
      </c>
      <c r="N12" s="12">
        <v>226</v>
      </c>
      <c r="O12" s="12">
        <v>150</v>
      </c>
      <c r="P12" s="12">
        <v>248</v>
      </c>
      <c r="Q12" s="12">
        <v>194</v>
      </c>
      <c r="R12" s="12">
        <v>148</v>
      </c>
      <c r="S12" s="12">
        <v>182</v>
      </c>
      <c r="T12" s="12">
        <v>222</v>
      </c>
      <c r="U12" s="12">
        <v>108</v>
      </c>
      <c r="V12" s="12">
        <v>178</v>
      </c>
      <c r="W12" s="12">
        <v>144</v>
      </c>
      <c r="X12" s="12">
        <v>226</v>
      </c>
      <c r="Y12" s="12">
        <v>229</v>
      </c>
      <c r="Z12" s="12">
        <v>157</v>
      </c>
      <c r="AA12" s="12">
        <v>116</v>
      </c>
      <c r="AB12" s="12">
        <v>216</v>
      </c>
      <c r="AC12" s="12">
        <v>131</v>
      </c>
      <c r="AD12" s="12">
        <v>166</v>
      </c>
      <c r="AE12" s="12">
        <v>219</v>
      </c>
      <c r="AF12" s="12">
        <v>241</v>
      </c>
      <c r="AG12" s="12">
        <v>262</v>
      </c>
      <c r="AH12" s="12">
        <v>298</v>
      </c>
      <c r="AI12" s="12">
        <v>143</v>
      </c>
      <c r="AJ12" s="12">
        <v>356</v>
      </c>
      <c r="AK12" s="12">
        <v>215</v>
      </c>
      <c r="AL12" s="12">
        <v>190</v>
      </c>
      <c r="AM12" s="12">
        <v>214</v>
      </c>
      <c r="AN12" s="12">
        <v>285</v>
      </c>
      <c r="AO12" s="12">
        <v>348</v>
      </c>
      <c r="AP12" s="12">
        <v>189</v>
      </c>
      <c r="AQ12" s="12">
        <v>192</v>
      </c>
    </row>
    <row r="13" spans="1:43" x14ac:dyDescent="0.35">
      <c r="A13" s="19"/>
      <c r="B13" s="13" t="s">
        <v>497</v>
      </c>
      <c r="C13" s="15">
        <v>0.22</v>
      </c>
      <c r="D13" s="15">
        <v>0.18</v>
      </c>
      <c r="E13" s="15">
        <v>0.33</v>
      </c>
      <c r="F13" s="15">
        <v>0.22</v>
      </c>
      <c r="G13" s="15">
        <v>0.22</v>
      </c>
      <c r="H13" s="15">
        <v>0.31</v>
      </c>
      <c r="I13" s="15">
        <v>0.32</v>
      </c>
      <c r="J13" s="15">
        <v>0.37</v>
      </c>
      <c r="K13" s="15">
        <v>0.19</v>
      </c>
      <c r="L13" s="15">
        <v>0.27</v>
      </c>
      <c r="M13" s="15">
        <v>0.4</v>
      </c>
      <c r="N13" s="15">
        <v>0.23</v>
      </c>
      <c r="O13" s="15">
        <v>0.15</v>
      </c>
      <c r="P13" s="15">
        <v>0.25</v>
      </c>
      <c r="Q13" s="15">
        <v>0.19</v>
      </c>
      <c r="R13" s="15">
        <v>0.28999999999999998</v>
      </c>
      <c r="S13" s="15">
        <v>0.18</v>
      </c>
      <c r="T13" s="15">
        <v>0.22</v>
      </c>
      <c r="U13" s="15">
        <v>0.21</v>
      </c>
      <c r="V13" s="15">
        <v>0.17</v>
      </c>
      <c r="W13" s="15">
        <v>0.28999999999999998</v>
      </c>
      <c r="X13" s="15">
        <v>0.22</v>
      </c>
      <c r="Y13" s="15">
        <v>0.23</v>
      </c>
      <c r="Z13" s="15">
        <v>0.15</v>
      </c>
      <c r="AA13" s="15">
        <v>0.11</v>
      </c>
      <c r="AB13" s="15">
        <v>0.21</v>
      </c>
      <c r="AC13" s="15">
        <v>0.13</v>
      </c>
      <c r="AD13" s="15">
        <v>0.17</v>
      </c>
      <c r="AE13" s="15">
        <v>0.22</v>
      </c>
      <c r="AF13" s="15">
        <v>0.23</v>
      </c>
      <c r="AG13" s="15">
        <v>0.25</v>
      </c>
      <c r="AH13" s="15">
        <v>0.28999999999999998</v>
      </c>
      <c r="AI13" s="15">
        <v>0.27</v>
      </c>
      <c r="AJ13" s="15">
        <v>0.34</v>
      </c>
      <c r="AK13" s="15">
        <v>0.21</v>
      </c>
      <c r="AL13" s="15">
        <v>0.19</v>
      </c>
      <c r="AM13" s="15">
        <v>0.21</v>
      </c>
      <c r="AN13" s="15">
        <v>0.28000000000000003</v>
      </c>
      <c r="AO13" s="15">
        <v>0.35</v>
      </c>
      <c r="AP13" s="15">
        <v>0.36</v>
      </c>
      <c r="AQ13" s="15">
        <v>0.19</v>
      </c>
    </row>
    <row r="14" spans="1:43" x14ac:dyDescent="0.35">
      <c r="A14" s="19"/>
      <c r="B14" s="11" t="s">
        <v>498</v>
      </c>
      <c r="C14" s="12">
        <v>14348</v>
      </c>
      <c r="D14" s="12">
        <v>590</v>
      </c>
      <c r="E14" s="12">
        <v>577</v>
      </c>
      <c r="F14" s="12">
        <v>596</v>
      </c>
      <c r="G14" s="12">
        <v>552</v>
      </c>
      <c r="H14" s="12">
        <v>693</v>
      </c>
      <c r="I14" s="12">
        <v>864</v>
      </c>
      <c r="J14" s="12">
        <v>171</v>
      </c>
      <c r="K14" s="12">
        <v>567</v>
      </c>
      <c r="L14" s="12">
        <v>480</v>
      </c>
      <c r="M14" s="12">
        <v>471</v>
      </c>
      <c r="N14" s="12">
        <v>455</v>
      </c>
      <c r="O14" s="12">
        <v>456</v>
      </c>
      <c r="P14" s="12">
        <v>594</v>
      </c>
      <c r="Q14" s="12">
        <v>571</v>
      </c>
      <c r="R14" s="12">
        <v>221</v>
      </c>
      <c r="S14" s="12">
        <v>606</v>
      </c>
      <c r="T14" s="12">
        <v>554</v>
      </c>
      <c r="U14" s="12">
        <v>250</v>
      </c>
      <c r="V14" s="12">
        <v>700</v>
      </c>
      <c r="W14" s="12">
        <v>301</v>
      </c>
      <c r="X14" s="12">
        <v>540</v>
      </c>
      <c r="Y14" s="12">
        <v>527</v>
      </c>
      <c r="Z14" s="12">
        <v>624</v>
      </c>
      <c r="AA14" s="12">
        <v>646</v>
      </c>
      <c r="AB14" s="12">
        <v>653</v>
      </c>
      <c r="AC14" s="12">
        <v>669</v>
      </c>
      <c r="AD14" s="12">
        <v>658</v>
      </c>
      <c r="AE14" s="12">
        <v>615</v>
      </c>
      <c r="AF14" s="12">
        <v>597</v>
      </c>
      <c r="AG14" s="12">
        <v>662</v>
      </c>
      <c r="AH14" s="12">
        <v>565</v>
      </c>
      <c r="AI14" s="12">
        <v>339</v>
      </c>
      <c r="AJ14" s="12">
        <v>503</v>
      </c>
      <c r="AK14" s="12">
        <v>538</v>
      </c>
      <c r="AL14" s="12">
        <v>482</v>
      </c>
      <c r="AM14" s="12">
        <v>523</v>
      </c>
      <c r="AN14" s="12">
        <v>561</v>
      </c>
      <c r="AO14" s="12">
        <v>407</v>
      </c>
      <c r="AP14" s="12">
        <v>215</v>
      </c>
      <c r="AQ14" s="12">
        <v>447</v>
      </c>
    </row>
    <row r="15" spans="1:43" x14ac:dyDescent="0.35">
      <c r="A15" s="19"/>
      <c r="B15" s="13" t="s">
        <v>499</v>
      </c>
      <c r="C15" s="15">
        <v>0.54</v>
      </c>
      <c r="D15" s="15">
        <v>0.57999999999999996</v>
      </c>
      <c r="E15" s="15">
        <v>0.56000000000000005</v>
      </c>
      <c r="F15" s="15">
        <v>0.54</v>
      </c>
      <c r="G15" s="15">
        <v>0.55000000000000004</v>
      </c>
      <c r="H15" s="15">
        <v>0.57000000000000006</v>
      </c>
      <c r="I15" s="15">
        <v>0.57000000000000006</v>
      </c>
      <c r="J15" s="15">
        <v>0.57999999999999996</v>
      </c>
      <c r="K15" s="15">
        <v>0.57000000000000006</v>
      </c>
      <c r="L15" s="15">
        <v>0.48</v>
      </c>
      <c r="M15" s="15">
        <v>0.47</v>
      </c>
      <c r="N15" s="15">
        <v>0.45</v>
      </c>
      <c r="O15" s="15">
        <v>0.46</v>
      </c>
      <c r="P15" s="15">
        <v>0.59</v>
      </c>
      <c r="Q15" s="15">
        <v>0.56000000000000005</v>
      </c>
      <c r="R15" s="15">
        <v>0.44</v>
      </c>
      <c r="S15" s="15">
        <v>0.6</v>
      </c>
      <c r="T15" s="15">
        <v>0.55000000000000004</v>
      </c>
      <c r="U15" s="15">
        <v>0.5</v>
      </c>
      <c r="V15" s="15">
        <v>0.69000000000000006</v>
      </c>
      <c r="W15" s="15">
        <v>0.59</v>
      </c>
      <c r="X15" s="15">
        <v>0.54</v>
      </c>
      <c r="Y15" s="15">
        <v>0.52</v>
      </c>
      <c r="Z15" s="15">
        <v>0.61</v>
      </c>
      <c r="AA15" s="15">
        <v>0.63</v>
      </c>
      <c r="AB15" s="15">
        <v>0.62</v>
      </c>
      <c r="AC15" s="15">
        <v>0.67</v>
      </c>
      <c r="AD15" s="15">
        <v>0.65</v>
      </c>
      <c r="AE15" s="15">
        <v>0.61</v>
      </c>
      <c r="AF15" s="15">
        <v>0.57000000000000006</v>
      </c>
      <c r="AG15" s="15">
        <v>0.64</v>
      </c>
      <c r="AH15" s="15">
        <v>0.56000000000000005</v>
      </c>
      <c r="AI15" s="15">
        <v>0.65</v>
      </c>
      <c r="AJ15" s="15">
        <v>0.49</v>
      </c>
      <c r="AK15" s="15">
        <v>0.54</v>
      </c>
      <c r="AL15" s="15">
        <v>0.47</v>
      </c>
      <c r="AM15" s="15">
        <v>0.5</v>
      </c>
      <c r="AN15" s="15">
        <v>0.56000000000000005</v>
      </c>
      <c r="AO15" s="15">
        <v>0.4</v>
      </c>
      <c r="AP15" s="15">
        <v>0.41</v>
      </c>
      <c r="AQ15" s="15">
        <v>0.45</v>
      </c>
    </row>
    <row r="16" spans="1:43" x14ac:dyDescent="0.35">
      <c r="A16" s="19"/>
      <c r="B16" s="11" t="s">
        <v>500</v>
      </c>
      <c r="C16" s="12">
        <v>6229</v>
      </c>
      <c r="D16" s="12">
        <v>238</v>
      </c>
      <c r="E16" s="12">
        <v>109</v>
      </c>
      <c r="F16" s="12">
        <v>265</v>
      </c>
      <c r="G16" s="12">
        <v>233</v>
      </c>
      <c r="H16" s="12">
        <v>144</v>
      </c>
      <c r="I16" s="12">
        <v>159</v>
      </c>
      <c r="J16" s="12">
        <v>15</v>
      </c>
      <c r="K16" s="12">
        <v>236</v>
      </c>
      <c r="L16" s="12">
        <v>246</v>
      </c>
      <c r="M16" s="12">
        <v>133</v>
      </c>
      <c r="N16" s="12">
        <v>320</v>
      </c>
      <c r="O16" s="12">
        <v>394</v>
      </c>
      <c r="P16" s="12">
        <v>162</v>
      </c>
      <c r="Q16" s="12">
        <v>262</v>
      </c>
      <c r="R16" s="12">
        <v>134</v>
      </c>
      <c r="S16" s="12">
        <v>208</v>
      </c>
      <c r="T16" s="12">
        <v>222</v>
      </c>
      <c r="U16" s="12">
        <v>146</v>
      </c>
      <c r="V16" s="12">
        <v>138</v>
      </c>
      <c r="W16" s="12">
        <v>63</v>
      </c>
      <c r="X16" s="12">
        <v>244</v>
      </c>
      <c r="Y16" s="12">
        <v>241</v>
      </c>
      <c r="Z16" s="12">
        <v>249</v>
      </c>
      <c r="AA16" s="12">
        <v>269</v>
      </c>
      <c r="AB16" s="12">
        <v>182</v>
      </c>
      <c r="AC16" s="12">
        <v>201</v>
      </c>
      <c r="AD16" s="12">
        <v>179</v>
      </c>
      <c r="AE16" s="12">
        <v>175</v>
      </c>
      <c r="AF16" s="12">
        <v>204</v>
      </c>
      <c r="AG16" s="12">
        <v>108</v>
      </c>
      <c r="AH16" s="12">
        <v>148</v>
      </c>
      <c r="AI16" s="12">
        <v>41</v>
      </c>
      <c r="AJ16" s="12">
        <v>178</v>
      </c>
      <c r="AK16" s="12">
        <v>255</v>
      </c>
      <c r="AL16" s="12">
        <v>334</v>
      </c>
      <c r="AM16" s="12">
        <v>299</v>
      </c>
      <c r="AN16" s="12">
        <v>157</v>
      </c>
      <c r="AO16" s="12">
        <v>248</v>
      </c>
      <c r="AP16" s="12">
        <v>120</v>
      </c>
      <c r="AQ16" s="12">
        <v>361</v>
      </c>
    </row>
    <row r="17" spans="1:43" x14ac:dyDescent="0.35">
      <c r="A17" s="19"/>
      <c r="B17" s="13" t="s">
        <v>501</v>
      </c>
      <c r="C17" s="15">
        <v>0.24</v>
      </c>
      <c r="D17" s="15">
        <v>0.24</v>
      </c>
      <c r="E17" s="15">
        <v>0.11</v>
      </c>
      <c r="F17" s="15">
        <v>0.24</v>
      </c>
      <c r="G17" s="15">
        <v>0.23</v>
      </c>
      <c r="H17" s="15">
        <v>0.12</v>
      </c>
      <c r="I17" s="15">
        <v>0.11</v>
      </c>
      <c r="J17" s="15">
        <v>0.05</v>
      </c>
      <c r="K17" s="15">
        <v>0.24</v>
      </c>
      <c r="L17" s="15">
        <v>0.25</v>
      </c>
      <c r="M17" s="15">
        <v>0.13</v>
      </c>
      <c r="N17" s="15">
        <v>0.32</v>
      </c>
      <c r="O17" s="15">
        <v>0.39</v>
      </c>
      <c r="P17" s="15">
        <v>0.16</v>
      </c>
      <c r="Q17" s="15">
        <v>0.25</v>
      </c>
      <c r="R17" s="15">
        <v>0.27</v>
      </c>
      <c r="S17" s="15">
        <v>0.21</v>
      </c>
      <c r="T17" s="15">
        <v>0.22</v>
      </c>
      <c r="U17" s="15">
        <v>0.28999999999999998</v>
      </c>
      <c r="V17" s="15">
        <v>0.14000000000000001</v>
      </c>
      <c r="W17" s="15">
        <v>0.12</v>
      </c>
      <c r="X17" s="15">
        <v>0.24</v>
      </c>
      <c r="Y17" s="15">
        <v>0.24</v>
      </c>
      <c r="Z17" s="15">
        <v>0.24</v>
      </c>
      <c r="AA17" s="15">
        <v>0.26</v>
      </c>
      <c r="AB17" s="15">
        <v>0.17</v>
      </c>
      <c r="AC17" s="15">
        <v>0.2</v>
      </c>
      <c r="AD17" s="15">
        <v>0.18</v>
      </c>
      <c r="AE17" s="15">
        <v>0.17</v>
      </c>
      <c r="AF17" s="15">
        <v>0.2</v>
      </c>
      <c r="AG17" s="15">
        <v>0.11</v>
      </c>
      <c r="AH17" s="15">
        <v>0.15</v>
      </c>
      <c r="AI17" s="15">
        <v>0.08</v>
      </c>
      <c r="AJ17" s="15">
        <v>0.17</v>
      </c>
      <c r="AK17" s="15">
        <v>0.25</v>
      </c>
      <c r="AL17" s="15">
        <v>0.33</v>
      </c>
      <c r="AM17" s="15">
        <v>0.28999999999999998</v>
      </c>
      <c r="AN17" s="15">
        <v>0.16</v>
      </c>
      <c r="AO17" s="15">
        <v>0.25</v>
      </c>
      <c r="AP17" s="15">
        <v>0.23</v>
      </c>
      <c r="AQ17" s="15">
        <v>0.36</v>
      </c>
    </row>
    <row r="18" spans="1:43" x14ac:dyDescent="0.35">
      <c r="A18" s="19"/>
      <c r="B18" s="11" t="s">
        <v>485</v>
      </c>
      <c r="C18" s="12">
        <v>29</v>
      </c>
      <c r="D18" s="12">
        <v>2</v>
      </c>
      <c r="E18" s="12">
        <v>6</v>
      </c>
      <c r="F18" s="12">
        <v>1</v>
      </c>
      <c r="G18" s="12">
        <v>1</v>
      </c>
      <c r="H18" s="12">
        <v>1</v>
      </c>
      <c r="I18" s="12">
        <v>2</v>
      </c>
      <c r="J18" s="12">
        <v>1</v>
      </c>
      <c r="K18" s="12">
        <v>5</v>
      </c>
      <c r="L18" s="12">
        <v>2</v>
      </c>
      <c r="M18" s="12">
        <v>0</v>
      </c>
      <c r="N18" s="12">
        <v>1</v>
      </c>
      <c r="O18" s="12">
        <v>1</v>
      </c>
      <c r="P18" s="12">
        <v>0</v>
      </c>
      <c r="Q18" s="12">
        <v>0</v>
      </c>
      <c r="R18" s="12">
        <v>0</v>
      </c>
      <c r="S18" s="12">
        <v>6</v>
      </c>
      <c r="T18" s="12">
        <v>8</v>
      </c>
      <c r="U18" s="12">
        <v>0</v>
      </c>
      <c r="V18" s="12">
        <v>0</v>
      </c>
      <c r="W18" s="12">
        <v>0</v>
      </c>
      <c r="X18" s="12">
        <v>0</v>
      </c>
      <c r="Y18" s="12">
        <v>7</v>
      </c>
      <c r="Z18" s="12">
        <v>1</v>
      </c>
      <c r="AA18" s="12">
        <v>2</v>
      </c>
      <c r="AB18" s="12">
        <v>1</v>
      </c>
      <c r="AC18" s="12">
        <v>1</v>
      </c>
      <c r="AD18" s="12">
        <v>2</v>
      </c>
      <c r="AE18" s="12">
        <v>2</v>
      </c>
      <c r="AF18" s="12">
        <v>0</v>
      </c>
      <c r="AG18" s="12">
        <v>2</v>
      </c>
      <c r="AH18" s="12">
        <v>2</v>
      </c>
      <c r="AI18" s="12">
        <v>0</v>
      </c>
      <c r="AJ18" s="12">
        <v>0</v>
      </c>
      <c r="AK18" s="12">
        <v>0</v>
      </c>
      <c r="AL18" s="12">
        <v>7</v>
      </c>
      <c r="AM18" s="12">
        <v>4</v>
      </c>
      <c r="AN18" s="12">
        <v>0</v>
      </c>
      <c r="AO18" s="12">
        <v>2</v>
      </c>
      <c r="AP18" s="12">
        <v>0</v>
      </c>
      <c r="AQ18" s="12">
        <v>3</v>
      </c>
    </row>
    <row r="19" spans="1:43" x14ac:dyDescent="0.35">
      <c r="A19" s="19"/>
      <c r="B19" s="13" t="s">
        <v>486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5">
        <v>0.01</v>
      </c>
      <c r="T19" s="15">
        <v>0.01</v>
      </c>
      <c r="U19" s="14" t="s">
        <v>475</v>
      </c>
      <c r="V19" s="14" t="s">
        <v>475</v>
      </c>
      <c r="W19" s="14" t="s">
        <v>475</v>
      </c>
      <c r="X19" s="14" t="s">
        <v>475</v>
      </c>
      <c r="Y19" s="15">
        <v>0.01</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5">
        <v>0.01</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21</v>
      </c>
      <c r="C3" s="18"/>
      <c r="D3" s="18"/>
      <c r="E3" s="18"/>
      <c r="F3" s="18"/>
      <c r="H3" s="18" t="s">
        <v>22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510</v>
      </c>
      <c r="C12" s="12">
        <v>4725</v>
      </c>
      <c r="D12" s="12">
        <v>134</v>
      </c>
      <c r="E12" s="12">
        <v>246</v>
      </c>
      <c r="F12" s="12">
        <v>165</v>
      </c>
      <c r="G12" s="12">
        <v>224</v>
      </c>
      <c r="H12" s="12">
        <v>295</v>
      </c>
      <c r="I12" s="12">
        <v>366</v>
      </c>
      <c r="J12" s="12">
        <v>71</v>
      </c>
      <c r="K12" s="12">
        <v>144</v>
      </c>
      <c r="L12" s="12">
        <v>209</v>
      </c>
      <c r="M12" s="12">
        <v>323</v>
      </c>
      <c r="N12" s="12">
        <v>189</v>
      </c>
      <c r="O12" s="12">
        <v>125</v>
      </c>
      <c r="P12" s="12">
        <v>138</v>
      </c>
      <c r="Q12" s="12">
        <v>160</v>
      </c>
      <c r="R12" s="12">
        <v>102</v>
      </c>
      <c r="S12" s="12">
        <v>132</v>
      </c>
      <c r="T12" s="12">
        <v>179</v>
      </c>
      <c r="U12" s="12">
        <v>100</v>
      </c>
      <c r="V12" s="12">
        <v>145</v>
      </c>
      <c r="W12" s="12">
        <v>110</v>
      </c>
      <c r="X12" s="12">
        <v>254</v>
      </c>
      <c r="Y12" s="12">
        <v>214</v>
      </c>
      <c r="Z12" s="12">
        <v>119</v>
      </c>
      <c r="AA12" s="12">
        <v>116</v>
      </c>
      <c r="AB12" s="12">
        <v>119</v>
      </c>
      <c r="AC12" s="12">
        <v>92</v>
      </c>
      <c r="AD12" s="12">
        <v>160</v>
      </c>
      <c r="AE12" s="12">
        <v>212</v>
      </c>
      <c r="AF12" s="12">
        <v>295</v>
      </c>
      <c r="AG12" s="12">
        <v>168</v>
      </c>
      <c r="AH12" s="12">
        <v>178</v>
      </c>
      <c r="AI12" s="12">
        <v>122</v>
      </c>
      <c r="AJ12" s="12">
        <v>271</v>
      </c>
      <c r="AK12" s="12">
        <v>161</v>
      </c>
      <c r="AL12" s="12">
        <v>97</v>
      </c>
      <c r="AM12" s="12">
        <v>200</v>
      </c>
      <c r="AN12" s="12">
        <v>210</v>
      </c>
      <c r="AO12" s="12">
        <v>289</v>
      </c>
      <c r="AP12" s="12">
        <v>121</v>
      </c>
      <c r="AQ12" s="12">
        <v>119</v>
      </c>
    </row>
    <row r="13" spans="1:43" x14ac:dyDescent="0.35">
      <c r="A13" s="19"/>
      <c r="B13" s="13" t="s">
        <v>510</v>
      </c>
      <c r="C13" s="15">
        <v>0.18</v>
      </c>
      <c r="D13" s="15">
        <v>0.13</v>
      </c>
      <c r="E13" s="15">
        <v>0.24</v>
      </c>
      <c r="F13" s="15">
        <v>0.15</v>
      </c>
      <c r="G13" s="15">
        <v>0.22</v>
      </c>
      <c r="H13" s="15">
        <v>0.24</v>
      </c>
      <c r="I13" s="15">
        <v>0.24</v>
      </c>
      <c r="J13" s="15">
        <v>0.24</v>
      </c>
      <c r="K13" s="15">
        <v>0.14000000000000001</v>
      </c>
      <c r="L13" s="15">
        <v>0.21</v>
      </c>
      <c r="M13" s="15">
        <v>0.32</v>
      </c>
      <c r="N13" s="15">
        <v>0.19</v>
      </c>
      <c r="O13" s="15">
        <v>0.12</v>
      </c>
      <c r="P13" s="15">
        <v>0.14000000000000001</v>
      </c>
      <c r="Q13" s="15">
        <v>0.15</v>
      </c>
      <c r="R13" s="15">
        <v>0.2</v>
      </c>
      <c r="S13" s="15">
        <v>0.13</v>
      </c>
      <c r="T13" s="15">
        <v>0.18</v>
      </c>
      <c r="U13" s="15">
        <v>0.2</v>
      </c>
      <c r="V13" s="15">
        <v>0.14000000000000001</v>
      </c>
      <c r="W13" s="15">
        <v>0.22</v>
      </c>
      <c r="X13" s="15">
        <v>0.25</v>
      </c>
      <c r="Y13" s="15">
        <v>0.21</v>
      </c>
      <c r="Z13" s="15">
        <v>0.11</v>
      </c>
      <c r="AA13" s="15">
        <v>0.11</v>
      </c>
      <c r="AB13" s="15">
        <v>0.11</v>
      </c>
      <c r="AC13" s="15">
        <v>0.09</v>
      </c>
      <c r="AD13" s="15">
        <v>0.16</v>
      </c>
      <c r="AE13" s="15">
        <v>0.21</v>
      </c>
      <c r="AF13" s="15">
        <v>0.28000000000000003</v>
      </c>
      <c r="AG13" s="15">
        <v>0.16</v>
      </c>
      <c r="AH13" s="15">
        <v>0.18</v>
      </c>
      <c r="AI13" s="15">
        <v>0.23</v>
      </c>
      <c r="AJ13" s="15">
        <v>0.26</v>
      </c>
      <c r="AK13" s="15">
        <v>0.16</v>
      </c>
      <c r="AL13" s="15">
        <v>0.1</v>
      </c>
      <c r="AM13" s="15">
        <v>0.19</v>
      </c>
      <c r="AN13" s="15">
        <v>0.21</v>
      </c>
      <c r="AO13" s="15">
        <v>0.28999999999999998</v>
      </c>
      <c r="AP13" s="15">
        <v>0.23</v>
      </c>
      <c r="AQ13" s="15">
        <v>0.12</v>
      </c>
    </row>
    <row r="14" spans="1:43" x14ac:dyDescent="0.35">
      <c r="A14" s="19"/>
      <c r="B14" s="11" t="s">
        <v>511</v>
      </c>
      <c r="C14" s="12">
        <v>13118</v>
      </c>
      <c r="D14" s="12">
        <v>523</v>
      </c>
      <c r="E14" s="12">
        <v>535</v>
      </c>
      <c r="F14" s="12">
        <v>551</v>
      </c>
      <c r="G14" s="12">
        <v>499</v>
      </c>
      <c r="H14" s="12">
        <v>705</v>
      </c>
      <c r="I14" s="12">
        <v>885</v>
      </c>
      <c r="J14" s="12">
        <v>180</v>
      </c>
      <c r="K14" s="12">
        <v>464</v>
      </c>
      <c r="L14" s="12">
        <v>428</v>
      </c>
      <c r="M14" s="12">
        <v>463</v>
      </c>
      <c r="N14" s="12">
        <v>378</v>
      </c>
      <c r="O14" s="12">
        <v>368</v>
      </c>
      <c r="P14" s="12">
        <v>554</v>
      </c>
      <c r="Q14" s="12">
        <v>521</v>
      </c>
      <c r="R14" s="12">
        <v>189</v>
      </c>
      <c r="S14" s="12">
        <v>511</v>
      </c>
      <c r="T14" s="12">
        <v>523</v>
      </c>
      <c r="U14" s="12">
        <v>239</v>
      </c>
      <c r="V14" s="12">
        <v>643</v>
      </c>
      <c r="W14" s="12">
        <v>272</v>
      </c>
      <c r="X14" s="12">
        <v>491</v>
      </c>
      <c r="Y14" s="12">
        <v>516</v>
      </c>
      <c r="Z14" s="12">
        <v>604</v>
      </c>
      <c r="AA14" s="12">
        <v>448</v>
      </c>
      <c r="AB14" s="12">
        <v>618</v>
      </c>
      <c r="AC14" s="12">
        <v>572</v>
      </c>
      <c r="AD14" s="12">
        <v>603</v>
      </c>
      <c r="AE14" s="12">
        <v>526</v>
      </c>
      <c r="AF14" s="12">
        <v>525</v>
      </c>
      <c r="AG14" s="12">
        <v>574</v>
      </c>
      <c r="AH14" s="12">
        <v>522</v>
      </c>
      <c r="AI14" s="12">
        <v>282</v>
      </c>
      <c r="AJ14" s="12">
        <v>432</v>
      </c>
      <c r="AK14" s="12">
        <v>414</v>
      </c>
      <c r="AL14" s="12">
        <v>368</v>
      </c>
      <c r="AM14" s="12">
        <v>404</v>
      </c>
      <c r="AN14" s="12">
        <v>493</v>
      </c>
      <c r="AO14" s="12">
        <v>365</v>
      </c>
      <c r="AP14" s="12">
        <v>167</v>
      </c>
      <c r="AQ14" s="12">
        <v>307</v>
      </c>
    </row>
    <row r="15" spans="1:43" x14ac:dyDescent="0.35">
      <c r="A15" s="19"/>
      <c r="B15" s="13" t="s">
        <v>511</v>
      </c>
      <c r="C15" s="15">
        <v>0.5</v>
      </c>
      <c r="D15" s="15">
        <v>0.52</v>
      </c>
      <c r="E15" s="15">
        <v>0.52</v>
      </c>
      <c r="F15" s="15">
        <v>0.5</v>
      </c>
      <c r="G15" s="15">
        <v>0.5</v>
      </c>
      <c r="H15" s="15">
        <v>0.57999999999999996</v>
      </c>
      <c r="I15" s="15">
        <v>0.59</v>
      </c>
      <c r="J15" s="15">
        <v>0.61</v>
      </c>
      <c r="K15" s="15">
        <v>0.46</v>
      </c>
      <c r="L15" s="15">
        <v>0.42</v>
      </c>
      <c r="M15" s="15">
        <v>0.46</v>
      </c>
      <c r="N15" s="15">
        <v>0.38</v>
      </c>
      <c r="O15" s="15">
        <v>0.37</v>
      </c>
      <c r="P15" s="15">
        <v>0.55000000000000004</v>
      </c>
      <c r="Q15" s="15">
        <v>0.51</v>
      </c>
      <c r="R15" s="15">
        <v>0.38</v>
      </c>
      <c r="S15" s="15">
        <v>0.51</v>
      </c>
      <c r="T15" s="15">
        <v>0.52</v>
      </c>
      <c r="U15" s="15">
        <v>0.47</v>
      </c>
      <c r="V15" s="15">
        <v>0.63</v>
      </c>
      <c r="W15" s="15">
        <v>0.53</v>
      </c>
      <c r="X15" s="15">
        <v>0.49</v>
      </c>
      <c r="Y15" s="15">
        <v>0.52</v>
      </c>
      <c r="Z15" s="15">
        <v>0.59</v>
      </c>
      <c r="AA15" s="15">
        <v>0.44</v>
      </c>
      <c r="AB15" s="15">
        <v>0.59</v>
      </c>
      <c r="AC15" s="15">
        <v>0.57000000000000006</v>
      </c>
      <c r="AD15" s="15">
        <v>0.6</v>
      </c>
      <c r="AE15" s="15">
        <v>0.52</v>
      </c>
      <c r="AF15" s="15">
        <v>0.51</v>
      </c>
      <c r="AG15" s="15">
        <v>0.55000000000000004</v>
      </c>
      <c r="AH15" s="15">
        <v>0.51</v>
      </c>
      <c r="AI15" s="15">
        <v>0.54</v>
      </c>
      <c r="AJ15" s="15">
        <v>0.42</v>
      </c>
      <c r="AK15" s="15">
        <v>0.41</v>
      </c>
      <c r="AL15" s="15">
        <v>0.36</v>
      </c>
      <c r="AM15" s="15">
        <v>0.39</v>
      </c>
      <c r="AN15" s="15">
        <v>0.49</v>
      </c>
      <c r="AO15" s="15">
        <v>0.36</v>
      </c>
      <c r="AP15" s="15">
        <v>0.32</v>
      </c>
      <c r="AQ15" s="15">
        <v>0.31</v>
      </c>
    </row>
    <row r="16" spans="1:43" x14ac:dyDescent="0.35">
      <c r="A16" s="19"/>
      <c r="B16" s="11" t="s">
        <v>475</v>
      </c>
      <c r="C16" s="12">
        <v>4842</v>
      </c>
      <c r="D16" s="12">
        <v>210</v>
      </c>
      <c r="E16" s="12">
        <v>171</v>
      </c>
      <c r="F16" s="12">
        <v>204</v>
      </c>
      <c r="G16" s="12">
        <v>205</v>
      </c>
      <c r="H16" s="12">
        <v>178</v>
      </c>
      <c r="I16" s="12">
        <v>217</v>
      </c>
      <c r="J16" s="12">
        <v>39</v>
      </c>
      <c r="K16" s="12">
        <v>226</v>
      </c>
      <c r="L16" s="12">
        <v>177</v>
      </c>
      <c r="M16" s="12">
        <v>145</v>
      </c>
      <c r="N16" s="12">
        <v>175</v>
      </c>
      <c r="O16" s="12">
        <v>267</v>
      </c>
      <c r="P16" s="12">
        <v>182</v>
      </c>
      <c r="Q16" s="12">
        <v>175</v>
      </c>
      <c r="R16" s="12">
        <v>90</v>
      </c>
      <c r="S16" s="12">
        <v>198</v>
      </c>
      <c r="T16" s="12">
        <v>135</v>
      </c>
      <c r="U16" s="12">
        <v>106</v>
      </c>
      <c r="V16" s="12">
        <v>132</v>
      </c>
      <c r="W16" s="12">
        <v>80</v>
      </c>
      <c r="X16" s="12">
        <v>222</v>
      </c>
      <c r="Y16" s="12">
        <v>153</v>
      </c>
      <c r="Z16" s="12">
        <v>147</v>
      </c>
      <c r="AA16" s="12">
        <v>229</v>
      </c>
      <c r="AB16" s="12">
        <v>225</v>
      </c>
      <c r="AC16" s="12">
        <v>191</v>
      </c>
      <c r="AD16" s="12">
        <v>156</v>
      </c>
      <c r="AE16" s="12">
        <v>189</v>
      </c>
      <c r="AF16" s="12">
        <v>178</v>
      </c>
      <c r="AG16" s="12">
        <v>202</v>
      </c>
      <c r="AH16" s="12">
        <v>199</v>
      </c>
      <c r="AI16" s="12">
        <v>87</v>
      </c>
      <c r="AJ16" s="12">
        <v>209</v>
      </c>
      <c r="AK16" s="12">
        <v>219</v>
      </c>
      <c r="AL16" s="12">
        <v>275</v>
      </c>
      <c r="AM16" s="12">
        <v>227</v>
      </c>
      <c r="AN16" s="12">
        <v>171</v>
      </c>
      <c r="AO16" s="12">
        <v>129</v>
      </c>
      <c r="AP16" s="12">
        <v>137</v>
      </c>
      <c r="AQ16" s="12">
        <v>272</v>
      </c>
    </row>
    <row r="17" spans="1:43" x14ac:dyDescent="0.35">
      <c r="A17" s="19"/>
      <c r="B17" s="13" t="s">
        <v>475</v>
      </c>
      <c r="C17" s="15">
        <v>0.18</v>
      </c>
      <c r="D17" s="15">
        <v>0.21</v>
      </c>
      <c r="E17" s="15">
        <v>0.17</v>
      </c>
      <c r="F17" s="15">
        <v>0.19</v>
      </c>
      <c r="G17" s="15">
        <v>0.2</v>
      </c>
      <c r="H17" s="15">
        <v>0.15</v>
      </c>
      <c r="I17" s="15">
        <v>0.14000000000000001</v>
      </c>
      <c r="J17" s="15">
        <v>0.13</v>
      </c>
      <c r="K17" s="15">
        <v>0.23</v>
      </c>
      <c r="L17" s="15">
        <v>0.18</v>
      </c>
      <c r="M17" s="15">
        <v>0.14000000000000001</v>
      </c>
      <c r="N17" s="15">
        <v>0.17</v>
      </c>
      <c r="O17" s="15">
        <v>0.27</v>
      </c>
      <c r="P17" s="15">
        <v>0.18</v>
      </c>
      <c r="Q17" s="15">
        <v>0.17</v>
      </c>
      <c r="R17" s="15">
        <v>0.18</v>
      </c>
      <c r="S17" s="15">
        <v>0.2</v>
      </c>
      <c r="T17" s="15">
        <v>0.13</v>
      </c>
      <c r="U17" s="15">
        <v>0.21</v>
      </c>
      <c r="V17" s="15">
        <v>0.13</v>
      </c>
      <c r="W17" s="15">
        <v>0.16</v>
      </c>
      <c r="X17" s="15">
        <v>0.22</v>
      </c>
      <c r="Y17" s="15">
        <v>0.15</v>
      </c>
      <c r="Z17" s="15">
        <v>0.14000000000000001</v>
      </c>
      <c r="AA17" s="15">
        <v>0.22</v>
      </c>
      <c r="AB17" s="15">
        <v>0.21</v>
      </c>
      <c r="AC17" s="15">
        <v>0.19</v>
      </c>
      <c r="AD17" s="15">
        <v>0.15</v>
      </c>
      <c r="AE17" s="15">
        <v>0.19</v>
      </c>
      <c r="AF17" s="15">
        <v>0.17</v>
      </c>
      <c r="AG17" s="15">
        <v>0.2</v>
      </c>
      <c r="AH17" s="15">
        <v>0.2</v>
      </c>
      <c r="AI17" s="15">
        <v>0.17</v>
      </c>
      <c r="AJ17" s="15">
        <v>0.2</v>
      </c>
      <c r="AK17" s="15">
        <v>0.22</v>
      </c>
      <c r="AL17" s="15">
        <v>0.27</v>
      </c>
      <c r="AM17" s="15">
        <v>0.22</v>
      </c>
      <c r="AN17" s="15">
        <v>0.17</v>
      </c>
      <c r="AO17" s="15">
        <v>0.13</v>
      </c>
      <c r="AP17" s="15">
        <v>0.26</v>
      </c>
      <c r="AQ17" s="15">
        <v>0.27</v>
      </c>
    </row>
    <row r="18" spans="1:43" x14ac:dyDescent="0.35">
      <c r="A18" s="19"/>
      <c r="B18" s="11" t="s">
        <v>512</v>
      </c>
      <c r="C18" s="12">
        <v>3760</v>
      </c>
      <c r="D18" s="12">
        <v>147</v>
      </c>
      <c r="E18" s="12">
        <v>78</v>
      </c>
      <c r="F18" s="12">
        <v>182</v>
      </c>
      <c r="G18" s="12">
        <v>78</v>
      </c>
      <c r="H18" s="12">
        <v>43</v>
      </c>
      <c r="I18" s="12">
        <v>47</v>
      </c>
      <c r="J18" s="12">
        <v>4</v>
      </c>
      <c r="K18" s="12">
        <v>168</v>
      </c>
      <c r="L18" s="12">
        <v>189</v>
      </c>
      <c r="M18" s="12">
        <v>79</v>
      </c>
      <c r="N18" s="12">
        <v>262</v>
      </c>
      <c r="O18" s="12">
        <v>241</v>
      </c>
      <c r="P18" s="12">
        <v>130</v>
      </c>
      <c r="Q18" s="12">
        <v>170</v>
      </c>
      <c r="R18" s="12">
        <v>123</v>
      </c>
      <c r="S18" s="12">
        <v>161</v>
      </c>
      <c r="T18" s="12">
        <v>169</v>
      </c>
      <c r="U18" s="12">
        <v>59</v>
      </c>
      <c r="V18" s="12">
        <v>95</v>
      </c>
      <c r="W18" s="12">
        <v>45</v>
      </c>
      <c r="X18" s="12">
        <v>42</v>
      </c>
      <c r="Y18" s="12">
        <v>120</v>
      </c>
      <c r="Z18" s="12">
        <v>161</v>
      </c>
      <c r="AA18" s="12">
        <v>240</v>
      </c>
      <c r="AB18" s="12">
        <v>89</v>
      </c>
      <c r="AC18" s="12">
        <v>148</v>
      </c>
      <c r="AD18" s="12">
        <v>86</v>
      </c>
      <c r="AE18" s="12">
        <v>85</v>
      </c>
      <c r="AF18" s="12">
        <v>44</v>
      </c>
      <c r="AG18" s="12">
        <v>91</v>
      </c>
      <c r="AH18" s="12">
        <v>114</v>
      </c>
      <c r="AI18" s="12">
        <v>33</v>
      </c>
      <c r="AJ18" s="12">
        <v>124</v>
      </c>
      <c r="AK18" s="12">
        <v>213</v>
      </c>
      <c r="AL18" s="12">
        <v>273</v>
      </c>
      <c r="AM18" s="12">
        <v>209</v>
      </c>
      <c r="AN18" s="12">
        <v>129</v>
      </c>
      <c r="AO18" s="12">
        <v>223</v>
      </c>
      <c r="AP18" s="12">
        <v>99</v>
      </c>
      <c r="AQ18" s="12">
        <v>304</v>
      </c>
    </row>
    <row r="19" spans="1:43" x14ac:dyDescent="0.35">
      <c r="A19" s="19"/>
      <c r="B19" s="13" t="s">
        <v>512</v>
      </c>
      <c r="C19" s="15">
        <v>0.14000000000000001</v>
      </c>
      <c r="D19" s="15">
        <v>0.14000000000000001</v>
      </c>
      <c r="E19" s="15">
        <v>7.0000000000000007E-2</v>
      </c>
      <c r="F19" s="15">
        <v>0.16</v>
      </c>
      <c r="G19" s="15">
        <v>0.08</v>
      </c>
      <c r="H19" s="15">
        <v>0.03</v>
      </c>
      <c r="I19" s="15">
        <v>0.03</v>
      </c>
      <c r="J19" s="15">
        <v>0.02</v>
      </c>
      <c r="K19" s="15">
        <v>0.17</v>
      </c>
      <c r="L19" s="15">
        <v>0.19</v>
      </c>
      <c r="M19" s="15">
        <v>0.08</v>
      </c>
      <c r="N19" s="15">
        <v>0.26</v>
      </c>
      <c r="O19" s="15">
        <v>0.24</v>
      </c>
      <c r="P19" s="15">
        <v>0.13</v>
      </c>
      <c r="Q19" s="15">
        <v>0.17</v>
      </c>
      <c r="R19" s="15">
        <v>0.24</v>
      </c>
      <c r="S19" s="15">
        <v>0.16</v>
      </c>
      <c r="T19" s="15">
        <v>0.17</v>
      </c>
      <c r="U19" s="15">
        <v>0.12</v>
      </c>
      <c r="V19" s="15">
        <v>0.1</v>
      </c>
      <c r="W19" s="15">
        <v>0.09</v>
      </c>
      <c r="X19" s="15">
        <v>0.04</v>
      </c>
      <c r="Y19" s="15">
        <v>0.12</v>
      </c>
      <c r="Z19" s="15">
        <v>0.16</v>
      </c>
      <c r="AA19" s="15">
        <v>0.23</v>
      </c>
      <c r="AB19" s="15">
        <v>0.09</v>
      </c>
      <c r="AC19" s="15">
        <v>0.15</v>
      </c>
      <c r="AD19" s="15">
        <v>0.09</v>
      </c>
      <c r="AE19" s="15">
        <v>0.08</v>
      </c>
      <c r="AF19" s="15">
        <v>0.04</v>
      </c>
      <c r="AG19" s="15">
        <v>0.09</v>
      </c>
      <c r="AH19" s="15">
        <v>0.11</v>
      </c>
      <c r="AI19" s="15">
        <v>0.06</v>
      </c>
      <c r="AJ19" s="15">
        <v>0.12</v>
      </c>
      <c r="AK19" s="15">
        <v>0.21</v>
      </c>
      <c r="AL19" s="15">
        <v>0.27</v>
      </c>
      <c r="AM19" s="15">
        <v>0.2</v>
      </c>
      <c r="AN19" s="15">
        <v>0.13</v>
      </c>
      <c r="AO19" s="15">
        <v>0.22</v>
      </c>
      <c r="AP19" s="15">
        <v>0.19</v>
      </c>
      <c r="AQ19" s="15">
        <v>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513</v>
      </c>
      <c r="C3" s="18"/>
      <c r="D3" s="18"/>
      <c r="E3" s="18"/>
      <c r="F3" s="18"/>
      <c r="H3" s="18" t="s">
        <v>514</v>
      </c>
      <c r="I3" s="18"/>
      <c r="J3" s="18"/>
      <c r="K3" s="18"/>
      <c r="L3" s="18"/>
    </row>
    <row r="4" spans="1:43" ht="27" customHeight="1" x14ac:dyDescent="0.35">
      <c r="B4" s="18" t="s">
        <v>515</v>
      </c>
      <c r="C4" s="18"/>
      <c r="D4" s="18"/>
      <c r="E4" s="18"/>
      <c r="F4" s="18"/>
      <c r="H4" s="18" t="s">
        <v>516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517</v>
      </c>
      <c r="C12" s="12">
        <v>821</v>
      </c>
      <c r="D12" s="12">
        <v>30</v>
      </c>
      <c r="E12" s="12">
        <v>29</v>
      </c>
      <c r="F12" s="12">
        <v>56</v>
      </c>
      <c r="G12" s="12">
        <v>179</v>
      </c>
      <c r="H12" s="12">
        <v>14</v>
      </c>
      <c r="I12" s="12">
        <v>17</v>
      </c>
      <c r="J12" s="12">
        <v>3</v>
      </c>
      <c r="K12" s="12">
        <v>37</v>
      </c>
      <c r="L12" s="12">
        <v>93</v>
      </c>
      <c r="M12" s="12">
        <v>7</v>
      </c>
      <c r="N12" s="12">
        <v>21</v>
      </c>
      <c r="O12" s="12">
        <v>4</v>
      </c>
      <c r="P12" s="12">
        <v>38</v>
      </c>
      <c r="Q12" s="12">
        <v>28</v>
      </c>
      <c r="R12" s="12">
        <v>11</v>
      </c>
      <c r="S12" s="12">
        <v>12</v>
      </c>
      <c r="T12" s="12">
        <v>25</v>
      </c>
      <c r="U12" s="12">
        <v>86</v>
      </c>
      <c r="V12" s="12">
        <v>44</v>
      </c>
      <c r="W12" s="12">
        <v>22</v>
      </c>
      <c r="X12" s="12">
        <v>77</v>
      </c>
      <c r="Y12" s="12">
        <v>111</v>
      </c>
      <c r="Z12" s="12">
        <v>62</v>
      </c>
      <c r="AA12" s="12">
        <v>9</v>
      </c>
      <c r="AB12" s="12">
        <v>55</v>
      </c>
      <c r="AC12" s="12">
        <v>65</v>
      </c>
      <c r="AD12" s="12">
        <v>16</v>
      </c>
      <c r="AE12" s="12">
        <v>30</v>
      </c>
      <c r="AF12" s="12">
        <v>54</v>
      </c>
      <c r="AG12" s="12">
        <v>162</v>
      </c>
      <c r="AH12" s="12">
        <v>38</v>
      </c>
      <c r="AI12" s="12">
        <v>48</v>
      </c>
      <c r="AJ12" s="12">
        <v>60</v>
      </c>
      <c r="AK12" s="12">
        <v>31</v>
      </c>
      <c r="AL12" s="12">
        <v>37</v>
      </c>
      <c r="AM12" s="12">
        <v>14</v>
      </c>
      <c r="AN12" s="12">
        <v>68</v>
      </c>
      <c r="AO12" s="12">
        <v>179</v>
      </c>
      <c r="AP12" s="12">
        <v>72</v>
      </c>
      <c r="AQ12" s="12">
        <v>75</v>
      </c>
    </row>
    <row r="13" spans="1:43" x14ac:dyDescent="0.35">
      <c r="A13" s="19"/>
      <c r="B13" s="13" t="s">
        <v>518</v>
      </c>
      <c r="C13" s="15">
        <v>0.03</v>
      </c>
      <c r="D13" s="15">
        <v>0.03</v>
      </c>
      <c r="E13" s="15">
        <v>0.03</v>
      </c>
      <c r="F13" s="15">
        <v>0.05</v>
      </c>
      <c r="G13" s="15">
        <v>0.18</v>
      </c>
      <c r="H13" s="15">
        <v>0.01</v>
      </c>
      <c r="I13" s="15">
        <v>0.01</v>
      </c>
      <c r="J13" s="15">
        <v>0.01</v>
      </c>
      <c r="K13" s="15">
        <v>0.04</v>
      </c>
      <c r="L13" s="15">
        <v>0.09</v>
      </c>
      <c r="M13" s="15">
        <v>0.01</v>
      </c>
      <c r="N13" s="15">
        <v>0.02</v>
      </c>
      <c r="O13" s="14" t="s">
        <v>475</v>
      </c>
      <c r="P13" s="15">
        <v>0.04</v>
      </c>
      <c r="Q13" s="15">
        <v>0.03</v>
      </c>
      <c r="R13" s="15">
        <v>0.02</v>
      </c>
      <c r="S13" s="15">
        <v>0.01</v>
      </c>
      <c r="T13" s="15">
        <v>0.02</v>
      </c>
      <c r="U13" s="15">
        <v>0.17</v>
      </c>
      <c r="V13" s="15">
        <v>0.04</v>
      </c>
      <c r="W13" s="15">
        <v>0.04</v>
      </c>
      <c r="X13" s="15">
        <v>0.08</v>
      </c>
      <c r="Y13" s="15">
        <v>0.11</v>
      </c>
      <c r="Z13" s="15">
        <v>0.06</v>
      </c>
      <c r="AA13" s="15">
        <v>0.01</v>
      </c>
      <c r="AB13" s="15">
        <v>0.05</v>
      </c>
      <c r="AC13" s="15">
        <v>0.06</v>
      </c>
      <c r="AD13" s="15">
        <v>0.02</v>
      </c>
      <c r="AE13" s="15">
        <v>0.03</v>
      </c>
      <c r="AF13" s="15">
        <v>0.05</v>
      </c>
      <c r="AG13" s="15">
        <v>0.16</v>
      </c>
      <c r="AH13" s="15">
        <v>0.04</v>
      </c>
      <c r="AI13" s="15">
        <v>0.09</v>
      </c>
      <c r="AJ13" s="15">
        <v>0.06</v>
      </c>
      <c r="AK13" s="15">
        <v>0.03</v>
      </c>
      <c r="AL13" s="15">
        <v>0.04</v>
      </c>
      <c r="AM13" s="15">
        <v>0.01</v>
      </c>
      <c r="AN13" s="15">
        <v>7.0000000000000007E-2</v>
      </c>
      <c r="AO13" s="15">
        <v>0.18</v>
      </c>
      <c r="AP13" s="15">
        <v>0.14000000000000001</v>
      </c>
      <c r="AQ13" s="15">
        <v>7.0000000000000007E-2</v>
      </c>
    </row>
    <row r="14" spans="1:43" x14ac:dyDescent="0.35">
      <c r="A14" s="19"/>
      <c r="B14" s="11" t="s">
        <v>519</v>
      </c>
      <c r="C14" s="12">
        <v>10922</v>
      </c>
      <c r="D14" s="12">
        <v>487</v>
      </c>
      <c r="E14" s="12">
        <v>306</v>
      </c>
      <c r="F14" s="12">
        <v>548</v>
      </c>
      <c r="G14" s="12">
        <v>650</v>
      </c>
      <c r="H14" s="12">
        <v>549</v>
      </c>
      <c r="I14" s="12">
        <v>644</v>
      </c>
      <c r="J14" s="12">
        <v>95</v>
      </c>
      <c r="K14" s="12">
        <v>514</v>
      </c>
      <c r="L14" s="12">
        <v>486</v>
      </c>
      <c r="M14" s="12">
        <v>188</v>
      </c>
      <c r="N14" s="12">
        <v>390</v>
      </c>
      <c r="O14" s="12">
        <v>161</v>
      </c>
      <c r="P14" s="12">
        <v>446</v>
      </c>
      <c r="Q14" s="12">
        <v>437</v>
      </c>
      <c r="R14" s="12">
        <v>194</v>
      </c>
      <c r="S14" s="12">
        <v>473</v>
      </c>
      <c r="T14" s="12">
        <v>611</v>
      </c>
      <c r="U14" s="12">
        <v>356</v>
      </c>
      <c r="V14" s="12">
        <v>444</v>
      </c>
      <c r="W14" s="12">
        <v>274</v>
      </c>
      <c r="X14" s="12">
        <v>572</v>
      </c>
      <c r="Y14" s="12">
        <v>496</v>
      </c>
      <c r="Z14" s="12">
        <v>689</v>
      </c>
      <c r="AA14" s="12">
        <v>398</v>
      </c>
      <c r="AB14" s="12">
        <v>376</v>
      </c>
      <c r="AC14" s="12">
        <v>601</v>
      </c>
      <c r="AD14" s="12">
        <v>325</v>
      </c>
      <c r="AE14" s="12">
        <v>604</v>
      </c>
      <c r="AF14" s="12">
        <v>646</v>
      </c>
      <c r="AG14" s="12">
        <v>373</v>
      </c>
      <c r="AH14" s="12">
        <v>504</v>
      </c>
      <c r="AI14" s="12">
        <v>114</v>
      </c>
      <c r="AJ14" s="12">
        <v>355</v>
      </c>
      <c r="AK14" s="12">
        <v>506</v>
      </c>
      <c r="AL14" s="12">
        <v>454</v>
      </c>
      <c r="AM14" s="12">
        <v>303</v>
      </c>
      <c r="AN14" s="12">
        <v>396</v>
      </c>
      <c r="AO14" s="12">
        <v>585</v>
      </c>
      <c r="AP14" s="12">
        <v>227</v>
      </c>
      <c r="AQ14" s="12">
        <v>452</v>
      </c>
    </row>
    <row r="15" spans="1:43" x14ac:dyDescent="0.35">
      <c r="A15" s="19"/>
      <c r="B15" s="13" t="s">
        <v>520</v>
      </c>
      <c r="C15" s="15">
        <v>0.41</v>
      </c>
      <c r="D15" s="15">
        <v>0.48</v>
      </c>
      <c r="E15" s="15">
        <v>0.3</v>
      </c>
      <c r="F15" s="15">
        <v>0.5</v>
      </c>
      <c r="G15" s="15">
        <v>0.64</v>
      </c>
      <c r="H15" s="15">
        <v>0.45</v>
      </c>
      <c r="I15" s="15">
        <v>0.43</v>
      </c>
      <c r="J15" s="15">
        <v>0.32</v>
      </c>
      <c r="K15" s="15">
        <v>0.51</v>
      </c>
      <c r="L15" s="15">
        <v>0.48</v>
      </c>
      <c r="M15" s="15">
        <v>0.18</v>
      </c>
      <c r="N15" s="15">
        <v>0.39</v>
      </c>
      <c r="O15" s="15">
        <v>0.16</v>
      </c>
      <c r="P15" s="15">
        <v>0.44</v>
      </c>
      <c r="Q15" s="15">
        <v>0.42</v>
      </c>
      <c r="R15" s="15">
        <v>0.39</v>
      </c>
      <c r="S15" s="15">
        <v>0.47</v>
      </c>
      <c r="T15" s="15">
        <v>0.61</v>
      </c>
      <c r="U15" s="15">
        <v>0.70000000000000007</v>
      </c>
      <c r="V15" s="15">
        <v>0.44</v>
      </c>
      <c r="W15" s="15">
        <v>0.54</v>
      </c>
      <c r="X15" s="15">
        <v>0.57000000000000006</v>
      </c>
      <c r="Y15" s="15">
        <v>0.49</v>
      </c>
      <c r="Z15" s="15">
        <v>0.67</v>
      </c>
      <c r="AA15" s="15">
        <v>0.38</v>
      </c>
      <c r="AB15" s="15">
        <v>0.36</v>
      </c>
      <c r="AC15" s="15">
        <v>0.6</v>
      </c>
      <c r="AD15" s="15">
        <v>0.32</v>
      </c>
      <c r="AE15" s="15">
        <v>0.59</v>
      </c>
      <c r="AF15" s="15">
        <v>0.62</v>
      </c>
      <c r="AG15" s="15">
        <v>0.36</v>
      </c>
      <c r="AH15" s="15">
        <v>0.5</v>
      </c>
      <c r="AI15" s="15">
        <v>0.22</v>
      </c>
      <c r="AJ15" s="15">
        <v>0.34</v>
      </c>
      <c r="AK15" s="15">
        <v>0.5</v>
      </c>
      <c r="AL15" s="15">
        <v>0.45</v>
      </c>
      <c r="AM15" s="15">
        <v>0.28999999999999998</v>
      </c>
      <c r="AN15" s="15">
        <v>0.4</v>
      </c>
      <c r="AO15" s="15">
        <v>0.57999999999999996</v>
      </c>
      <c r="AP15" s="15">
        <v>0.43</v>
      </c>
      <c r="AQ15" s="15">
        <v>0.45</v>
      </c>
    </row>
    <row r="16" spans="1:43" x14ac:dyDescent="0.35">
      <c r="A16" s="19"/>
      <c r="B16" s="11" t="s">
        <v>521</v>
      </c>
      <c r="C16" s="12">
        <v>11486</v>
      </c>
      <c r="D16" s="12">
        <v>415</v>
      </c>
      <c r="E16" s="12">
        <v>482</v>
      </c>
      <c r="F16" s="12">
        <v>409</v>
      </c>
      <c r="G16" s="12">
        <v>138</v>
      </c>
      <c r="H16" s="12">
        <v>594</v>
      </c>
      <c r="I16" s="12">
        <v>762</v>
      </c>
      <c r="J16" s="12">
        <v>168</v>
      </c>
      <c r="K16" s="12">
        <v>368</v>
      </c>
      <c r="L16" s="12">
        <v>326</v>
      </c>
      <c r="M16" s="12">
        <v>574</v>
      </c>
      <c r="N16" s="12">
        <v>430</v>
      </c>
      <c r="O16" s="12">
        <v>556</v>
      </c>
      <c r="P16" s="12">
        <v>412</v>
      </c>
      <c r="Q16" s="12">
        <v>453</v>
      </c>
      <c r="R16" s="12">
        <v>200</v>
      </c>
      <c r="S16" s="12">
        <v>424</v>
      </c>
      <c r="T16" s="12">
        <v>318</v>
      </c>
      <c r="U16" s="12">
        <v>55</v>
      </c>
      <c r="V16" s="12">
        <v>404</v>
      </c>
      <c r="W16" s="12">
        <v>180</v>
      </c>
      <c r="X16" s="12">
        <v>304</v>
      </c>
      <c r="Y16" s="12">
        <v>338</v>
      </c>
      <c r="Z16" s="12">
        <v>238</v>
      </c>
      <c r="AA16" s="12">
        <v>551</v>
      </c>
      <c r="AB16" s="12">
        <v>490</v>
      </c>
      <c r="AC16" s="12">
        <v>265</v>
      </c>
      <c r="AD16" s="12">
        <v>504</v>
      </c>
      <c r="AE16" s="12">
        <v>342</v>
      </c>
      <c r="AF16" s="12">
        <v>295</v>
      </c>
      <c r="AG16" s="12">
        <v>339</v>
      </c>
      <c r="AH16" s="12">
        <v>319</v>
      </c>
      <c r="AI16" s="12">
        <v>293</v>
      </c>
      <c r="AJ16" s="12">
        <v>396</v>
      </c>
      <c r="AK16" s="12">
        <v>301</v>
      </c>
      <c r="AL16" s="12">
        <v>317</v>
      </c>
      <c r="AM16" s="12">
        <v>489</v>
      </c>
      <c r="AN16" s="12">
        <v>423</v>
      </c>
      <c r="AO16" s="12">
        <v>140</v>
      </c>
      <c r="AP16" s="12">
        <v>138</v>
      </c>
      <c r="AQ16" s="12">
        <v>258</v>
      </c>
    </row>
    <row r="17" spans="1:43" x14ac:dyDescent="0.35">
      <c r="A17" s="19"/>
      <c r="B17" s="13" t="s">
        <v>522</v>
      </c>
      <c r="C17" s="15">
        <v>0.44</v>
      </c>
      <c r="D17" s="15">
        <v>0.41</v>
      </c>
      <c r="E17" s="15">
        <v>0.47</v>
      </c>
      <c r="F17" s="15">
        <v>0.37</v>
      </c>
      <c r="G17" s="15">
        <v>0.14000000000000001</v>
      </c>
      <c r="H17" s="15">
        <v>0.49</v>
      </c>
      <c r="I17" s="15">
        <v>0.5</v>
      </c>
      <c r="J17" s="15">
        <v>0.57000000000000006</v>
      </c>
      <c r="K17" s="15">
        <v>0.37</v>
      </c>
      <c r="L17" s="15">
        <v>0.33</v>
      </c>
      <c r="M17" s="15">
        <v>0.57000000000000006</v>
      </c>
      <c r="N17" s="15">
        <v>0.43</v>
      </c>
      <c r="O17" s="15">
        <v>0.56000000000000005</v>
      </c>
      <c r="P17" s="15">
        <v>0.41</v>
      </c>
      <c r="Q17" s="15">
        <v>0.44</v>
      </c>
      <c r="R17" s="15">
        <v>0.4</v>
      </c>
      <c r="S17" s="15">
        <v>0.42</v>
      </c>
      <c r="T17" s="15">
        <v>0.32</v>
      </c>
      <c r="U17" s="15">
        <v>0.11</v>
      </c>
      <c r="V17" s="15">
        <v>0.4</v>
      </c>
      <c r="W17" s="15">
        <v>0.35</v>
      </c>
      <c r="X17" s="15">
        <v>0.3</v>
      </c>
      <c r="Y17" s="15">
        <v>0.34</v>
      </c>
      <c r="Z17" s="15">
        <v>0.23</v>
      </c>
      <c r="AA17" s="15">
        <v>0.53</v>
      </c>
      <c r="AB17" s="15">
        <v>0.47</v>
      </c>
      <c r="AC17" s="15">
        <v>0.26</v>
      </c>
      <c r="AD17" s="15">
        <v>0.5</v>
      </c>
      <c r="AE17" s="15">
        <v>0.34</v>
      </c>
      <c r="AF17" s="15">
        <v>0.28000000000000003</v>
      </c>
      <c r="AG17" s="15">
        <v>0.33</v>
      </c>
      <c r="AH17" s="15">
        <v>0.31</v>
      </c>
      <c r="AI17" s="15">
        <v>0.56000000000000005</v>
      </c>
      <c r="AJ17" s="15">
        <v>0.38</v>
      </c>
      <c r="AK17" s="15">
        <v>0.3</v>
      </c>
      <c r="AL17" s="15">
        <v>0.31</v>
      </c>
      <c r="AM17" s="15">
        <v>0.47</v>
      </c>
      <c r="AN17" s="15">
        <v>0.42</v>
      </c>
      <c r="AO17" s="15">
        <v>0.14000000000000001</v>
      </c>
      <c r="AP17" s="15">
        <v>0.26</v>
      </c>
      <c r="AQ17" s="15">
        <v>0.26</v>
      </c>
    </row>
    <row r="18" spans="1:43" x14ac:dyDescent="0.35">
      <c r="A18" s="19"/>
      <c r="B18" s="11" t="s">
        <v>523</v>
      </c>
      <c r="C18" s="12">
        <v>2973</v>
      </c>
      <c r="D18" s="12">
        <v>78</v>
      </c>
      <c r="E18" s="12">
        <v>181</v>
      </c>
      <c r="F18" s="12">
        <v>73</v>
      </c>
      <c r="G18" s="12">
        <v>22</v>
      </c>
      <c r="H18" s="12">
        <v>58</v>
      </c>
      <c r="I18" s="12">
        <v>87</v>
      </c>
      <c r="J18" s="12">
        <v>29</v>
      </c>
      <c r="K18" s="12">
        <v>68</v>
      </c>
      <c r="L18" s="12">
        <v>87</v>
      </c>
      <c r="M18" s="12">
        <v>240</v>
      </c>
      <c r="N18" s="12">
        <v>150</v>
      </c>
      <c r="O18" s="12">
        <v>274</v>
      </c>
      <c r="P18" s="12">
        <v>97</v>
      </c>
      <c r="Q18" s="12">
        <v>100</v>
      </c>
      <c r="R18" s="12">
        <v>98</v>
      </c>
      <c r="S18" s="12">
        <v>74</v>
      </c>
      <c r="T18" s="12">
        <v>37</v>
      </c>
      <c r="U18" s="12">
        <v>4</v>
      </c>
      <c r="V18" s="12">
        <v>113</v>
      </c>
      <c r="W18" s="12">
        <v>29</v>
      </c>
      <c r="X18" s="12">
        <v>53</v>
      </c>
      <c r="Y18" s="12">
        <v>58</v>
      </c>
      <c r="Z18" s="12">
        <v>17</v>
      </c>
      <c r="AA18" s="12">
        <v>60</v>
      </c>
      <c r="AB18" s="12">
        <v>115</v>
      </c>
      <c r="AC18" s="12">
        <v>67</v>
      </c>
      <c r="AD18" s="12">
        <v>159</v>
      </c>
      <c r="AE18" s="12">
        <v>28</v>
      </c>
      <c r="AF18" s="12">
        <v>42</v>
      </c>
      <c r="AG18" s="12">
        <v>160</v>
      </c>
      <c r="AH18" s="12">
        <v>151</v>
      </c>
      <c r="AI18" s="12">
        <v>68</v>
      </c>
      <c r="AJ18" s="12">
        <v>215</v>
      </c>
      <c r="AK18" s="12">
        <v>169</v>
      </c>
      <c r="AL18" s="12">
        <v>173</v>
      </c>
      <c r="AM18" s="12">
        <v>206</v>
      </c>
      <c r="AN18" s="12">
        <v>112</v>
      </c>
      <c r="AO18" s="12">
        <v>97</v>
      </c>
      <c r="AP18" s="12">
        <v>86</v>
      </c>
      <c r="AQ18" s="12">
        <v>181</v>
      </c>
    </row>
    <row r="19" spans="1:43" x14ac:dyDescent="0.35">
      <c r="A19" s="19"/>
      <c r="B19" s="13" t="s">
        <v>524</v>
      </c>
      <c r="C19" s="15">
        <v>0.11</v>
      </c>
      <c r="D19" s="15">
        <v>0.08</v>
      </c>
      <c r="E19" s="15">
        <v>0.17</v>
      </c>
      <c r="F19" s="15">
        <v>7.0000000000000007E-2</v>
      </c>
      <c r="G19" s="15">
        <v>0.02</v>
      </c>
      <c r="H19" s="15">
        <v>0.05</v>
      </c>
      <c r="I19" s="15">
        <v>0.06</v>
      </c>
      <c r="J19" s="15">
        <v>0.1</v>
      </c>
      <c r="K19" s="15">
        <v>7.0000000000000007E-2</v>
      </c>
      <c r="L19" s="15">
        <v>0.09</v>
      </c>
      <c r="M19" s="15">
        <v>0.24</v>
      </c>
      <c r="N19" s="15">
        <v>0.15</v>
      </c>
      <c r="O19" s="15">
        <v>0.27</v>
      </c>
      <c r="P19" s="15">
        <v>0.1</v>
      </c>
      <c r="Q19" s="15">
        <v>0.1</v>
      </c>
      <c r="R19" s="15">
        <v>0.19</v>
      </c>
      <c r="S19" s="15">
        <v>0.08</v>
      </c>
      <c r="T19" s="15">
        <v>0.04</v>
      </c>
      <c r="U19" s="15">
        <v>0.01</v>
      </c>
      <c r="V19" s="15">
        <v>0.11</v>
      </c>
      <c r="W19" s="15">
        <v>0.06</v>
      </c>
      <c r="X19" s="15">
        <v>0.05</v>
      </c>
      <c r="Y19" s="15">
        <v>0.06</v>
      </c>
      <c r="Z19" s="15">
        <v>0.02</v>
      </c>
      <c r="AA19" s="15">
        <v>0.06</v>
      </c>
      <c r="AB19" s="15">
        <v>0.11</v>
      </c>
      <c r="AC19" s="15">
        <v>7.0000000000000007E-2</v>
      </c>
      <c r="AD19" s="15">
        <v>0.16</v>
      </c>
      <c r="AE19" s="15">
        <v>0.03</v>
      </c>
      <c r="AF19" s="15">
        <v>0.04</v>
      </c>
      <c r="AG19" s="15">
        <v>0.15</v>
      </c>
      <c r="AH19" s="15">
        <v>0.15</v>
      </c>
      <c r="AI19" s="15">
        <v>0.13</v>
      </c>
      <c r="AJ19" s="15">
        <v>0.21</v>
      </c>
      <c r="AK19" s="15">
        <v>0.17</v>
      </c>
      <c r="AL19" s="15">
        <v>0.17</v>
      </c>
      <c r="AM19" s="15">
        <v>0.2</v>
      </c>
      <c r="AN19" s="15">
        <v>0.11</v>
      </c>
      <c r="AO19" s="15">
        <v>0.1</v>
      </c>
      <c r="AP19" s="15">
        <v>0.17</v>
      </c>
      <c r="AQ19" s="15">
        <v>0.18</v>
      </c>
    </row>
    <row r="20" spans="1:43" x14ac:dyDescent="0.35">
      <c r="A20" s="19"/>
      <c r="B20" s="11" t="s">
        <v>485</v>
      </c>
      <c r="C20" s="12">
        <v>243</v>
      </c>
      <c r="D20" s="12">
        <v>3</v>
      </c>
      <c r="E20" s="12">
        <v>31</v>
      </c>
      <c r="F20" s="12">
        <v>16</v>
      </c>
      <c r="G20" s="12">
        <v>17</v>
      </c>
      <c r="H20" s="12">
        <v>6</v>
      </c>
      <c r="I20" s="12">
        <v>6</v>
      </c>
      <c r="J20" s="12">
        <v>1</v>
      </c>
      <c r="K20" s="12">
        <v>15</v>
      </c>
      <c r="L20" s="12">
        <v>9</v>
      </c>
      <c r="M20" s="12">
        <v>1</v>
      </c>
      <c r="N20" s="12">
        <v>12</v>
      </c>
      <c r="O20" s="12">
        <v>6</v>
      </c>
      <c r="P20" s="12">
        <v>11</v>
      </c>
      <c r="Q20" s="12">
        <v>8</v>
      </c>
      <c r="R20" s="12">
        <v>0</v>
      </c>
      <c r="S20" s="12">
        <v>19</v>
      </c>
      <c r="T20" s="12">
        <v>14</v>
      </c>
      <c r="U20" s="12">
        <v>4</v>
      </c>
      <c r="V20" s="12">
        <v>11</v>
      </c>
      <c r="W20" s="12">
        <v>3</v>
      </c>
      <c r="X20" s="12">
        <v>3</v>
      </c>
      <c r="Y20" s="12">
        <v>0</v>
      </c>
      <c r="Z20" s="12">
        <v>25</v>
      </c>
      <c r="AA20" s="12">
        <v>16</v>
      </c>
      <c r="AB20" s="12">
        <v>15</v>
      </c>
      <c r="AC20" s="12">
        <v>5</v>
      </c>
      <c r="AD20" s="12">
        <v>1</v>
      </c>
      <c r="AE20" s="12">
        <v>8</v>
      </c>
      <c r="AF20" s="12">
        <v>6</v>
      </c>
      <c r="AG20" s="12">
        <v>1</v>
      </c>
      <c r="AH20" s="12">
        <v>2</v>
      </c>
      <c r="AI20" s="12">
        <v>0</v>
      </c>
      <c r="AJ20" s="12">
        <v>10</v>
      </c>
      <c r="AK20" s="12">
        <v>0</v>
      </c>
      <c r="AL20" s="12">
        <v>30</v>
      </c>
      <c r="AM20" s="12">
        <v>27</v>
      </c>
      <c r="AN20" s="12">
        <v>4</v>
      </c>
      <c r="AO20" s="12">
        <v>4</v>
      </c>
      <c r="AP20" s="12">
        <v>0</v>
      </c>
      <c r="AQ20" s="12">
        <v>37</v>
      </c>
    </row>
    <row r="21" spans="1:43" x14ac:dyDescent="0.35">
      <c r="A21" s="19"/>
      <c r="B21" s="13" t="s">
        <v>486</v>
      </c>
      <c r="C21" s="15">
        <v>0.01</v>
      </c>
      <c r="D21" s="14" t="s">
        <v>475</v>
      </c>
      <c r="E21" s="15">
        <v>0.03</v>
      </c>
      <c r="F21" s="15">
        <v>0.01</v>
      </c>
      <c r="G21" s="15">
        <v>0.02</v>
      </c>
      <c r="H21" s="14" t="s">
        <v>475</v>
      </c>
      <c r="I21" s="14" t="s">
        <v>475</v>
      </c>
      <c r="J21" s="14" t="s">
        <v>475</v>
      </c>
      <c r="K21" s="15">
        <v>0.01</v>
      </c>
      <c r="L21" s="15">
        <v>0.01</v>
      </c>
      <c r="M21" s="14" t="s">
        <v>475</v>
      </c>
      <c r="N21" s="15">
        <v>0.01</v>
      </c>
      <c r="O21" s="15">
        <v>0.01</v>
      </c>
      <c r="P21" s="15">
        <v>0.01</v>
      </c>
      <c r="Q21" s="15">
        <v>0.01</v>
      </c>
      <c r="R21" s="14" t="s">
        <v>475</v>
      </c>
      <c r="S21" s="15">
        <v>0.02</v>
      </c>
      <c r="T21" s="15">
        <v>0.01</v>
      </c>
      <c r="U21" s="15">
        <v>0.01</v>
      </c>
      <c r="V21" s="15">
        <v>0.01</v>
      </c>
      <c r="W21" s="15">
        <v>0.01</v>
      </c>
      <c r="X21" s="14" t="s">
        <v>475</v>
      </c>
      <c r="Y21" s="14" t="s">
        <v>475</v>
      </c>
      <c r="Z21" s="15">
        <v>0.02</v>
      </c>
      <c r="AA21" s="15">
        <v>0.02</v>
      </c>
      <c r="AB21" s="15">
        <v>0.01</v>
      </c>
      <c r="AC21" s="15">
        <v>0.01</v>
      </c>
      <c r="AD21" s="14" t="s">
        <v>475</v>
      </c>
      <c r="AE21" s="15">
        <v>0.01</v>
      </c>
      <c r="AF21" s="15">
        <v>0.01</v>
      </c>
      <c r="AG21" s="14" t="s">
        <v>475</v>
      </c>
      <c r="AH21" s="14" t="s">
        <v>475</v>
      </c>
      <c r="AI21" s="14" t="s">
        <v>475</v>
      </c>
      <c r="AJ21" s="15">
        <v>0.01</v>
      </c>
      <c r="AK21" s="14" t="s">
        <v>475</v>
      </c>
      <c r="AL21" s="15">
        <v>0.03</v>
      </c>
      <c r="AM21" s="15">
        <v>0.03</v>
      </c>
      <c r="AN21" s="14" t="s">
        <v>475</v>
      </c>
      <c r="AO21" s="14" t="s">
        <v>475</v>
      </c>
      <c r="AP21" s="14" t="s">
        <v>475</v>
      </c>
      <c r="AQ21" s="15">
        <v>0.04</v>
      </c>
    </row>
    <row r="22" spans="1:43" x14ac:dyDescent="0.35">
      <c r="A22" s="19"/>
      <c r="B22" s="11" t="s">
        <v>525</v>
      </c>
      <c r="C22" s="12">
        <v>11743</v>
      </c>
      <c r="D22" s="12">
        <v>517</v>
      </c>
      <c r="E22" s="12">
        <v>335</v>
      </c>
      <c r="F22" s="12">
        <v>604</v>
      </c>
      <c r="G22" s="12">
        <v>829</v>
      </c>
      <c r="H22" s="12">
        <v>563</v>
      </c>
      <c r="I22" s="12">
        <v>661</v>
      </c>
      <c r="J22" s="12">
        <v>98</v>
      </c>
      <c r="K22" s="12">
        <v>551</v>
      </c>
      <c r="L22" s="12">
        <v>579</v>
      </c>
      <c r="M22" s="12">
        <v>195</v>
      </c>
      <c r="N22" s="12">
        <v>411</v>
      </c>
      <c r="O22" s="12">
        <v>165</v>
      </c>
      <c r="P22" s="12">
        <v>484</v>
      </c>
      <c r="Q22" s="12">
        <v>465</v>
      </c>
      <c r="R22" s="12">
        <v>205</v>
      </c>
      <c r="S22" s="12">
        <v>485</v>
      </c>
      <c r="T22" s="12">
        <v>636</v>
      </c>
      <c r="U22" s="12">
        <v>442</v>
      </c>
      <c r="V22" s="12">
        <v>488</v>
      </c>
      <c r="W22" s="12">
        <v>296</v>
      </c>
      <c r="X22" s="12">
        <v>649</v>
      </c>
      <c r="Y22" s="12">
        <v>607</v>
      </c>
      <c r="Z22" s="12">
        <v>751</v>
      </c>
      <c r="AA22" s="12">
        <v>407</v>
      </c>
      <c r="AB22" s="12">
        <v>431</v>
      </c>
      <c r="AC22" s="12">
        <v>666</v>
      </c>
      <c r="AD22" s="12">
        <v>341</v>
      </c>
      <c r="AE22" s="12">
        <v>634</v>
      </c>
      <c r="AF22" s="12">
        <v>700</v>
      </c>
      <c r="AG22" s="12">
        <v>535</v>
      </c>
      <c r="AH22" s="12">
        <v>542</v>
      </c>
      <c r="AI22" s="12">
        <v>162</v>
      </c>
      <c r="AJ22" s="12">
        <v>415</v>
      </c>
      <c r="AK22" s="12">
        <v>537</v>
      </c>
      <c r="AL22" s="12">
        <v>491</v>
      </c>
      <c r="AM22" s="12">
        <v>317</v>
      </c>
      <c r="AN22" s="12">
        <v>464</v>
      </c>
      <c r="AO22" s="12">
        <v>764</v>
      </c>
      <c r="AP22" s="12">
        <v>299</v>
      </c>
      <c r="AQ22" s="12">
        <v>527</v>
      </c>
    </row>
    <row r="23" spans="1:43" x14ac:dyDescent="0.35">
      <c r="A23" s="19"/>
      <c r="B23" s="13" t="s">
        <v>526</v>
      </c>
      <c r="C23" s="15">
        <v>0.44</v>
      </c>
      <c r="D23" s="15">
        <v>0.51</v>
      </c>
      <c r="E23" s="15">
        <v>0.33</v>
      </c>
      <c r="F23" s="15">
        <v>0.55000000000000004</v>
      </c>
      <c r="G23" s="15">
        <v>0.82000000000000006</v>
      </c>
      <c r="H23" s="15">
        <v>0.46</v>
      </c>
      <c r="I23" s="15">
        <v>0.44</v>
      </c>
      <c r="J23" s="15">
        <v>0.33</v>
      </c>
      <c r="K23" s="15">
        <v>0.55000000000000004</v>
      </c>
      <c r="L23" s="15">
        <v>0.57000000000000006</v>
      </c>
      <c r="M23" s="15">
        <v>0.19</v>
      </c>
      <c r="N23" s="15">
        <v>0.41</v>
      </c>
      <c r="O23" s="15">
        <v>0.16</v>
      </c>
      <c r="P23" s="15">
        <v>0.48</v>
      </c>
      <c r="Q23" s="15">
        <v>0.45</v>
      </c>
      <c r="R23" s="15">
        <v>0.41</v>
      </c>
      <c r="S23" s="15">
        <v>0.48</v>
      </c>
      <c r="T23" s="15">
        <v>0.63</v>
      </c>
      <c r="U23" s="15">
        <v>0.87</v>
      </c>
      <c r="V23" s="15">
        <v>0.48</v>
      </c>
      <c r="W23" s="15">
        <v>0.57999999999999996</v>
      </c>
      <c r="X23" s="15">
        <v>0.65</v>
      </c>
      <c r="Y23" s="15">
        <v>0.6</v>
      </c>
      <c r="Z23" s="15">
        <v>0.73</v>
      </c>
      <c r="AA23" s="15">
        <v>0.39</v>
      </c>
      <c r="AB23" s="15">
        <v>0.41</v>
      </c>
      <c r="AC23" s="15">
        <v>0.66</v>
      </c>
      <c r="AD23" s="15">
        <v>0.34</v>
      </c>
      <c r="AE23" s="15">
        <v>0.62</v>
      </c>
      <c r="AF23" s="15">
        <v>0.67</v>
      </c>
      <c r="AG23" s="15">
        <v>0.52</v>
      </c>
      <c r="AH23" s="15">
        <v>0.54</v>
      </c>
      <c r="AI23" s="15">
        <v>0.31</v>
      </c>
      <c r="AJ23" s="15">
        <v>0.4</v>
      </c>
      <c r="AK23" s="15">
        <v>0.53</v>
      </c>
      <c r="AL23" s="15">
        <v>0.49</v>
      </c>
      <c r="AM23" s="15">
        <v>0.3</v>
      </c>
      <c r="AN23" s="15">
        <v>0.47</v>
      </c>
      <c r="AO23" s="15">
        <v>0.76</v>
      </c>
      <c r="AP23" s="15">
        <v>0.57000000000000006</v>
      </c>
      <c r="AQ23" s="15">
        <v>0.52</v>
      </c>
    </row>
    <row r="24" spans="1:43" x14ac:dyDescent="0.35">
      <c r="A24" s="19"/>
      <c r="B24" s="11" t="s">
        <v>527</v>
      </c>
      <c r="C24" s="12">
        <v>14459</v>
      </c>
      <c r="D24" s="12">
        <v>493</v>
      </c>
      <c r="E24" s="12">
        <v>663</v>
      </c>
      <c r="F24" s="12">
        <v>482</v>
      </c>
      <c r="G24" s="12">
        <v>160</v>
      </c>
      <c r="H24" s="12">
        <v>652</v>
      </c>
      <c r="I24" s="12">
        <v>849</v>
      </c>
      <c r="J24" s="12">
        <v>197</v>
      </c>
      <c r="K24" s="12">
        <v>436</v>
      </c>
      <c r="L24" s="12">
        <v>413</v>
      </c>
      <c r="M24" s="12">
        <v>814</v>
      </c>
      <c r="N24" s="12">
        <v>580</v>
      </c>
      <c r="O24" s="12">
        <v>830</v>
      </c>
      <c r="P24" s="12">
        <v>509</v>
      </c>
      <c r="Q24" s="12">
        <v>553</v>
      </c>
      <c r="R24" s="12">
        <v>298</v>
      </c>
      <c r="S24" s="12">
        <v>498</v>
      </c>
      <c r="T24" s="12">
        <v>355</v>
      </c>
      <c r="U24" s="12">
        <v>59</v>
      </c>
      <c r="V24" s="12">
        <v>517</v>
      </c>
      <c r="W24" s="12">
        <v>209</v>
      </c>
      <c r="X24" s="12">
        <v>357</v>
      </c>
      <c r="Y24" s="12">
        <v>396</v>
      </c>
      <c r="Z24" s="12">
        <v>255</v>
      </c>
      <c r="AA24" s="12">
        <v>611</v>
      </c>
      <c r="AB24" s="12">
        <v>605</v>
      </c>
      <c r="AC24" s="12">
        <v>332</v>
      </c>
      <c r="AD24" s="12">
        <v>663</v>
      </c>
      <c r="AE24" s="12">
        <v>370</v>
      </c>
      <c r="AF24" s="12">
        <v>337</v>
      </c>
      <c r="AG24" s="12">
        <v>499</v>
      </c>
      <c r="AH24" s="12">
        <v>470</v>
      </c>
      <c r="AI24" s="12">
        <v>361</v>
      </c>
      <c r="AJ24" s="12">
        <v>611</v>
      </c>
      <c r="AK24" s="12">
        <v>470</v>
      </c>
      <c r="AL24" s="12">
        <v>490</v>
      </c>
      <c r="AM24" s="12">
        <v>695</v>
      </c>
      <c r="AN24" s="12">
        <v>535</v>
      </c>
      <c r="AO24" s="12">
        <v>237</v>
      </c>
      <c r="AP24" s="12">
        <v>224</v>
      </c>
      <c r="AQ24" s="12">
        <v>439</v>
      </c>
    </row>
    <row r="25" spans="1:43" x14ac:dyDescent="0.35">
      <c r="A25" s="19"/>
      <c r="B25" s="13" t="s">
        <v>528</v>
      </c>
      <c r="C25" s="15">
        <v>0.55000000000000004</v>
      </c>
      <c r="D25" s="15">
        <v>0.49</v>
      </c>
      <c r="E25" s="15">
        <v>0.64</v>
      </c>
      <c r="F25" s="15">
        <v>0.44</v>
      </c>
      <c r="G25" s="15">
        <v>0.16</v>
      </c>
      <c r="H25" s="15">
        <v>0.54</v>
      </c>
      <c r="I25" s="15">
        <v>0.56000000000000005</v>
      </c>
      <c r="J25" s="15">
        <v>0.67</v>
      </c>
      <c r="K25" s="15">
        <v>0.44</v>
      </c>
      <c r="L25" s="15">
        <v>0.42</v>
      </c>
      <c r="M25" s="15">
        <v>0.81</v>
      </c>
      <c r="N25" s="15">
        <v>0.57999999999999996</v>
      </c>
      <c r="O25" s="15">
        <v>0.83000000000000007</v>
      </c>
      <c r="P25" s="15">
        <v>0.51</v>
      </c>
      <c r="Q25" s="15">
        <v>0.54</v>
      </c>
      <c r="R25" s="15">
        <v>0.59</v>
      </c>
      <c r="S25" s="15">
        <v>0.5</v>
      </c>
      <c r="T25" s="15">
        <v>0.36</v>
      </c>
      <c r="U25" s="15">
        <v>0.12</v>
      </c>
      <c r="V25" s="15">
        <v>0.51</v>
      </c>
      <c r="W25" s="15">
        <v>0.41</v>
      </c>
      <c r="X25" s="15">
        <v>0.35</v>
      </c>
      <c r="Y25" s="15">
        <v>0.4</v>
      </c>
      <c r="Z25" s="15">
        <v>0.25</v>
      </c>
      <c r="AA25" s="15">
        <v>0.59</v>
      </c>
      <c r="AB25" s="15">
        <v>0.57999999999999996</v>
      </c>
      <c r="AC25" s="15">
        <v>0.33</v>
      </c>
      <c r="AD25" s="15">
        <v>0.66</v>
      </c>
      <c r="AE25" s="15">
        <v>0.37</v>
      </c>
      <c r="AF25" s="15">
        <v>0.32</v>
      </c>
      <c r="AG25" s="15">
        <v>0.48</v>
      </c>
      <c r="AH25" s="15">
        <v>0.46</v>
      </c>
      <c r="AI25" s="15">
        <v>0.69000000000000006</v>
      </c>
      <c r="AJ25" s="15">
        <v>0.59</v>
      </c>
      <c r="AK25" s="15">
        <v>0.47</v>
      </c>
      <c r="AL25" s="15">
        <v>0.48</v>
      </c>
      <c r="AM25" s="15">
        <v>0.67</v>
      </c>
      <c r="AN25" s="15">
        <v>0.53</v>
      </c>
      <c r="AO25" s="15">
        <v>0.24</v>
      </c>
      <c r="AP25" s="15">
        <v>0.43</v>
      </c>
      <c r="AQ25" s="15">
        <v>0.44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529</v>
      </c>
      <c r="C3" s="18"/>
      <c r="D3" s="18"/>
      <c r="E3" s="18"/>
      <c r="F3" s="18"/>
      <c r="H3" s="18" t="s">
        <v>530</v>
      </c>
      <c r="I3" s="18"/>
      <c r="J3" s="18"/>
      <c r="K3" s="18"/>
      <c r="L3" s="18"/>
    </row>
    <row r="4" spans="1:43" ht="27" customHeight="1" x14ac:dyDescent="0.35">
      <c r="B4" s="18" t="s">
        <v>531</v>
      </c>
      <c r="C4" s="18"/>
      <c r="D4" s="18"/>
      <c r="E4" s="18"/>
      <c r="F4" s="18"/>
      <c r="H4" s="18" t="s">
        <v>532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517</v>
      </c>
      <c r="C12" s="12">
        <v>983</v>
      </c>
      <c r="D12" s="12">
        <v>19</v>
      </c>
      <c r="E12" s="12">
        <v>26</v>
      </c>
      <c r="F12" s="12">
        <v>46</v>
      </c>
      <c r="G12" s="12">
        <v>387</v>
      </c>
      <c r="H12" s="12">
        <v>8</v>
      </c>
      <c r="I12" s="12">
        <v>11</v>
      </c>
      <c r="J12" s="12">
        <v>3</v>
      </c>
      <c r="K12" s="12">
        <v>15</v>
      </c>
      <c r="L12" s="12">
        <v>103</v>
      </c>
      <c r="M12" s="12">
        <v>8</v>
      </c>
      <c r="N12" s="12">
        <v>22</v>
      </c>
      <c r="O12" s="12">
        <v>7</v>
      </c>
      <c r="P12" s="12">
        <v>44</v>
      </c>
      <c r="Q12" s="12">
        <v>35</v>
      </c>
      <c r="R12" s="12">
        <v>9</v>
      </c>
      <c r="S12" s="12">
        <v>6</v>
      </c>
      <c r="T12" s="12">
        <v>40</v>
      </c>
      <c r="U12" s="12">
        <v>80</v>
      </c>
      <c r="V12" s="12">
        <v>38</v>
      </c>
      <c r="W12" s="12">
        <v>71</v>
      </c>
      <c r="X12" s="12">
        <v>143</v>
      </c>
      <c r="Y12" s="12">
        <v>110</v>
      </c>
      <c r="Z12" s="12">
        <v>75</v>
      </c>
      <c r="AA12" s="12">
        <v>11</v>
      </c>
      <c r="AB12" s="12">
        <v>51</v>
      </c>
      <c r="AC12" s="12">
        <v>43</v>
      </c>
      <c r="AD12" s="12">
        <v>17</v>
      </c>
      <c r="AE12" s="12">
        <v>10</v>
      </c>
      <c r="AF12" s="12">
        <v>43</v>
      </c>
      <c r="AG12" s="12">
        <v>120</v>
      </c>
      <c r="AH12" s="12">
        <v>43</v>
      </c>
      <c r="AI12" s="12">
        <v>37</v>
      </c>
      <c r="AJ12" s="12">
        <v>61</v>
      </c>
      <c r="AK12" s="12">
        <v>21</v>
      </c>
      <c r="AL12" s="12">
        <v>20</v>
      </c>
      <c r="AM12" s="12">
        <v>8</v>
      </c>
      <c r="AN12" s="12">
        <v>57</v>
      </c>
      <c r="AO12" s="12">
        <v>140</v>
      </c>
      <c r="AP12" s="12">
        <v>65</v>
      </c>
      <c r="AQ12" s="12">
        <v>41</v>
      </c>
    </row>
    <row r="13" spans="1:43" x14ac:dyDescent="0.35">
      <c r="A13" s="19"/>
      <c r="B13" s="13" t="s">
        <v>518</v>
      </c>
      <c r="C13" s="15">
        <v>0.04</v>
      </c>
      <c r="D13" s="15">
        <v>0.02</v>
      </c>
      <c r="E13" s="15">
        <v>0.03</v>
      </c>
      <c r="F13" s="15">
        <v>0.04</v>
      </c>
      <c r="G13" s="15">
        <v>0.38</v>
      </c>
      <c r="H13" s="15">
        <v>0.01</v>
      </c>
      <c r="I13" s="15">
        <v>0.01</v>
      </c>
      <c r="J13" s="15">
        <v>0.01</v>
      </c>
      <c r="K13" s="15">
        <v>0.01</v>
      </c>
      <c r="L13" s="15">
        <v>0.1</v>
      </c>
      <c r="M13" s="15">
        <v>0.01</v>
      </c>
      <c r="N13" s="15">
        <v>0.02</v>
      </c>
      <c r="O13" s="15">
        <v>0.01</v>
      </c>
      <c r="P13" s="15">
        <v>0.04</v>
      </c>
      <c r="Q13" s="15">
        <v>0.03</v>
      </c>
      <c r="R13" s="15">
        <v>0.02</v>
      </c>
      <c r="S13" s="14" t="s">
        <v>475</v>
      </c>
      <c r="T13" s="15">
        <v>0.04</v>
      </c>
      <c r="U13" s="15">
        <v>0.16</v>
      </c>
      <c r="V13" s="15">
        <v>0.04</v>
      </c>
      <c r="W13" s="15">
        <v>0.14000000000000001</v>
      </c>
      <c r="X13" s="15">
        <v>0.14000000000000001</v>
      </c>
      <c r="Y13" s="15">
        <v>0.11</v>
      </c>
      <c r="Z13" s="15">
        <v>7.0000000000000007E-2</v>
      </c>
      <c r="AA13" s="15">
        <v>0.01</v>
      </c>
      <c r="AB13" s="15">
        <v>0.05</v>
      </c>
      <c r="AC13" s="15">
        <v>0.04</v>
      </c>
      <c r="AD13" s="15">
        <v>0.02</v>
      </c>
      <c r="AE13" s="15">
        <v>0.01</v>
      </c>
      <c r="AF13" s="15">
        <v>0.04</v>
      </c>
      <c r="AG13" s="15">
        <v>0.12</v>
      </c>
      <c r="AH13" s="15">
        <v>0.04</v>
      </c>
      <c r="AI13" s="15">
        <v>7.0000000000000007E-2</v>
      </c>
      <c r="AJ13" s="15">
        <v>0.06</v>
      </c>
      <c r="AK13" s="15">
        <v>0.02</v>
      </c>
      <c r="AL13" s="15">
        <v>0.02</v>
      </c>
      <c r="AM13" s="15">
        <v>0.01</v>
      </c>
      <c r="AN13" s="15">
        <v>0.06</v>
      </c>
      <c r="AO13" s="15">
        <v>0.14000000000000001</v>
      </c>
      <c r="AP13" s="15">
        <v>0.12</v>
      </c>
      <c r="AQ13" s="15">
        <v>0.04</v>
      </c>
    </row>
    <row r="14" spans="1:43" x14ac:dyDescent="0.35">
      <c r="A14" s="19"/>
      <c r="B14" s="11" t="s">
        <v>519</v>
      </c>
      <c r="C14" s="12">
        <v>9103</v>
      </c>
      <c r="D14" s="12">
        <v>395</v>
      </c>
      <c r="E14" s="12">
        <v>239</v>
      </c>
      <c r="F14" s="12">
        <v>393</v>
      </c>
      <c r="G14" s="12">
        <v>499</v>
      </c>
      <c r="H14" s="12">
        <v>419</v>
      </c>
      <c r="I14" s="12">
        <v>490</v>
      </c>
      <c r="J14" s="12">
        <v>71</v>
      </c>
      <c r="K14" s="12">
        <v>294</v>
      </c>
      <c r="L14" s="12">
        <v>517</v>
      </c>
      <c r="M14" s="12">
        <v>146</v>
      </c>
      <c r="N14" s="12">
        <v>358</v>
      </c>
      <c r="O14" s="12">
        <v>129</v>
      </c>
      <c r="P14" s="12">
        <v>347</v>
      </c>
      <c r="Q14" s="12">
        <v>356</v>
      </c>
      <c r="R14" s="12">
        <v>209</v>
      </c>
      <c r="S14" s="12">
        <v>298</v>
      </c>
      <c r="T14" s="12">
        <v>593</v>
      </c>
      <c r="U14" s="12">
        <v>361</v>
      </c>
      <c r="V14" s="12">
        <v>380</v>
      </c>
      <c r="W14" s="12">
        <v>328</v>
      </c>
      <c r="X14" s="12">
        <v>604</v>
      </c>
      <c r="Y14" s="12">
        <v>350</v>
      </c>
      <c r="Z14" s="12">
        <v>633</v>
      </c>
      <c r="AA14" s="12">
        <v>350</v>
      </c>
      <c r="AB14" s="12">
        <v>272</v>
      </c>
      <c r="AC14" s="12">
        <v>568</v>
      </c>
      <c r="AD14" s="12">
        <v>185</v>
      </c>
      <c r="AE14" s="12">
        <v>229</v>
      </c>
      <c r="AF14" s="12">
        <v>641</v>
      </c>
      <c r="AG14" s="12">
        <v>356</v>
      </c>
      <c r="AH14" s="12">
        <v>359</v>
      </c>
      <c r="AI14" s="12">
        <v>104</v>
      </c>
      <c r="AJ14" s="12">
        <v>355</v>
      </c>
      <c r="AK14" s="12">
        <v>359</v>
      </c>
      <c r="AL14" s="12">
        <v>273</v>
      </c>
      <c r="AM14" s="12">
        <v>256</v>
      </c>
      <c r="AN14" s="12">
        <v>295</v>
      </c>
      <c r="AO14" s="12">
        <v>506</v>
      </c>
      <c r="AP14" s="12">
        <v>171</v>
      </c>
      <c r="AQ14" s="12">
        <v>369</v>
      </c>
    </row>
    <row r="15" spans="1:43" x14ac:dyDescent="0.35">
      <c r="A15" s="19"/>
      <c r="B15" s="13" t="s">
        <v>520</v>
      </c>
      <c r="C15" s="15">
        <v>0.34</v>
      </c>
      <c r="D15" s="15">
        <v>0.39</v>
      </c>
      <c r="E15" s="15">
        <v>0.23</v>
      </c>
      <c r="F15" s="15">
        <v>0.36</v>
      </c>
      <c r="G15" s="15">
        <v>0.5</v>
      </c>
      <c r="H15" s="15">
        <v>0.34</v>
      </c>
      <c r="I15" s="15">
        <v>0.32</v>
      </c>
      <c r="J15" s="15">
        <v>0.24</v>
      </c>
      <c r="K15" s="15">
        <v>0.28999999999999998</v>
      </c>
      <c r="L15" s="15">
        <v>0.51</v>
      </c>
      <c r="M15" s="15">
        <v>0.14000000000000001</v>
      </c>
      <c r="N15" s="15">
        <v>0.36</v>
      </c>
      <c r="O15" s="15">
        <v>0.13</v>
      </c>
      <c r="P15" s="15">
        <v>0.35</v>
      </c>
      <c r="Q15" s="15">
        <v>0.35</v>
      </c>
      <c r="R15" s="15">
        <v>0.41</v>
      </c>
      <c r="S15" s="15">
        <v>0.3</v>
      </c>
      <c r="T15" s="15">
        <v>0.59</v>
      </c>
      <c r="U15" s="15">
        <v>0.72</v>
      </c>
      <c r="V15" s="15">
        <v>0.37</v>
      </c>
      <c r="W15" s="15">
        <v>0.65</v>
      </c>
      <c r="X15" s="15">
        <v>0.6</v>
      </c>
      <c r="Y15" s="15">
        <v>0.35</v>
      </c>
      <c r="Z15" s="15">
        <v>0.61</v>
      </c>
      <c r="AA15" s="15">
        <v>0.34</v>
      </c>
      <c r="AB15" s="15">
        <v>0.26</v>
      </c>
      <c r="AC15" s="15">
        <v>0.57000000000000006</v>
      </c>
      <c r="AD15" s="15">
        <v>0.18</v>
      </c>
      <c r="AE15" s="15">
        <v>0.23</v>
      </c>
      <c r="AF15" s="15">
        <v>0.61</v>
      </c>
      <c r="AG15" s="15">
        <v>0.34</v>
      </c>
      <c r="AH15" s="15">
        <v>0.36</v>
      </c>
      <c r="AI15" s="15">
        <v>0.2</v>
      </c>
      <c r="AJ15" s="15">
        <v>0.34</v>
      </c>
      <c r="AK15" s="15">
        <v>0.36</v>
      </c>
      <c r="AL15" s="15">
        <v>0.27</v>
      </c>
      <c r="AM15" s="15">
        <v>0.25</v>
      </c>
      <c r="AN15" s="15">
        <v>0.28999999999999998</v>
      </c>
      <c r="AO15" s="15">
        <v>0.5</v>
      </c>
      <c r="AP15" s="15">
        <v>0.33</v>
      </c>
      <c r="AQ15" s="15">
        <v>0.37</v>
      </c>
    </row>
    <row r="16" spans="1:43" x14ac:dyDescent="0.35">
      <c r="A16" s="19"/>
      <c r="B16" s="11" t="s">
        <v>521</v>
      </c>
      <c r="C16" s="12">
        <v>12188</v>
      </c>
      <c r="D16" s="12">
        <v>488</v>
      </c>
      <c r="E16" s="12">
        <v>496</v>
      </c>
      <c r="F16" s="12">
        <v>507</v>
      </c>
      <c r="G16" s="12">
        <v>72</v>
      </c>
      <c r="H16" s="12">
        <v>702</v>
      </c>
      <c r="I16" s="12">
        <v>871</v>
      </c>
      <c r="J16" s="12">
        <v>169</v>
      </c>
      <c r="K16" s="12">
        <v>498</v>
      </c>
      <c r="L16" s="12">
        <v>287</v>
      </c>
      <c r="M16" s="12">
        <v>554</v>
      </c>
      <c r="N16" s="12">
        <v>446</v>
      </c>
      <c r="O16" s="12">
        <v>533</v>
      </c>
      <c r="P16" s="12">
        <v>448</v>
      </c>
      <c r="Q16" s="12">
        <v>485</v>
      </c>
      <c r="R16" s="12">
        <v>172</v>
      </c>
      <c r="S16" s="12">
        <v>551</v>
      </c>
      <c r="T16" s="12">
        <v>317</v>
      </c>
      <c r="U16" s="12">
        <v>51</v>
      </c>
      <c r="V16" s="12">
        <v>398</v>
      </c>
      <c r="W16" s="12">
        <v>90</v>
      </c>
      <c r="X16" s="12">
        <v>231</v>
      </c>
      <c r="Y16" s="12">
        <v>423</v>
      </c>
      <c r="Z16" s="12">
        <v>270</v>
      </c>
      <c r="AA16" s="12">
        <v>548</v>
      </c>
      <c r="AB16" s="12">
        <v>534</v>
      </c>
      <c r="AC16" s="12">
        <v>325</v>
      </c>
      <c r="AD16" s="12">
        <v>527</v>
      </c>
      <c r="AE16" s="12">
        <v>617</v>
      </c>
      <c r="AF16" s="12">
        <v>310</v>
      </c>
      <c r="AG16" s="12">
        <v>310</v>
      </c>
      <c r="AH16" s="12">
        <v>373</v>
      </c>
      <c r="AI16" s="12">
        <v>270</v>
      </c>
      <c r="AJ16" s="12">
        <v>395</v>
      </c>
      <c r="AK16" s="12">
        <v>445</v>
      </c>
      <c r="AL16" s="12">
        <v>422</v>
      </c>
      <c r="AM16" s="12">
        <v>499</v>
      </c>
      <c r="AN16" s="12">
        <v>493</v>
      </c>
      <c r="AO16" s="12">
        <v>215</v>
      </c>
      <c r="AP16" s="12">
        <v>165</v>
      </c>
      <c r="AQ16" s="12">
        <v>321</v>
      </c>
    </row>
    <row r="17" spans="1:43" x14ac:dyDescent="0.35">
      <c r="A17" s="19"/>
      <c r="B17" s="13" t="s">
        <v>522</v>
      </c>
      <c r="C17" s="15">
        <v>0.46</v>
      </c>
      <c r="D17" s="15">
        <v>0.48</v>
      </c>
      <c r="E17" s="15">
        <v>0.48</v>
      </c>
      <c r="F17" s="15">
        <v>0.46</v>
      </c>
      <c r="G17" s="15">
        <v>7.0000000000000007E-2</v>
      </c>
      <c r="H17" s="15">
        <v>0.57999999999999996</v>
      </c>
      <c r="I17" s="15">
        <v>0.57999999999999996</v>
      </c>
      <c r="J17" s="15">
        <v>0.57000000000000006</v>
      </c>
      <c r="K17" s="15">
        <v>0.5</v>
      </c>
      <c r="L17" s="15">
        <v>0.28999999999999998</v>
      </c>
      <c r="M17" s="15">
        <v>0.55000000000000004</v>
      </c>
      <c r="N17" s="15">
        <v>0.44</v>
      </c>
      <c r="O17" s="15">
        <v>0.53</v>
      </c>
      <c r="P17" s="15">
        <v>0.45</v>
      </c>
      <c r="Q17" s="15">
        <v>0.47</v>
      </c>
      <c r="R17" s="15">
        <v>0.34</v>
      </c>
      <c r="S17" s="15">
        <v>0.55000000000000004</v>
      </c>
      <c r="T17" s="15">
        <v>0.32</v>
      </c>
      <c r="U17" s="15">
        <v>0.1</v>
      </c>
      <c r="V17" s="15">
        <v>0.39</v>
      </c>
      <c r="W17" s="15">
        <v>0.18</v>
      </c>
      <c r="X17" s="15">
        <v>0.23</v>
      </c>
      <c r="Y17" s="15">
        <v>0.42</v>
      </c>
      <c r="Z17" s="15">
        <v>0.26</v>
      </c>
      <c r="AA17" s="15">
        <v>0.53</v>
      </c>
      <c r="AB17" s="15">
        <v>0.51</v>
      </c>
      <c r="AC17" s="15">
        <v>0.32</v>
      </c>
      <c r="AD17" s="15">
        <v>0.52</v>
      </c>
      <c r="AE17" s="15">
        <v>0.61</v>
      </c>
      <c r="AF17" s="15">
        <v>0.3</v>
      </c>
      <c r="AG17" s="15">
        <v>0.3</v>
      </c>
      <c r="AH17" s="15">
        <v>0.37</v>
      </c>
      <c r="AI17" s="15">
        <v>0.52</v>
      </c>
      <c r="AJ17" s="15">
        <v>0.38</v>
      </c>
      <c r="AK17" s="15">
        <v>0.44</v>
      </c>
      <c r="AL17" s="15">
        <v>0.42</v>
      </c>
      <c r="AM17" s="15">
        <v>0.48</v>
      </c>
      <c r="AN17" s="15">
        <v>0.49</v>
      </c>
      <c r="AO17" s="15">
        <v>0.21</v>
      </c>
      <c r="AP17" s="15">
        <v>0.32</v>
      </c>
      <c r="AQ17" s="15">
        <v>0.32</v>
      </c>
    </row>
    <row r="18" spans="1:43" x14ac:dyDescent="0.35">
      <c r="A18" s="19"/>
      <c r="B18" s="11" t="s">
        <v>523</v>
      </c>
      <c r="C18" s="12">
        <v>3763</v>
      </c>
      <c r="D18" s="12">
        <v>105</v>
      </c>
      <c r="E18" s="12">
        <v>221</v>
      </c>
      <c r="F18" s="12">
        <v>137</v>
      </c>
      <c r="G18" s="12">
        <v>15</v>
      </c>
      <c r="H18" s="12">
        <v>79</v>
      </c>
      <c r="I18" s="12">
        <v>128</v>
      </c>
      <c r="J18" s="12">
        <v>49</v>
      </c>
      <c r="K18" s="12">
        <v>157</v>
      </c>
      <c r="L18" s="12">
        <v>79</v>
      </c>
      <c r="M18" s="12">
        <v>299</v>
      </c>
      <c r="N18" s="12">
        <v>159</v>
      </c>
      <c r="O18" s="12">
        <v>315</v>
      </c>
      <c r="P18" s="12">
        <v>159</v>
      </c>
      <c r="Q18" s="12">
        <v>140</v>
      </c>
      <c r="R18" s="12">
        <v>110</v>
      </c>
      <c r="S18" s="12">
        <v>120</v>
      </c>
      <c r="T18" s="12">
        <v>35</v>
      </c>
      <c r="U18" s="12">
        <v>5</v>
      </c>
      <c r="V18" s="12">
        <v>183</v>
      </c>
      <c r="W18" s="12">
        <v>11</v>
      </c>
      <c r="X18" s="12">
        <v>26</v>
      </c>
      <c r="Y18" s="12">
        <v>110</v>
      </c>
      <c r="Z18" s="12">
        <v>27</v>
      </c>
      <c r="AA18" s="12">
        <v>82</v>
      </c>
      <c r="AB18" s="12">
        <v>180</v>
      </c>
      <c r="AC18" s="12">
        <v>61</v>
      </c>
      <c r="AD18" s="12">
        <v>260</v>
      </c>
      <c r="AE18" s="12">
        <v>135</v>
      </c>
      <c r="AF18" s="12">
        <v>39</v>
      </c>
      <c r="AG18" s="12">
        <v>245</v>
      </c>
      <c r="AH18" s="12">
        <v>235</v>
      </c>
      <c r="AI18" s="12">
        <v>111</v>
      </c>
      <c r="AJ18" s="12">
        <v>224</v>
      </c>
      <c r="AK18" s="12">
        <v>181</v>
      </c>
      <c r="AL18" s="12">
        <v>232</v>
      </c>
      <c r="AM18" s="12">
        <v>244</v>
      </c>
      <c r="AN18" s="12">
        <v>158</v>
      </c>
      <c r="AO18" s="12">
        <v>136</v>
      </c>
      <c r="AP18" s="12">
        <v>121</v>
      </c>
      <c r="AQ18" s="12">
        <v>237</v>
      </c>
    </row>
    <row r="19" spans="1:43" x14ac:dyDescent="0.35">
      <c r="A19" s="19"/>
      <c r="B19" s="13" t="s">
        <v>524</v>
      </c>
      <c r="C19" s="15">
        <v>0.14000000000000001</v>
      </c>
      <c r="D19" s="15">
        <v>0.1</v>
      </c>
      <c r="E19" s="15">
        <v>0.21</v>
      </c>
      <c r="F19" s="15">
        <v>0.12</v>
      </c>
      <c r="G19" s="15">
        <v>0.02</v>
      </c>
      <c r="H19" s="15">
        <v>0.06</v>
      </c>
      <c r="I19" s="15">
        <v>0.08</v>
      </c>
      <c r="J19" s="15">
        <v>0.17</v>
      </c>
      <c r="K19" s="15">
        <v>0.16</v>
      </c>
      <c r="L19" s="15">
        <v>0.08</v>
      </c>
      <c r="M19" s="15">
        <v>0.3</v>
      </c>
      <c r="N19" s="15">
        <v>0.16</v>
      </c>
      <c r="O19" s="15">
        <v>0.31</v>
      </c>
      <c r="P19" s="15">
        <v>0.16</v>
      </c>
      <c r="Q19" s="15">
        <v>0.14000000000000001</v>
      </c>
      <c r="R19" s="15">
        <v>0.22</v>
      </c>
      <c r="S19" s="15">
        <v>0.12</v>
      </c>
      <c r="T19" s="15">
        <v>0.03</v>
      </c>
      <c r="U19" s="15">
        <v>0.01</v>
      </c>
      <c r="V19" s="15">
        <v>0.18</v>
      </c>
      <c r="W19" s="15">
        <v>0.02</v>
      </c>
      <c r="X19" s="15">
        <v>0.02</v>
      </c>
      <c r="Y19" s="15">
        <v>0.11</v>
      </c>
      <c r="Z19" s="15">
        <v>0.03</v>
      </c>
      <c r="AA19" s="15">
        <v>0.08</v>
      </c>
      <c r="AB19" s="15">
        <v>0.17</v>
      </c>
      <c r="AC19" s="15">
        <v>0.06</v>
      </c>
      <c r="AD19" s="15">
        <v>0.26</v>
      </c>
      <c r="AE19" s="15">
        <v>0.13</v>
      </c>
      <c r="AF19" s="15">
        <v>0.04</v>
      </c>
      <c r="AG19" s="15">
        <v>0.24</v>
      </c>
      <c r="AH19" s="15">
        <v>0.23</v>
      </c>
      <c r="AI19" s="15">
        <v>0.21</v>
      </c>
      <c r="AJ19" s="15">
        <v>0.22</v>
      </c>
      <c r="AK19" s="15">
        <v>0.18</v>
      </c>
      <c r="AL19" s="15">
        <v>0.23</v>
      </c>
      <c r="AM19" s="15">
        <v>0.23</v>
      </c>
      <c r="AN19" s="15">
        <v>0.16</v>
      </c>
      <c r="AO19" s="15">
        <v>0.14000000000000001</v>
      </c>
      <c r="AP19" s="15">
        <v>0.23</v>
      </c>
      <c r="AQ19" s="15">
        <v>0.24</v>
      </c>
    </row>
    <row r="20" spans="1:43" x14ac:dyDescent="0.35">
      <c r="A20" s="19"/>
      <c r="B20" s="11" t="s">
        <v>485</v>
      </c>
      <c r="C20" s="12">
        <v>408</v>
      </c>
      <c r="D20" s="12">
        <v>6</v>
      </c>
      <c r="E20" s="12">
        <v>48</v>
      </c>
      <c r="F20" s="12">
        <v>19</v>
      </c>
      <c r="G20" s="12">
        <v>32</v>
      </c>
      <c r="H20" s="12">
        <v>14</v>
      </c>
      <c r="I20" s="12">
        <v>16</v>
      </c>
      <c r="J20" s="12">
        <v>2</v>
      </c>
      <c r="K20" s="12">
        <v>36</v>
      </c>
      <c r="L20" s="12">
        <v>16</v>
      </c>
      <c r="M20" s="12">
        <v>3</v>
      </c>
      <c r="N20" s="12">
        <v>18</v>
      </c>
      <c r="O20" s="12">
        <v>18</v>
      </c>
      <c r="P20" s="12">
        <v>6</v>
      </c>
      <c r="Q20" s="12">
        <v>11</v>
      </c>
      <c r="R20" s="12">
        <v>5</v>
      </c>
      <c r="S20" s="12">
        <v>27</v>
      </c>
      <c r="T20" s="12">
        <v>22</v>
      </c>
      <c r="U20" s="12">
        <v>6</v>
      </c>
      <c r="V20" s="12">
        <v>15</v>
      </c>
      <c r="W20" s="12">
        <v>8</v>
      </c>
      <c r="X20" s="12">
        <v>6</v>
      </c>
      <c r="Y20" s="12">
        <v>10</v>
      </c>
      <c r="Z20" s="12">
        <v>26</v>
      </c>
      <c r="AA20" s="12">
        <v>42</v>
      </c>
      <c r="AB20" s="12">
        <v>14</v>
      </c>
      <c r="AC20" s="12">
        <v>7</v>
      </c>
      <c r="AD20" s="12">
        <v>18</v>
      </c>
      <c r="AE20" s="12">
        <v>21</v>
      </c>
      <c r="AF20" s="12">
        <v>10</v>
      </c>
      <c r="AG20" s="12">
        <v>3</v>
      </c>
      <c r="AH20" s="12">
        <v>3</v>
      </c>
      <c r="AI20" s="12">
        <v>2</v>
      </c>
      <c r="AJ20" s="12">
        <v>2</v>
      </c>
      <c r="AK20" s="12">
        <v>0</v>
      </c>
      <c r="AL20" s="12">
        <v>65</v>
      </c>
      <c r="AM20" s="12">
        <v>34</v>
      </c>
      <c r="AN20" s="12">
        <v>0</v>
      </c>
      <c r="AO20" s="12">
        <v>8</v>
      </c>
      <c r="AP20" s="12">
        <v>2</v>
      </c>
      <c r="AQ20" s="12">
        <v>35</v>
      </c>
    </row>
    <row r="21" spans="1:43" x14ac:dyDescent="0.35">
      <c r="A21" s="19"/>
      <c r="B21" s="13" t="s">
        <v>486</v>
      </c>
      <c r="C21" s="15">
        <v>0.02</v>
      </c>
      <c r="D21" s="15">
        <v>0.01</v>
      </c>
      <c r="E21" s="15">
        <v>0.05</v>
      </c>
      <c r="F21" s="15">
        <v>0.02</v>
      </c>
      <c r="G21" s="15">
        <v>0.03</v>
      </c>
      <c r="H21" s="15">
        <v>0.01</v>
      </c>
      <c r="I21" s="15">
        <v>0.01</v>
      </c>
      <c r="J21" s="15">
        <v>0.01</v>
      </c>
      <c r="K21" s="15">
        <v>0.04</v>
      </c>
      <c r="L21" s="15">
        <v>0.02</v>
      </c>
      <c r="M21" s="14" t="s">
        <v>475</v>
      </c>
      <c r="N21" s="15">
        <v>0.02</v>
      </c>
      <c r="O21" s="15">
        <v>0.02</v>
      </c>
      <c r="P21" s="14" t="s">
        <v>475</v>
      </c>
      <c r="Q21" s="15">
        <v>0.01</v>
      </c>
      <c r="R21" s="15">
        <v>0.01</v>
      </c>
      <c r="S21" s="15">
        <v>0.03</v>
      </c>
      <c r="T21" s="15">
        <v>0.02</v>
      </c>
      <c r="U21" s="15">
        <v>0.01</v>
      </c>
      <c r="V21" s="15">
        <v>0.02</v>
      </c>
      <c r="W21" s="15">
        <v>0.01</v>
      </c>
      <c r="X21" s="15">
        <v>0.01</v>
      </c>
      <c r="Y21" s="15">
        <v>0.01</v>
      </c>
      <c r="Z21" s="15">
        <v>0.03</v>
      </c>
      <c r="AA21" s="15">
        <v>0.04</v>
      </c>
      <c r="AB21" s="15">
        <v>0.01</v>
      </c>
      <c r="AC21" s="15">
        <v>0.01</v>
      </c>
      <c r="AD21" s="15">
        <v>0.02</v>
      </c>
      <c r="AE21" s="15">
        <v>0.02</v>
      </c>
      <c r="AF21" s="15">
        <v>0.01</v>
      </c>
      <c r="AG21" s="14" t="s">
        <v>475</v>
      </c>
      <c r="AH21" s="14" t="s">
        <v>475</v>
      </c>
      <c r="AI21" s="14" t="s">
        <v>475</v>
      </c>
      <c r="AJ21" s="14" t="s">
        <v>475</v>
      </c>
      <c r="AK21" s="14" t="s">
        <v>475</v>
      </c>
      <c r="AL21" s="15">
        <v>0.06</v>
      </c>
      <c r="AM21" s="15">
        <v>0.03</v>
      </c>
      <c r="AN21" s="14" t="s">
        <v>475</v>
      </c>
      <c r="AO21" s="15">
        <v>0.01</v>
      </c>
      <c r="AP21" s="14" t="s">
        <v>475</v>
      </c>
      <c r="AQ21" s="15">
        <v>0.03</v>
      </c>
    </row>
    <row r="22" spans="1:43" x14ac:dyDescent="0.35">
      <c r="A22" s="19"/>
      <c r="B22" s="11" t="s">
        <v>525</v>
      </c>
      <c r="C22" s="12">
        <v>10086</v>
      </c>
      <c r="D22" s="12">
        <v>414</v>
      </c>
      <c r="E22" s="12">
        <v>265</v>
      </c>
      <c r="F22" s="12">
        <v>439</v>
      </c>
      <c r="G22" s="12">
        <v>886</v>
      </c>
      <c r="H22" s="12">
        <v>427</v>
      </c>
      <c r="I22" s="12">
        <v>501</v>
      </c>
      <c r="J22" s="12">
        <v>74</v>
      </c>
      <c r="K22" s="12">
        <v>309</v>
      </c>
      <c r="L22" s="12">
        <v>620</v>
      </c>
      <c r="M22" s="12">
        <v>154</v>
      </c>
      <c r="N22" s="12">
        <v>380</v>
      </c>
      <c r="O22" s="12">
        <v>136</v>
      </c>
      <c r="P22" s="12">
        <v>391</v>
      </c>
      <c r="Q22" s="12">
        <v>391</v>
      </c>
      <c r="R22" s="12">
        <v>218</v>
      </c>
      <c r="S22" s="12">
        <v>304</v>
      </c>
      <c r="T22" s="12">
        <v>633</v>
      </c>
      <c r="U22" s="12">
        <v>441</v>
      </c>
      <c r="V22" s="12">
        <v>418</v>
      </c>
      <c r="W22" s="12">
        <v>399</v>
      </c>
      <c r="X22" s="12">
        <v>747</v>
      </c>
      <c r="Y22" s="12">
        <v>460</v>
      </c>
      <c r="Z22" s="12">
        <v>708</v>
      </c>
      <c r="AA22" s="12">
        <v>361</v>
      </c>
      <c r="AB22" s="12">
        <v>323</v>
      </c>
      <c r="AC22" s="12">
        <v>611</v>
      </c>
      <c r="AD22" s="12">
        <v>202</v>
      </c>
      <c r="AE22" s="12">
        <v>239</v>
      </c>
      <c r="AF22" s="12">
        <v>684</v>
      </c>
      <c r="AG22" s="12">
        <v>476</v>
      </c>
      <c r="AH22" s="12">
        <v>402</v>
      </c>
      <c r="AI22" s="12">
        <v>141</v>
      </c>
      <c r="AJ22" s="12">
        <v>416</v>
      </c>
      <c r="AK22" s="12">
        <v>380</v>
      </c>
      <c r="AL22" s="12">
        <v>293</v>
      </c>
      <c r="AM22" s="12">
        <v>264</v>
      </c>
      <c r="AN22" s="12">
        <v>352</v>
      </c>
      <c r="AO22" s="12">
        <v>646</v>
      </c>
      <c r="AP22" s="12">
        <v>236</v>
      </c>
      <c r="AQ22" s="12">
        <v>410</v>
      </c>
    </row>
    <row r="23" spans="1:43" x14ac:dyDescent="0.35">
      <c r="A23" s="19"/>
      <c r="B23" s="13" t="s">
        <v>526</v>
      </c>
      <c r="C23" s="15">
        <v>0.38</v>
      </c>
      <c r="D23" s="15">
        <v>0.41</v>
      </c>
      <c r="E23" s="15">
        <v>0.26</v>
      </c>
      <c r="F23" s="15">
        <v>0.4</v>
      </c>
      <c r="G23" s="15">
        <v>0.88</v>
      </c>
      <c r="H23" s="15">
        <v>0.35</v>
      </c>
      <c r="I23" s="15">
        <v>0.33</v>
      </c>
      <c r="J23" s="15">
        <v>0.25</v>
      </c>
      <c r="K23" s="15">
        <v>0.3</v>
      </c>
      <c r="L23" s="15">
        <v>0.61</v>
      </c>
      <c r="M23" s="15">
        <v>0.15</v>
      </c>
      <c r="N23" s="15">
        <v>0.38</v>
      </c>
      <c r="O23" s="15">
        <v>0.14000000000000001</v>
      </c>
      <c r="P23" s="15">
        <v>0.39</v>
      </c>
      <c r="Q23" s="15">
        <v>0.38</v>
      </c>
      <c r="R23" s="15">
        <v>0.43</v>
      </c>
      <c r="S23" s="15">
        <v>0.3</v>
      </c>
      <c r="T23" s="15">
        <v>0.63</v>
      </c>
      <c r="U23" s="15">
        <v>0.88</v>
      </c>
      <c r="V23" s="15">
        <v>0.41</v>
      </c>
      <c r="W23" s="15">
        <v>0.79</v>
      </c>
      <c r="X23" s="15">
        <v>0.74</v>
      </c>
      <c r="Y23" s="15">
        <v>0.46</v>
      </c>
      <c r="Z23" s="15">
        <v>0.68</v>
      </c>
      <c r="AA23" s="15">
        <v>0.35</v>
      </c>
      <c r="AB23" s="15">
        <v>0.31</v>
      </c>
      <c r="AC23" s="15">
        <v>0.61</v>
      </c>
      <c r="AD23" s="15">
        <v>0.2</v>
      </c>
      <c r="AE23" s="15">
        <v>0.24</v>
      </c>
      <c r="AF23" s="15">
        <v>0.65</v>
      </c>
      <c r="AG23" s="15">
        <v>0.46</v>
      </c>
      <c r="AH23" s="15">
        <v>0.4</v>
      </c>
      <c r="AI23" s="15">
        <v>0.27</v>
      </c>
      <c r="AJ23" s="15">
        <v>0.4</v>
      </c>
      <c r="AK23" s="15">
        <v>0.38</v>
      </c>
      <c r="AL23" s="15">
        <v>0.28999999999999998</v>
      </c>
      <c r="AM23" s="15">
        <v>0.26</v>
      </c>
      <c r="AN23" s="15">
        <v>0.35</v>
      </c>
      <c r="AO23" s="15">
        <v>0.64</v>
      </c>
      <c r="AP23" s="15">
        <v>0.45</v>
      </c>
      <c r="AQ23" s="15">
        <v>0.41</v>
      </c>
    </row>
    <row r="24" spans="1:43" x14ac:dyDescent="0.35">
      <c r="A24" s="19"/>
      <c r="B24" s="11" t="s">
        <v>527</v>
      </c>
      <c r="C24" s="12">
        <v>15951</v>
      </c>
      <c r="D24" s="12">
        <v>593</v>
      </c>
      <c r="E24" s="12">
        <v>717</v>
      </c>
      <c r="F24" s="12">
        <v>644</v>
      </c>
      <c r="G24" s="12">
        <v>87</v>
      </c>
      <c r="H24" s="12">
        <v>781</v>
      </c>
      <c r="I24" s="12">
        <v>999</v>
      </c>
      <c r="J24" s="12">
        <v>218</v>
      </c>
      <c r="K24" s="12">
        <v>655</v>
      </c>
      <c r="L24" s="12">
        <v>366</v>
      </c>
      <c r="M24" s="12">
        <v>853</v>
      </c>
      <c r="N24" s="12">
        <v>605</v>
      </c>
      <c r="O24" s="12">
        <v>848</v>
      </c>
      <c r="P24" s="12">
        <v>607</v>
      </c>
      <c r="Q24" s="12">
        <v>625</v>
      </c>
      <c r="R24" s="12">
        <v>282</v>
      </c>
      <c r="S24" s="12">
        <v>671</v>
      </c>
      <c r="T24" s="12">
        <v>352</v>
      </c>
      <c r="U24" s="12">
        <v>56</v>
      </c>
      <c r="V24" s="12">
        <v>581</v>
      </c>
      <c r="W24" s="12">
        <v>101</v>
      </c>
      <c r="X24" s="12">
        <v>257</v>
      </c>
      <c r="Y24" s="12">
        <v>533</v>
      </c>
      <c r="Z24" s="12">
        <v>297</v>
      </c>
      <c r="AA24" s="12">
        <v>630</v>
      </c>
      <c r="AB24" s="12">
        <v>714</v>
      </c>
      <c r="AC24" s="12">
        <v>386</v>
      </c>
      <c r="AD24" s="12">
        <v>787</v>
      </c>
      <c r="AE24" s="12">
        <v>752</v>
      </c>
      <c r="AF24" s="12">
        <v>349</v>
      </c>
      <c r="AG24" s="12">
        <v>555</v>
      </c>
      <c r="AH24" s="12">
        <v>608</v>
      </c>
      <c r="AI24" s="12">
        <v>381</v>
      </c>
      <c r="AJ24" s="12">
        <v>619</v>
      </c>
      <c r="AK24" s="12">
        <v>626</v>
      </c>
      <c r="AL24" s="12">
        <v>654</v>
      </c>
      <c r="AM24" s="12">
        <v>743</v>
      </c>
      <c r="AN24" s="12">
        <v>651</v>
      </c>
      <c r="AO24" s="12">
        <v>351</v>
      </c>
      <c r="AP24" s="12">
        <v>286</v>
      </c>
      <c r="AQ24" s="12">
        <v>558</v>
      </c>
    </row>
    <row r="25" spans="1:43" x14ac:dyDescent="0.35">
      <c r="A25" s="19"/>
      <c r="B25" s="13" t="s">
        <v>528</v>
      </c>
      <c r="C25" s="15">
        <v>0.6</v>
      </c>
      <c r="D25" s="15">
        <v>0.57999999999999996</v>
      </c>
      <c r="E25" s="15">
        <v>0.69000000000000006</v>
      </c>
      <c r="F25" s="15">
        <v>0.57999999999999996</v>
      </c>
      <c r="G25" s="15">
        <v>0.09</v>
      </c>
      <c r="H25" s="15">
        <v>0.64</v>
      </c>
      <c r="I25" s="15">
        <v>0.66</v>
      </c>
      <c r="J25" s="15">
        <v>0.74</v>
      </c>
      <c r="K25" s="15">
        <v>0.66</v>
      </c>
      <c r="L25" s="15">
        <v>0.37</v>
      </c>
      <c r="M25" s="15">
        <v>0.85</v>
      </c>
      <c r="N25" s="15">
        <v>0.6</v>
      </c>
      <c r="O25" s="15">
        <v>0.84</v>
      </c>
      <c r="P25" s="15">
        <v>0.61</v>
      </c>
      <c r="Q25" s="15">
        <v>0.61</v>
      </c>
      <c r="R25" s="15">
        <v>0.56000000000000005</v>
      </c>
      <c r="S25" s="15">
        <v>0.67</v>
      </c>
      <c r="T25" s="15">
        <v>0.35</v>
      </c>
      <c r="U25" s="15">
        <v>0.11</v>
      </c>
      <c r="V25" s="15">
        <v>0.57000000000000006</v>
      </c>
      <c r="W25" s="15">
        <v>0.2</v>
      </c>
      <c r="X25" s="15">
        <v>0.25</v>
      </c>
      <c r="Y25" s="15">
        <v>0.53</v>
      </c>
      <c r="Z25" s="15">
        <v>0.28999999999999998</v>
      </c>
      <c r="AA25" s="15">
        <v>0.61</v>
      </c>
      <c r="AB25" s="15">
        <v>0.68</v>
      </c>
      <c r="AC25" s="15">
        <v>0.38</v>
      </c>
      <c r="AD25" s="15">
        <v>0.78</v>
      </c>
      <c r="AE25" s="15">
        <v>0.74</v>
      </c>
      <c r="AF25" s="15">
        <v>0.34</v>
      </c>
      <c r="AG25" s="15">
        <v>0.54</v>
      </c>
      <c r="AH25" s="15">
        <v>0.6</v>
      </c>
      <c r="AI25" s="15">
        <v>0.73</v>
      </c>
      <c r="AJ25" s="15">
        <v>0.6</v>
      </c>
      <c r="AK25" s="15">
        <v>0.62</v>
      </c>
      <c r="AL25" s="15">
        <v>0.65</v>
      </c>
      <c r="AM25" s="15">
        <v>0.71</v>
      </c>
      <c r="AN25" s="15">
        <v>0.65</v>
      </c>
      <c r="AO25" s="15">
        <v>0.35</v>
      </c>
      <c r="AP25" s="15">
        <v>0.55000000000000004</v>
      </c>
      <c r="AQ25" s="15">
        <v>0.56000000000000005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533</v>
      </c>
      <c r="C3" s="18"/>
      <c r="D3" s="18"/>
      <c r="E3" s="18"/>
      <c r="F3" s="18"/>
      <c r="H3" s="18" t="s">
        <v>534</v>
      </c>
      <c r="I3" s="18"/>
      <c r="J3" s="18"/>
      <c r="K3" s="18"/>
      <c r="L3" s="18"/>
    </row>
    <row r="4" spans="1:43" ht="27" customHeight="1" x14ac:dyDescent="0.35">
      <c r="B4" s="18" t="s">
        <v>535</v>
      </c>
      <c r="C4" s="18"/>
      <c r="D4" s="18"/>
      <c r="E4" s="18"/>
      <c r="F4" s="18"/>
      <c r="H4" s="18" t="s">
        <v>536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517</v>
      </c>
      <c r="C12" s="12">
        <v>811</v>
      </c>
      <c r="D12" s="12">
        <v>12</v>
      </c>
      <c r="E12" s="12">
        <v>74</v>
      </c>
      <c r="F12" s="12">
        <v>44</v>
      </c>
      <c r="G12" s="12">
        <v>68</v>
      </c>
      <c r="H12" s="12">
        <v>13</v>
      </c>
      <c r="I12" s="12">
        <v>15</v>
      </c>
      <c r="J12" s="12">
        <v>3</v>
      </c>
      <c r="K12" s="12">
        <v>47</v>
      </c>
      <c r="L12" s="12">
        <v>63</v>
      </c>
      <c r="M12" s="12">
        <v>60</v>
      </c>
      <c r="N12" s="12">
        <v>23</v>
      </c>
      <c r="O12" s="12">
        <v>6</v>
      </c>
      <c r="P12" s="12">
        <v>65</v>
      </c>
      <c r="Q12" s="12">
        <v>30</v>
      </c>
      <c r="R12" s="12">
        <v>12</v>
      </c>
      <c r="S12" s="12">
        <v>29</v>
      </c>
      <c r="T12" s="12">
        <v>52</v>
      </c>
      <c r="U12" s="12">
        <v>6</v>
      </c>
      <c r="V12" s="12">
        <v>48</v>
      </c>
      <c r="W12" s="12">
        <v>13</v>
      </c>
      <c r="X12" s="12">
        <v>52</v>
      </c>
      <c r="Y12" s="12">
        <v>82</v>
      </c>
      <c r="Z12" s="12">
        <v>78</v>
      </c>
      <c r="AA12" s="12">
        <v>23</v>
      </c>
      <c r="AB12" s="12">
        <v>60</v>
      </c>
      <c r="AC12" s="12">
        <v>37</v>
      </c>
      <c r="AD12" s="12">
        <v>29</v>
      </c>
      <c r="AE12" s="12">
        <v>18</v>
      </c>
      <c r="AF12" s="12">
        <v>18</v>
      </c>
      <c r="AG12" s="12">
        <v>116</v>
      </c>
      <c r="AH12" s="12">
        <v>127</v>
      </c>
      <c r="AI12" s="12">
        <v>34</v>
      </c>
      <c r="AJ12" s="12">
        <v>149</v>
      </c>
      <c r="AK12" s="12">
        <v>194</v>
      </c>
      <c r="AL12" s="12">
        <v>103</v>
      </c>
      <c r="AM12" s="12">
        <v>10</v>
      </c>
      <c r="AN12" s="12">
        <v>156</v>
      </c>
      <c r="AO12" s="12">
        <v>348</v>
      </c>
      <c r="AP12" s="12">
        <v>231</v>
      </c>
      <c r="AQ12" s="12">
        <v>201</v>
      </c>
    </row>
    <row r="13" spans="1:43" x14ac:dyDescent="0.35">
      <c r="A13" s="19"/>
      <c r="B13" s="13" t="s">
        <v>518</v>
      </c>
      <c r="C13" s="15">
        <v>0.03</v>
      </c>
      <c r="D13" s="15">
        <v>0.01</v>
      </c>
      <c r="E13" s="15">
        <v>7.0000000000000007E-2</v>
      </c>
      <c r="F13" s="15">
        <v>0.04</v>
      </c>
      <c r="G13" s="15">
        <v>7.0000000000000007E-2</v>
      </c>
      <c r="H13" s="15">
        <v>0.01</v>
      </c>
      <c r="I13" s="15">
        <v>0.01</v>
      </c>
      <c r="J13" s="15">
        <v>0.01</v>
      </c>
      <c r="K13" s="15">
        <v>0.05</v>
      </c>
      <c r="L13" s="15">
        <v>0.06</v>
      </c>
      <c r="M13" s="15">
        <v>0.06</v>
      </c>
      <c r="N13" s="15">
        <v>0.02</v>
      </c>
      <c r="O13" s="15">
        <v>0.01</v>
      </c>
      <c r="P13" s="15">
        <v>0.06</v>
      </c>
      <c r="Q13" s="15">
        <v>0.03</v>
      </c>
      <c r="R13" s="15">
        <v>0.02</v>
      </c>
      <c r="S13" s="15">
        <v>0.03</v>
      </c>
      <c r="T13" s="15">
        <v>0.05</v>
      </c>
      <c r="U13" s="15">
        <v>0.01</v>
      </c>
      <c r="V13" s="15">
        <v>0.05</v>
      </c>
      <c r="W13" s="15">
        <v>0.03</v>
      </c>
      <c r="X13" s="15">
        <v>0.05</v>
      </c>
      <c r="Y13" s="15">
        <v>0.08</v>
      </c>
      <c r="Z13" s="15">
        <v>7.0000000000000007E-2</v>
      </c>
      <c r="AA13" s="15">
        <v>0.02</v>
      </c>
      <c r="AB13" s="15">
        <v>0.06</v>
      </c>
      <c r="AC13" s="15">
        <v>0.04</v>
      </c>
      <c r="AD13" s="15">
        <v>0.03</v>
      </c>
      <c r="AE13" s="15">
        <v>0.02</v>
      </c>
      <c r="AF13" s="15">
        <v>0.02</v>
      </c>
      <c r="AG13" s="15">
        <v>0.11</v>
      </c>
      <c r="AH13" s="15">
        <v>0.13</v>
      </c>
      <c r="AI13" s="15">
        <v>7.0000000000000007E-2</v>
      </c>
      <c r="AJ13" s="15">
        <v>0.14000000000000001</v>
      </c>
      <c r="AK13" s="15">
        <v>0.19</v>
      </c>
      <c r="AL13" s="15">
        <v>0.1</v>
      </c>
      <c r="AM13" s="15">
        <v>0.01</v>
      </c>
      <c r="AN13" s="15">
        <v>0.15</v>
      </c>
      <c r="AO13" s="15">
        <v>0.35</v>
      </c>
      <c r="AP13" s="15">
        <v>0.44</v>
      </c>
      <c r="AQ13" s="15">
        <v>0.2</v>
      </c>
    </row>
    <row r="14" spans="1:43" x14ac:dyDescent="0.35">
      <c r="A14" s="19"/>
      <c r="B14" s="11" t="s">
        <v>519</v>
      </c>
      <c r="C14" s="12">
        <v>11263</v>
      </c>
      <c r="D14" s="12">
        <v>393</v>
      </c>
      <c r="E14" s="12">
        <v>422</v>
      </c>
      <c r="F14" s="12">
        <v>410</v>
      </c>
      <c r="G14" s="12">
        <v>539</v>
      </c>
      <c r="H14" s="12">
        <v>431</v>
      </c>
      <c r="I14" s="12">
        <v>516</v>
      </c>
      <c r="J14" s="12">
        <v>84</v>
      </c>
      <c r="K14" s="12">
        <v>390</v>
      </c>
      <c r="L14" s="12">
        <v>535</v>
      </c>
      <c r="M14" s="12">
        <v>377</v>
      </c>
      <c r="N14" s="12">
        <v>459</v>
      </c>
      <c r="O14" s="12">
        <v>288</v>
      </c>
      <c r="P14" s="12">
        <v>527</v>
      </c>
      <c r="Q14" s="12">
        <v>437</v>
      </c>
      <c r="R14" s="12">
        <v>243</v>
      </c>
      <c r="S14" s="12">
        <v>567</v>
      </c>
      <c r="T14" s="12">
        <v>686</v>
      </c>
      <c r="U14" s="12">
        <v>227</v>
      </c>
      <c r="V14" s="12">
        <v>513</v>
      </c>
      <c r="W14" s="12">
        <v>316</v>
      </c>
      <c r="X14" s="12">
        <v>618</v>
      </c>
      <c r="Y14" s="12">
        <v>365</v>
      </c>
      <c r="Z14" s="12">
        <v>621</v>
      </c>
      <c r="AA14" s="12">
        <v>616</v>
      </c>
      <c r="AB14" s="12">
        <v>493</v>
      </c>
      <c r="AC14" s="12">
        <v>541</v>
      </c>
      <c r="AD14" s="12">
        <v>449</v>
      </c>
      <c r="AE14" s="12">
        <v>423</v>
      </c>
      <c r="AF14" s="12">
        <v>539</v>
      </c>
      <c r="AG14" s="12">
        <v>402</v>
      </c>
      <c r="AH14" s="12">
        <v>572</v>
      </c>
      <c r="AI14" s="12">
        <v>116</v>
      </c>
      <c r="AJ14" s="12">
        <v>493</v>
      </c>
      <c r="AK14" s="12">
        <v>673</v>
      </c>
      <c r="AL14" s="12">
        <v>444</v>
      </c>
      <c r="AM14" s="12">
        <v>306</v>
      </c>
      <c r="AN14" s="12">
        <v>477</v>
      </c>
      <c r="AO14" s="12">
        <v>424</v>
      </c>
      <c r="AP14" s="12">
        <v>206</v>
      </c>
      <c r="AQ14" s="12">
        <v>405</v>
      </c>
    </row>
    <row r="15" spans="1:43" x14ac:dyDescent="0.35">
      <c r="A15" s="19"/>
      <c r="B15" s="13" t="s">
        <v>520</v>
      </c>
      <c r="C15" s="15">
        <v>0.43</v>
      </c>
      <c r="D15" s="15">
        <v>0.39</v>
      </c>
      <c r="E15" s="15">
        <v>0.41</v>
      </c>
      <c r="F15" s="15">
        <v>0.37</v>
      </c>
      <c r="G15" s="15">
        <v>0.53</v>
      </c>
      <c r="H15" s="15">
        <v>0.35</v>
      </c>
      <c r="I15" s="15">
        <v>0.34</v>
      </c>
      <c r="J15" s="15">
        <v>0.28000000000000003</v>
      </c>
      <c r="K15" s="15">
        <v>0.39</v>
      </c>
      <c r="L15" s="15">
        <v>0.54</v>
      </c>
      <c r="M15" s="15">
        <v>0.37</v>
      </c>
      <c r="N15" s="15">
        <v>0.46</v>
      </c>
      <c r="O15" s="15">
        <v>0.28999999999999998</v>
      </c>
      <c r="P15" s="15">
        <v>0.53</v>
      </c>
      <c r="Q15" s="15">
        <v>0.42</v>
      </c>
      <c r="R15" s="15">
        <v>0.48</v>
      </c>
      <c r="S15" s="15">
        <v>0.57000000000000006</v>
      </c>
      <c r="T15" s="15">
        <v>0.68</v>
      </c>
      <c r="U15" s="15">
        <v>0.45</v>
      </c>
      <c r="V15" s="15">
        <v>0.51</v>
      </c>
      <c r="W15" s="15">
        <v>0.62</v>
      </c>
      <c r="X15" s="15">
        <v>0.61</v>
      </c>
      <c r="Y15" s="15">
        <v>0.36</v>
      </c>
      <c r="Z15" s="15">
        <v>0.6</v>
      </c>
      <c r="AA15" s="15">
        <v>0.6</v>
      </c>
      <c r="AB15" s="15">
        <v>0.47</v>
      </c>
      <c r="AC15" s="15">
        <v>0.54</v>
      </c>
      <c r="AD15" s="15">
        <v>0.45</v>
      </c>
      <c r="AE15" s="15">
        <v>0.42</v>
      </c>
      <c r="AF15" s="15">
        <v>0.52</v>
      </c>
      <c r="AG15" s="15">
        <v>0.39</v>
      </c>
      <c r="AH15" s="15">
        <v>0.56000000000000005</v>
      </c>
      <c r="AI15" s="15">
        <v>0.22</v>
      </c>
      <c r="AJ15" s="15">
        <v>0.48</v>
      </c>
      <c r="AK15" s="15">
        <v>0.67</v>
      </c>
      <c r="AL15" s="15">
        <v>0.44</v>
      </c>
      <c r="AM15" s="15">
        <v>0.28999999999999998</v>
      </c>
      <c r="AN15" s="15">
        <v>0.48</v>
      </c>
      <c r="AO15" s="15">
        <v>0.42</v>
      </c>
      <c r="AP15" s="15">
        <v>0.39</v>
      </c>
      <c r="AQ15" s="15">
        <v>0.4</v>
      </c>
    </row>
    <row r="16" spans="1:43" x14ac:dyDescent="0.35">
      <c r="A16" s="19"/>
      <c r="B16" s="11" t="s">
        <v>521</v>
      </c>
      <c r="C16" s="12">
        <v>10371</v>
      </c>
      <c r="D16" s="12">
        <v>495</v>
      </c>
      <c r="E16" s="12">
        <v>279</v>
      </c>
      <c r="F16" s="12">
        <v>483</v>
      </c>
      <c r="G16" s="12">
        <v>259</v>
      </c>
      <c r="H16" s="12">
        <v>659</v>
      </c>
      <c r="I16" s="12">
        <v>825</v>
      </c>
      <c r="J16" s="12">
        <v>166</v>
      </c>
      <c r="K16" s="12">
        <v>347</v>
      </c>
      <c r="L16" s="12">
        <v>244</v>
      </c>
      <c r="M16" s="12">
        <v>417</v>
      </c>
      <c r="N16" s="12">
        <v>361</v>
      </c>
      <c r="O16" s="12">
        <v>442</v>
      </c>
      <c r="P16" s="12">
        <v>270</v>
      </c>
      <c r="Q16" s="12">
        <v>399</v>
      </c>
      <c r="R16" s="12">
        <v>152</v>
      </c>
      <c r="S16" s="12">
        <v>250</v>
      </c>
      <c r="T16" s="12">
        <v>166</v>
      </c>
      <c r="U16" s="12">
        <v>196</v>
      </c>
      <c r="V16" s="12">
        <v>349</v>
      </c>
      <c r="W16" s="12">
        <v>113</v>
      </c>
      <c r="X16" s="12">
        <v>261</v>
      </c>
      <c r="Y16" s="12">
        <v>385</v>
      </c>
      <c r="Z16" s="12">
        <v>234</v>
      </c>
      <c r="AA16" s="12">
        <v>249</v>
      </c>
      <c r="AB16" s="12">
        <v>369</v>
      </c>
      <c r="AC16" s="12">
        <v>365</v>
      </c>
      <c r="AD16" s="12">
        <v>375</v>
      </c>
      <c r="AE16" s="12">
        <v>410</v>
      </c>
      <c r="AF16" s="12">
        <v>338</v>
      </c>
      <c r="AG16" s="12">
        <v>297</v>
      </c>
      <c r="AH16" s="12">
        <v>205</v>
      </c>
      <c r="AI16" s="12">
        <v>253</v>
      </c>
      <c r="AJ16" s="12">
        <v>283</v>
      </c>
      <c r="AK16" s="12">
        <v>72</v>
      </c>
      <c r="AL16" s="12">
        <v>150</v>
      </c>
      <c r="AM16" s="12">
        <v>354</v>
      </c>
      <c r="AN16" s="12">
        <v>308</v>
      </c>
      <c r="AO16" s="12">
        <v>79</v>
      </c>
      <c r="AP16" s="12">
        <v>55</v>
      </c>
      <c r="AQ16" s="12">
        <v>93</v>
      </c>
    </row>
    <row r="17" spans="1:43" x14ac:dyDescent="0.35">
      <c r="A17" s="19"/>
      <c r="B17" s="13" t="s">
        <v>522</v>
      </c>
      <c r="C17" s="15">
        <v>0.39</v>
      </c>
      <c r="D17" s="15">
        <v>0.49</v>
      </c>
      <c r="E17" s="15">
        <v>0.27</v>
      </c>
      <c r="F17" s="15">
        <v>0.44</v>
      </c>
      <c r="G17" s="15">
        <v>0.26</v>
      </c>
      <c r="H17" s="15">
        <v>0.54</v>
      </c>
      <c r="I17" s="15">
        <v>0.54</v>
      </c>
      <c r="J17" s="15">
        <v>0.56000000000000005</v>
      </c>
      <c r="K17" s="15">
        <v>0.35</v>
      </c>
      <c r="L17" s="15">
        <v>0.24</v>
      </c>
      <c r="M17" s="15">
        <v>0.41</v>
      </c>
      <c r="N17" s="15">
        <v>0.36</v>
      </c>
      <c r="O17" s="15">
        <v>0.44</v>
      </c>
      <c r="P17" s="15">
        <v>0.27</v>
      </c>
      <c r="Q17" s="15">
        <v>0.39</v>
      </c>
      <c r="R17" s="15">
        <v>0.3</v>
      </c>
      <c r="S17" s="15">
        <v>0.25</v>
      </c>
      <c r="T17" s="15">
        <v>0.16</v>
      </c>
      <c r="U17" s="15">
        <v>0.39</v>
      </c>
      <c r="V17" s="15">
        <v>0.34</v>
      </c>
      <c r="W17" s="15">
        <v>0.22</v>
      </c>
      <c r="X17" s="15">
        <v>0.26</v>
      </c>
      <c r="Y17" s="15">
        <v>0.38</v>
      </c>
      <c r="Z17" s="15">
        <v>0.23</v>
      </c>
      <c r="AA17" s="15">
        <v>0.24</v>
      </c>
      <c r="AB17" s="15">
        <v>0.35</v>
      </c>
      <c r="AC17" s="15">
        <v>0.36</v>
      </c>
      <c r="AD17" s="15">
        <v>0.37</v>
      </c>
      <c r="AE17" s="15">
        <v>0.4</v>
      </c>
      <c r="AF17" s="15">
        <v>0.32</v>
      </c>
      <c r="AG17" s="15">
        <v>0.28999999999999998</v>
      </c>
      <c r="AH17" s="15">
        <v>0.2</v>
      </c>
      <c r="AI17" s="15">
        <v>0.48</v>
      </c>
      <c r="AJ17" s="15">
        <v>0.27</v>
      </c>
      <c r="AK17" s="15">
        <v>7.0000000000000007E-2</v>
      </c>
      <c r="AL17" s="15">
        <v>0.15</v>
      </c>
      <c r="AM17" s="15">
        <v>0.34</v>
      </c>
      <c r="AN17" s="15">
        <v>0.31</v>
      </c>
      <c r="AO17" s="15">
        <v>0.08</v>
      </c>
      <c r="AP17" s="15">
        <v>0.1</v>
      </c>
      <c r="AQ17" s="15">
        <v>0.09</v>
      </c>
    </row>
    <row r="18" spans="1:43" x14ac:dyDescent="0.35">
      <c r="A18" s="19"/>
      <c r="B18" s="11" t="s">
        <v>523</v>
      </c>
      <c r="C18" s="12">
        <v>1941</v>
      </c>
      <c r="D18" s="12">
        <v>92</v>
      </c>
      <c r="E18" s="12">
        <v>57</v>
      </c>
      <c r="F18" s="12">
        <v>103</v>
      </c>
      <c r="G18" s="12">
        <v>12</v>
      </c>
      <c r="H18" s="12">
        <v>49</v>
      </c>
      <c r="I18" s="12">
        <v>75</v>
      </c>
      <c r="J18" s="12">
        <v>26</v>
      </c>
      <c r="K18" s="12">
        <v>64</v>
      </c>
      <c r="L18" s="12">
        <v>49</v>
      </c>
      <c r="M18" s="12">
        <v>96</v>
      </c>
      <c r="N18" s="12">
        <v>65</v>
      </c>
      <c r="O18" s="12">
        <v>131</v>
      </c>
      <c r="P18" s="12">
        <v>79</v>
      </c>
      <c r="Q18" s="12">
        <v>109</v>
      </c>
      <c r="R18" s="12">
        <v>38</v>
      </c>
      <c r="S18" s="12">
        <v>31</v>
      </c>
      <c r="T18" s="12">
        <v>16</v>
      </c>
      <c r="U18" s="12">
        <v>48</v>
      </c>
      <c r="V18" s="12">
        <v>72</v>
      </c>
      <c r="W18" s="12">
        <v>5</v>
      </c>
      <c r="X18" s="12">
        <v>38</v>
      </c>
      <c r="Y18" s="12">
        <v>125</v>
      </c>
      <c r="Z18" s="12">
        <v>28</v>
      </c>
      <c r="AA18" s="12">
        <v>59</v>
      </c>
      <c r="AB18" s="12">
        <v>54</v>
      </c>
      <c r="AC18" s="12">
        <v>44</v>
      </c>
      <c r="AD18" s="12">
        <v>84</v>
      </c>
      <c r="AE18" s="12">
        <v>24</v>
      </c>
      <c r="AF18" s="12">
        <v>33</v>
      </c>
      <c r="AG18" s="12">
        <v>197</v>
      </c>
      <c r="AH18" s="12">
        <v>51</v>
      </c>
      <c r="AI18" s="12">
        <v>75</v>
      </c>
      <c r="AJ18" s="12">
        <v>63</v>
      </c>
      <c r="AK18" s="12">
        <v>27</v>
      </c>
      <c r="AL18" s="12">
        <v>49</v>
      </c>
      <c r="AM18" s="12">
        <v>113</v>
      </c>
      <c r="AN18" s="12">
        <v>45</v>
      </c>
      <c r="AO18" s="12">
        <v>59</v>
      </c>
      <c r="AP18" s="12">
        <v>23</v>
      </c>
      <c r="AQ18" s="12">
        <v>39</v>
      </c>
    </row>
    <row r="19" spans="1:43" x14ac:dyDescent="0.35">
      <c r="A19" s="19"/>
      <c r="B19" s="13" t="s">
        <v>524</v>
      </c>
      <c r="C19" s="15">
        <v>7.0000000000000007E-2</v>
      </c>
      <c r="D19" s="15">
        <v>0.09</v>
      </c>
      <c r="E19" s="15">
        <v>0.06</v>
      </c>
      <c r="F19" s="15">
        <v>0.09</v>
      </c>
      <c r="G19" s="15">
        <v>0.01</v>
      </c>
      <c r="H19" s="15">
        <v>0.04</v>
      </c>
      <c r="I19" s="15">
        <v>0.05</v>
      </c>
      <c r="J19" s="15">
        <v>0.09</v>
      </c>
      <c r="K19" s="15">
        <v>0.06</v>
      </c>
      <c r="L19" s="15">
        <v>0.05</v>
      </c>
      <c r="M19" s="15">
        <v>0.1</v>
      </c>
      <c r="N19" s="15">
        <v>0.06</v>
      </c>
      <c r="O19" s="15">
        <v>0.13</v>
      </c>
      <c r="P19" s="15">
        <v>0.08</v>
      </c>
      <c r="Q19" s="15">
        <v>0.11</v>
      </c>
      <c r="R19" s="15">
        <v>0.08</v>
      </c>
      <c r="S19" s="15">
        <v>0.03</v>
      </c>
      <c r="T19" s="15">
        <v>0.02</v>
      </c>
      <c r="U19" s="15">
        <v>0.1</v>
      </c>
      <c r="V19" s="15">
        <v>7.0000000000000007E-2</v>
      </c>
      <c r="W19" s="15">
        <v>0.01</v>
      </c>
      <c r="X19" s="15">
        <v>0.04</v>
      </c>
      <c r="Y19" s="15">
        <v>0.13</v>
      </c>
      <c r="Z19" s="15">
        <v>0.03</v>
      </c>
      <c r="AA19" s="15">
        <v>0.06</v>
      </c>
      <c r="AB19" s="15">
        <v>0.05</v>
      </c>
      <c r="AC19" s="15">
        <v>0.04</v>
      </c>
      <c r="AD19" s="15">
        <v>0.08</v>
      </c>
      <c r="AE19" s="15">
        <v>0.02</v>
      </c>
      <c r="AF19" s="15">
        <v>0.03</v>
      </c>
      <c r="AG19" s="15">
        <v>0.19</v>
      </c>
      <c r="AH19" s="15">
        <v>0.05</v>
      </c>
      <c r="AI19" s="15">
        <v>0.14000000000000001</v>
      </c>
      <c r="AJ19" s="15">
        <v>0.06</v>
      </c>
      <c r="AK19" s="15">
        <v>0.03</v>
      </c>
      <c r="AL19" s="15">
        <v>0.05</v>
      </c>
      <c r="AM19" s="15">
        <v>0.11</v>
      </c>
      <c r="AN19" s="15">
        <v>0.04</v>
      </c>
      <c r="AO19" s="15">
        <v>0.06</v>
      </c>
      <c r="AP19" s="15">
        <v>0.05</v>
      </c>
      <c r="AQ19" s="15">
        <v>0.04</v>
      </c>
    </row>
    <row r="20" spans="1:43" x14ac:dyDescent="0.35">
      <c r="A20" s="19"/>
      <c r="B20" s="11" t="s">
        <v>485</v>
      </c>
      <c r="C20" s="12">
        <v>2059</v>
      </c>
      <c r="D20" s="12">
        <v>21</v>
      </c>
      <c r="E20" s="12">
        <v>197</v>
      </c>
      <c r="F20" s="12">
        <v>61</v>
      </c>
      <c r="G20" s="12">
        <v>129</v>
      </c>
      <c r="H20" s="12">
        <v>69</v>
      </c>
      <c r="I20" s="12">
        <v>85</v>
      </c>
      <c r="J20" s="12">
        <v>16</v>
      </c>
      <c r="K20" s="12">
        <v>153</v>
      </c>
      <c r="L20" s="12">
        <v>112</v>
      </c>
      <c r="M20" s="12">
        <v>59</v>
      </c>
      <c r="N20" s="12">
        <v>95</v>
      </c>
      <c r="O20" s="12">
        <v>134</v>
      </c>
      <c r="P20" s="12">
        <v>62</v>
      </c>
      <c r="Q20" s="12">
        <v>52</v>
      </c>
      <c r="R20" s="12">
        <v>59</v>
      </c>
      <c r="S20" s="12">
        <v>125</v>
      </c>
      <c r="T20" s="12">
        <v>86</v>
      </c>
      <c r="U20" s="12">
        <v>27</v>
      </c>
      <c r="V20" s="12">
        <v>33</v>
      </c>
      <c r="W20" s="12">
        <v>60</v>
      </c>
      <c r="X20" s="12">
        <v>39</v>
      </c>
      <c r="Y20" s="12">
        <v>46</v>
      </c>
      <c r="Z20" s="12">
        <v>70</v>
      </c>
      <c r="AA20" s="12">
        <v>86</v>
      </c>
      <c r="AB20" s="12">
        <v>75</v>
      </c>
      <c r="AC20" s="12">
        <v>16</v>
      </c>
      <c r="AD20" s="12">
        <v>68</v>
      </c>
      <c r="AE20" s="12">
        <v>138</v>
      </c>
      <c r="AF20" s="12">
        <v>115</v>
      </c>
      <c r="AG20" s="12">
        <v>23</v>
      </c>
      <c r="AH20" s="12">
        <v>58</v>
      </c>
      <c r="AI20" s="12">
        <v>46</v>
      </c>
      <c r="AJ20" s="12">
        <v>49</v>
      </c>
      <c r="AK20" s="12">
        <v>41</v>
      </c>
      <c r="AL20" s="12">
        <v>265</v>
      </c>
      <c r="AM20" s="12">
        <v>256</v>
      </c>
      <c r="AN20" s="12">
        <v>16</v>
      </c>
      <c r="AO20" s="12">
        <v>95</v>
      </c>
      <c r="AP20" s="12">
        <v>9</v>
      </c>
      <c r="AQ20" s="12">
        <v>265</v>
      </c>
    </row>
    <row r="21" spans="1:43" x14ac:dyDescent="0.35">
      <c r="A21" s="19"/>
      <c r="B21" s="13" t="s">
        <v>486</v>
      </c>
      <c r="C21" s="15">
        <v>0.08</v>
      </c>
      <c r="D21" s="15">
        <v>0.02</v>
      </c>
      <c r="E21" s="15">
        <v>0.19</v>
      </c>
      <c r="F21" s="15">
        <v>0.06</v>
      </c>
      <c r="G21" s="15">
        <v>0.13</v>
      </c>
      <c r="H21" s="15">
        <v>0.06</v>
      </c>
      <c r="I21" s="15">
        <v>0.06</v>
      </c>
      <c r="J21" s="15">
        <v>0.06</v>
      </c>
      <c r="K21" s="15">
        <v>0.15</v>
      </c>
      <c r="L21" s="15">
        <v>0.11</v>
      </c>
      <c r="M21" s="15">
        <v>0.06</v>
      </c>
      <c r="N21" s="15">
        <v>0.1</v>
      </c>
      <c r="O21" s="15">
        <v>0.13</v>
      </c>
      <c r="P21" s="15">
        <v>0.06</v>
      </c>
      <c r="Q21" s="15">
        <v>0.05</v>
      </c>
      <c r="R21" s="15">
        <v>0.12</v>
      </c>
      <c r="S21" s="15">
        <v>0.12</v>
      </c>
      <c r="T21" s="15">
        <v>0.09</v>
      </c>
      <c r="U21" s="15">
        <v>0.05</v>
      </c>
      <c r="V21" s="15">
        <v>0.03</v>
      </c>
      <c r="W21" s="15">
        <v>0.12</v>
      </c>
      <c r="X21" s="15">
        <v>0.04</v>
      </c>
      <c r="Y21" s="15">
        <v>0.05</v>
      </c>
      <c r="Z21" s="15">
        <v>7.0000000000000007E-2</v>
      </c>
      <c r="AA21" s="15">
        <v>0.08</v>
      </c>
      <c r="AB21" s="15">
        <v>7.0000000000000007E-2</v>
      </c>
      <c r="AC21" s="15">
        <v>0.02</v>
      </c>
      <c r="AD21" s="15">
        <v>7.0000000000000007E-2</v>
      </c>
      <c r="AE21" s="15">
        <v>0.14000000000000001</v>
      </c>
      <c r="AF21" s="15">
        <v>0.11</v>
      </c>
      <c r="AG21" s="15">
        <v>0.02</v>
      </c>
      <c r="AH21" s="15">
        <v>0.06</v>
      </c>
      <c r="AI21" s="15">
        <v>0.09</v>
      </c>
      <c r="AJ21" s="15">
        <v>0.05</v>
      </c>
      <c r="AK21" s="15">
        <v>0.04</v>
      </c>
      <c r="AL21" s="15">
        <v>0.26</v>
      </c>
      <c r="AM21" s="15">
        <v>0.25</v>
      </c>
      <c r="AN21" s="15">
        <v>0.02</v>
      </c>
      <c r="AO21" s="15">
        <v>0.09</v>
      </c>
      <c r="AP21" s="15">
        <v>0.02</v>
      </c>
      <c r="AQ21" s="15">
        <v>0.27</v>
      </c>
    </row>
    <row r="22" spans="1:43" x14ac:dyDescent="0.35">
      <c r="A22" s="19"/>
      <c r="B22" s="11" t="s">
        <v>525</v>
      </c>
      <c r="C22" s="12">
        <v>12074</v>
      </c>
      <c r="D22" s="12">
        <v>405</v>
      </c>
      <c r="E22" s="12">
        <v>496</v>
      </c>
      <c r="F22" s="12">
        <v>454</v>
      </c>
      <c r="G22" s="12">
        <v>607</v>
      </c>
      <c r="H22" s="12">
        <v>444</v>
      </c>
      <c r="I22" s="12">
        <v>531</v>
      </c>
      <c r="J22" s="12">
        <v>87</v>
      </c>
      <c r="K22" s="12">
        <v>437</v>
      </c>
      <c r="L22" s="12">
        <v>598</v>
      </c>
      <c r="M22" s="12">
        <v>437</v>
      </c>
      <c r="N22" s="12">
        <v>482</v>
      </c>
      <c r="O22" s="12">
        <v>294</v>
      </c>
      <c r="P22" s="12">
        <v>592</v>
      </c>
      <c r="Q22" s="12">
        <v>467</v>
      </c>
      <c r="R22" s="12">
        <v>255</v>
      </c>
      <c r="S22" s="12">
        <v>596</v>
      </c>
      <c r="T22" s="12">
        <v>738</v>
      </c>
      <c r="U22" s="12">
        <v>233</v>
      </c>
      <c r="V22" s="12">
        <v>561</v>
      </c>
      <c r="W22" s="12">
        <v>329</v>
      </c>
      <c r="X22" s="12">
        <v>670</v>
      </c>
      <c r="Y22" s="12">
        <v>447</v>
      </c>
      <c r="Z22" s="12">
        <v>699</v>
      </c>
      <c r="AA22" s="12">
        <v>639</v>
      </c>
      <c r="AB22" s="12">
        <v>553</v>
      </c>
      <c r="AC22" s="12">
        <v>578</v>
      </c>
      <c r="AD22" s="12">
        <v>478</v>
      </c>
      <c r="AE22" s="12">
        <v>441</v>
      </c>
      <c r="AF22" s="12">
        <v>557</v>
      </c>
      <c r="AG22" s="12">
        <v>518</v>
      </c>
      <c r="AH22" s="12">
        <v>699</v>
      </c>
      <c r="AI22" s="12">
        <v>150</v>
      </c>
      <c r="AJ22" s="12">
        <v>642</v>
      </c>
      <c r="AK22" s="12">
        <v>867</v>
      </c>
      <c r="AL22" s="12">
        <v>547</v>
      </c>
      <c r="AM22" s="12">
        <v>316</v>
      </c>
      <c r="AN22" s="12">
        <v>633</v>
      </c>
      <c r="AO22" s="12">
        <v>772</v>
      </c>
      <c r="AP22" s="12">
        <v>437</v>
      </c>
      <c r="AQ22" s="12">
        <v>606</v>
      </c>
    </row>
    <row r="23" spans="1:43" x14ac:dyDescent="0.35">
      <c r="A23" s="19"/>
      <c r="B23" s="13" t="s">
        <v>526</v>
      </c>
      <c r="C23" s="15">
        <v>0.46</v>
      </c>
      <c r="D23" s="15">
        <v>0.4</v>
      </c>
      <c r="E23" s="15">
        <v>0.48</v>
      </c>
      <c r="F23" s="15">
        <v>0.41</v>
      </c>
      <c r="G23" s="15">
        <v>0.6</v>
      </c>
      <c r="H23" s="15">
        <v>0.36</v>
      </c>
      <c r="I23" s="15">
        <v>0.35</v>
      </c>
      <c r="J23" s="15">
        <v>0.28999999999999998</v>
      </c>
      <c r="K23" s="15">
        <v>0.44</v>
      </c>
      <c r="L23" s="15">
        <v>0.6</v>
      </c>
      <c r="M23" s="15">
        <v>0.43</v>
      </c>
      <c r="N23" s="15">
        <v>0.48</v>
      </c>
      <c r="O23" s="15">
        <v>0.3</v>
      </c>
      <c r="P23" s="15">
        <v>0.59</v>
      </c>
      <c r="Q23" s="15">
        <v>0.45</v>
      </c>
      <c r="R23" s="15">
        <v>0.5</v>
      </c>
      <c r="S23" s="15">
        <v>0.6</v>
      </c>
      <c r="T23" s="15">
        <v>0.73</v>
      </c>
      <c r="U23" s="15">
        <v>0.46</v>
      </c>
      <c r="V23" s="15">
        <v>0.56000000000000005</v>
      </c>
      <c r="W23" s="15">
        <v>0.65</v>
      </c>
      <c r="X23" s="15">
        <v>0.66</v>
      </c>
      <c r="Y23" s="15">
        <v>0.44</v>
      </c>
      <c r="Z23" s="15">
        <v>0.67</v>
      </c>
      <c r="AA23" s="15">
        <v>0.62</v>
      </c>
      <c r="AB23" s="15">
        <v>0.53</v>
      </c>
      <c r="AC23" s="15">
        <v>0.57999999999999996</v>
      </c>
      <c r="AD23" s="15">
        <v>0.48</v>
      </c>
      <c r="AE23" s="15">
        <v>0.44</v>
      </c>
      <c r="AF23" s="15">
        <v>0.54</v>
      </c>
      <c r="AG23" s="15">
        <v>0.5</v>
      </c>
      <c r="AH23" s="15">
        <v>0.69000000000000006</v>
      </c>
      <c r="AI23" s="15">
        <v>0.28999999999999998</v>
      </c>
      <c r="AJ23" s="15">
        <v>0.62</v>
      </c>
      <c r="AK23" s="15">
        <v>0.86</v>
      </c>
      <c r="AL23" s="15">
        <v>0.54</v>
      </c>
      <c r="AM23" s="15">
        <v>0.3</v>
      </c>
      <c r="AN23" s="15">
        <v>0.63</v>
      </c>
      <c r="AO23" s="15">
        <v>0.77</v>
      </c>
      <c r="AP23" s="15">
        <v>0.83000000000000007</v>
      </c>
      <c r="AQ23" s="15">
        <v>0.6</v>
      </c>
    </row>
    <row r="24" spans="1:43" x14ac:dyDescent="0.35">
      <c r="A24" s="19"/>
      <c r="B24" s="11" t="s">
        <v>527</v>
      </c>
      <c r="C24" s="12">
        <v>12312</v>
      </c>
      <c r="D24" s="12">
        <v>587</v>
      </c>
      <c r="E24" s="12">
        <v>336</v>
      </c>
      <c r="F24" s="12">
        <v>586</v>
      </c>
      <c r="G24" s="12">
        <v>271</v>
      </c>
      <c r="H24" s="12">
        <v>708</v>
      </c>
      <c r="I24" s="12">
        <v>900</v>
      </c>
      <c r="J24" s="12">
        <v>192</v>
      </c>
      <c r="K24" s="12">
        <v>411</v>
      </c>
      <c r="L24" s="12">
        <v>293</v>
      </c>
      <c r="M24" s="12">
        <v>513</v>
      </c>
      <c r="N24" s="12">
        <v>426</v>
      </c>
      <c r="O24" s="12">
        <v>573</v>
      </c>
      <c r="P24" s="12">
        <v>349</v>
      </c>
      <c r="Q24" s="12">
        <v>508</v>
      </c>
      <c r="R24" s="12">
        <v>190</v>
      </c>
      <c r="S24" s="12">
        <v>281</v>
      </c>
      <c r="T24" s="12">
        <v>182</v>
      </c>
      <c r="U24" s="12">
        <v>244</v>
      </c>
      <c r="V24" s="12">
        <v>421</v>
      </c>
      <c r="W24" s="12">
        <v>118</v>
      </c>
      <c r="X24" s="12">
        <v>299</v>
      </c>
      <c r="Y24" s="12">
        <v>510</v>
      </c>
      <c r="Z24" s="12">
        <v>262</v>
      </c>
      <c r="AA24" s="12">
        <v>308</v>
      </c>
      <c r="AB24" s="12">
        <v>423</v>
      </c>
      <c r="AC24" s="12">
        <v>409</v>
      </c>
      <c r="AD24" s="12">
        <v>459</v>
      </c>
      <c r="AE24" s="12">
        <v>434</v>
      </c>
      <c r="AF24" s="12">
        <v>371</v>
      </c>
      <c r="AG24" s="12">
        <v>494</v>
      </c>
      <c r="AH24" s="12">
        <v>256</v>
      </c>
      <c r="AI24" s="12">
        <v>328</v>
      </c>
      <c r="AJ24" s="12">
        <v>346</v>
      </c>
      <c r="AK24" s="12">
        <v>99</v>
      </c>
      <c r="AL24" s="12">
        <v>199</v>
      </c>
      <c r="AM24" s="12">
        <v>467</v>
      </c>
      <c r="AN24" s="12">
        <v>353</v>
      </c>
      <c r="AO24" s="12">
        <v>138</v>
      </c>
      <c r="AP24" s="12">
        <v>78</v>
      </c>
      <c r="AQ24" s="12">
        <v>132</v>
      </c>
    </row>
    <row r="25" spans="1:43" x14ac:dyDescent="0.35">
      <c r="A25" s="19"/>
      <c r="B25" s="13" t="s">
        <v>528</v>
      </c>
      <c r="C25" s="15">
        <v>0.46</v>
      </c>
      <c r="D25" s="15">
        <v>0.57999999999999996</v>
      </c>
      <c r="E25" s="15">
        <v>0.33</v>
      </c>
      <c r="F25" s="15">
        <v>0.53</v>
      </c>
      <c r="G25" s="15">
        <v>0.27</v>
      </c>
      <c r="H25" s="15">
        <v>0.57999999999999996</v>
      </c>
      <c r="I25" s="15">
        <v>0.59</v>
      </c>
      <c r="J25" s="15">
        <v>0.65</v>
      </c>
      <c r="K25" s="15">
        <v>0.41</v>
      </c>
      <c r="L25" s="15">
        <v>0.28999999999999998</v>
      </c>
      <c r="M25" s="15">
        <v>0.51</v>
      </c>
      <c r="N25" s="15">
        <v>0.42</v>
      </c>
      <c r="O25" s="15">
        <v>0.57000000000000006</v>
      </c>
      <c r="P25" s="15">
        <v>0.35</v>
      </c>
      <c r="Q25" s="15">
        <v>0.5</v>
      </c>
      <c r="R25" s="15">
        <v>0.38</v>
      </c>
      <c r="S25" s="15">
        <v>0.28000000000000003</v>
      </c>
      <c r="T25" s="15">
        <v>0.18</v>
      </c>
      <c r="U25" s="15">
        <v>0.49</v>
      </c>
      <c r="V25" s="15">
        <v>0.41</v>
      </c>
      <c r="W25" s="15">
        <v>0.23</v>
      </c>
      <c r="X25" s="15">
        <v>0.3</v>
      </c>
      <c r="Y25" s="15">
        <v>0.51</v>
      </c>
      <c r="Z25" s="15">
        <v>0.26</v>
      </c>
      <c r="AA25" s="15">
        <v>0.3</v>
      </c>
      <c r="AB25" s="15">
        <v>0.4</v>
      </c>
      <c r="AC25" s="15">
        <v>0.4</v>
      </c>
      <c r="AD25" s="15">
        <v>0.45</v>
      </c>
      <c r="AE25" s="15">
        <v>0.42</v>
      </c>
      <c r="AF25" s="15">
        <v>0.35</v>
      </c>
      <c r="AG25" s="15">
        <v>0.48</v>
      </c>
      <c r="AH25" s="15">
        <v>0.25</v>
      </c>
      <c r="AI25" s="15">
        <v>0.62</v>
      </c>
      <c r="AJ25" s="15">
        <v>0.33</v>
      </c>
      <c r="AK25" s="15">
        <v>0.1</v>
      </c>
      <c r="AL25" s="15">
        <v>0.2</v>
      </c>
      <c r="AM25" s="15">
        <v>0.45</v>
      </c>
      <c r="AN25" s="15">
        <v>0.35</v>
      </c>
      <c r="AO25" s="15">
        <v>0.14000000000000001</v>
      </c>
      <c r="AP25" s="15">
        <v>0.15</v>
      </c>
      <c r="AQ25" s="15">
        <v>0.13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537</v>
      </c>
      <c r="C3" s="18"/>
      <c r="D3" s="18"/>
      <c r="E3" s="18"/>
      <c r="F3" s="18"/>
      <c r="H3" s="18" t="s">
        <v>538</v>
      </c>
      <c r="I3" s="18"/>
      <c r="J3" s="18"/>
      <c r="K3" s="18"/>
      <c r="L3" s="18"/>
    </row>
    <row r="4" spans="1:43" ht="27" customHeight="1" x14ac:dyDescent="0.35">
      <c r="B4" s="18" t="s">
        <v>539</v>
      </c>
      <c r="C4" s="18"/>
      <c r="D4" s="18"/>
      <c r="E4" s="18"/>
      <c r="F4" s="18"/>
      <c r="H4" s="18" t="s">
        <v>540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517</v>
      </c>
      <c r="C12" s="12">
        <v>4384</v>
      </c>
      <c r="D12" s="12">
        <v>154</v>
      </c>
      <c r="E12" s="12">
        <v>111</v>
      </c>
      <c r="F12" s="12">
        <v>197</v>
      </c>
      <c r="G12" s="12">
        <v>573</v>
      </c>
      <c r="H12" s="12">
        <v>229</v>
      </c>
      <c r="I12" s="12">
        <v>292</v>
      </c>
      <c r="J12" s="12">
        <v>62</v>
      </c>
      <c r="K12" s="12">
        <v>88</v>
      </c>
      <c r="L12" s="12">
        <v>284</v>
      </c>
      <c r="M12" s="12">
        <v>55</v>
      </c>
      <c r="N12" s="12">
        <v>232</v>
      </c>
      <c r="O12" s="12">
        <v>108</v>
      </c>
      <c r="P12" s="12">
        <v>98</v>
      </c>
      <c r="Q12" s="12">
        <v>72</v>
      </c>
      <c r="R12" s="12">
        <v>89</v>
      </c>
      <c r="S12" s="12">
        <v>144</v>
      </c>
      <c r="T12" s="12">
        <v>147</v>
      </c>
      <c r="U12" s="12">
        <v>141</v>
      </c>
      <c r="V12" s="12">
        <v>64</v>
      </c>
      <c r="W12" s="12">
        <v>116</v>
      </c>
      <c r="X12" s="12">
        <v>346</v>
      </c>
      <c r="Y12" s="12">
        <v>300</v>
      </c>
      <c r="Z12" s="12">
        <v>121</v>
      </c>
      <c r="AA12" s="12">
        <v>23</v>
      </c>
      <c r="AB12" s="12">
        <v>64</v>
      </c>
      <c r="AC12" s="12">
        <v>259</v>
      </c>
      <c r="AD12" s="12">
        <v>130</v>
      </c>
      <c r="AE12" s="12">
        <v>486</v>
      </c>
      <c r="AF12" s="12">
        <v>508</v>
      </c>
      <c r="AG12" s="12">
        <v>116</v>
      </c>
      <c r="AH12" s="12">
        <v>125</v>
      </c>
      <c r="AI12" s="12">
        <v>55</v>
      </c>
      <c r="AJ12" s="12">
        <v>103</v>
      </c>
      <c r="AK12" s="12">
        <v>95</v>
      </c>
      <c r="AL12" s="12">
        <v>106</v>
      </c>
      <c r="AM12" s="12">
        <v>266</v>
      </c>
      <c r="AN12" s="12">
        <v>130</v>
      </c>
      <c r="AO12" s="12">
        <v>254</v>
      </c>
      <c r="AP12" s="12">
        <v>101</v>
      </c>
      <c r="AQ12" s="12">
        <v>138</v>
      </c>
    </row>
    <row r="13" spans="1:43" x14ac:dyDescent="0.35">
      <c r="A13" s="19"/>
      <c r="B13" s="13" t="s">
        <v>518</v>
      </c>
      <c r="C13" s="15">
        <v>0.16</v>
      </c>
      <c r="D13" s="15">
        <v>0.15</v>
      </c>
      <c r="E13" s="15">
        <v>0.11</v>
      </c>
      <c r="F13" s="15">
        <v>0.18</v>
      </c>
      <c r="G13" s="15">
        <v>0.57000000000000006</v>
      </c>
      <c r="H13" s="15">
        <v>0.19</v>
      </c>
      <c r="I13" s="15">
        <v>0.19</v>
      </c>
      <c r="J13" s="15">
        <v>0.21</v>
      </c>
      <c r="K13" s="15">
        <v>0.09</v>
      </c>
      <c r="L13" s="15">
        <v>0.28000000000000003</v>
      </c>
      <c r="M13" s="15">
        <v>0.06</v>
      </c>
      <c r="N13" s="15">
        <v>0.23</v>
      </c>
      <c r="O13" s="15">
        <v>0.11</v>
      </c>
      <c r="P13" s="15">
        <v>0.1</v>
      </c>
      <c r="Q13" s="15">
        <v>7.0000000000000007E-2</v>
      </c>
      <c r="R13" s="15">
        <v>0.18</v>
      </c>
      <c r="S13" s="15">
        <v>0.14000000000000001</v>
      </c>
      <c r="T13" s="15">
        <v>0.15</v>
      </c>
      <c r="U13" s="15">
        <v>0.28000000000000003</v>
      </c>
      <c r="V13" s="15">
        <v>0.06</v>
      </c>
      <c r="W13" s="15">
        <v>0.23</v>
      </c>
      <c r="X13" s="15">
        <v>0.34</v>
      </c>
      <c r="Y13" s="15">
        <v>0.3</v>
      </c>
      <c r="Z13" s="15">
        <v>0.12</v>
      </c>
      <c r="AA13" s="15">
        <v>0.02</v>
      </c>
      <c r="AB13" s="15">
        <v>0.06</v>
      </c>
      <c r="AC13" s="15">
        <v>0.26</v>
      </c>
      <c r="AD13" s="15">
        <v>0.13</v>
      </c>
      <c r="AE13" s="15">
        <v>0.48</v>
      </c>
      <c r="AF13" s="15">
        <v>0.49</v>
      </c>
      <c r="AG13" s="15">
        <v>0.11</v>
      </c>
      <c r="AH13" s="15">
        <v>0.12</v>
      </c>
      <c r="AI13" s="15">
        <v>0.1</v>
      </c>
      <c r="AJ13" s="15">
        <v>0.1</v>
      </c>
      <c r="AK13" s="15">
        <v>0.09</v>
      </c>
      <c r="AL13" s="15">
        <v>0.11</v>
      </c>
      <c r="AM13" s="15">
        <v>0.26</v>
      </c>
      <c r="AN13" s="15">
        <v>0.13</v>
      </c>
      <c r="AO13" s="15">
        <v>0.25</v>
      </c>
      <c r="AP13" s="15">
        <v>0.19</v>
      </c>
      <c r="AQ13" s="15">
        <v>0.14000000000000001</v>
      </c>
    </row>
    <row r="14" spans="1:43" x14ac:dyDescent="0.35">
      <c r="A14" s="19"/>
      <c r="B14" s="11" t="s">
        <v>519</v>
      </c>
      <c r="C14" s="12">
        <v>13918</v>
      </c>
      <c r="D14" s="12">
        <v>576</v>
      </c>
      <c r="E14" s="12">
        <v>504</v>
      </c>
      <c r="F14" s="12">
        <v>603</v>
      </c>
      <c r="G14" s="12">
        <v>255</v>
      </c>
      <c r="H14" s="12">
        <v>720</v>
      </c>
      <c r="I14" s="12">
        <v>877</v>
      </c>
      <c r="J14" s="12">
        <v>157</v>
      </c>
      <c r="K14" s="12">
        <v>465</v>
      </c>
      <c r="L14" s="12">
        <v>506</v>
      </c>
      <c r="M14" s="12">
        <v>447</v>
      </c>
      <c r="N14" s="12">
        <v>504</v>
      </c>
      <c r="O14" s="12">
        <v>452</v>
      </c>
      <c r="P14" s="12">
        <v>529</v>
      </c>
      <c r="Q14" s="12">
        <v>635</v>
      </c>
      <c r="R14" s="12">
        <v>247</v>
      </c>
      <c r="S14" s="12">
        <v>596</v>
      </c>
      <c r="T14" s="12">
        <v>492</v>
      </c>
      <c r="U14" s="12">
        <v>298</v>
      </c>
      <c r="V14" s="12">
        <v>560</v>
      </c>
      <c r="W14" s="12">
        <v>267</v>
      </c>
      <c r="X14" s="12">
        <v>413</v>
      </c>
      <c r="Y14" s="12">
        <v>482</v>
      </c>
      <c r="Z14" s="12">
        <v>670</v>
      </c>
      <c r="AA14" s="12">
        <v>675</v>
      </c>
      <c r="AB14" s="12">
        <v>452</v>
      </c>
      <c r="AC14" s="12">
        <v>482</v>
      </c>
      <c r="AD14" s="12">
        <v>548</v>
      </c>
      <c r="AE14" s="12">
        <v>254</v>
      </c>
      <c r="AF14" s="12">
        <v>352</v>
      </c>
      <c r="AG14" s="12">
        <v>387</v>
      </c>
      <c r="AH14" s="12">
        <v>553</v>
      </c>
      <c r="AI14" s="12">
        <v>152</v>
      </c>
      <c r="AJ14" s="12">
        <v>397</v>
      </c>
      <c r="AK14" s="12">
        <v>498</v>
      </c>
      <c r="AL14" s="12">
        <v>404</v>
      </c>
      <c r="AM14" s="12">
        <v>465</v>
      </c>
      <c r="AN14" s="12">
        <v>463</v>
      </c>
      <c r="AO14" s="12">
        <v>381</v>
      </c>
      <c r="AP14" s="12">
        <v>296</v>
      </c>
      <c r="AQ14" s="12">
        <v>364</v>
      </c>
    </row>
    <row r="15" spans="1:43" x14ac:dyDescent="0.35">
      <c r="A15" s="19"/>
      <c r="B15" s="13" t="s">
        <v>520</v>
      </c>
      <c r="C15" s="15">
        <v>0.53</v>
      </c>
      <c r="D15" s="15">
        <v>0.57000000000000006</v>
      </c>
      <c r="E15" s="15">
        <v>0.49</v>
      </c>
      <c r="F15" s="15">
        <v>0.55000000000000004</v>
      </c>
      <c r="G15" s="15">
        <v>0.26</v>
      </c>
      <c r="H15" s="15">
        <v>0.59</v>
      </c>
      <c r="I15" s="15">
        <v>0.57999999999999996</v>
      </c>
      <c r="J15" s="15">
        <v>0.53</v>
      </c>
      <c r="K15" s="15">
        <v>0.46</v>
      </c>
      <c r="L15" s="15">
        <v>0.51</v>
      </c>
      <c r="M15" s="15">
        <v>0.44</v>
      </c>
      <c r="N15" s="15">
        <v>0.5</v>
      </c>
      <c r="O15" s="15">
        <v>0.45</v>
      </c>
      <c r="P15" s="15">
        <v>0.53</v>
      </c>
      <c r="Q15" s="15">
        <v>0.62</v>
      </c>
      <c r="R15" s="15">
        <v>0.49</v>
      </c>
      <c r="S15" s="15">
        <v>0.59</v>
      </c>
      <c r="T15" s="15">
        <v>0.49</v>
      </c>
      <c r="U15" s="15">
        <v>0.59</v>
      </c>
      <c r="V15" s="15">
        <v>0.55000000000000004</v>
      </c>
      <c r="W15" s="15">
        <v>0.53</v>
      </c>
      <c r="X15" s="15">
        <v>0.41</v>
      </c>
      <c r="Y15" s="15">
        <v>0.48</v>
      </c>
      <c r="Z15" s="15">
        <v>0.65</v>
      </c>
      <c r="AA15" s="15">
        <v>0.66</v>
      </c>
      <c r="AB15" s="15">
        <v>0.43</v>
      </c>
      <c r="AC15" s="15">
        <v>0.48</v>
      </c>
      <c r="AD15" s="15">
        <v>0.55000000000000004</v>
      </c>
      <c r="AE15" s="15">
        <v>0.25</v>
      </c>
      <c r="AF15" s="15">
        <v>0.34</v>
      </c>
      <c r="AG15" s="15">
        <v>0.37</v>
      </c>
      <c r="AH15" s="15">
        <v>0.55000000000000004</v>
      </c>
      <c r="AI15" s="15">
        <v>0.28999999999999998</v>
      </c>
      <c r="AJ15" s="15">
        <v>0.38</v>
      </c>
      <c r="AK15" s="15">
        <v>0.5</v>
      </c>
      <c r="AL15" s="15">
        <v>0.4</v>
      </c>
      <c r="AM15" s="15">
        <v>0.45</v>
      </c>
      <c r="AN15" s="15">
        <v>0.46</v>
      </c>
      <c r="AO15" s="15">
        <v>0.38</v>
      </c>
      <c r="AP15" s="15">
        <v>0.57000000000000006</v>
      </c>
      <c r="AQ15" s="15">
        <v>0.36</v>
      </c>
    </row>
    <row r="16" spans="1:43" x14ac:dyDescent="0.35">
      <c r="A16" s="19"/>
      <c r="B16" s="11" t="s">
        <v>521</v>
      </c>
      <c r="C16" s="12">
        <v>4174</v>
      </c>
      <c r="D16" s="12">
        <v>180</v>
      </c>
      <c r="E16" s="12">
        <v>245</v>
      </c>
      <c r="F16" s="12">
        <v>170</v>
      </c>
      <c r="G16" s="12">
        <v>72</v>
      </c>
      <c r="H16" s="12">
        <v>137</v>
      </c>
      <c r="I16" s="12">
        <v>175</v>
      </c>
      <c r="J16" s="12">
        <v>38</v>
      </c>
      <c r="K16" s="12">
        <v>156</v>
      </c>
      <c r="L16" s="12">
        <v>90</v>
      </c>
      <c r="M16" s="12">
        <v>257</v>
      </c>
      <c r="N16" s="12">
        <v>151</v>
      </c>
      <c r="O16" s="12">
        <v>179</v>
      </c>
      <c r="P16" s="12">
        <v>264</v>
      </c>
      <c r="Q16" s="12">
        <v>199</v>
      </c>
      <c r="R16" s="12">
        <v>61</v>
      </c>
      <c r="S16" s="12">
        <v>97</v>
      </c>
      <c r="T16" s="12">
        <v>120</v>
      </c>
      <c r="U16" s="12">
        <v>45</v>
      </c>
      <c r="V16" s="12">
        <v>231</v>
      </c>
      <c r="W16" s="12">
        <v>32</v>
      </c>
      <c r="X16" s="12">
        <v>101</v>
      </c>
      <c r="Y16" s="12">
        <v>87</v>
      </c>
      <c r="Z16" s="12">
        <v>149</v>
      </c>
      <c r="AA16" s="12">
        <v>169</v>
      </c>
      <c r="AB16" s="12">
        <v>294</v>
      </c>
      <c r="AC16" s="12">
        <v>110</v>
      </c>
      <c r="AD16" s="12">
        <v>155</v>
      </c>
      <c r="AE16" s="12">
        <v>61</v>
      </c>
      <c r="AF16" s="12">
        <v>83</v>
      </c>
      <c r="AG16" s="12">
        <v>349</v>
      </c>
      <c r="AH16" s="12">
        <v>188</v>
      </c>
      <c r="AI16" s="12">
        <v>196</v>
      </c>
      <c r="AJ16" s="12">
        <v>246</v>
      </c>
      <c r="AK16" s="12">
        <v>232</v>
      </c>
      <c r="AL16" s="12">
        <v>130</v>
      </c>
      <c r="AM16" s="12">
        <v>99</v>
      </c>
      <c r="AN16" s="12">
        <v>224</v>
      </c>
      <c r="AO16" s="12">
        <v>114</v>
      </c>
      <c r="AP16" s="12">
        <v>85</v>
      </c>
      <c r="AQ16" s="12">
        <v>139</v>
      </c>
    </row>
    <row r="17" spans="1:43" x14ac:dyDescent="0.35">
      <c r="A17" s="19"/>
      <c r="B17" s="13" t="s">
        <v>522</v>
      </c>
      <c r="C17" s="15">
        <v>0.16</v>
      </c>
      <c r="D17" s="15">
        <v>0.18</v>
      </c>
      <c r="E17" s="15">
        <v>0.24</v>
      </c>
      <c r="F17" s="15">
        <v>0.15</v>
      </c>
      <c r="G17" s="15">
        <v>7.0000000000000007E-2</v>
      </c>
      <c r="H17" s="15">
        <v>0.11</v>
      </c>
      <c r="I17" s="15">
        <v>0.11</v>
      </c>
      <c r="J17" s="15">
        <v>0.13</v>
      </c>
      <c r="K17" s="15">
        <v>0.16</v>
      </c>
      <c r="L17" s="15">
        <v>0.09</v>
      </c>
      <c r="M17" s="15">
        <v>0.25</v>
      </c>
      <c r="N17" s="15">
        <v>0.15</v>
      </c>
      <c r="O17" s="15">
        <v>0.18</v>
      </c>
      <c r="P17" s="15">
        <v>0.26</v>
      </c>
      <c r="Q17" s="15">
        <v>0.19</v>
      </c>
      <c r="R17" s="15">
        <v>0.12</v>
      </c>
      <c r="S17" s="15">
        <v>0.1</v>
      </c>
      <c r="T17" s="15">
        <v>0.12</v>
      </c>
      <c r="U17" s="15">
        <v>0.09</v>
      </c>
      <c r="V17" s="15">
        <v>0.23</v>
      </c>
      <c r="W17" s="15">
        <v>0.06</v>
      </c>
      <c r="X17" s="15">
        <v>0.1</v>
      </c>
      <c r="Y17" s="15">
        <v>0.09</v>
      </c>
      <c r="Z17" s="15">
        <v>0.15</v>
      </c>
      <c r="AA17" s="15">
        <v>0.16</v>
      </c>
      <c r="AB17" s="15">
        <v>0.28000000000000003</v>
      </c>
      <c r="AC17" s="15">
        <v>0.11</v>
      </c>
      <c r="AD17" s="15">
        <v>0.15</v>
      </c>
      <c r="AE17" s="15">
        <v>0.06</v>
      </c>
      <c r="AF17" s="15">
        <v>0.08</v>
      </c>
      <c r="AG17" s="15">
        <v>0.34</v>
      </c>
      <c r="AH17" s="15">
        <v>0.18</v>
      </c>
      <c r="AI17" s="15">
        <v>0.38</v>
      </c>
      <c r="AJ17" s="15">
        <v>0.24</v>
      </c>
      <c r="AK17" s="15">
        <v>0.23</v>
      </c>
      <c r="AL17" s="15">
        <v>0.13</v>
      </c>
      <c r="AM17" s="15">
        <v>0.09</v>
      </c>
      <c r="AN17" s="15">
        <v>0.22</v>
      </c>
      <c r="AO17" s="15">
        <v>0.12</v>
      </c>
      <c r="AP17" s="15">
        <v>0.16</v>
      </c>
      <c r="AQ17" s="15">
        <v>0.14000000000000001</v>
      </c>
    </row>
    <row r="18" spans="1:43" x14ac:dyDescent="0.35">
      <c r="A18" s="19"/>
      <c r="B18" s="11" t="s">
        <v>523</v>
      </c>
      <c r="C18" s="12">
        <v>1014</v>
      </c>
      <c r="D18" s="12">
        <v>50</v>
      </c>
      <c r="E18" s="12">
        <v>65</v>
      </c>
      <c r="F18" s="12">
        <v>51</v>
      </c>
      <c r="G18" s="12">
        <v>43</v>
      </c>
      <c r="H18" s="12">
        <v>16</v>
      </c>
      <c r="I18" s="12">
        <v>27</v>
      </c>
      <c r="J18" s="12">
        <v>10</v>
      </c>
      <c r="K18" s="12">
        <v>82</v>
      </c>
      <c r="L18" s="12">
        <v>22</v>
      </c>
      <c r="M18" s="12">
        <v>89</v>
      </c>
      <c r="N18" s="12">
        <v>48</v>
      </c>
      <c r="O18" s="12">
        <v>41</v>
      </c>
      <c r="P18" s="12">
        <v>58</v>
      </c>
      <c r="Q18" s="12">
        <v>47</v>
      </c>
      <c r="R18" s="12">
        <v>15</v>
      </c>
      <c r="S18" s="12">
        <v>39</v>
      </c>
      <c r="T18" s="12">
        <v>52</v>
      </c>
      <c r="U18" s="12">
        <v>9</v>
      </c>
      <c r="V18" s="12">
        <v>78</v>
      </c>
      <c r="W18" s="12">
        <v>7</v>
      </c>
      <c r="X18" s="12">
        <v>20</v>
      </c>
      <c r="Y18" s="12">
        <v>43</v>
      </c>
      <c r="Z18" s="12">
        <v>13</v>
      </c>
      <c r="AA18" s="12">
        <v>54</v>
      </c>
      <c r="AB18" s="12">
        <v>57</v>
      </c>
      <c r="AC18" s="12">
        <v>56</v>
      </c>
      <c r="AD18" s="12">
        <v>42</v>
      </c>
      <c r="AE18" s="12">
        <v>63</v>
      </c>
      <c r="AF18" s="12">
        <v>27</v>
      </c>
      <c r="AG18" s="12">
        <v>182</v>
      </c>
      <c r="AH18" s="12">
        <v>72</v>
      </c>
      <c r="AI18" s="12">
        <v>75</v>
      </c>
      <c r="AJ18" s="12">
        <v>95</v>
      </c>
      <c r="AK18" s="12">
        <v>144</v>
      </c>
      <c r="AL18" s="12">
        <v>86</v>
      </c>
      <c r="AM18" s="12">
        <v>52</v>
      </c>
      <c r="AN18" s="12">
        <v>112</v>
      </c>
      <c r="AO18" s="12">
        <v>141</v>
      </c>
      <c r="AP18" s="12">
        <v>36</v>
      </c>
      <c r="AQ18" s="12">
        <v>172</v>
      </c>
    </row>
    <row r="19" spans="1:43" x14ac:dyDescent="0.35">
      <c r="A19" s="19"/>
      <c r="B19" s="13" t="s">
        <v>524</v>
      </c>
      <c r="C19" s="15">
        <v>0.04</v>
      </c>
      <c r="D19" s="15">
        <v>0.05</v>
      </c>
      <c r="E19" s="15">
        <v>0.06</v>
      </c>
      <c r="F19" s="15">
        <v>0.05</v>
      </c>
      <c r="G19" s="15">
        <v>0.04</v>
      </c>
      <c r="H19" s="15">
        <v>0.01</v>
      </c>
      <c r="I19" s="15">
        <v>0.02</v>
      </c>
      <c r="J19" s="15">
        <v>0.04</v>
      </c>
      <c r="K19" s="15">
        <v>0.08</v>
      </c>
      <c r="L19" s="15">
        <v>0.02</v>
      </c>
      <c r="M19" s="15">
        <v>0.09</v>
      </c>
      <c r="N19" s="15">
        <v>0.05</v>
      </c>
      <c r="O19" s="15">
        <v>0.04</v>
      </c>
      <c r="P19" s="15">
        <v>0.06</v>
      </c>
      <c r="Q19" s="15">
        <v>0.05</v>
      </c>
      <c r="R19" s="15">
        <v>0.03</v>
      </c>
      <c r="S19" s="15">
        <v>0.04</v>
      </c>
      <c r="T19" s="15">
        <v>0.05</v>
      </c>
      <c r="U19" s="15">
        <v>0.02</v>
      </c>
      <c r="V19" s="15">
        <v>0.08</v>
      </c>
      <c r="W19" s="15">
        <v>0.01</v>
      </c>
      <c r="X19" s="15">
        <v>0.02</v>
      </c>
      <c r="Y19" s="15">
        <v>0.04</v>
      </c>
      <c r="Z19" s="15">
        <v>0.01</v>
      </c>
      <c r="AA19" s="15">
        <v>0.05</v>
      </c>
      <c r="AB19" s="15">
        <v>0.05</v>
      </c>
      <c r="AC19" s="15">
        <v>0.05</v>
      </c>
      <c r="AD19" s="15">
        <v>0.04</v>
      </c>
      <c r="AE19" s="15">
        <v>0.06</v>
      </c>
      <c r="AF19" s="15">
        <v>0.02</v>
      </c>
      <c r="AG19" s="15">
        <v>0.18</v>
      </c>
      <c r="AH19" s="15">
        <v>7.0000000000000007E-2</v>
      </c>
      <c r="AI19" s="15">
        <v>0.14000000000000001</v>
      </c>
      <c r="AJ19" s="15">
        <v>0.09</v>
      </c>
      <c r="AK19" s="15">
        <v>0.14000000000000001</v>
      </c>
      <c r="AL19" s="15">
        <v>0.08</v>
      </c>
      <c r="AM19" s="15">
        <v>0.05</v>
      </c>
      <c r="AN19" s="15">
        <v>0.11</v>
      </c>
      <c r="AO19" s="15">
        <v>0.14000000000000001</v>
      </c>
      <c r="AP19" s="15">
        <v>7.0000000000000007E-2</v>
      </c>
      <c r="AQ19" s="15">
        <v>0.17</v>
      </c>
    </row>
    <row r="20" spans="1:43" x14ac:dyDescent="0.35">
      <c r="A20" s="19"/>
      <c r="B20" s="11" t="s">
        <v>485</v>
      </c>
      <c r="C20" s="12">
        <v>2955</v>
      </c>
      <c r="D20" s="12">
        <v>53</v>
      </c>
      <c r="E20" s="12">
        <v>105</v>
      </c>
      <c r="F20" s="12">
        <v>81</v>
      </c>
      <c r="G20" s="12">
        <v>63</v>
      </c>
      <c r="H20" s="12">
        <v>119</v>
      </c>
      <c r="I20" s="12">
        <v>145</v>
      </c>
      <c r="J20" s="12">
        <v>27</v>
      </c>
      <c r="K20" s="12">
        <v>212</v>
      </c>
      <c r="L20" s="12">
        <v>100</v>
      </c>
      <c r="M20" s="12">
        <v>160</v>
      </c>
      <c r="N20" s="12">
        <v>68</v>
      </c>
      <c r="O20" s="12">
        <v>220</v>
      </c>
      <c r="P20" s="12">
        <v>55</v>
      </c>
      <c r="Q20" s="12">
        <v>74</v>
      </c>
      <c r="R20" s="12">
        <v>92</v>
      </c>
      <c r="S20" s="12">
        <v>126</v>
      </c>
      <c r="T20" s="12">
        <v>195</v>
      </c>
      <c r="U20" s="12">
        <v>10</v>
      </c>
      <c r="V20" s="12">
        <v>83</v>
      </c>
      <c r="W20" s="12">
        <v>87</v>
      </c>
      <c r="X20" s="12">
        <v>130</v>
      </c>
      <c r="Y20" s="12">
        <v>91</v>
      </c>
      <c r="Z20" s="12">
        <v>77</v>
      </c>
      <c r="AA20" s="12">
        <v>112</v>
      </c>
      <c r="AB20" s="12">
        <v>185</v>
      </c>
      <c r="AC20" s="12">
        <v>96</v>
      </c>
      <c r="AD20" s="12">
        <v>130</v>
      </c>
      <c r="AE20" s="12">
        <v>149</v>
      </c>
      <c r="AF20" s="12">
        <v>73</v>
      </c>
      <c r="AG20" s="12">
        <v>1</v>
      </c>
      <c r="AH20" s="12">
        <v>76</v>
      </c>
      <c r="AI20" s="12">
        <v>45</v>
      </c>
      <c r="AJ20" s="12">
        <v>197</v>
      </c>
      <c r="AK20" s="12">
        <v>37</v>
      </c>
      <c r="AL20" s="12">
        <v>286</v>
      </c>
      <c r="AM20" s="12">
        <v>159</v>
      </c>
      <c r="AN20" s="12">
        <v>74</v>
      </c>
      <c r="AO20" s="12">
        <v>114</v>
      </c>
      <c r="AP20" s="12">
        <v>5</v>
      </c>
      <c r="AQ20" s="12">
        <v>189</v>
      </c>
    </row>
    <row r="21" spans="1:43" x14ac:dyDescent="0.35">
      <c r="A21" s="19"/>
      <c r="B21" s="13" t="s">
        <v>486</v>
      </c>
      <c r="C21" s="15">
        <v>0.11</v>
      </c>
      <c r="D21" s="15">
        <v>0.05</v>
      </c>
      <c r="E21" s="15">
        <v>0.1</v>
      </c>
      <c r="F21" s="15">
        <v>7.0000000000000007E-2</v>
      </c>
      <c r="G21" s="15">
        <v>0.06</v>
      </c>
      <c r="H21" s="15">
        <v>0.1</v>
      </c>
      <c r="I21" s="15">
        <v>0.1</v>
      </c>
      <c r="J21" s="15">
        <v>0.09</v>
      </c>
      <c r="K21" s="15">
        <v>0.21</v>
      </c>
      <c r="L21" s="15">
        <v>0.1</v>
      </c>
      <c r="M21" s="15">
        <v>0.16</v>
      </c>
      <c r="N21" s="15">
        <v>7.0000000000000007E-2</v>
      </c>
      <c r="O21" s="15">
        <v>0.22</v>
      </c>
      <c r="P21" s="15">
        <v>0.05</v>
      </c>
      <c r="Q21" s="15">
        <v>7.0000000000000007E-2</v>
      </c>
      <c r="R21" s="15">
        <v>0.18</v>
      </c>
      <c r="S21" s="15">
        <v>0.13</v>
      </c>
      <c r="T21" s="15">
        <v>0.19</v>
      </c>
      <c r="U21" s="15">
        <v>0.02</v>
      </c>
      <c r="V21" s="15">
        <v>0.08</v>
      </c>
      <c r="W21" s="15">
        <v>0.17</v>
      </c>
      <c r="X21" s="15">
        <v>0.13</v>
      </c>
      <c r="Y21" s="15">
        <v>0.09</v>
      </c>
      <c r="Z21" s="15">
        <v>7.0000000000000007E-2</v>
      </c>
      <c r="AA21" s="15">
        <v>0.11</v>
      </c>
      <c r="AB21" s="15">
        <v>0.18</v>
      </c>
      <c r="AC21" s="15">
        <v>0.1</v>
      </c>
      <c r="AD21" s="15">
        <v>0.13</v>
      </c>
      <c r="AE21" s="15">
        <v>0.15</v>
      </c>
      <c r="AF21" s="15">
        <v>7.0000000000000007E-2</v>
      </c>
      <c r="AG21" s="14" t="s">
        <v>475</v>
      </c>
      <c r="AH21" s="15">
        <v>0.08</v>
      </c>
      <c r="AI21" s="15">
        <v>0.09</v>
      </c>
      <c r="AJ21" s="15">
        <v>0.19</v>
      </c>
      <c r="AK21" s="15">
        <v>0.04</v>
      </c>
      <c r="AL21" s="15">
        <v>0.28000000000000003</v>
      </c>
      <c r="AM21" s="15">
        <v>0.15</v>
      </c>
      <c r="AN21" s="15">
        <v>0.08</v>
      </c>
      <c r="AO21" s="15">
        <v>0.11</v>
      </c>
      <c r="AP21" s="15">
        <v>0.01</v>
      </c>
      <c r="AQ21" s="15">
        <v>0.19</v>
      </c>
    </row>
    <row r="22" spans="1:43" x14ac:dyDescent="0.35">
      <c r="A22" s="19"/>
      <c r="B22" s="11" t="s">
        <v>525</v>
      </c>
      <c r="C22" s="12">
        <v>18302</v>
      </c>
      <c r="D22" s="12">
        <v>730</v>
      </c>
      <c r="E22" s="12">
        <v>615</v>
      </c>
      <c r="F22" s="12">
        <v>800</v>
      </c>
      <c r="G22" s="12">
        <v>828</v>
      </c>
      <c r="H22" s="12">
        <v>949</v>
      </c>
      <c r="I22" s="12">
        <v>1169</v>
      </c>
      <c r="J22" s="12">
        <v>219</v>
      </c>
      <c r="K22" s="12">
        <v>553</v>
      </c>
      <c r="L22" s="12">
        <v>790</v>
      </c>
      <c r="M22" s="12">
        <v>502</v>
      </c>
      <c r="N22" s="12">
        <v>736</v>
      </c>
      <c r="O22" s="12">
        <v>560</v>
      </c>
      <c r="P22" s="12">
        <v>627</v>
      </c>
      <c r="Q22" s="12">
        <v>707</v>
      </c>
      <c r="R22" s="12">
        <v>336</v>
      </c>
      <c r="S22" s="12">
        <v>740</v>
      </c>
      <c r="T22" s="12">
        <v>639</v>
      </c>
      <c r="U22" s="12">
        <v>439</v>
      </c>
      <c r="V22" s="12">
        <v>624</v>
      </c>
      <c r="W22" s="12">
        <v>383</v>
      </c>
      <c r="X22" s="12">
        <v>759</v>
      </c>
      <c r="Y22" s="12">
        <v>782</v>
      </c>
      <c r="Z22" s="12">
        <v>791</v>
      </c>
      <c r="AA22" s="12">
        <v>698</v>
      </c>
      <c r="AB22" s="12">
        <v>516</v>
      </c>
      <c r="AC22" s="12">
        <v>741</v>
      </c>
      <c r="AD22" s="12">
        <v>678</v>
      </c>
      <c r="AE22" s="12">
        <v>740</v>
      </c>
      <c r="AF22" s="12">
        <v>860</v>
      </c>
      <c r="AG22" s="12">
        <v>503</v>
      </c>
      <c r="AH22" s="12">
        <v>678</v>
      </c>
      <c r="AI22" s="12">
        <v>207</v>
      </c>
      <c r="AJ22" s="12">
        <v>500</v>
      </c>
      <c r="AK22" s="12">
        <v>593</v>
      </c>
      <c r="AL22" s="12">
        <v>510</v>
      </c>
      <c r="AM22" s="12">
        <v>731</v>
      </c>
      <c r="AN22" s="12">
        <v>593</v>
      </c>
      <c r="AO22" s="12">
        <v>635</v>
      </c>
      <c r="AP22" s="12">
        <v>397</v>
      </c>
      <c r="AQ22" s="12">
        <v>502</v>
      </c>
    </row>
    <row r="23" spans="1:43" x14ac:dyDescent="0.35">
      <c r="A23" s="19"/>
      <c r="B23" s="13" t="s">
        <v>526</v>
      </c>
      <c r="C23" s="15">
        <v>0.69000000000000006</v>
      </c>
      <c r="D23" s="15">
        <v>0.72</v>
      </c>
      <c r="E23" s="15">
        <v>0.6</v>
      </c>
      <c r="F23" s="15">
        <v>0.73</v>
      </c>
      <c r="G23" s="15">
        <v>0.83000000000000007</v>
      </c>
      <c r="H23" s="15">
        <v>0.78</v>
      </c>
      <c r="I23" s="15">
        <v>0.77</v>
      </c>
      <c r="J23" s="15">
        <v>0.74</v>
      </c>
      <c r="K23" s="15">
        <v>0.55000000000000004</v>
      </c>
      <c r="L23" s="15">
        <v>0.79</v>
      </c>
      <c r="M23" s="15">
        <v>0.5</v>
      </c>
      <c r="N23" s="15">
        <v>0.73</v>
      </c>
      <c r="O23" s="15">
        <v>0.56000000000000005</v>
      </c>
      <c r="P23" s="15">
        <v>0.63</v>
      </c>
      <c r="Q23" s="15">
        <v>0.69000000000000006</v>
      </c>
      <c r="R23" s="15">
        <v>0.67</v>
      </c>
      <c r="S23" s="15">
        <v>0.73</v>
      </c>
      <c r="T23" s="15">
        <v>0.64</v>
      </c>
      <c r="U23" s="15">
        <v>0.87</v>
      </c>
      <c r="V23" s="15">
        <v>0.61</v>
      </c>
      <c r="W23" s="15">
        <v>0.76</v>
      </c>
      <c r="X23" s="15">
        <v>0.75</v>
      </c>
      <c r="Y23" s="15">
        <v>0.78</v>
      </c>
      <c r="Z23" s="15">
        <v>0.77</v>
      </c>
      <c r="AA23" s="15">
        <v>0.68</v>
      </c>
      <c r="AB23" s="15">
        <v>0.49</v>
      </c>
      <c r="AC23" s="15">
        <v>0.74</v>
      </c>
      <c r="AD23" s="15">
        <v>0.68</v>
      </c>
      <c r="AE23" s="15">
        <v>0.73</v>
      </c>
      <c r="AF23" s="15">
        <v>0.83000000000000007</v>
      </c>
      <c r="AG23" s="15">
        <v>0.48</v>
      </c>
      <c r="AH23" s="15">
        <v>0.67</v>
      </c>
      <c r="AI23" s="15">
        <v>0.39</v>
      </c>
      <c r="AJ23" s="15">
        <v>0.48</v>
      </c>
      <c r="AK23" s="15">
        <v>0.59</v>
      </c>
      <c r="AL23" s="15">
        <v>0.51</v>
      </c>
      <c r="AM23" s="15">
        <v>0.71</v>
      </c>
      <c r="AN23" s="15">
        <v>0.59</v>
      </c>
      <c r="AO23" s="15">
        <v>0.63</v>
      </c>
      <c r="AP23" s="15">
        <v>0.76</v>
      </c>
      <c r="AQ23" s="15">
        <v>0.5</v>
      </c>
    </row>
    <row r="24" spans="1:43" x14ac:dyDescent="0.35">
      <c r="A24" s="19"/>
      <c r="B24" s="11" t="s">
        <v>527</v>
      </c>
      <c r="C24" s="12">
        <v>5188</v>
      </c>
      <c r="D24" s="12">
        <v>230</v>
      </c>
      <c r="E24" s="12">
        <v>310</v>
      </c>
      <c r="F24" s="12">
        <v>221</v>
      </c>
      <c r="G24" s="12">
        <v>115</v>
      </c>
      <c r="H24" s="12">
        <v>153</v>
      </c>
      <c r="I24" s="12">
        <v>202</v>
      </c>
      <c r="J24" s="12">
        <v>48</v>
      </c>
      <c r="K24" s="12">
        <v>238</v>
      </c>
      <c r="L24" s="12">
        <v>112</v>
      </c>
      <c r="M24" s="12">
        <v>346</v>
      </c>
      <c r="N24" s="12">
        <v>199</v>
      </c>
      <c r="O24" s="12">
        <v>220</v>
      </c>
      <c r="P24" s="12">
        <v>322</v>
      </c>
      <c r="Q24" s="12">
        <v>246</v>
      </c>
      <c r="R24" s="12">
        <v>76</v>
      </c>
      <c r="S24" s="12">
        <v>136</v>
      </c>
      <c r="T24" s="12">
        <v>172</v>
      </c>
      <c r="U24" s="12">
        <v>54</v>
      </c>
      <c r="V24" s="12">
        <v>309</v>
      </c>
      <c r="W24" s="12">
        <v>39</v>
      </c>
      <c r="X24" s="12">
        <v>121</v>
      </c>
      <c r="Y24" s="12">
        <v>130</v>
      </c>
      <c r="Z24" s="12">
        <v>162</v>
      </c>
      <c r="AA24" s="12">
        <v>223</v>
      </c>
      <c r="AB24" s="12">
        <v>351</v>
      </c>
      <c r="AC24" s="12">
        <v>166</v>
      </c>
      <c r="AD24" s="12">
        <v>197</v>
      </c>
      <c r="AE24" s="12">
        <v>124</v>
      </c>
      <c r="AF24" s="12">
        <v>110</v>
      </c>
      <c r="AG24" s="12">
        <v>531</v>
      </c>
      <c r="AH24" s="12">
        <v>260</v>
      </c>
      <c r="AI24" s="12">
        <v>271</v>
      </c>
      <c r="AJ24" s="12">
        <v>341</v>
      </c>
      <c r="AK24" s="12">
        <v>376</v>
      </c>
      <c r="AL24" s="12">
        <v>216</v>
      </c>
      <c r="AM24" s="12">
        <v>151</v>
      </c>
      <c r="AN24" s="12">
        <v>336</v>
      </c>
      <c r="AO24" s="12">
        <v>255</v>
      </c>
      <c r="AP24" s="12">
        <v>121</v>
      </c>
      <c r="AQ24" s="12">
        <v>311</v>
      </c>
    </row>
    <row r="25" spans="1:43" x14ac:dyDescent="0.35">
      <c r="A25" s="19"/>
      <c r="B25" s="13" t="s">
        <v>528</v>
      </c>
      <c r="C25" s="15">
        <v>0.2</v>
      </c>
      <c r="D25" s="15">
        <v>0.23</v>
      </c>
      <c r="E25" s="15">
        <v>0.3</v>
      </c>
      <c r="F25" s="15">
        <v>0.2</v>
      </c>
      <c r="G25" s="15">
        <v>0.11</v>
      </c>
      <c r="H25" s="15">
        <v>0.12</v>
      </c>
      <c r="I25" s="15">
        <v>0.13</v>
      </c>
      <c r="J25" s="15">
        <v>0.17</v>
      </c>
      <c r="K25" s="15">
        <v>0.24</v>
      </c>
      <c r="L25" s="15">
        <v>0.11</v>
      </c>
      <c r="M25" s="15">
        <v>0.34</v>
      </c>
      <c r="N25" s="15">
        <v>0.2</v>
      </c>
      <c r="O25" s="15">
        <v>0.22</v>
      </c>
      <c r="P25" s="15">
        <v>0.32</v>
      </c>
      <c r="Q25" s="15">
        <v>0.24</v>
      </c>
      <c r="R25" s="15">
        <v>0.15</v>
      </c>
      <c r="S25" s="15">
        <v>0.14000000000000001</v>
      </c>
      <c r="T25" s="15">
        <v>0.17</v>
      </c>
      <c r="U25" s="15">
        <v>0.11</v>
      </c>
      <c r="V25" s="15">
        <v>0.31</v>
      </c>
      <c r="W25" s="15">
        <v>7.0000000000000007E-2</v>
      </c>
      <c r="X25" s="15">
        <v>0.12</v>
      </c>
      <c r="Y25" s="15">
        <v>0.13</v>
      </c>
      <c r="Z25" s="15">
        <v>0.16</v>
      </c>
      <c r="AA25" s="15">
        <v>0.21</v>
      </c>
      <c r="AB25" s="15">
        <v>0.33</v>
      </c>
      <c r="AC25" s="15">
        <v>0.16</v>
      </c>
      <c r="AD25" s="15">
        <v>0.19</v>
      </c>
      <c r="AE25" s="15">
        <v>0.12</v>
      </c>
      <c r="AF25" s="15">
        <v>0.1</v>
      </c>
      <c r="AG25" s="15">
        <v>0.52</v>
      </c>
      <c r="AH25" s="15">
        <v>0.25</v>
      </c>
      <c r="AI25" s="15">
        <v>0.52</v>
      </c>
      <c r="AJ25" s="15">
        <v>0.33</v>
      </c>
      <c r="AK25" s="15">
        <v>0.37</v>
      </c>
      <c r="AL25" s="15">
        <v>0.21</v>
      </c>
      <c r="AM25" s="15">
        <v>0.14000000000000001</v>
      </c>
      <c r="AN25" s="15">
        <v>0.33</v>
      </c>
      <c r="AO25" s="15">
        <v>0.26</v>
      </c>
      <c r="AP25" s="15">
        <v>0.23</v>
      </c>
      <c r="AQ25" s="15">
        <v>0.31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541</v>
      </c>
      <c r="C3" s="18"/>
      <c r="D3" s="18"/>
      <c r="E3" s="18"/>
      <c r="F3" s="18"/>
      <c r="H3" s="18" t="s">
        <v>542</v>
      </c>
      <c r="I3" s="18"/>
      <c r="J3" s="18"/>
      <c r="K3" s="18"/>
      <c r="L3" s="18"/>
    </row>
    <row r="4" spans="1:43" ht="27" customHeight="1" x14ac:dyDescent="0.35">
      <c r="B4" s="18" t="s">
        <v>543</v>
      </c>
      <c r="C4" s="18"/>
      <c r="D4" s="18"/>
      <c r="E4" s="18"/>
      <c r="F4" s="18"/>
      <c r="H4" s="18" t="s">
        <v>544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517</v>
      </c>
      <c r="C12" s="12">
        <v>3091</v>
      </c>
      <c r="D12" s="12">
        <v>110</v>
      </c>
      <c r="E12" s="12">
        <v>64</v>
      </c>
      <c r="F12" s="12">
        <v>129</v>
      </c>
      <c r="G12" s="12">
        <v>441</v>
      </c>
      <c r="H12" s="12">
        <v>157</v>
      </c>
      <c r="I12" s="12">
        <v>190</v>
      </c>
      <c r="J12" s="12">
        <v>34</v>
      </c>
      <c r="K12" s="12">
        <v>64</v>
      </c>
      <c r="L12" s="12">
        <v>179</v>
      </c>
      <c r="M12" s="12">
        <v>44</v>
      </c>
      <c r="N12" s="12">
        <v>123</v>
      </c>
      <c r="O12" s="12">
        <v>59</v>
      </c>
      <c r="P12" s="12">
        <v>90</v>
      </c>
      <c r="Q12" s="12">
        <v>53</v>
      </c>
      <c r="R12" s="12">
        <v>67</v>
      </c>
      <c r="S12" s="12">
        <v>81</v>
      </c>
      <c r="T12" s="12">
        <v>79</v>
      </c>
      <c r="U12" s="12">
        <v>98</v>
      </c>
      <c r="V12" s="12">
        <v>56</v>
      </c>
      <c r="W12" s="12">
        <v>64</v>
      </c>
      <c r="X12" s="12">
        <v>431</v>
      </c>
      <c r="Y12" s="12">
        <v>164</v>
      </c>
      <c r="Z12" s="12">
        <v>91</v>
      </c>
      <c r="AA12" s="12">
        <v>10</v>
      </c>
      <c r="AB12" s="12">
        <v>53</v>
      </c>
      <c r="AC12" s="12">
        <v>121</v>
      </c>
      <c r="AD12" s="12">
        <v>75</v>
      </c>
      <c r="AE12" s="12">
        <v>319</v>
      </c>
      <c r="AF12" s="12">
        <v>460</v>
      </c>
      <c r="AG12" s="12">
        <v>137</v>
      </c>
      <c r="AH12" s="12">
        <v>104</v>
      </c>
      <c r="AI12" s="12">
        <v>60</v>
      </c>
      <c r="AJ12" s="12">
        <v>99</v>
      </c>
      <c r="AK12" s="12">
        <v>91</v>
      </c>
      <c r="AL12" s="12">
        <v>64</v>
      </c>
      <c r="AM12" s="12">
        <v>202</v>
      </c>
      <c r="AN12" s="12">
        <v>130</v>
      </c>
      <c r="AO12" s="12">
        <v>286</v>
      </c>
      <c r="AP12" s="12">
        <v>99</v>
      </c>
      <c r="AQ12" s="12">
        <v>65</v>
      </c>
    </row>
    <row r="13" spans="1:43" x14ac:dyDescent="0.35">
      <c r="A13" s="19"/>
      <c r="B13" s="13" t="s">
        <v>518</v>
      </c>
      <c r="C13" s="15">
        <v>0.12</v>
      </c>
      <c r="D13" s="15">
        <v>0.11</v>
      </c>
      <c r="E13" s="15">
        <v>0.06</v>
      </c>
      <c r="F13" s="15">
        <v>0.12</v>
      </c>
      <c r="G13" s="15">
        <v>0.44</v>
      </c>
      <c r="H13" s="15">
        <v>0.13</v>
      </c>
      <c r="I13" s="15">
        <v>0.13</v>
      </c>
      <c r="J13" s="15">
        <v>0.12</v>
      </c>
      <c r="K13" s="15">
        <v>7.0000000000000007E-2</v>
      </c>
      <c r="L13" s="15">
        <v>0.18</v>
      </c>
      <c r="M13" s="15">
        <v>0.04</v>
      </c>
      <c r="N13" s="15">
        <v>0.12</v>
      </c>
      <c r="O13" s="15">
        <v>0.06</v>
      </c>
      <c r="P13" s="15">
        <v>0.09</v>
      </c>
      <c r="Q13" s="15">
        <v>0.05</v>
      </c>
      <c r="R13" s="15">
        <v>0.13</v>
      </c>
      <c r="S13" s="15">
        <v>0.08</v>
      </c>
      <c r="T13" s="15">
        <v>0.08</v>
      </c>
      <c r="U13" s="15">
        <v>0.2</v>
      </c>
      <c r="V13" s="15">
        <v>0.05</v>
      </c>
      <c r="W13" s="15">
        <v>0.12</v>
      </c>
      <c r="X13" s="15">
        <v>0.43</v>
      </c>
      <c r="Y13" s="15">
        <v>0.16</v>
      </c>
      <c r="Z13" s="15">
        <v>0.09</v>
      </c>
      <c r="AA13" s="15">
        <v>0.01</v>
      </c>
      <c r="AB13" s="15">
        <v>0.05</v>
      </c>
      <c r="AC13" s="15">
        <v>0.12</v>
      </c>
      <c r="AD13" s="15">
        <v>7.0000000000000007E-2</v>
      </c>
      <c r="AE13" s="15">
        <v>0.31</v>
      </c>
      <c r="AF13" s="15">
        <v>0.44</v>
      </c>
      <c r="AG13" s="15">
        <v>0.13</v>
      </c>
      <c r="AH13" s="15">
        <v>0.1</v>
      </c>
      <c r="AI13" s="15">
        <v>0.12</v>
      </c>
      <c r="AJ13" s="15">
        <v>0.09</v>
      </c>
      <c r="AK13" s="15">
        <v>0.09</v>
      </c>
      <c r="AL13" s="15">
        <v>0.06</v>
      </c>
      <c r="AM13" s="15">
        <v>0.19</v>
      </c>
      <c r="AN13" s="15">
        <v>0.13</v>
      </c>
      <c r="AO13" s="15">
        <v>0.28999999999999998</v>
      </c>
      <c r="AP13" s="15">
        <v>0.19</v>
      </c>
      <c r="AQ13" s="15">
        <v>7.0000000000000007E-2</v>
      </c>
    </row>
    <row r="14" spans="1:43" x14ac:dyDescent="0.35">
      <c r="A14" s="19"/>
      <c r="B14" s="11" t="s">
        <v>519</v>
      </c>
      <c r="C14" s="12">
        <v>16648</v>
      </c>
      <c r="D14" s="12">
        <v>655</v>
      </c>
      <c r="E14" s="12">
        <v>501</v>
      </c>
      <c r="F14" s="12">
        <v>643</v>
      </c>
      <c r="G14" s="12">
        <v>475</v>
      </c>
      <c r="H14" s="12">
        <v>861</v>
      </c>
      <c r="I14" s="12">
        <v>1032</v>
      </c>
      <c r="J14" s="12">
        <v>171</v>
      </c>
      <c r="K14" s="12">
        <v>654</v>
      </c>
      <c r="L14" s="12">
        <v>636</v>
      </c>
      <c r="M14" s="12">
        <v>502</v>
      </c>
      <c r="N14" s="12">
        <v>682</v>
      </c>
      <c r="O14" s="12">
        <v>602</v>
      </c>
      <c r="P14" s="12">
        <v>579</v>
      </c>
      <c r="Q14" s="12">
        <v>707</v>
      </c>
      <c r="R14" s="12">
        <v>316</v>
      </c>
      <c r="S14" s="12">
        <v>718</v>
      </c>
      <c r="T14" s="12">
        <v>736</v>
      </c>
      <c r="U14" s="12">
        <v>330</v>
      </c>
      <c r="V14" s="12">
        <v>633</v>
      </c>
      <c r="W14" s="12">
        <v>395</v>
      </c>
      <c r="X14" s="12">
        <v>467</v>
      </c>
      <c r="Y14" s="12">
        <v>571</v>
      </c>
      <c r="Z14" s="12">
        <v>727</v>
      </c>
      <c r="AA14" s="12">
        <v>629</v>
      </c>
      <c r="AB14" s="12">
        <v>543</v>
      </c>
      <c r="AC14" s="12">
        <v>690</v>
      </c>
      <c r="AD14" s="12">
        <v>599</v>
      </c>
      <c r="AE14" s="12">
        <v>566</v>
      </c>
      <c r="AF14" s="12">
        <v>482</v>
      </c>
      <c r="AG14" s="12">
        <v>391</v>
      </c>
      <c r="AH14" s="12">
        <v>652</v>
      </c>
      <c r="AI14" s="12">
        <v>169</v>
      </c>
      <c r="AJ14" s="12">
        <v>542</v>
      </c>
      <c r="AK14" s="12">
        <v>627</v>
      </c>
      <c r="AL14" s="12">
        <v>594</v>
      </c>
      <c r="AM14" s="12">
        <v>632</v>
      </c>
      <c r="AN14" s="12">
        <v>620</v>
      </c>
      <c r="AO14" s="12">
        <v>542</v>
      </c>
      <c r="AP14" s="12">
        <v>340</v>
      </c>
      <c r="AQ14" s="12">
        <v>589</v>
      </c>
    </row>
    <row r="15" spans="1:43" x14ac:dyDescent="0.35">
      <c r="A15" s="19"/>
      <c r="B15" s="13" t="s">
        <v>520</v>
      </c>
      <c r="C15" s="15">
        <v>0.63</v>
      </c>
      <c r="D15" s="15">
        <v>0.65</v>
      </c>
      <c r="E15" s="15">
        <v>0.49</v>
      </c>
      <c r="F15" s="15">
        <v>0.57999999999999996</v>
      </c>
      <c r="G15" s="15">
        <v>0.47</v>
      </c>
      <c r="H15" s="15">
        <v>0.70000000000000007</v>
      </c>
      <c r="I15" s="15">
        <v>0.68</v>
      </c>
      <c r="J15" s="15">
        <v>0.57999999999999996</v>
      </c>
      <c r="K15" s="15">
        <v>0.65</v>
      </c>
      <c r="L15" s="15">
        <v>0.63</v>
      </c>
      <c r="M15" s="15">
        <v>0.5</v>
      </c>
      <c r="N15" s="15">
        <v>0.68</v>
      </c>
      <c r="O15" s="15">
        <v>0.6</v>
      </c>
      <c r="P15" s="15">
        <v>0.57999999999999996</v>
      </c>
      <c r="Q15" s="15">
        <v>0.69000000000000006</v>
      </c>
      <c r="R15" s="15">
        <v>0.63</v>
      </c>
      <c r="S15" s="15">
        <v>0.72</v>
      </c>
      <c r="T15" s="15">
        <v>0.73</v>
      </c>
      <c r="U15" s="15">
        <v>0.65</v>
      </c>
      <c r="V15" s="15">
        <v>0.62</v>
      </c>
      <c r="W15" s="15">
        <v>0.78</v>
      </c>
      <c r="X15" s="15">
        <v>0.46</v>
      </c>
      <c r="Y15" s="15">
        <v>0.57000000000000006</v>
      </c>
      <c r="Z15" s="15">
        <v>0.70000000000000007</v>
      </c>
      <c r="AA15" s="15">
        <v>0.61</v>
      </c>
      <c r="AB15" s="15">
        <v>0.52</v>
      </c>
      <c r="AC15" s="15">
        <v>0.69000000000000006</v>
      </c>
      <c r="AD15" s="15">
        <v>0.6</v>
      </c>
      <c r="AE15" s="15">
        <v>0.56000000000000005</v>
      </c>
      <c r="AF15" s="15">
        <v>0.46</v>
      </c>
      <c r="AG15" s="15">
        <v>0.38</v>
      </c>
      <c r="AH15" s="15">
        <v>0.64</v>
      </c>
      <c r="AI15" s="15">
        <v>0.32</v>
      </c>
      <c r="AJ15" s="15">
        <v>0.52</v>
      </c>
      <c r="AK15" s="15">
        <v>0.62</v>
      </c>
      <c r="AL15" s="15">
        <v>0.59</v>
      </c>
      <c r="AM15" s="15">
        <v>0.61</v>
      </c>
      <c r="AN15" s="15">
        <v>0.62</v>
      </c>
      <c r="AO15" s="15">
        <v>0.54</v>
      </c>
      <c r="AP15" s="15">
        <v>0.65</v>
      </c>
      <c r="AQ15" s="15">
        <v>0.59</v>
      </c>
    </row>
    <row r="16" spans="1:43" x14ac:dyDescent="0.35">
      <c r="A16" s="19"/>
      <c r="B16" s="11" t="s">
        <v>521</v>
      </c>
      <c r="C16" s="12">
        <v>5289</v>
      </c>
      <c r="D16" s="12">
        <v>202</v>
      </c>
      <c r="E16" s="12">
        <v>335</v>
      </c>
      <c r="F16" s="12">
        <v>285</v>
      </c>
      <c r="G16" s="12">
        <v>69</v>
      </c>
      <c r="H16" s="12">
        <v>171</v>
      </c>
      <c r="I16" s="12">
        <v>240</v>
      </c>
      <c r="J16" s="12">
        <v>68</v>
      </c>
      <c r="K16" s="12">
        <v>220</v>
      </c>
      <c r="L16" s="12">
        <v>139</v>
      </c>
      <c r="M16" s="12">
        <v>353</v>
      </c>
      <c r="N16" s="12">
        <v>152</v>
      </c>
      <c r="O16" s="12">
        <v>253</v>
      </c>
      <c r="P16" s="12">
        <v>277</v>
      </c>
      <c r="Q16" s="12">
        <v>223</v>
      </c>
      <c r="R16" s="12">
        <v>94</v>
      </c>
      <c r="S16" s="12">
        <v>165</v>
      </c>
      <c r="T16" s="12">
        <v>149</v>
      </c>
      <c r="U16" s="12">
        <v>65</v>
      </c>
      <c r="V16" s="12">
        <v>279</v>
      </c>
      <c r="W16" s="12">
        <v>44</v>
      </c>
      <c r="X16" s="12">
        <v>93</v>
      </c>
      <c r="Y16" s="12">
        <v>181</v>
      </c>
      <c r="Z16" s="12">
        <v>162</v>
      </c>
      <c r="AA16" s="12">
        <v>318</v>
      </c>
      <c r="AB16" s="12">
        <v>364</v>
      </c>
      <c r="AC16" s="12">
        <v>159</v>
      </c>
      <c r="AD16" s="12">
        <v>272</v>
      </c>
      <c r="AE16" s="12">
        <v>99</v>
      </c>
      <c r="AF16" s="12">
        <v>82</v>
      </c>
      <c r="AG16" s="12">
        <v>340</v>
      </c>
      <c r="AH16" s="12">
        <v>218</v>
      </c>
      <c r="AI16" s="12">
        <v>217</v>
      </c>
      <c r="AJ16" s="12">
        <v>339</v>
      </c>
      <c r="AK16" s="12">
        <v>210</v>
      </c>
      <c r="AL16" s="12">
        <v>251</v>
      </c>
      <c r="AM16" s="12">
        <v>154</v>
      </c>
      <c r="AN16" s="12">
        <v>213</v>
      </c>
      <c r="AO16" s="12">
        <v>108</v>
      </c>
      <c r="AP16" s="12">
        <v>68</v>
      </c>
      <c r="AQ16" s="12">
        <v>251</v>
      </c>
    </row>
    <row r="17" spans="1:43" x14ac:dyDescent="0.35">
      <c r="A17" s="19"/>
      <c r="B17" s="13" t="s">
        <v>522</v>
      </c>
      <c r="C17" s="15">
        <v>0.2</v>
      </c>
      <c r="D17" s="15">
        <v>0.2</v>
      </c>
      <c r="E17" s="15">
        <v>0.33</v>
      </c>
      <c r="F17" s="15">
        <v>0.26</v>
      </c>
      <c r="G17" s="15">
        <v>7.0000000000000007E-2</v>
      </c>
      <c r="H17" s="15">
        <v>0.14000000000000001</v>
      </c>
      <c r="I17" s="15">
        <v>0.16</v>
      </c>
      <c r="J17" s="15">
        <v>0.23</v>
      </c>
      <c r="K17" s="15">
        <v>0.22</v>
      </c>
      <c r="L17" s="15">
        <v>0.14000000000000001</v>
      </c>
      <c r="M17" s="15">
        <v>0.35</v>
      </c>
      <c r="N17" s="15">
        <v>0.15</v>
      </c>
      <c r="O17" s="15">
        <v>0.25</v>
      </c>
      <c r="P17" s="15">
        <v>0.28000000000000003</v>
      </c>
      <c r="Q17" s="15">
        <v>0.22</v>
      </c>
      <c r="R17" s="15">
        <v>0.19</v>
      </c>
      <c r="S17" s="15">
        <v>0.16</v>
      </c>
      <c r="T17" s="15">
        <v>0.15</v>
      </c>
      <c r="U17" s="15">
        <v>0.13</v>
      </c>
      <c r="V17" s="15">
        <v>0.28000000000000003</v>
      </c>
      <c r="W17" s="15">
        <v>0.09</v>
      </c>
      <c r="X17" s="15">
        <v>0.09</v>
      </c>
      <c r="Y17" s="15">
        <v>0.18</v>
      </c>
      <c r="Z17" s="15">
        <v>0.16</v>
      </c>
      <c r="AA17" s="15">
        <v>0.31</v>
      </c>
      <c r="AB17" s="15">
        <v>0.35</v>
      </c>
      <c r="AC17" s="15">
        <v>0.16</v>
      </c>
      <c r="AD17" s="15">
        <v>0.27</v>
      </c>
      <c r="AE17" s="15">
        <v>0.1</v>
      </c>
      <c r="AF17" s="15">
        <v>0.08</v>
      </c>
      <c r="AG17" s="15">
        <v>0.33</v>
      </c>
      <c r="AH17" s="15">
        <v>0.22</v>
      </c>
      <c r="AI17" s="15">
        <v>0.42</v>
      </c>
      <c r="AJ17" s="15">
        <v>0.33</v>
      </c>
      <c r="AK17" s="15">
        <v>0.21</v>
      </c>
      <c r="AL17" s="15">
        <v>0.25</v>
      </c>
      <c r="AM17" s="15">
        <v>0.15</v>
      </c>
      <c r="AN17" s="15">
        <v>0.21</v>
      </c>
      <c r="AO17" s="15">
        <v>0.11</v>
      </c>
      <c r="AP17" s="15">
        <v>0.13</v>
      </c>
      <c r="AQ17" s="15">
        <v>0.25</v>
      </c>
    </row>
    <row r="18" spans="1:43" x14ac:dyDescent="0.35">
      <c r="A18" s="19"/>
      <c r="B18" s="11" t="s">
        <v>523</v>
      </c>
      <c r="C18" s="12">
        <v>899</v>
      </c>
      <c r="D18" s="12">
        <v>42</v>
      </c>
      <c r="E18" s="12">
        <v>74</v>
      </c>
      <c r="F18" s="12">
        <v>34</v>
      </c>
      <c r="G18" s="12">
        <v>17</v>
      </c>
      <c r="H18" s="12">
        <v>20</v>
      </c>
      <c r="I18" s="12">
        <v>32</v>
      </c>
      <c r="J18" s="12">
        <v>13</v>
      </c>
      <c r="K18" s="12">
        <v>32</v>
      </c>
      <c r="L18" s="12">
        <v>18</v>
      </c>
      <c r="M18" s="12">
        <v>101</v>
      </c>
      <c r="N18" s="12">
        <v>21</v>
      </c>
      <c r="O18" s="12">
        <v>50</v>
      </c>
      <c r="P18" s="12">
        <v>55</v>
      </c>
      <c r="Q18" s="12">
        <v>38</v>
      </c>
      <c r="R18" s="12">
        <v>23</v>
      </c>
      <c r="S18" s="12">
        <v>27</v>
      </c>
      <c r="T18" s="12">
        <v>23</v>
      </c>
      <c r="U18" s="12">
        <v>7</v>
      </c>
      <c r="V18" s="12">
        <v>38</v>
      </c>
      <c r="W18" s="12">
        <v>3</v>
      </c>
      <c r="X18" s="12">
        <v>13</v>
      </c>
      <c r="Y18" s="12">
        <v>40</v>
      </c>
      <c r="Z18" s="12">
        <v>17</v>
      </c>
      <c r="AA18" s="12">
        <v>43</v>
      </c>
      <c r="AB18" s="12">
        <v>75</v>
      </c>
      <c r="AC18" s="12">
        <v>28</v>
      </c>
      <c r="AD18" s="12">
        <v>39</v>
      </c>
      <c r="AE18" s="12">
        <v>23</v>
      </c>
      <c r="AF18" s="12">
        <v>18</v>
      </c>
      <c r="AG18" s="12">
        <v>167</v>
      </c>
      <c r="AH18" s="12">
        <v>36</v>
      </c>
      <c r="AI18" s="12">
        <v>70</v>
      </c>
      <c r="AJ18" s="12">
        <v>48</v>
      </c>
      <c r="AK18" s="12">
        <v>78</v>
      </c>
      <c r="AL18" s="12">
        <v>92</v>
      </c>
      <c r="AM18" s="12">
        <v>25</v>
      </c>
      <c r="AN18" s="12">
        <v>29</v>
      </c>
      <c r="AO18" s="12">
        <v>65</v>
      </c>
      <c r="AP18" s="12">
        <v>15</v>
      </c>
      <c r="AQ18" s="12">
        <v>84</v>
      </c>
    </row>
    <row r="19" spans="1:43" x14ac:dyDescent="0.35">
      <c r="A19" s="19"/>
      <c r="B19" s="13" t="s">
        <v>524</v>
      </c>
      <c r="C19" s="15">
        <v>0.03</v>
      </c>
      <c r="D19" s="15">
        <v>0.04</v>
      </c>
      <c r="E19" s="15">
        <v>7.0000000000000007E-2</v>
      </c>
      <c r="F19" s="15">
        <v>0.03</v>
      </c>
      <c r="G19" s="15">
        <v>0.02</v>
      </c>
      <c r="H19" s="15">
        <v>0.02</v>
      </c>
      <c r="I19" s="15">
        <v>0.02</v>
      </c>
      <c r="J19" s="15">
        <v>0.04</v>
      </c>
      <c r="K19" s="15">
        <v>0.03</v>
      </c>
      <c r="L19" s="15">
        <v>0.02</v>
      </c>
      <c r="M19" s="15">
        <v>0.1</v>
      </c>
      <c r="N19" s="15">
        <v>0.02</v>
      </c>
      <c r="O19" s="15">
        <v>0.05</v>
      </c>
      <c r="P19" s="15">
        <v>0.05</v>
      </c>
      <c r="Q19" s="15">
        <v>0.04</v>
      </c>
      <c r="R19" s="15">
        <v>0.04</v>
      </c>
      <c r="S19" s="15">
        <v>0.03</v>
      </c>
      <c r="T19" s="15">
        <v>0.02</v>
      </c>
      <c r="U19" s="15">
        <v>0.01</v>
      </c>
      <c r="V19" s="15">
        <v>0.04</v>
      </c>
      <c r="W19" s="15">
        <v>0.01</v>
      </c>
      <c r="X19" s="15">
        <v>0.01</v>
      </c>
      <c r="Y19" s="15">
        <v>0.04</v>
      </c>
      <c r="Z19" s="15">
        <v>0.02</v>
      </c>
      <c r="AA19" s="15">
        <v>0.04</v>
      </c>
      <c r="AB19" s="15">
        <v>7.0000000000000007E-2</v>
      </c>
      <c r="AC19" s="15">
        <v>0.03</v>
      </c>
      <c r="AD19" s="15">
        <v>0.04</v>
      </c>
      <c r="AE19" s="15">
        <v>0.02</v>
      </c>
      <c r="AF19" s="15">
        <v>0.02</v>
      </c>
      <c r="AG19" s="15">
        <v>0.16</v>
      </c>
      <c r="AH19" s="15">
        <v>0.04</v>
      </c>
      <c r="AI19" s="15">
        <v>0.13</v>
      </c>
      <c r="AJ19" s="15">
        <v>0.05</v>
      </c>
      <c r="AK19" s="15">
        <v>0.08</v>
      </c>
      <c r="AL19" s="15">
        <v>0.09</v>
      </c>
      <c r="AM19" s="15">
        <v>0.02</v>
      </c>
      <c r="AN19" s="15">
        <v>0.03</v>
      </c>
      <c r="AO19" s="15">
        <v>0.06</v>
      </c>
      <c r="AP19" s="15">
        <v>0.03</v>
      </c>
      <c r="AQ19" s="15">
        <v>0.08</v>
      </c>
    </row>
    <row r="20" spans="1:43" x14ac:dyDescent="0.35">
      <c r="A20" s="19"/>
      <c r="B20" s="11" t="s">
        <v>485</v>
      </c>
      <c r="C20" s="12">
        <v>518</v>
      </c>
      <c r="D20" s="12">
        <v>5</v>
      </c>
      <c r="E20" s="12">
        <v>56</v>
      </c>
      <c r="F20" s="12">
        <v>12</v>
      </c>
      <c r="G20" s="12">
        <v>4</v>
      </c>
      <c r="H20" s="12">
        <v>13</v>
      </c>
      <c r="I20" s="12">
        <v>22</v>
      </c>
      <c r="J20" s="12">
        <v>10</v>
      </c>
      <c r="K20" s="12">
        <v>32</v>
      </c>
      <c r="L20" s="12">
        <v>31</v>
      </c>
      <c r="M20" s="12">
        <v>10</v>
      </c>
      <c r="N20" s="12">
        <v>25</v>
      </c>
      <c r="O20" s="12">
        <v>37</v>
      </c>
      <c r="P20" s="12">
        <v>3</v>
      </c>
      <c r="Q20" s="12">
        <v>5</v>
      </c>
      <c r="R20" s="12">
        <v>4</v>
      </c>
      <c r="S20" s="12">
        <v>11</v>
      </c>
      <c r="T20" s="12">
        <v>19</v>
      </c>
      <c r="U20" s="12">
        <v>4</v>
      </c>
      <c r="V20" s="12">
        <v>9</v>
      </c>
      <c r="W20" s="12">
        <v>2</v>
      </c>
      <c r="X20" s="12">
        <v>5</v>
      </c>
      <c r="Y20" s="12">
        <v>47</v>
      </c>
      <c r="Z20" s="12">
        <v>35</v>
      </c>
      <c r="AA20" s="12">
        <v>32</v>
      </c>
      <c r="AB20" s="12">
        <v>17</v>
      </c>
      <c r="AC20" s="12">
        <v>6</v>
      </c>
      <c r="AD20" s="12">
        <v>19</v>
      </c>
      <c r="AE20" s="12">
        <v>6</v>
      </c>
      <c r="AF20" s="12">
        <v>0</v>
      </c>
      <c r="AG20" s="12">
        <v>1</v>
      </c>
      <c r="AH20" s="12">
        <v>3</v>
      </c>
      <c r="AI20" s="12">
        <v>7</v>
      </c>
      <c r="AJ20" s="12">
        <v>9</v>
      </c>
      <c r="AK20" s="12">
        <v>0</v>
      </c>
      <c r="AL20" s="12">
        <v>12</v>
      </c>
      <c r="AM20" s="12">
        <v>27</v>
      </c>
      <c r="AN20" s="12">
        <v>11</v>
      </c>
      <c r="AO20" s="12">
        <v>4</v>
      </c>
      <c r="AP20" s="12">
        <v>3</v>
      </c>
      <c r="AQ20" s="12">
        <v>14</v>
      </c>
    </row>
    <row r="21" spans="1:43" x14ac:dyDescent="0.35">
      <c r="A21" s="19"/>
      <c r="B21" s="13" t="s">
        <v>486</v>
      </c>
      <c r="C21" s="15">
        <v>0.02</v>
      </c>
      <c r="D21" s="14" t="s">
        <v>475</v>
      </c>
      <c r="E21" s="15">
        <v>0.05</v>
      </c>
      <c r="F21" s="15">
        <v>0.01</v>
      </c>
      <c r="G21" s="14" t="s">
        <v>475</v>
      </c>
      <c r="H21" s="15">
        <v>0.01</v>
      </c>
      <c r="I21" s="15">
        <v>0.01</v>
      </c>
      <c r="J21" s="15">
        <v>0.03</v>
      </c>
      <c r="K21" s="15">
        <v>0.03</v>
      </c>
      <c r="L21" s="15">
        <v>0.03</v>
      </c>
      <c r="M21" s="15">
        <v>0.01</v>
      </c>
      <c r="N21" s="15">
        <v>0.03</v>
      </c>
      <c r="O21" s="15">
        <v>0.04</v>
      </c>
      <c r="P21" s="14" t="s">
        <v>475</v>
      </c>
      <c r="Q21" s="14" t="s">
        <v>475</v>
      </c>
      <c r="R21" s="15">
        <v>0.01</v>
      </c>
      <c r="S21" s="15">
        <v>0.01</v>
      </c>
      <c r="T21" s="15">
        <v>0.02</v>
      </c>
      <c r="U21" s="15">
        <v>0.01</v>
      </c>
      <c r="V21" s="15">
        <v>0.01</v>
      </c>
      <c r="W21" s="14" t="s">
        <v>475</v>
      </c>
      <c r="X21" s="15">
        <v>0.01</v>
      </c>
      <c r="Y21" s="15">
        <v>0.05</v>
      </c>
      <c r="Z21" s="15">
        <v>0.03</v>
      </c>
      <c r="AA21" s="15">
        <v>0.03</v>
      </c>
      <c r="AB21" s="15">
        <v>0.01</v>
      </c>
      <c r="AC21" s="14" t="s">
        <v>475</v>
      </c>
      <c r="AD21" s="15">
        <v>0.02</v>
      </c>
      <c r="AE21" s="15">
        <v>0.01</v>
      </c>
      <c r="AF21" s="14" t="s">
        <v>475</v>
      </c>
      <c r="AG21" s="14" t="s">
        <v>475</v>
      </c>
      <c r="AH21" s="14" t="s">
        <v>475</v>
      </c>
      <c r="AI21" s="15">
        <v>0.01</v>
      </c>
      <c r="AJ21" s="15">
        <v>0.01</v>
      </c>
      <c r="AK21" s="14" t="s">
        <v>475</v>
      </c>
      <c r="AL21" s="15">
        <v>0.01</v>
      </c>
      <c r="AM21" s="15">
        <v>0.03</v>
      </c>
      <c r="AN21" s="15">
        <v>0.01</v>
      </c>
      <c r="AO21" s="14" t="s">
        <v>475</v>
      </c>
      <c r="AP21" s="14" t="s">
        <v>475</v>
      </c>
      <c r="AQ21" s="15">
        <v>0.01</v>
      </c>
    </row>
    <row r="22" spans="1:43" x14ac:dyDescent="0.35">
      <c r="A22" s="19"/>
      <c r="B22" s="11" t="s">
        <v>525</v>
      </c>
      <c r="C22" s="12">
        <v>19739</v>
      </c>
      <c r="D22" s="12">
        <v>765</v>
      </c>
      <c r="E22" s="12">
        <v>565</v>
      </c>
      <c r="F22" s="12">
        <v>772</v>
      </c>
      <c r="G22" s="12">
        <v>916</v>
      </c>
      <c r="H22" s="12">
        <v>1018</v>
      </c>
      <c r="I22" s="12">
        <v>1222</v>
      </c>
      <c r="J22" s="12">
        <v>205</v>
      </c>
      <c r="K22" s="12">
        <v>718</v>
      </c>
      <c r="L22" s="12">
        <v>815</v>
      </c>
      <c r="M22" s="12">
        <v>546</v>
      </c>
      <c r="N22" s="12">
        <v>805</v>
      </c>
      <c r="O22" s="12">
        <v>661</v>
      </c>
      <c r="P22" s="12">
        <v>669</v>
      </c>
      <c r="Q22" s="12">
        <v>760</v>
      </c>
      <c r="R22" s="12">
        <v>383</v>
      </c>
      <c r="S22" s="12">
        <v>799</v>
      </c>
      <c r="T22" s="12">
        <v>815</v>
      </c>
      <c r="U22" s="12">
        <v>428</v>
      </c>
      <c r="V22" s="12">
        <v>689</v>
      </c>
      <c r="W22" s="12">
        <v>459</v>
      </c>
      <c r="X22" s="12">
        <v>898</v>
      </c>
      <c r="Y22" s="12">
        <v>735</v>
      </c>
      <c r="Z22" s="12">
        <v>818</v>
      </c>
      <c r="AA22" s="12">
        <v>639</v>
      </c>
      <c r="AB22" s="12">
        <v>596</v>
      </c>
      <c r="AC22" s="12">
        <v>811</v>
      </c>
      <c r="AD22" s="12">
        <v>674</v>
      </c>
      <c r="AE22" s="12">
        <v>885</v>
      </c>
      <c r="AF22" s="12">
        <v>942</v>
      </c>
      <c r="AG22" s="12">
        <v>528</v>
      </c>
      <c r="AH22" s="12">
        <v>756</v>
      </c>
      <c r="AI22" s="12">
        <v>229</v>
      </c>
      <c r="AJ22" s="12">
        <v>641</v>
      </c>
      <c r="AK22" s="12">
        <v>718</v>
      </c>
      <c r="AL22" s="12">
        <v>658</v>
      </c>
      <c r="AM22" s="12">
        <v>834</v>
      </c>
      <c r="AN22" s="12">
        <v>750</v>
      </c>
      <c r="AO22" s="12">
        <v>828</v>
      </c>
      <c r="AP22" s="12">
        <v>439</v>
      </c>
      <c r="AQ22" s="12">
        <v>654</v>
      </c>
    </row>
    <row r="23" spans="1:43" x14ac:dyDescent="0.35">
      <c r="A23" s="19"/>
      <c r="B23" s="13" t="s">
        <v>526</v>
      </c>
      <c r="C23" s="15">
        <v>0.75</v>
      </c>
      <c r="D23" s="15">
        <v>0.76</v>
      </c>
      <c r="E23" s="15">
        <v>0.55000000000000004</v>
      </c>
      <c r="F23" s="15">
        <v>0.70000000000000007</v>
      </c>
      <c r="G23" s="15">
        <v>0.91</v>
      </c>
      <c r="H23" s="15">
        <v>0.83000000000000007</v>
      </c>
      <c r="I23" s="15">
        <v>0.81</v>
      </c>
      <c r="J23" s="15">
        <v>0.70000000000000007</v>
      </c>
      <c r="K23" s="15">
        <v>0.72</v>
      </c>
      <c r="L23" s="15">
        <v>0.81</v>
      </c>
      <c r="M23" s="15">
        <v>0.54</v>
      </c>
      <c r="N23" s="15">
        <v>0.8</v>
      </c>
      <c r="O23" s="15">
        <v>0.66</v>
      </c>
      <c r="P23" s="15">
        <v>0.67</v>
      </c>
      <c r="Q23" s="15">
        <v>0.74</v>
      </c>
      <c r="R23" s="15">
        <v>0.76</v>
      </c>
      <c r="S23" s="15">
        <v>0.8</v>
      </c>
      <c r="T23" s="15">
        <v>0.81</v>
      </c>
      <c r="U23" s="15">
        <v>0.85</v>
      </c>
      <c r="V23" s="15">
        <v>0.67</v>
      </c>
      <c r="W23" s="15">
        <v>0.9</v>
      </c>
      <c r="X23" s="15">
        <v>0.89</v>
      </c>
      <c r="Y23" s="15">
        <v>0.73</v>
      </c>
      <c r="Z23" s="15">
        <v>0.79</v>
      </c>
      <c r="AA23" s="15">
        <v>0.62</v>
      </c>
      <c r="AB23" s="15">
        <v>0.57000000000000006</v>
      </c>
      <c r="AC23" s="15">
        <v>0.81</v>
      </c>
      <c r="AD23" s="15">
        <v>0.67</v>
      </c>
      <c r="AE23" s="15">
        <v>0.87</v>
      </c>
      <c r="AF23" s="15">
        <v>0.9</v>
      </c>
      <c r="AG23" s="15">
        <v>0.51</v>
      </c>
      <c r="AH23" s="15">
        <v>0.74</v>
      </c>
      <c r="AI23" s="15">
        <v>0.44</v>
      </c>
      <c r="AJ23" s="15">
        <v>0.61</v>
      </c>
      <c r="AK23" s="15">
        <v>0.71</v>
      </c>
      <c r="AL23" s="15">
        <v>0.65</v>
      </c>
      <c r="AM23" s="15">
        <v>0.8</v>
      </c>
      <c r="AN23" s="15">
        <v>0.75</v>
      </c>
      <c r="AO23" s="15">
        <v>0.83000000000000007</v>
      </c>
      <c r="AP23" s="15">
        <v>0.84</v>
      </c>
      <c r="AQ23" s="15">
        <v>0.66</v>
      </c>
    </row>
    <row r="24" spans="1:43" x14ac:dyDescent="0.35">
      <c r="A24" s="19"/>
      <c r="B24" s="11" t="s">
        <v>527</v>
      </c>
      <c r="C24" s="12">
        <v>6188</v>
      </c>
      <c r="D24" s="12">
        <v>244</v>
      </c>
      <c r="E24" s="12">
        <v>409</v>
      </c>
      <c r="F24" s="12">
        <v>319</v>
      </c>
      <c r="G24" s="12">
        <v>86</v>
      </c>
      <c r="H24" s="12">
        <v>191</v>
      </c>
      <c r="I24" s="12">
        <v>272</v>
      </c>
      <c r="J24" s="12">
        <v>81</v>
      </c>
      <c r="K24" s="12">
        <v>252</v>
      </c>
      <c r="L24" s="12">
        <v>157</v>
      </c>
      <c r="M24" s="12">
        <v>454</v>
      </c>
      <c r="N24" s="12">
        <v>173</v>
      </c>
      <c r="O24" s="12">
        <v>303</v>
      </c>
      <c r="P24" s="12">
        <v>332</v>
      </c>
      <c r="Q24" s="12">
        <v>261</v>
      </c>
      <c r="R24" s="12">
        <v>117</v>
      </c>
      <c r="S24" s="12">
        <v>192</v>
      </c>
      <c r="T24" s="12">
        <v>172</v>
      </c>
      <c r="U24" s="12">
        <v>72</v>
      </c>
      <c r="V24" s="12">
        <v>317</v>
      </c>
      <c r="W24" s="12">
        <v>47</v>
      </c>
      <c r="X24" s="12">
        <v>106</v>
      </c>
      <c r="Y24" s="12">
        <v>221</v>
      </c>
      <c r="Z24" s="12">
        <v>179</v>
      </c>
      <c r="AA24" s="12">
        <v>361</v>
      </c>
      <c r="AB24" s="12">
        <v>439</v>
      </c>
      <c r="AC24" s="12">
        <v>187</v>
      </c>
      <c r="AD24" s="12">
        <v>311</v>
      </c>
      <c r="AE24" s="12">
        <v>122</v>
      </c>
      <c r="AF24" s="12">
        <v>100</v>
      </c>
      <c r="AG24" s="12">
        <v>507</v>
      </c>
      <c r="AH24" s="12">
        <v>254</v>
      </c>
      <c r="AI24" s="12">
        <v>287</v>
      </c>
      <c r="AJ24" s="12">
        <v>387</v>
      </c>
      <c r="AK24" s="12">
        <v>288</v>
      </c>
      <c r="AL24" s="12">
        <v>343</v>
      </c>
      <c r="AM24" s="12">
        <v>179</v>
      </c>
      <c r="AN24" s="12">
        <v>242</v>
      </c>
      <c r="AO24" s="12">
        <v>173</v>
      </c>
      <c r="AP24" s="12">
        <v>83</v>
      </c>
      <c r="AQ24" s="12">
        <v>335</v>
      </c>
    </row>
    <row r="25" spans="1:43" x14ac:dyDescent="0.35">
      <c r="A25" s="19"/>
      <c r="B25" s="13" t="s">
        <v>528</v>
      </c>
      <c r="C25" s="15">
        <v>0.23</v>
      </c>
      <c r="D25" s="15">
        <v>0.24</v>
      </c>
      <c r="E25" s="15">
        <v>0.4</v>
      </c>
      <c r="F25" s="15">
        <v>0.28999999999999998</v>
      </c>
      <c r="G25" s="15">
        <v>0.09</v>
      </c>
      <c r="H25" s="15">
        <v>0.16</v>
      </c>
      <c r="I25" s="15">
        <v>0.18</v>
      </c>
      <c r="J25" s="15">
        <v>0.27</v>
      </c>
      <c r="K25" s="15">
        <v>0.25</v>
      </c>
      <c r="L25" s="15">
        <v>0.16</v>
      </c>
      <c r="M25" s="15">
        <v>0.45</v>
      </c>
      <c r="N25" s="15">
        <v>0.17</v>
      </c>
      <c r="O25" s="15">
        <v>0.3</v>
      </c>
      <c r="P25" s="15">
        <v>0.33</v>
      </c>
      <c r="Q25" s="15">
        <v>0.26</v>
      </c>
      <c r="R25" s="15">
        <v>0.23</v>
      </c>
      <c r="S25" s="15">
        <v>0.19</v>
      </c>
      <c r="T25" s="15">
        <v>0.17</v>
      </c>
      <c r="U25" s="15">
        <v>0.14000000000000001</v>
      </c>
      <c r="V25" s="15">
        <v>0.32</v>
      </c>
      <c r="W25" s="15">
        <v>0.1</v>
      </c>
      <c r="X25" s="15">
        <v>0.1</v>
      </c>
      <c r="Y25" s="15">
        <v>0.22</v>
      </c>
      <c r="Z25" s="15">
        <v>0.18</v>
      </c>
      <c r="AA25" s="15">
        <v>0.35</v>
      </c>
      <c r="AB25" s="15">
        <v>0.42</v>
      </c>
      <c r="AC25" s="15">
        <v>0.19</v>
      </c>
      <c r="AD25" s="15">
        <v>0.31</v>
      </c>
      <c r="AE25" s="15">
        <v>0.12</v>
      </c>
      <c r="AF25" s="15">
        <v>0.1</v>
      </c>
      <c r="AG25" s="15">
        <v>0.49</v>
      </c>
      <c r="AH25" s="15">
        <v>0.26</v>
      </c>
      <c r="AI25" s="15">
        <v>0.55000000000000004</v>
      </c>
      <c r="AJ25" s="15">
        <v>0.38</v>
      </c>
      <c r="AK25" s="15">
        <v>0.28999999999999998</v>
      </c>
      <c r="AL25" s="15">
        <v>0.34</v>
      </c>
      <c r="AM25" s="15">
        <v>0.17</v>
      </c>
      <c r="AN25" s="15">
        <v>0.24</v>
      </c>
      <c r="AO25" s="15">
        <v>0.17</v>
      </c>
      <c r="AP25" s="15">
        <v>0.16</v>
      </c>
      <c r="AQ25" s="15">
        <v>0.33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545</v>
      </c>
      <c r="C3" s="18"/>
      <c r="D3" s="18"/>
      <c r="E3" s="18"/>
      <c r="F3" s="18"/>
      <c r="H3" s="18" t="s">
        <v>546</v>
      </c>
      <c r="I3" s="18"/>
      <c r="J3" s="18"/>
      <c r="K3" s="18"/>
      <c r="L3" s="18"/>
    </row>
    <row r="4" spans="1:43" ht="27" customHeight="1" x14ac:dyDescent="0.35">
      <c r="B4" s="18" t="s">
        <v>547</v>
      </c>
      <c r="C4" s="18"/>
      <c r="D4" s="18"/>
      <c r="E4" s="18"/>
      <c r="F4" s="18"/>
      <c r="H4" s="18" t="s">
        <v>548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517</v>
      </c>
      <c r="C12" s="12">
        <v>1327</v>
      </c>
      <c r="D12" s="12">
        <v>40</v>
      </c>
      <c r="E12" s="12">
        <v>27</v>
      </c>
      <c r="F12" s="12">
        <v>126</v>
      </c>
      <c r="G12" s="12">
        <v>503</v>
      </c>
      <c r="H12" s="12">
        <v>22</v>
      </c>
      <c r="I12" s="12">
        <v>31</v>
      </c>
      <c r="J12" s="12">
        <v>9</v>
      </c>
      <c r="K12" s="12">
        <v>33</v>
      </c>
      <c r="L12" s="12">
        <v>237</v>
      </c>
      <c r="M12" s="12">
        <v>12</v>
      </c>
      <c r="N12" s="12">
        <v>24</v>
      </c>
      <c r="O12" s="12">
        <v>9</v>
      </c>
      <c r="P12" s="12">
        <v>79</v>
      </c>
      <c r="Q12" s="12">
        <v>31</v>
      </c>
      <c r="R12" s="12">
        <v>27</v>
      </c>
      <c r="S12" s="12">
        <v>21</v>
      </c>
      <c r="T12" s="12">
        <v>67</v>
      </c>
      <c r="U12" s="12">
        <v>42</v>
      </c>
      <c r="V12" s="12">
        <v>39</v>
      </c>
      <c r="W12" s="12">
        <v>67</v>
      </c>
      <c r="X12" s="12">
        <v>301</v>
      </c>
      <c r="Y12" s="12">
        <v>96</v>
      </c>
      <c r="Z12" s="12">
        <v>67</v>
      </c>
      <c r="AA12" s="12">
        <v>10</v>
      </c>
      <c r="AB12" s="12">
        <v>31</v>
      </c>
      <c r="AC12" s="12">
        <v>90</v>
      </c>
      <c r="AD12" s="12">
        <v>42</v>
      </c>
      <c r="AE12" s="12">
        <v>9</v>
      </c>
      <c r="AF12" s="12">
        <v>22</v>
      </c>
      <c r="AG12" s="12">
        <v>134</v>
      </c>
      <c r="AH12" s="12">
        <v>60</v>
      </c>
      <c r="AI12" s="12">
        <v>46</v>
      </c>
      <c r="AJ12" s="12">
        <v>103</v>
      </c>
      <c r="AK12" s="12">
        <v>30</v>
      </c>
      <c r="AL12" s="12">
        <v>37</v>
      </c>
      <c r="AM12" s="12">
        <v>30</v>
      </c>
      <c r="AN12" s="12">
        <v>66</v>
      </c>
      <c r="AO12" s="12">
        <v>194</v>
      </c>
      <c r="AP12" s="12">
        <v>58</v>
      </c>
      <c r="AQ12" s="12">
        <v>61</v>
      </c>
    </row>
    <row r="13" spans="1:43" x14ac:dyDescent="0.35">
      <c r="A13" s="19"/>
      <c r="B13" s="13" t="s">
        <v>518</v>
      </c>
      <c r="C13" s="15">
        <v>0.05</v>
      </c>
      <c r="D13" s="15">
        <v>0.04</v>
      </c>
      <c r="E13" s="15">
        <v>0.03</v>
      </c>
      <c r="F13" s="15">
        <v>0.11</v>
      </c>
      <c r="G13" s="15">
        <v>0.5</v>
      </c>
      <c r="H13" s="15">
        <v>0.02</v>
      </c>
      <c r="I13" s="15">
        <v>0.02</v>
      </c>
      <c r="J13" s="15">
        <v>0.03</v>
      </c>
      <c r="K13" s="15">
        <v>0.03</v>
      </c>
      <c r="L13" s="15">
        <v>0.24</v>
      </c>
      <c r="M13" s="15">
        <v>0.01</v>
      </c>
      <c r="N13" s="15">
        <v>0.03</v>
      </c>
      <c r="O13" s="15">
        <v>0.01</v>
      </c>
      <c r="P13" s="15">
        <v>0.08</v>
      </c>
      <c r="Q13" s="15">
        <v>0.03</v>
      </c>
      <c r="R13" s="15">
        <v>0.05</v>
      </c>
      <c r="S13" s="15">
        <v>0.02</v>
      </c>
      <c r="T13" s="15">
        <v>7.0000000000000007E-2</v>
      </c>
      <c r="U13" s="15">
        <v>0.08</v>
      </c>
      <c r="V13" s="15">
        <v>0.04</v>
      </c>
      <c r="W13" s="15">
        <v>0.13</v>
      </c>
      <c r="X13" s="15">
        <v>0.3</v>
      </c>
      <c r="Y13" s="15">
        <v>0.09</v>
      </c>
      <c r="Z13" s="15">
        <v>0.06</v>
      </c>
      <c r="AA13" s="15">
        <v>0.01</v>
      </c>
      <c r="AB13" s="15">
        <v>0.03</v>
      </c>
      <c r="AC13" s="15">
        <v>0.09</v>
      </c>
      <c r="AD13" s="15">
        <v>0.04</v>
      </c>
      <c r="AE13" s="15">
        <v>0.01</v>
      </c>
      <c r="AF13" s="15">
        <v>0.02</v>
      </c>
      <c r="AG13" s="15">
        <v>0.13</v>
      </c>
      <c r="AH13" s="15">
        <v>0.06</v>
      </c>
      <c r="AI13" s="15">
        <v>0.09</v>
      </c>
      <c r="AJ13" s="15">
        <v>0.1</v>
      </c>
      <c r="AK13" s="15">
        <v>0.03</v>
      </c>
      <c r="AL13" s="15">
        <v>0.04</v>
      </c>
      <c r="AM13" s="15">
        <v>0.03</v>
      </c>
      <c r="AN13" s="15">
        <v>7.0000000000000007E-2</v>
      </c>
      <c r="AO13" s="15">
        <v>0.19</v>
      </c>
      <c r="AP13" s="15">
        <v>0.11</v>
      </c>
      <c r="AQ13" s="15">
        <v>0.06</v>
      </c>
    </row>
    <row r="14" spans="1:43" x14ac:dyDescent="0.35">
      <c r="A14" s="19"/>
      <c r="B14" s="11" t="s">
        <v>519</v>
      </c>
      <c r="C14" s="12">
        <v>10013</v>
      </c>
      <c r="D14" s="12">
        <v>463</v>
      </c>
      <c r="E14" s="12">
        <v>359</v>
      </c>
      <c r="F14" s="12">
        <v>593</v>
      </c>
      <c r="G14" s="12">
        <v>425</v>
      </c>
      <c r="H14" s="12">
        <v>469</v>
      </c>
      <c r="I14" s="12">
        <v>574</v>
      </c>
      <c r="J14" s="12">
        <v>105</v>
      </c>
      <c r="K14" s="12">
        <v>320</v>
      </c>
      <c r="L14" s="12">
        <v>593</v>
      </c>
      <c r="M14" s="12">
        <v>195</v>
      </c>
      <c r="N14" s="12">
        <v>339</v>
      </c>
      <c r="O14" s="12">
        <v>245</v>
      </c>
      <c r="P14" s="12">
        <v>478</v>
      </c>
      <c r="Q14" s="12">
        <v>367</v>
      </c>
      <c r="R14" s="12">
        <v>242</v>
      </c>
      <c r="S14" s="12">
        <v>486</v>
      </c>
      <c r="T14" s="12">
        <v>575</v>
      </c>
      <c r="U14" s="12">
        <v>290</v>
      </c>
      <c r="V14" s="12">
        <v>479</v>
      </c>
      <c r="W14" s="12">
        <v>277</v>
      </c>
      <c r="X14" s="12">
        <v>552</v>
      </c>
      <c r="Y14" s="12">
        <v>367</v>
      </c>
      <c r="Z14" s="12">
        <v>617</v>
      </c>
      <c r="AA14" s="12">
        <v>341</v>
      </c>
      <c r="AB14" s="12">
        <v>325</v>
      </c>
      <c r="AC14" s="12">
        <v>605</v>
      </c>
      <c r="AD14" s="12">
        <v>447</v>
      </c>
      <c r="AE14" s="12">
        <v>112</v>
      </c>
      <c r="AF14" s="12">
        <v>371</v>
      </c>
      <c r="AG14" s="12">
        <v>331</v>
      </c>
      <c r="AH14" s="12">
        <v>464</v>
      </c>
      <c r="AI14" s="12">
        <v>100</v>
      </c>
      <c r="AJ14" s="12">
        <v>308</v>
      </c>
      <c r="AK14" s="12">
        <v>419</v>
      </c>
      <c r="AL14" s="12">
        <v>291</v>
      </c>
      <c r="AM14" s="12">
        <v>313</v>
      </c>
      <c r="AN14" s="12">
        <v>343</v>
      </c>
      <c r="AO14" s="12">
        <v>471</v>
      </c>
      <c r="AP14" s="12">
        <v>183</v>
      </c>
      <c r="AQ14" s="12">
        <v>342</v>
      </c>
    </row>
    <row r="15" spans="1:43" x14ac:dyDescent="0.35">
      <c r="A15" s="19"/>
      <c r="B15" s="13" t="s">
        <v>520</v>
      </c>
      <c r="C15" s="15">
        <v>0.38</v>
      </c>
      <c r="D15" s="15">
        <v>0.46</v>
      </c>
      <c r="E15" s="15">
        <v>0.35</v>
      </c>
      <c r="F15" s="15">
        <v>0.54</v>
      </c>
      <c r="G15" s="15">
        <v>0.42</v>
      </c>
      <c r="H15" s="15">
        <v>0.38</v>
      </c>
      <c r="I15" s="15">
        <v>0.38</v>
      </c>
      <c r="J15" s="15">
        <v>0.36</v>
      </c>
      <c r="K15" s="15">
        <v>0.32</v>
      </c>
      <c r="L15" s="15">
        <v>0.59</v>
      </c>
      <c r="M15" s="15">
        <v>0.19</v>
      </c>
      <c r="N15" s="15">
        <v>0.34</v>
      </c>
      <c r="O15" s="15">
        <v>0.25</v>
      </c>
      <c r="P15" s="15">
        <v>0.48</v>
      </c>
      <c r="Q15" s="15">
        <v>0.36</v>
      </c>
      <c r="R15" s="15">
        <v>0.48</v>
      </c>
      <c r="S15" s="15">
        <v>0.49</v>
      </c>
      <c r="T15" s="15">
        <v>0.57000000000000006</v>
      </c>
      <c r="U15" s="15">
        <v>0.57999999999999996</v>
      </c>
      <c r="V15" s="15">
        <v>0.47</v>
      </c>
      <c r="W15" s="15">
        <v>0.54</v>
      </c>
      <c r="X15" s="15">
        <v>0.55000000000000004</v>
      </c>
      <c r="Y15" s="15">
        <v>0.37</v>
      </c>
      <c r="Z15" s="15">
        <v>0.6</v>
      </c>
      <c r="AA15" s="15">
        <v>0.33</v>
      </c>
      <c r="AB15" s="15">
        <v>0.31</v>
      </c>
      <c r="AC15" s="15">
        <v>0.6</v>
      </c>
      <c r="AD15" s="15">
        <v>0.45</v>
      </c>
      <c r="AE15" s="15">
        <v>0.11</v>
      </c>
      <c r="AF15" s="15">
        <v>0.36</v>
      </c>
      <c r="AG15" s="15">
        <v>0.32</v>
      </c>
      <c r="AH15" s="15">
        <v>0.46</v>
      </c>
      <c r="AI15" s="15">
        <v>0.19</v>
      </c>
      <c r="AJ15" s="15">
        <v>0.3</v>
      </c>
      <c r="AK15" s="15">
        <v>0.42</v>
      </c>
      <c r="AL15" s="15">
        <v>0.28999999999999998</v>
      </c>
      <c r="AM15" s="15">
        <v>0.3</v>
      </c>
      <c r="AN15" s="15">
        <v>0.34</v>
      </c>
      <c r="AO15" s="15">
        <v>0.47</v>
      </c>
      <c r="AP15" s="15">
        <v>0.35</v>
      </c>
      <c r="AQ15" s="15">
        <v>0.34</v>
      </c>
    </row>
    <row r="16" spans="1:43" x14ac:dyDescent="0.35">
      <c r="A16" s="19"/>
      <c r="B16" s="11" t="s">
        <v>521</v>
      </c>
      <c r="C16" s="12">
        <v>10918</v>
      </c>
      <c r="D16" s="12">
        <v>407</v>
      </c>
      <c r="E16" s="12">
        <v>407</v>
      </c>
      <c r="F16" s="12">
        <v>309</v>
      </c>
      <c r="G16" s="12">
        <v>36</v>
      </c>
      <c r="H16" s="12">
        <v>528</v>
      </c>
      <c r="I16" s="12">
        <v>669</v>
      </c>
      <c r="J16" s="12">
        <v>141</v>
      </c>
      <c r="K16" s="12">
        <v>410</v>
      </c>
      <c r="L16" s="12">
        <v>127</v>
      </c>
      <c r="M16" s="12">
        <v>527</v>
      </c>
      <c r="N16" s="12">
        <v>442</v>
      </c>
      <c r="O16" s="12">
        <v>554</v>
      </c>
      <c r="P16" s="12">
        <v>359</v>
      </c>
      <c r="Q16" s="12">
        <v>437</v>
      </c>
      <c r="R16" s="12">
        <v>179</v>
      </c>
      <c r="S16" s="12">
        <v>356</v>
      </c>
      <c r="T16" s="12">
        <v>292</v>
      </c>
      <c r="U16" s="12">
        <v>128</v>
      </c>
      <c r="V16" s="12">
        <v>370</v>
      </c>
      <c r="W16" s="12">
        <v>141</v>
      </c>
      <c r="X16" s="12">
        <v>131</v>
      </c>
      <c r="Y16" s="12">
        <v>378</v>
      </c>
      <c r="Z16" s="12">
        <v>237</v>
      </c>
      <c r="AA16" s="12">
        <v>553</v>
      </c>
      <c r="AB16" s="12">
        <v>509</v>
      </c>
      <c r="AC16" s="12">
        <v>234</v>
      </c>
      <c r="AD16" s="12">
        <v>374</v>
      </c>
      <c r="AE16" s="12">
        <v>574</v>
      </c>
      <c r="AF16" s="12">
        <v>510</v>
      </c>
      <c r="AG16" s="12">
        <v>363</v>
      </c>
      <c r="AH16" s="12">
        <v>338</v>
      </c>
      <c r="AI16" s="12">
        <v>257</v>
      </c>
      <c r="AJ16" s="12">
        <v>395</v>
      </c>
      <c r="AK16" s="12">
        <v>440</v>
      </c>
      <c r="AL16" s="12">
        <v>411</v>
      </c>
      <c r="AM16" s="12">
        <v>443</v>
      </c>
      <c r="AN16" s="12">
        <v>447</v>
      </c>
      <c r="AO16" s="12">
        <v>179</v>
      </c>
      <c r="AP16" s="12">
        <v>179</v>
      </c>
      <c r="AQ16" s="12">
        <v>300</v>
      </c>
    </row>
    <row r="17" spans="1:43" x14ac:dyDescent="0.35">
      <c r="A17" s="19"/>
      <c r="B17" s="13" t="s">
        <v>522</v>
      </c>
      <c r="C17" s="15">
        <v>0.41</v>
      </c>
      <c r="D17" s="15">
        <v>0.4</v>
      </c>
      <c r="E17" s="15">
        <v>0.39</v>
      </c>
      <c r="F17" s="15">
        <v>0.28000000000000003</v>
      </c>
      <c r="G17" s="15">
        <v>0.04</v>
      </c>
      <c r="H17" s="15">
        <v>0.43</v>
      </c>
      <c r="I17" s="15">
        <v>0.44</v>
      </c>
      <c r="J17" s="15">
        <v>0.48</v>
      </c>
      <c r="K17" s="15">
        <v>0.41</v>
      </c>
      <c r="L17" s="15">
        <v>0.13</v>
      </c>
      <c r="M17" s="15">
        <v>0.52</v>
      </c>
      <c r="N17" s="15">
        <v>0.44</v>
      </c>
      <c r="O17" s="15">
        <v>0.55000000000000004</v>
      </c>
      <c r="P17" s="15">
        <v>0.36</v>
      </c>
      <c r="Q17" s="15">
        <v>0.42</v>
      </c>
      <c r="R17" s="15">
        <v>0.36</v>
      </c>
      <c r="S17" s="15">
        <v>0.35</v>
      </c>
      <c r="T17" s="15">
        <v>0.28999999999999998</v>
      </c>
      <c r="U17" s="15">
        <v>0.25</v>
      </c>
      <c r="V17" s="15">
        <v>0.36</v>
      </c>
      <c r="W17" s="15">
        <v>0.28000000000000003</v>
      </c>
      <c r="X17" s="15">
        <v>0.13</v>
      </c>
      <c r="Y17" s="15">
        <v>0.38</v>
      </c>
      <c r="Z17" s="15">
        <v>0.23</v>
      </c>
      <c r="AA17" s="15">
        <v>0.54</v>
      </c>
      <c r="AB17" s="15">
        <v>0.48</v>
      </c>
      <c r="AC17" s="15">
        <v>0.23</v>
      </c>
      <c r="AD17" s="15">
        <v>0.37</v>
      </c>
      <c r="AE17" s="15">
        <v>0.57000000000000006</v>
      </c>
      <c r="AF17" s="15">
        <v>0.49</v>
      </c>
      <c r="AG17" s="15">
        <v>0.35</v>
      </c>
      <c r="AH17" s="15">
        <v>0.33</v>
      </c>
      <c r="AI17" s="15">
        <v>0.49</v>
      </c>
      <c r="AJ17" s="15">
        <v>0.38</v>
      </c>
      <c r="AK17" s="15">
        <v>0.44</v>
      </c>
      <c r="AL17" s="15">
        <v>0.4</v>
      </c>
      <c r="AM17" s="15">
        <v>0.43</v>
      </c>
      <c r="AN17" s="15">
        <v>0.45</v>
      </c>
      <c r="AO17" s="15">
        <v>0.18</v>
      </c>
      <c r="AP17" s="15">
        <v>0.34</v>
      </c>
      <c r="AQ17" s="15">
        <v>0.3</v>
      </c>
    </row>
    <row r="18" spans="1:43" x14ac:dyDescent="0.35">
      <c r="A18" s="19"/>
      <c r="B18" s="11" t="s">
        <v>523</v>
      </c>
      <c r="C18" s="12">
        <v>2992</v>
      </c>
      <c r="D18" s="12">
        <v>84</v>
      </c>
      <c r="E18" s="12">
        <v>112</v>
      </c>
      <c r="F18" s="12">
        <v>43</v>
      </c>
      <c r="G18" s="12">
        <v>6</v>
      </c>
      <c r="H18" s="12">
        <v>75</v>
      </c>
      <c r="I18" s="12">
        <v>107</v>
      </c>
      <c r="J18" s="12">
        <v>33</v>
      </c>
      <c r="K18" s="12">
        <v>120</v>
      </c>
      <c r="L18" s="12">
        <v>26</v>
      </c>
      <c r="M18" s="12">
        <v>269</v>
      </c>
      <c r="N18" s="12">
        <v>174</v>
      </c>
      <c r="O18" s="12">
        <v>150</v>
      </c>
      <c r="P18" s="12">
        <v>72</v>
      </c>
      <c r="Q18" s="12">
        <v>175</v>
      </c>
      <c r="R18" s="12">
        <v>42</v>
      </c>
      <c r="S18" s="12">
        <v>58</v>
      </c>
      <c r="T18" s="12">
        <v>24</v>
      </c>
      <c r="U18" s="12">
        <v>18</v>
      </c>
      <c r="V18" s="12">
        <v>96</v>
      </c>
      <c r="W18" s="12">
        <v>15</v>
      </c>
      <c r="X18" s="12">
        <v>11</v>
      </c>
      <c r="Y18" s="12">
        <v>110</v>
      </c>
      <c r="Z18" s="12">
        <v>31</v>
      </c>
      <c r="AA18" s="12">
        <v>96</v>
      </c>
      <c r="AB18" s="12">
        <v>144</v>
      </c>
      <c r="AC18" s="12">
        <v>37</v>
      </c>
      <c r="AD18" s="12">
        <v>106</v>
      </c>
      <c r="AE18" s="12">
        <v>291</v>
      </c>
      <c r="AF18" s="12">
        <v>119</v>
      </c>
      <c r="AG18" s="12">
        <v>202</v>
      </c>
      <c r="AH18" s="12">
        <v>138</v>
      </c>
      <c r="AI18" s="12">
        <v>116</v>
      </c>
      <c r="AJ18" s="12">
        <v>201</v>
      </c>
      <c r="AK18" s="12">
        <v>115</v>
      </c>
      <c r="AL18" s="12">
        <v>200</v>
      </c>
      <c r="AM18" s="12">
        <v>146</v>
      </c>
      <c r="AN18" s="12">
        <v>132</v>
      </c>
      <c r="AO18" s="12">
        <v>140</v>
      </c>
      <c r="AP18" s="12">
        <v>92</v>
      </c>
      <c r="AQ18" s="12">
        <v>249</v>
      </c>
    </row>
    <row r="19" spans="1:43" x14ac:dyDescent="0.35">
      <c r="A19" s="19"/>
      <c r="B19" s="13" t="s">
        <v>524</v>
      </c>
      <c r="C19" s="15">
        <v>0.11</v>
      </c>
      <c r="D19" s="15">
        <v>0.08</v>
      </c>
      <c r="E19" s="15">
        <v>0.11</v>
      </c>
      <c r="F19" s="15">
        <v>0.04</v>
      </c>
      <c r="G19" s="15">
        <v>0.01</v>
      </c>
      <c r="H19" s="15">
        <v>0.06</v>
      </c>
      <c r="I19" s="15">
        <v>7.0000000000000007E-2</v>
      </c>
      <c r="J19" s="15">
        <v>0.11</v>
      </c>
      <c r="K19" s="15">
        <v>0.12</v>
      </c>
      <c r="L19" s="15">
        <v>0.02</v>
      </c>
      <c r="M19" s="15">
        <v>0.27</v>
      </c>
      <c r="N19" s="15">
        <v>0.17</v>
      </c>
      <c r="O19" s="15">
        <v>0.15</v>
      </c>
      <c r="P19" s="15">
        <v>7.0000000000000007E-2</v>
      </c>
      <c r="Q19" s="15">
        <v>0.17</v>
      </c>
      <c r="R19" s="15">
        <v>0.08</v>
      </c>
      <c r="S19" s="15">
        <v>0.06</v>
      </c>
      <c r="T19" s="15">
        <v>0.02</v>
      </c>
      <c r="U19" s="15">
        <v>0.04</v>
      </c>
      <c r="V19" s="15">
        <v>0.1</v>
      </c>
      <c r="W19" s="15">
        <v>0.03</v>
      </c>
      <c r="X19" s="15">
        <v>0.01</v>
      </c>
      <c r="Y19" s="15">
        <v>0.11</v>
      </c>
      <c r="Z19" s="15">
        <v>0.03</v>
      </c>
      <c r="AA19" s="15">
        <v>0.09</v>
      </c>
      <c r="AB19" s="15">
        <v>0.14000000000000001</v>
      </c>
      <c r="AC19" s="15">
        <v>0.04</v>
      </c>
      <c r="AD19" s="15">
        <v>0.11</v>
      </c>
      <c r="AE19" s="15">
        <v>0.28999999999999998</v>
      </c>
      <c r="AF19" s="15">
        <v>0.11</v>
      </c>
      <c r="AG19" s="15">
        <v>0.19</v>
      </c>
      <c r="AH19" s="15">
        <v>0.14000000000000001</v>
      </c>
      <c r="AI19" s="15">
        <v>0.22</v>
      </c>
      <c r="AJ19" s="15">
        <v>0.19</v>
      </c>
      <c r="AK19" s="15">
        <v>0.11</v>
      </c>
      <c r="AL19" s="15">
        <v>0.2</v>
      </c>
      <c r="AM19" s="15">
        <v>0.14000000000000001</v>
      </c>
      <c r="AN19" s="15">
        <v>0.13</v>
      </c>
      <c r="AO19" s="15">
        <v>0.14000000000000001</v>
      </c>
      <c r="AP19" s="15">
        <v>0.18</v>
      </c>
      <c r="AQ19" s="15">
        <v>0.25</v>
      </c>
    </row>
    <row r="20" spans="1:43" x14ac:dyDescent="0.35">
      <c r="A20" s="19"/>
      <c r="B20" s="11" t="s">
        <v>485</v>
      </c>
      <c r="C20" s="12">
        <v>1195</v>
      </c>
      <c r="D20" s="12">
        <v>18</v>
      </c>
      <c r="E20" s="12">
        <v>125</v>
      </c>
      <c r="F20" s="12">
        <v>31</v>
      </c>
      <c r="G20" s="12">
        <v>35</v>
      </c>
      <c r="H20" s="12">
        <v>128</v>
      </c>
      <c r="I20" s="12">
        <v>134</v>
      </c>
      <c r="J20" s="12">
        <v>7</v>
      </c>
      <c r="K20" s="12">
        <v>119</v>
      </c>
      <c r="L20" s="12">
        <v>20</v>
      </c>
      <c r="M20" s="12">
        <v>6</v>
      </c>
      <c r="N20" s="12">
        <v>23</v>
      </c>
      <c r="O20" s="12">
        <v>43</v>
      </c>
      <c r="P20" s="12">
        <v>15</v>
      </c>
      <c r="Q20" s="12">
        <v>17</v>
      </c>
      <c r="R20" s="12">
        <v>15</v>
      </c>
      <c r="S20" s="12">
        <v>81</v>
      </c>
      <c r="T20" s="12">
        <v>47</v>
      </c>
      <c r="U20" s="12">
        <v>26</v>
      </c>
      <c r="V20" s="12">
        <v>32</v>
      </c>
      <c r="W20" s="12">
        <v>8</v>
      </c>
      <c r="X20" s="12">
        <v>15</v>
      </c>
      <c r="Y20" s="12">
        <v>52</v>
      </c>
      <c r="Z20" s="12">
        <v>79</v>
      </c>
      <c r="AA20" s="12">
        <v>33</v>
      </c>
      <c r="AB20" s="12">
        <v>43</v>
      </c>
      <c r="AC20" s="12">
        <v>37</v>
      </c>
      <c r="AD20" s="12">
        <v>35</v>
      </c>
      <c r="AE20" s="12">
        <v>26</v>
      </c>
      <c r="AF20" s="12">
        <v>21</v>
      </c>
      <c r="AG20" s="12">
        <v>6</v>
      </c>
      <c r="AH20" s="12">
        <v>13</v>
      </c>
      <c r="AI20" s="12">
        <v>4</v>
      </c>
      <c r="AJ20" s="12">
        <v>30</v>
      </c>
      <c r="AK20" s="12">
        <v>3</v>
      </c>
      <c r="AL20" s="12">
        <v>73</v>
      </c>
      <c r="AM20" s="12">
        <v>108</v>
      </c>
      <c r="AN20" s="12">
        <v>15</v>
      </c>
      <c r="AO20" s="12">
        <v>20</v>
      </c>
      <c r="AP20" s="12">
        <v>12</v>
      </c>
      <c r="AQ20" s="12">
        <v>50</v>
      </c>
    </row>
    <row r="21" spans="1:43" x14ac:dyDescent="0.35">
      <c r="A21" s="19"/>
      <c r="B21" s="13" t="s">
        <v>486</v>
      </c>
      <c r="C21" s="15">
        <v>0.05</v>
      </c>
      <c r="D21" s="15">
        <v>0.02</v>
      </c>
      <c r="E21" s="15">
        <v>0.12</v>
      </c>
      <c r="F21" s="15">
        <v>0.03</v>
      </c>
      <c r="G21" s="15">
        <v>0.03</v>
      </c>
      <c r="H21" s="15">
        <v>0.11</v>
      </c>
      <c r="I21" s="15">
        <v>0.09</v>
      </c>
      <c r="J21" s="15">
        <v>0.02</v>
      </c>
      <c r="K21" s="15">
        <v>0.12</v>
      </c>
      <c r="L21" s="15">
        <v>0.02</v>
      </c>
      <c r="M21" s="15">
        <v>0.01</v>
      </c>
      <c r="N21" s="15">
        <v>0.02</v>
      </c>
      <c r="O21" s="15">
        <v>0.04</v>
      </c>
      <c r="P21" s="15">
        <v>0.01</v>
      </c>
      <c r="Q21" s="15">
        <v>0.02</v>
      </c>
      <c r="R21" s="15">
        <v>0.03</v>
      </c>
      <c r="S21" s="15">
        <v>0.08</v>
      </c>
      <c r="T21" s="15">
        <v>0.05</v>
      </c>
      <c r="U21" s="15">
        <v>0.05</v>
      </c>
      <c r="V21" s="15">
        <v>0.03</v>
      </c>
      <c r="W21" s="15">
        <v>0.02</v>
      </c>
      <c r="X21" s="15">
        <v>0.01</v>
      </c>
      <c r="Y21" s="15">
        <v>0.05</v>
      </c>
      <c r="Z21" s="15">
        <v>0.08</v>
      </c>
      <c r="AA21" s="15">
        <v>0.03</v>
      </c>
      <c r="AB21" s="15">
        <v>0.04</v>
      </c>
      <c r="AC21" s="15">
        <v>0.04</v>
      </c>
      <c r="AD21" s="15">
        <v>0.03</v>
      </c>
      <c r="AE21" s="15">
        <v>0.02</v>
      </c>
      <c r="AF21" s="15">
        <v>0.02</v>
      </c>
      <c r="AG21" s="15">
        <v>0.01</v>
      </c>
      <c r="AH21" s="15">
        <v>0.01</v>
      </c>
      <c r="AI21" s="15">
        <v>0.01</v>
      </c>
      <c r="AJ21" s="15">
        <v>0.03</v>
      </c>
      <c r="AK21" s="14" t="s">
        <v>475</v>
      </c>
      <c r="AL21" s="15">
        <v>7.0000000000000007E-2</v>
      </c>
      <c r="AM21" s="15">
        <v>0.1</v>
      </c>
      <c r="AN21" s="15">
        <v>0.01</v>
      </c>
      <c r="AO21" s="15">
        <v>0.02</v>
      </c>
      <c r="AP21" s="15">
        <v>0.02</v>
      </c>
      <c r="AQ21" s="15">
        <v>0.05</v>
      </c>
    </row>
    <row r="22" spans="1:43" x14ac:dyDescent="0.35">
      <c r="A22" s="19"/>
      <c r="B22" s="11" t="s">
        <v>525</v>
      </c>
      <c r="C22" s="12">
        <v>11340</v>
      </c>
      <c r="D22" s="12">
        <v>503</v>
      </c>
      <c r="E22" s="12">
        <v>386</v>
      </c>
      <c r="F22" s="12">
        <v>719</v>
      </c>
      <c r="G22" s="12">
        <v>928</v>
      </c>
      <c r="H22" s="12">
        <v>491</v>
      </c>
      <c r="I22" s="12">
        <v>605</v>
      </c>
      <c r="J22" s="12">
        <v>114</v>
      </c>
      <c r="K22" s="12">
        <v>353</v>
      </c>
      <c r="L22" s="12">
        <v>830</v>
      </c>
      <c r="M22" s="12">
        <v>207</v>
      </c>
      <c r="N22" s="12">
        <v>363</v>
      </c>
      <c r="O22" s="12">
        <v>254</v>
      </c>
      <c r="P22" s="12">
        <v>557</v>
      </c>
      <c r="Q22" s="12">
        <v>398</v>
      </c>
      <c r="R22" s="12">
        <v>269</v>
      </c>
      <c r="S22" s="12">
        <v>507</v>
      </c>
      <c r="T22" s="12">
        <v>642</v>
      </c>
      <c r="U22" s="12">
        <v>332</v>
      </c>
      <c r="V22" s="12">
        <v>518</v>
      </c>
      <c r="W22" s="12">
        <v>344</v>
      </c>
      <c r="X22" s="12">
        <v>853</v>
      </c>
      <c r="Y22" s="12">
        <v>463</v>
      </c>
      <c r="Z22" s="12">
        <v>684</v>
      </c>
      <c r="AA22" s="12">
        <v>351</v>
      </c>
      <c r="AB22" s="12">
        <v>356</v>
      </c>
      <c r="AC22" s="12">
        <v>695</v>
      </c>
      <c r="AD22" s="12">
        <v>489</v>
      </c>
      <c r="AE22" s="12">
        <v>121</v>
      </c>
      <c r="AF22" s="12">
        <v>393</v>
      </c>
      <c r="AG22" s="12">
        <v>465</v>
      </c>
      <c r="AH22" s="12">
        <v>524</v>
      </c>
      <c r="AI22" s="12">
        <v>146</v>
      </c>
      <c r="AJ22" s="12">
        <v>411</v>
      </c>
      <c r="AK22" s="12">
        <v>449</v>
      </c>
      <c r="AL22" s="12">
        <v>328</v>
      </c>
      <c r="AM22" s="12">
        <v>343</v>
      </c>
      <c r="AN22" s="12">
        <v>409</v>
      </c>
      <c r="AO22" s="12">
        <v>665</v>
      </c>
      <c r="AP22" s="12">
        <v>241</v>
      </c>
      <c r="AQ22" s="12">
        <v>403</v>
      </c>
    </row>
    <row r="23" spans="1:43" x14ac:dyDescent="0.35">
      <c r="A23" s="19"/>
      <c r="B23" s="13" t="s">
        <v>526</v>
      </c>
      <c r="C23" s="15">
        <v>0.43</v>
      </c>
      <c r="D23" s="15">
        <v>0.5</v>
      </c>
      <c r="E23" s="15">
        <v>0.38</v>
      </c>
      <c r="F23" s="15">
        <v>0.65</v>
      </c>
      <c r="G23" s="15">
        <v>0.92</v>
      </c>
      <c r="H23" s="15">
        <v>0.4</v>
      </c>
      <c r="I23" s="15">
        <v>0.4</v>
      </c>
      <c r="J23" s="15">
        <v>0.39</v>
      </c>
      <c r="K23" s="15">
        <v>0.35</v>
      </c>
      <c r="L23" s="15">
        <v>0.83000000000000007</v>
      </c>
      <c r="M23" s="15">
        <v>0.2</v>
      </c>
      <c r="N23" s="15">
        <v>0.37</v>
      </c>
      <c r="O23" s="15">
        <v>0.26</v>
      </c>
      <c r="P23" s="15">
        <v>0.56000000000000005</v>
      </c>
      <c r="Q23" s="15">
        <v>0.39</v>
      </c>
      <c r="R23" s="15">
        <v>0.53</v>
      </c>
      <c r="S23" s="15">
        <v>0.51</v>
      </c>
      <c r="T23" s="15">
        <v>0.64</v>
      </c>
      <c r="U23" s="15">
        <v>0.66</v>
      </c>
      <c r="V23" s="15">
        <v>0.51</v>
      </c>
      <c r="W23" s="15">
        <v>0.67</v>
      </c>
      <c r="X23" s="15">
        <v>0.85</v>
      </c>
      <c r="Y23" s="15">
        <v>0.46</v>
      </c>
      <c r="Z23" s="15">
        <v>0.66</v>
      </c>
      <c r="AA23" s="15">
        <v>0.34</v>
      </c>
      <c r="AB23" s="15">
        <v>0.34</v>
      </c>
      <c r="AC23" s="15">
        <v>0.69000000000000006</v>
      </c>
      <c r="AD23" s="15">
        <v>0.49</v>
      </c>
      <c r="AE23" s="15">
        <v>0.12</v>
      </c>
      <c r="AF23" s="15">
        <v>0.38</v>
      </c>
      <c r="AG23" s="15">
        <v>0.45</v>
      </c>
      <c r="AH23" s="15">
        <v>0.52</v>
      </c>
      <c r="AI23" s="15">
        <v>0.28000000000000003</v>
      </c>
      <c r="AJ23" s="15">
        <v>0.4</v>
      </c>
      <c r="AK23" s="15">
        <v>0.45</v>
      </c>
      <c r="AL23" s="15">
        <v>0.33</v>
      </c>
      <c r="AM23" s="15">
        <v>0.33</v>
      </c>
      <c r="AN23" s="15">
        <v>0.41</v>
      </c>
      <c r="AO23" s="15">
        <v>0.66</v>
      </c>
      <c r="AP23" s="15">
        <v>0.46</v>
      </c>
      <c r="AQ23" s="15">
        <v>0.4</v>
      </c>
    </row>
    <row r="24" spans="1:43" x14ac:dyDescent="0.35">
      <c r="A24" s="19"/>
      <c r="B24" s="11" t="s">
        <v>527</v>
      </c>
      <c r="C24" s="12">
        <v>13910</v>
      </c>
      <c r="D24" s="12">
        <v>491</v>
      </c>
      <c r="E24" s="12">
        <v>519</v>
      </c>
      <c r="F24" s="12">
        <v>352</v>
      </c>
      <c r="G24" s="12">
        <v>42</v>
      </c>
      <c r="H24" s="12">
        <v>603</v>
      </c>
      <c r="I24" s="12">
        <v>776</v>
      </c>
      <c r="J24" s="12">
        <v>174</v>
      </c>
      <c r="K24" s="12">
        <v>530</v>
      </c>
      <c r="L24" s="12">
        <v>153</v>
      </c>
      <c r="M24" s="12">
        <v>796</v>
      </c>
      <c r="N24" s="12">
        <v>616</v>
      </c>
      <c r="O24" s="12">
        <v>704</v>
      </c>
      <c r="P24" s="12">
        <v>431</v>
      </c>
      <c r="Q24" s="12">
        <v>612</v>
      </c>
      <c r="R24" s="12">
        <v>221</v>
      </c>
      <c r="S24" s="12">
        <v>414</v>
      </c>
      <c r="T24" s="12">
        <v>316</v>
      </c>
      <c r="U24" s="12">
        <v>146</v>
      </c>
      <c r="V24" s="12">
        <v>466</v>
      </c>
      <c r="W24" s="12">
        <v>156</v>
      </c>
      <c r="X24" s="12">
        <v>142</v>
      </c>
      <c r="Y24" s="12">
        <v>488</v>
      </c>
      <c r="Z24" s="12">
        <v>268</v>
      </c>
      <c r="AA24" s="12">
        <v>649</v>
      </c>
      <c r="AB24" s="12">
        <v>653</v>
      </c>
      <c r="AC24" s="12">
        <v>271</v>
      </c>
      <c r="AD24" s="12">
        <v>480</v>
      </c>
      <c r="AE24" s="12">
        <v>865</v>
      </c>
      <c r="AF24" s="12">
        <v>629</v>
      </c>
      <c r="AG24" s="12">
        <v>565</v>
      </c>
      <c r="AH24" s="12">
        <v>476</v>
      </c>
      <c r="AI24" s="12">
        <v>373</v>
      </c>
      <c r="AJ24" s="12">
        <v>596</v>
      </c>
      <c r="AK24" s="12">
        <v>555</v>
      </c>
      <c r="AL24" s="12">
        <v>611</v>
      </c>
      <c r="AM24" s="12">
        <v>589</v>
      </c>
      <c r="AN24" s="12">
        <v>579</v>
      </c>
      <c r="AO24" s="12">
        <v>319</v>
      </c>
      <c r="AP24" s="12">
        <v>271</v>
      </c>
      <c r="AQ24" s="12">
        <v>549</v>
      </c>
    </row>
    <row r="25" spans="1:43" x14ac:dyDescent="0.35">
      <c r="A25" s="19"/>
      <c r="B25" s="13" t="s">
        <v>528</v>
      </c>
      <c r="C25" s="15">
        <v>0.52</v>
      </c>
      <c r="D25" s="15">
        <v>0.48</v>
      </c>
      <c r="E25" s="15">
        <v>0.5</v>
      </c>
      <c r="F25" s="15">
        <v>0.32</v>
      </c>
      <c r="G25" s="15">
        <v>0.05</v>
      </c>
      <c r="H25" s="15">
        <v>0.49</v>
      </c>
      <c r="I25" s="15">
        <v>0.51</v>
      </c>
      <c r="J25" s="15">
        <v>0.59</v>
      </c>
      <c r="K25" s="15">
        <v>0.53</v>
      </c>
      <c r="L25" s="15">
        <v>0.15</v>
      </c>
      <c r="M25" s="15">
        <v>0.79</v>
      </c>
      <c r="N25" s="15">
        <v>0.61</v>
      </c>
      <c r="O25" s="15">
        <v>0.70000000000000007</v>
      </c>
      <c r="P25" s="15">
        <v>0.43</v>
      </c>
      <c r="Q25" s="15">
        <v>0.59</v>
      </c>
      <c r="R25" s="15">
        <v>0.44</v>
      </c>
      <c r="S25" s="15">
        <v>0.41</v>
      </c>
      <c r="T25" s="15">
        <v>0.31</v>
      </c>
      <c r="U25" s="15">
        <v>0.28999999999999998</v>
      </c>
      <c r="V25" s="15">
        <v>0.46</v>
      </c>
      <c r="W25" s="15">
        <v>0.31</v>
      </c>
      <c r="X25" s="15">
        <v>0.14000000000000001</v>
      </c>
      <c r="Y25" s="15">
        <v>0.49</v>
      </c>
      <c r="Z25" s="15">
        <v>0.26</v>
      </c>
      <c r="AA25" s="15">
        <v>0.63</v>
      </c>
      <c r="AB25" s="15">
        <v>0.62</v>
      </c>
      <c r="AC25" s="15">
        <v>0.27</v>
      </c>
      <c r="AD25" s="15">
        <v>0.48</v>
      </c>
      <c r="AE25" s="15">
        <v>0.86</v>
      </c>
      <c r="AF25" s="15">
        <v>0.6</v>
      </c>
      <c r="AG25" s="15">
        <v>0.54</v>
      </c>
      <c r="AH25" s="15">
        <v>0.47</v>
      </c>
      <c r="AI25" s="15">
        <v>0.71</v>
      </c>
      <c r="AJ25" s="15">
        <v>0.57000000000000006</v>
      </c>
      <c r="AK25" s="15">
        <v>0.55000000000000004</v>
      </c>
      <c r="AL25" s="15">
        <v>0.6</v>
      </c>
      <c r="AM25" s="15">
        <v>0.57000000000000006</v>
      </c>
      <c r="AN25" s="15">
        <v>0.57999999999999996</v>
      </c>
      <c r="AO25" s="15">
        <v>0.32</v>
      </c>
      <c r="AP25" s="15">
        <v>0.52</v>
      </c>
      <c r="AQ25" s="15">
        <v>0.55000000000000004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549</v>
      </c>
      <c r="C3" s="18"/>
      <c r="D3" s="18"/>
      <c r="E3" s="18"/>
      <c r="F3" s="18"/>
      <c r="H3" s="18" t="s">
        <v>550</v>
      </c>
      <c r="I3" s="18"/>
      <c r="J3" s="18"/>
      <c r="K3" s="18"/>
      <c r="L3" s="18"/>
    </row>
    <row r="4" spans="1:43" ht="27" customHeight="1" x14ac:dyDescent="0.35">
      <c r="B4" s="18" t="s">
        <v>551</v>
      </c>
      <c r="C4" s="18"/>
      <c r="D4" s="18"/>
      <c r="E4" s="18"/>
      <c r="F4" s="18"/>
      <c r="H4" s="18" t="s">
        <v>552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517</v>
      </c>
      <c r="C12" s="12">
        <v>1808</v>
      </c>
      <c r="D12" s="12">
        <v>87</v>
      </c>
      <c r="E12" s="12">
        <v>64</v>
      </c>
      <c r="F12" s="12">
        <v>128</v>
      </c>
      <c r="G12" s="12">
        <v>172</v>
      </c>
      <c r="H12" s="12">
        <v>45</v>
      </c>
      <c r="I12" s="12">
        <v>69</v>
      </c>
      <c r="J12" s="12">
        <v>24</v>
      </c>
      <c r="K12" s="12">
        <v>103</v>
      </c>
      <c r="L12" s="12">
        <v>86</v>
      </c>
      <c r="M12" s="12">
        <v>12</v>
      </c>
      <c r="N12" s="12">
        <v>65</v>
      </c>
      <c r="O12" s="12">
        <v>35</v>
      </c>
      <c r="P12" s="12">
        <v>75</v>
      </c>
      <c r="Q12" s="12">
        <v>32</v>
      </c>
      <c r="R12" s="12">
        <v>11</v>
      </c>
      <c r="S12" s="12">
        <v>49</v>
      </c>
      <c r="T12" s="12">
        <v>70</v>
      </c>
      <c r="U12" s="12">
        <v>240</v>
      </c>
      <c r="V12" s="12">
        <v>70</v>
      </c>
      <c r="W12" s="12">
        <v>41</v>
      </c>
      <c r="X12" s="12">
        <v>257</v>
      </c>
      <c r="Y12" s="12">
        <v>229</v>
      </c>
      <c r="Z12" s="12">
        <v>102</v>
      </c>
      <c r="AA12" s="12">
        <v>12</v>
      </c>
      <c r="AB12" s="12">
        <v>50</v>
      </c>
      <c r="AC12" s="12">
        <v>109</v>
      </c>
      <c r="AD12" s="12">
        <v>46</v>
      </c>
      <c r="AE12" s="12">
        <v>86</v>
      </c>
      <c r="AF12" s="12">
        <v>124</v>
      </c>
      <c r="AG12" s="12">
        <v>127</v>
      </c>
      <c r="AH12" s="12">
        <v>48</v>
      </c>
      <c r="AI12" s="12">
        <v>43</v>
      </c>
      <c r="AJ12" s="12">
        <v>123</v>
      </c>
      <c r="AK12" s="12">
        <v>40</v>
      </c>
      <c r="AL12" s="12">
        <v>57</v>
      </c>
      <c r="AM12" s="12">
        <v>53</v>
      </c>
      <c r="AN12" s="12">
        <v>67</v>
      </c>
      <c r="AO12" s="12">
        <v>289</v>
      </c>
      <c r="AP12" s="12">
        <v>55</v>
      </c>
      <c r="AQ12" s="12">
        <v>200</v>
      </c>
    </row>
    <row r="13" spans="1:43" x14ac:dyDescent="0.35">
      <c r="A13" s="19"/>
      <c r="B13" s="13" t="s">
        <v>518</v>
      </c>
      <c r="C13" s="15">
        <v>7.0000000000000007E-2</v>
      </c>
      <c r="D13" s="15">
        <v>0.08</v>
      </c>
      <c r="E13" s="15">
        <v>0.06</v>
      </c>
      <c r="F13" s="15">
        <v>0.12</v>
      </c>
      <c r="G13" s="15">
        <v>0.17</v>
      </c>
      <c r="H13" s="15">
        <v>0.04</v>
      </c>
      <c r="I13" s="15">
        <v>0.05</v>
      </c>
      <c r="J13" s="15">
        <v>0.08</v>
      </c>
      <c r="K13" s="15">
        <v>0.1</v>
      </c>
      <c r="L13" s="15">
        <v>0.09</v>
      </c>
      <c r="M13" s="15">
        <v>0.01</v>
      </c>
      <c r="N13" s="15">
        <v>7.0000000000000007E-2</v>
      </c>
      <c r="O13" s="15">
        <v>0.04</v>
      </c>
      <c r="P13" s="15">
        <v>0.08</v>
      </c>
      <c r="Q13" s="15">
        <v>0.03</v>
      </c>
      <c r="R13" s="15">
        <v>0.02</v>
      </c>
      <c r="S13" s="15">
        <v>0.05</v>
      </c>
      <c r="T13" s="15">
        <v>7.0000000000000007E-2</v>
      </c>
      <c r="U13" s="15">
        <v>0.48</v>
      </c>
      <c r="V13" s="15">
        <v>7.0000000000000007E-2</v>
      </c>
      <c r="W13" s="15">
        <v>0.08</v>
      </c>
      <c r="X13" s="15">
        <v>0.26</v>
      </c>
      <c r="Y13" s="15">
        <v>0.23</v>
      </c>
      <c r="Z13" s="15">
        <v>0.1</v>
      </c>
      <c r="AA13" s="15">
        <v>0.01</v>
      </c>
      <c r="AB13" s="15">
        <v>0.05</v>
      </c>
      <c r="AC13" s="15">
        <v>0.11</v>
      </c>
      <c r="AD13" s="15">
        <v>0.04</v>
      </c>
      <c r="AE13" s="15">
        <v>0.09</v>
      </c>
      <c r="AF13" s="15">
        <v>0.12</v>
      </c>
      <c r="AG13" s="15">
        <v>0.12</v>
      </c>
      <c r="AH13" s="15">
        <v>0.05</v>
      </c>
      <c r="AI13" s="15">
        <v>0.08</v>
      </c>
      <c r="AJ13" s="15">
        <v>0.12</v>
      </c>
      <c r="AK13" s="15">
        <v>0.04</v>
      </c>
      <c r="AL13" s="15">
        <v>0.06</v>
      </c>
      <c r="AM13" s="15">
        <v>0.05</v>
      </c>
      <c r="AN13" s="15">
        <v>7.0000000000000007E-2</v>
      </c>
      <c r="AO13" s="15">
        <v>0.28999999999999998</v>
      </c>
      <c r="AP13" s="15">
        <v>0.11</v>
      </c>
      <c r="AQ13" s="15">
        <v>0.2</v>
      </c>
    </row>
    <row r="14" spans="1:43" x14ac:dyDescent="0.35">
      <c r="A14" s="19"/>
      <c r="B14" s="11" t="s">
        <v>519</v>
      </c>
      <c r="C14" s="12">
        <v>12737</v>
      </c>
      <c r="D14" s="12">
        <v>563</v>
      </c>
      <c r="E14" s="12">
        <v>422</v>
      </c>
      <c r="F14" s="12">
        <v>641</v>
      </c>
      <c r="G14" s="12">
        <v>519</v>
      </c>
      <c r="H14" s="12">
        <v>739</v>
      </c>
      <c r="I14" s="12">
        <v>848</v>
      </c>
      <c r="J14" s="12">
        <v>109</v>
      </c>
      <c r="K14" s="12">
        <v>581</v>
      </c>
      <c r="L14" s="12">
        <v>442</v>
      </c>
      <c r="M14" s="12">
        <v>228</v>
      </c>
      <c r="N14" s="12">
        <v>518</v>
      </c>
      <c r="O14" s="12">
        <v>385</v>
      </c>
      <c r="P14" s="12">
        <v>497</v>
      </c>
      <c r="Q14" s="12">
        <v>380</v>
      </c>
      <c r="R14" s="12">
        <v>224</v>
      </c>
      <c r="S14" s="12">
        <v>599</v>
      </c>
      <c r="T14" s="12">
        <v>640</v>
      </c>
      <c r="U14" s="12">
        <v>237</v>
      </c>
      <c r="V14" s="12">
        <v>533</v>
      </c>
      <c r="W14" s="12">
        <v>300</v>
      </c>
      <c r="X14" s="12">
        <v>608</v>
      </c>
      <c r="Y14" s="12">
        <v>547</v>
      </c>
      <c r="Z14" s="12">
        <v>576</v>
      </c>
      <c r="AA14" s="12">
        <v>343</v>
      </c>
      <c r="AB14" s="12">
        <v>447</v>
      </c>
      <c r="AC14" s="12">
        <v>548</v>
      </c>
      <c r="AD14" s="12">
        <v>589</v>
      </c>
      <c r="AE14" s="12">
        <v>578</v>
      </c>
      <c r="AF14" s="12">
        <v>589</v>
      </c>
      <c r="AG14" s="12">
        <v>386</v>
      </c>
      <c r="AH14" s="12">
        <v>417</v>
      </c>
      <c r="AI14" s="12">
        <v>137</v>
      </c>
      <c r="AJ14" s="12">
        <v>360</v>
      </c>
      <c r="AK14" s="12">
        <v>452</v>
      </c>
      <c r="AL14" s="12">
        <v>538</v>
      </c>
      <c r="AM14" s="12">
        <v>435</v>
      </c>
      <c r="AN14" s="12">
        <v>338</v>
      </c>
      <c r="AO14" s="12">
        <v>511</v>
      </c>
      <c r="AP14" s="12">
        <v>141</v>
      </c>
      <c r="AQ14" s="12">
        <v>514</v>
      </c>
    </row>
    <row r="15" spans="1:43" x14ac:dyDescent="0.35">
      <c r="A15" s="19"/>
      <c r="B15" s="13" t="s">
        <v>520</v>
      </c>
      <c r="C15" s="15">
        <v>0.48</v>
      </c>
      <c r="D15" s="15">
        <v>0.56000000000000005</v>
      </c>
      <c r="E15" s="15">
        <v>0.41</v>
      </c>
      <c r="F15" s="15">
        <v>0.57999999999999996</v>
      </c>
      <c r="G15" s="15">
        <v>0.51</v>
      </c>
      <c r="H15" s="15">
        <v>0.6</v>
      </c>
      <c r="I15" s="15">
        <v>0.56000000000000005</v>
      </c>
      <c r="J15" s="15">
        <v>0.37</v>
      </c>
      <c r="K15" s="15">
        <v>0.57999999999999996</v>
      </c>
      <c r="L15" s="15">
        <v>0.44</v>
      </c>
      <c r="M15" s="15">
        <v>0.23</v>
      </c>
      <c r="N15" s="15">
        <v>0.52</v>
      </c>
      <c r="O15" s="15">
        <v>0.38</v>
      </c>
      <c r="P15" s="15">
        <v>0.49</v>
      </c>
      <c r="Q15" s="15">
        <v>0.37</v>
      </c>
      <c r="R15" s="15">
        <v>0.44</v>
      </c>
      <c r="S15" s="15">
        <v>0.6</v>
      </c>
      <c r="T15" s="15">
        <v>0.63</v>
      </c>
      <c r="U15" s="15">
        <v>0.47</v>
      </c>
      <c r="V15" s="15">
        <v>0.52</v>
      </c>
      <c r="W15" s="15">
        <v>0.59</v>
      </c>
      <c r="X15" s="15">
        <v>0.6</v>
      </c>
      <c r="Y15" s="15">
        <v>0.54</v>
      </c>
      <c r="Z15" s="15">
        <v>0.56000000000000005</v>
      </c>
      <c r="AA15" s="15">
        <v>0.33</v>
      </c>
      <c r="AB15" s="15">
        <v>0.42</v>
      </c>
      <c r="AC15" s="15">
        <v>0.55000000000000004</v>
      </c>
      <c r="AD15" s="15">
        <v>0.59</v>
      </c>
      <c r="AE15" s="15">
        <v>0.57000000000000006</v>
      </c>
      <c r="AF15" s="15">
        <v>0.56000000000000005</v>
      </c>
      <c r="AG15" s="15">
        <v>0.37</v>
      </c>
      <c r="AH15" s="15">
        <v>0.41</v>
      </c>
      <c r="AI15" s="15">
        <v>0.26</v>
      </c>
      <c r="AJ15" s="15">
        <v>0.34</v>
      </c>
      <c r="AK15" s="15">
        <v>0.45</v>
      </c>
      <c r="AL15" s="15">
        <v>0.53</v>
      </c>
      <c r="AM15" s="15">
        <v>0.42</v>
      </c>
      <c r="AN15" s="15">
        <v>0.34</v>
      </c>
      <c r="AO15" s="15">
        <v>0.51</v>
      </c>
      <c r="AP15" s="15">
        <v>0.27</v>
      </c>
      <c r="AQ15" s="15">
        <v>0.51</v>
      </c>
    </row>
    <row r="16" spans="1:43" x14ac:dyDescent="0.35">
      <c r="A16" s="19"/>
      <c r="B16" s="11" t="s">
        <v>521</v>
      </c>
      <c r="C16" s="12">
        <v>8693</v>
      </c>
      <c r="D16" s="12">
        <v>299</v>
      </c>
      <c r="E16" s="12">
        <v>315</v>
      </c>
      <c r="F16" s="12">
        <v>271</v>
      </c>
      <c r="G16" s="12">
        <v>269</v>
      </c>
      <c r="H16" s="12">
        <v>349</v>
      </c>
      <c r="I16" s="12">
        <v>483</v>
      </c>
      <c r="J16" s="12">
        <v>134</v>
      </c>
      <c r="K16" s="12">
        <v>205</v>
      </c>
      <c r="L16" s="12">
        <v>314</v>
      </c>
      <c r="M16" s="12">
        <v>512</v>
      </c>
      <c r="N16" s="12">
        <v>311</v>
      </c>
      <c r="O16" s="12">
        <v>411</v>
      </c>
      <c r="P16" s="12">
        <v>334</v>
      </c>
      <c r="Q16" s="12">
        <v>413</v>
      </c>
      <c r="R16" s="12">
        <v>165</v>
      </c>
      <c r="S16" s="12">
        <v>260</v>
      </c>
      <c r="T16" s="12">
        <v>238</v>
      </c>
      <c r="U16" s="12">
        <v>17</v>
      </c>
      <c r="V16" s="12">
        <v>303</v>
      </c>
      <c r="W16" s="12">
        <v>143</v>
      </c>
      <c r="X16" s="12">
        <v>122</v>
      </c>
      <c r="Y16" s="12">
        <v>148</v>
      </c>
      <c r="Z16" s="12">
        <v>274</v>
      </c>
      <c r="AA16" s="12">
        <v>423</v>
      </c>
      <c r="AB16" s="12">
        <v>410</v>
      </c>
      <c r="AC16" s="12">
        <v>287</v>
      </c>
      <c r="AD16" s="12">
        <v>288</v>
      </c>
      <c r="AE16" s="12">
        <v>287</v>
      </c>
      <c r="AF16" s="12">
        <v>251</v>
      </c>
      <c r="AG16" s="12">
        <v>319</v>
      </c>
      <c r="AH16" s="12">
        <v>347</v>
      </c>
      <c r="AI16" s="12">
        <v>224</v>
      </c>
      <c r="AJ16" s="12">
        <v>351</v>
      </c>
      <c r="AK16" s="12">
        <v>365</v>
      </c>
      <c r="AL16" s="12">
        <v>252</v>
      </c>
      <c r="AM16" s="12">
        <v>373</v>
      </c>
      <c r="AN16" s="12">
        <v>426</v>
      </c>
      <c r="AO16" s="12">
        <v>107</v>
      </c>
      <c r="AP16" s="12">
        <v>158</v>
      </c>
      <c r="AQ16" s="12">
        <v>134</v>
      </c>
    </row>
    <row r="17" spans="1:43" x14ac:dyDescent="0.35">
      <c r="A17" s="19"/>
      <c r="B17" s="13" t="s">
        <v>522</v>
      </c>
      <c r="C17" s="15">
        <v>0.33</v>
      </c>
      <c r="D17" s="15">
        <v>0.28999999999999998</v>
      </c>
      <c r="E17" s="15">
        <v>0.31</v>
      </c>
      <c r="F17" s="15">
        <v>0.24</v>
      </c>
      <c r="G17" s="15">
        <v>0.27</v>
      </c>
      <c r="H17" s="15">
        <v>0.28999999999999998</v>
      </c>
      <c r="I17" s="15">
        <v>0.32</v>
      </c>
      <c r="J17" s="15">
        <v>0.45</v>
      </c>
      <c r="K17" s="15">
        <v>0.21</v>
      </c>
      <c r="L17" s="15">
        <v>0.31</v>
      </c>
      <c r="M17" s="15">
        <v>0.51</v>
      </c>
      <c r="N17" s="15">
        <v>0.31</v>
      </c>
      <c r="O17" s="15">
        <v>0.41</v>
      </c>
      <c r="P17" s="15">
        <v>0.33</v>
      </c>
      <c r="Q17" s="15">
        <v>0.4</v>
      </c>
      <c r="R17" s="15">
        <v>0.33</v>
      </c>
      <c r="S17" s="15">
        <v>0.26</v>
      </c>
      <c r="T17" s="15">
        <v>0.24</v>
      </c>
      <c r="U17" s="15">
        <v>0.03</v>
      </c>
      <c r="V17" s="15">
        <v>0.3</v>
      </c>
      <c r="W17" s="15">
        <v>0.28000000000000003</v>
      </c>
      <c r="X17" s="15">
        <v>0.12</v>
      </c>
      <c r="Y17" s="15">
        <v>0.15</v>
      </c>
      <c r="Z17" s="15">
        <v>0.26</v>
      </c>
      <c r="AA17" s="15">
        <v>0.41</v>
      </c>
      <c r="AB17" s="15">
        <v>0.39</v>
      </c>
      <c r="AC17" s="15">
        <v>0.28000000000000003</v>
      </c>
      <c r="AD17" s="15">
        <v>0.28999999999999998</v>
      </c>
      <c r="AE17" s="15">
        <v>0.28000000000000003</v>
      </c>
      <c r="AF17" s="15">
        <v>0.24</v>
      </c>
      <c r="AG17" s="15">
        <v>0.31</v>
      </c>
      <c r="AH17" s="15">
        <v>0.34</v>
      </c>
      <c r="AI17" s="15">
        <v>0.43</v>
      </c>
      <c r="AJ17" s="15">
        <v>0.34</v>
      </c>
      <c r="AK17" s="15">
        <v>0.36</v>
      </c>
      <c r="AL17" s="15">
        <v>0.25</v>
      </c>
      <c r="AM17" s="15">
        <v>0.36</v>
      </c>
      <c r="AN17" s="15">
        <v>0.42</v>
      </c>
      <c r="AO17" s="15">
        <v>0.11</v>
      </c>
      <c r="AP17" s="15">
        <v>0.3</v>
      </c>
      <c r="AQ17" s="15">
        <v>0.14000000000000001</v>
      </c>
    </row>
    <row r="18" spans="1:43" x14ac:dyDescent="0.35">
      <c r="A18" s="19"/>
      <c r="B18" s="11" t="s">
        <v>523</v>
      </c>
      <c r="C18" s="12">
        <v>2541</v>
      </c>
      <c r="D18" s="12">
        <v>57</v>
      </c>
      <c r="E18" s="12">
        <v>124</v>
      </c>
      <c r="F18" s="12">
        <v>41</v>
      </c>
      <c r="G18" s="12">
        <v>30</v>
      </c>
      <c r="H18" s="12">
        <v>60</v>
      </c>
      <c r="I18" s="12">
        <v>82</v>
      </c>
      <c r="J18" s="12">
        <v>22</v>
      </c>
      <c r="K18" s="12">
        <v>64</v>
      </c>
      <c r="L18" s="12">
        <v>129</v>
      </c>
      <c r="M18" s="12">
        <v>245</v>
      </c>
      <c r="N18" s="12">
        <v>84</v>
      </c>
      <c r="O18" s="12">
        <v>124</v>
      </c>
      <c r="P18" s="12">
        <v>87</v>
      </c>
      <c r="Q18" s="12">
        <v>186</v>
      </c>
      <c r="R18" s="12">
        <v>81</v>
      </c>
      <c r="S18" s="12">
        <v>40</v>
      </c>
      <c r="T18" s="12">
        <v>29</v>
      </c>
      <c r="U18" s="12">
        <v>7</v>
      </c>
      <c r="V18" s="12">
        <v>103</v>
      </c>
      <c r="W18" s="12">
        <v>18</v>
      </c>
      <c r="X18" s="12">
        <v>10</v>
      </c>
      <c r="Y18" s="12">
        <v>59</v>
      </c>
      <c r="Z18" s="12">
        <v>58</v>
      </c>
      <c r="AA18" s="12">
        <v>222</v>
      </c>
      <c r="AB18" s="12">
        <v>111</v>
      </c>
      <c r="AC18" s="12">
        <v>51</v>
      </c>
      <c r="AD18" s="12">
        <v>64</v>
      </c>
      <c r="AE18" s="12">
        <v>44</v>
      </c>
      <c r="AF18" s="12">
        <v>49</v>
      </c>
      <c r="AG18" s="12">
        <v>200</v>
      </c>
      <c r="AH18" s="12">
        <v>196</v>
      </c>
      <c r="AI18" s="12">
        <v>103</v>
      </c>
      <c r="AJ18" s="12">
        <v>194</v>
      </c>
      <c r="AK18" s="12">
        <v>146</v>
      </c>
      <c r="AL18" s="12">
        <v>84</v>
      </c>
      <c r="AM18" s="12">
        <v>143</v>
      </c>
      <c r="AN18" s="12">
        <v>165</v>
      </c>
      <c r="AO18" s="12">
        <v>84</v>
      </c>
      <c r="AP18" s="12">
        <v>164</v>
      </c>
      <c r="AQ18" s="12">
        <v>63</v>
      </c>
    </row>
    <row r="19" spans="1:43" x14ac:dyDescent="0.35">
      <c r="A19" s="19"/>
      <c r="B19" s="13" t="s">
        <v>524</v>
      </c>
      <c r="C19" s="15">
        <v>0.1</v>
      </c>
      <c r="D19" s="15">
        <v>0.06</v>
      </c>
      <c r="E19" s="15">
        <v>0.12</v>
      </c>
      <c r="F19" s="15">
        <v>0.04</v>
      </c>
      <c r="G19" s="15">
        <v>0.03</v>
      </c>
      <c r="H19" s="15">
        <v>0.05</v>
      </c>
      <c r="I19" s="15">
        <v>0.05</v>
      </c>
      <c r="J19" s="15">
        <v>0.08</v>
      </c>
      <c r="K19" s="15">
        <v>0.06</v>
      </c>
      <c r="L19" s="15">
        <v>0.13</v>
      </c>
      <c r="M19" s="15">
        <v>0.24</v>
      </c>
      <c r="N19" s="15">
        <v>0.08</v>
      </c>
      <c r="O19" s="15">
        <v>0.12</v>
      </c>
      <c r="P19" s="15">
        <v>0.09</v>
      </c>
      <c r="Q19" s="15">
        <v>0.18</v>
      </c>
      <c r="R19" s="15">
        <v>0.16</v>
      </c>
      <c r="S19" s="15">
        <v>0.04</v>
      </c>
      <c r="T19" s="15">
        <v>0.03</v>
      </c>
      <c r="U19" s="15">
        <v>0.01</v>
      </c>
      <c r="V19" s="15">
        <v>0.1</v>
      </c>
      <c r="W19" s="15">
        <v>0.04</v>
      </c>
      <c r="X19" s="15">
        <v>0.01</v>
      </c>
      <c r="Y19" s="15">
        <v>0.06</v>
      </c>
      <c r="Z19" s="15">
        <v>0.06</v>
      </c>
      <c r="AA19" s="15">
        <v>0.22</v>
      </c>
      <c r="AB19" s="15">
        <v>0.11</v>
      </c>
      <c r="AC19" s="15">
        <v>0.05</v>
      </c>
      <c r="AD19" s="15">
        <v>0.06</v>
      </c>
      <c r="AE19" s="15">
        <v>0.04</v>
      </c>
      <c r="AF19" s="15">
        <v>0.05</v>
      </c>
      <c r="AG19" s="15">
        <v>0.2</v>
      </c>
      <c r="AH19" s="15">
        <v>0.19</v>
      </c>
      <c r="AI19" s="15">
        <v>0.2</v>
      </c>
      <c r="AJ19" s="15">
        <v>0.19</v>
      </c>
      <c r="AK19" s="15">
        <v>0.15</v>
      </c>
      <c r="AL19" s="15">
        <v>0.08</v>
      </c>
      <c r="AM19" s="15">
        <v>0.14000000000000001</v>
      </c>
      <c r="AN19" s="15">
        <v>0.16</v>
      </c>
      <c r="AO19" s="15">
        <v>0.08</v>
      </c>
      <c r="AP19" s="15">
        <v>0.31</v>
      </c>
      <c r="AQ19" s="15">
        <v>0.06</v>
      </c>
    </row>
    <row r="20" spans="1:43" x14ac:dyDescent="0.35">
      <c r="A20" s="19"/>
      <c r="B20" s="11" t="s">
        <v>485</v>
      </c>
      <c r="C20" s="12">
        <v>665</v>
      </c>
      <c r="D20" s="12">
        <v>6</v>
      </c>
      <c r="E20" s="12">
        <v>106</v>
      </c>
      <c r="F20" s="12">
        <v>21</v>
      </c>
      <c r="G20" s="12">
        <v>17</v>
      </c>
      <c r="H20" s="12">
        <v>28</v>
      </c>
      <c r="I20" s="12">
        <v>33</v>
      </c>
      <c r="J20" s="12">
        <v>5</v>
      </c>
      <c r="K20" s="12">
        <v>49</v>
      </c>
      <c r="L20" s="12">
        <v>31</v>
      </c>
      <c r="M20" s="12">
        <v>12</v>
      </c>
      <c r="N20" s="12">
        <v>24</v>
      </c>
      <c r="O20" s="12">
        <v>46</v>
      </c>
      <c r="P20" s="12">
        <v>11</v>
      </c>
      <c r="Q20" s="12">
        <v>16</v>
      </c>
      <c r="R20" s="12">
        <v>24</v>
      </c>
      <c r="S20" s="12">
        <v>54</v>
      </c>
      <c r="T20" s="12">
        <v>30</v>
      </c>
      <c r="U20" s="12">
        <v>3</v>
      </c>
      <c r="V20" s="12">
        <v>7</v>
      </c>
      <c r="W20" s="12">
        <v>6</v>
      </c>
      <c r="X20" s="12">
        <v>11</v>
      </c>
      <c r="Y20" s="12">
        <v>19</v>
      </c>
      <c r="Z20" s="12">
        <v>21</v>
      </c>
      <c r="AA20" s="12">
        <v>33</v>
      </c>
      <c r="AB20" s="12">
        <v>34</v>
      </c>
      <c r="AC20" s="12">
        <v>9</v>
      </c>
      <c r="AD20" s="12">
        <v>17</v>
      </c>
      <c r="AE20" s="12">
        <v>16</v>
      </c>
      <c r="AF20" s="12">
        <v>31</v>
      </c>
      <c r="AG20" s="12">
        <v>3</v>
      </c>
      <c r="AH20" s="12">
        <v>6</v>
      </c>
      <c r="AI20" s="12">
        <v>16</v>
      </c>
      <c r="AJ20" s="12">
        <v>9</v>
      </c>
      <c r="AK20" s="12">
        <v>4</v>
      </c>
      <c r="AL20" s="12">
        <v>81</v>
      </c>
      <c r="AM20" s="12">
        <v>36</v>
      </c>
      <c r="AN20" s="12">
        <v>8</v>
      </c>
      <c r="AO20" s="12">
        <v>14</v>
      </c>
      <c r="AP20" s="12">
        <v>6</v>
      </c>
      <c r="AQ20" s="12">
        <v>92</v>
      </c>
    </row>
    <row r="21" spans="1:43" x14ac:dyDescent="0.35">
      <c r="A21" s="19"/>
      <c r="B21" s="13" t="s">
        <v>486</v>
      </c>
      <c r="C21" s="15">
        <v>0.02</v>
      </c>
      <c r="D21" s="15">
        <v>0.01</v>
      </c>
      <c r="E21" s="15">
        <v>0.1</v>
      </c>
      <c r="F21" s="15">
        <v>0.02</v>
      </c>
      <c r="G21" s="15">
        <v>0.02</v>
      </c>
      <c r="H21" s="15">
        <v>0.02</v>
      </c>
      <c r="I21" s="15">
        <v>0.02</v>
      </c>
      <c r="J21" s="15">
        <v>0.02</v>
      </c>
      <c r="K21" s="15">
        <v>0.05</v>
      </c>
      <c r="L21" s="15">
        <v>0.03</v>
      </c>
      <c r="M21" s="15">
        <v>0.01</v>
      </c>
      <c r="N21" s="15">
        <v>0.02</v>
      </c>
      <c r="O21" s="15">
        <v>0.05</v>
      </c>
      <c r="P21" s="15">
        <v>0.01</v>
      </c>
      <c r="Q21" s="15">
        <v>0.02</v>
      </c>
      <c r="R21" s="15">
        <v>0.05</v>
      </c>
      <c r="S21" s="15">
        <v>0.05</v>
      </c>
      <c r="T21" s="15">
        <v>0.03</v>
      </c>
      <c r="U21" s="15">
        <v>0.01</v>
      </c>
      <c r="V21" s="15">
        <v>0.01</v>
      </c>
      <c r="W21" s="15">
        <v>0.01</v>
      </c>
      <c r="X21" s="15">
        <v>0.01</v>
      </c>
      <c r="Y21" s="15">
        <v>0.02</v>
      </c>
      <c r="Z21" s="15">
        <v>0.02</v>
      </c>
      <c r="AA21" s="15">
        <v>0.03</v>
      </c>
      <c r="AB21" s="15">
        <v>0.03</v>
      </c>
      <c r="AC21" s="15">
        <v>0.01</v>
      </c>
      <c r="AD21" s="15">
        <v>0.02</v>
      </c>
      <c r="AE21" s="15">
        <v>0.02</v>
      </c>
      <c r="AF21" s="15">
        <v>0.03</v>
      </c>
      <c r="AG21" s="14" t="s">
        <v>475</v>
      </c>
      <c r="AH21" s="15">
        <v>0.01</v>
      </c>
      <c r="AI21" s="15">
        <v>0.03</v>
      </c>
      <c r="AJ21" s="15">
        <v>0.01</v>
      </c>
      <c r="AK21" s="14" t="s">
        <v>475</v>
      </c>
      <c r="AL21" s="15">
        <v>0.08</v>
      </c>
      <c r="AM21" s="15">
        <v>0.03</v>
      </c>
      <c r="AN21" s="15">
        <v>0.01</v>
      </c>
      <c r="AO21" s="15">
        <v>0.01</v>
      </c>
      <c r="AP21" s="15">
        <v>0.01</v>
      </c>
      <c r="AQ21" s="15">
        <v>0.09</v>
      </c>
    </row>
    <row r="22" spans="1:43" x14ac:dyDescent="0.35">
      <c r="A22" s="19"/>
      <c r="B22" s="11" t="s">
        <v>525</v>
      </c>
      <c r="C22" s="12">
        <v>14545</v>
      </c>
      <c r="D22" s="12">
        <v>650</v>
      </c>
      <c r="E22" s="12">
        <v>486</v>
      </c>
      <c r="F22" s="12">
        <v>769</v>
      </c>
      <c r="G22" s="12">
        <v>691</v>
      </c>
      <c r="H22" s="12">
        <v>784</v>
      </c>
      <c r="I22" s="12">
        <v>917</v>
      </c>
      <c r="J22" s="12">
        <v>133</v>
      </c>
      <c r="K22" s="12">
        <v>684</v>
      </c>
      <c r="L22" s="12">
        <v>528</v>
      </c>
      <c r="M22" s="12">
        <v>240</v>
      </c>
      <c r="N22" s="12">
        <v>583</v>
      </c>
      <c r="O22" s="12">
        <v>420</v>
      </c>
      <c r="P22" s="12">
        <v>572</v>
      </c>
      <c r="Q22" s="12">
        <v>412</v>
      </c>
      <c r="R22" s="12">
        <v>235</v>
      </c>
      <c r="S22" s="12">
        <v>648</v>
      </c>
      <c r="T22" s="12">
        <v>710</v>
      </c>
      <c r="U22" s="12">
        <v>477</v>
      </c>
      <c r="V22" s="12">
        <v>603</v>
      </c>
      <c r="W22" s="12">
        <v>341</v>
      </c>
      <c r="X22" s="12">
        <v>865</v>
      </c>
      <c r="Y22" s="12">
        <v>776</v>
      </c>
      <c r="Z22" s="12">
        <v>678</v>
      </c>
      <c r="AA22" s="12">
        <v>355</v>
      </c>
      <c r="AB22" s="12">
        <v>497</v>
      </c>
      <c r="AC22" s="12">
        <v>657</v>
      </c>
      <c r="AD22" s="12">
        <v>635</v>
      </c>
      <c r="AE22" s="12">
        <v>664</v>
      </c>
      <c r="AF22" s="12">
        <v>713</v>
      </c>
      <c r="AG22" s="12">
        <v>513</v>
      </c>
      <c r="AH22" s="12">
        <v>465</v>
      </c>
      <c r="AI22" s="12">
        <v>180</v>
      </c>
      <c r="AJ22" s="12">
        <v>483</v>
      </c>
      <c r="AK22" s="12">
        <v>492</v>
      </c>
      <c r="AL22" s="12">
        <v>595</v>
      </c>
      <c r="AM22" s="12">
        <v>488</v>
      </c>
      <c r="AN22" s="12">
        <v>405</v>
      </c>
      <c r="AO22" s="12">
        <v>800</v>
      </c>
      <c r="AP22" s="12">
        <v>196</v>
      </c>
      <c r="AQ22" s="12">
        <v>714</v>
      </c>
    </row>
    <row r="23" spans="1:43" x14ac:dyDescent="0.35">
      <c r="A23" s="19"/>
      <c r="B23" s="13" t="s">
        <v>526</v>
      </c>
      <c r="C23" s="15">
        <v>0.55000000000000004</v>
      </c>
      <c r="D23" s="15">
        <v>0.64</v>
      </c>
      <c r="E23" s="15">
        <v>0.47</v>
      </c>
      <c r="F23" s="15">
        <v>0.70000000000000007</v>
      </c>
      <c r="G23" s="15">
        <v>0.68</v>
      </c>
      <c r="H23" s="15">
        <v>0.64</v>
      </c>
      <c r="I23" s="15">
        <v>0.61</v>
      </c>
      <c r="J23" s="15">
        <v>0.45</v>
      </c>
      <c r="K23" s="15">
        <v>0.68</v>
      </c>
      <c r="L23" s="15">
        <v>0.53</v>
      </c>
      <c r="M23" s="15">
        <v>0.24</v>
      </c>
      <c r="N23" s="15">
        <v>0.59</v>
      </c>
      <c r="O23" s="15">
        <v>0.42</v>
      </c>
      <c r="P23" s="15">
        <v>0.57000000000000006</v>
      </c>
      <c r="Q23" s="15">
        <v>0.4</v>
      </c>
      <c r="R23" s="15">
        <v>0.46</v>
      </c>
      <c r="S23" s="15">
        <v>0.65</v>
      </c>
      <c r="T23" s="15">
        <v>0.70000000000000007</v>
      </c>
      <c r="U23" s="15">
        <v>0.95000000000000007</v>
      </c>
      <c r="V23" s="15">
        <v>0.59</v>
      </c>
      <c r="W23" s="15">
        <v>0.67</v>
      </c>
      <c r="X23" s="15">
        <v>0.86</v>
      </c>
      <c r="Y23" s="15">
        <v>0.77</v>
      </c>
      <c r="Z23" s="15">
        <v>0.66</v>
      </c>
      <c r="AA23" s="15">
        <v>0.34</v>
      </c>
      <c r="AB23" s="15">
        <v>0.47</v>
      </c>
      <c r="AC23" s="15">
        <v>0.66</v>
      </c>
      <c r="AD23" s="15">
        <v>0.63</v>
      </c>
      <c r="AE23" s="15">
        <v>0.66</v>
      </c>
      <c r="AF23" s="15">
        <v>0.68</v>
      </c>
      <c r="AG23" s="15">
        <v>0.49</v>
      </c>
      <c r="AH23" s="15">
        <v>0.46</v>
      </c>
      <c r="AI23" s="15">
        <v>0.34</v>
      </c>
      <c r="AJ23" s="15">
        <v>0.46</v>
      </c>
      <c r="AK23" s="15">
        <v>0.49</v>
      </c>
      <c r="AL23" s="15">
        <v>0.59</v>
      </c>
      <c r="AM23" s="15">
        <v>0.47</v>
      </c>
      <c r="AN23" s="15">
        <v>0.41</v>
      </c>
      <c r="AO23" s="15">
        <v>0.8</v>
      </c>
      <c r="AP23" s="15">
        <v>0.38</v>
      </c>
      <c r="AQ23" s="15">
        <v>0.71</v>
      </c>
    </row>
    <row r="24" spans="1:43" x14ac:dyDescent="0.35">
      <c r="A24" s="19"/>
      <c r="B24" s="11" t="s">
        <v>527</v>
      </c>
      <c r="C24" s="12">
        <v>11234</v>
      </c>
      <c r="D24" s="12">
        <v>356</v>
      </c>
      <c r="E24" s="12">
        <v>439</v>
      </c>
      <c r="F24" s="12">
        <v>312</v>
      </c>
      <c r="G24" s="12">
        <v>299</v>
      </c>
      <c r="H24" s="12">
        <v>409</v>
      </c>
      <c r="I24" s="12">
        <v>565</v>
      </c>
      <c r="J24" s="12">
        <v>156</v>
      </c>
      <c r="K24" s="12">
        <v>269</v>
      </c>
      <c r="L24" s="12">
        <v>443</v>
      </c>
      <c r="M24" s="12">
        <v>757</v>
      </c>
      <c r="N24" s="12">
        <v>395</v>
      </c>
      <c r="O24" s="12">
        <v>535</v>
      </c>
      <c r="P24" s="12">
        <v>421</v>
      </c>
      <c r="Q24" s="12">
        <v>599</v>
      </c>
      <c r="R24" s="12">
        <v>246</v>
      </c>
      <c r="S24" s="12">
        <v>300</v>
      </c>
      <c r="T24" s="12">
        <v>267</v>
      </c>
      <c r="U24" s="12">
        <v>24</v>
      </c>
      <c r="V24" s="12">
        <v>406</v>
      </c>
      <c r="W24" s="12">
        <v>161</v>
      </c>
      <c r="X24" s="12">
        <v>132</v>
      </c>
      <c r="Y24" s="12">
        <v>207</v>
      </c>
      <c r="Z24" s="12">
        <v>332</v>
      </c>
      <c r="AA24" s="12">
        <v>645</v>
      </c>
      <c r="AB24" s="12">
        <v>521</v>
      </c>
      <c r="AC24" s="12">
        <v>338</v>
      </c>
      <c r="AD24" s="12">
        <v>352</v>
      </c>
      <c r="AE24" s="12">
        <v>331</v>
      </c>
      <c r="AF24" s="12">
        <v>300</v>
      </c>
      <c r="AG24" s="12">
        <v>519</v>
      </c>
      <c r="AH24" s="12">
        <v>543</v>
      </c>
      <c r="AI24" s="12">
        <v>327</v>
      </c>
      <c r="AJ24" s="12">
        <v>545</v>
      </c>
      <c r="AK24" s="12">
        <v>511</v>
      </c>
      <c r="AL24" s="12">
        <v>336</v>
      </c>
      <c r="AM24" s="12">
        <v>516</v>
      </c>
      <c r="AN24" s="12">
        <v>591</v>
      </c>
      <c r="AO24" s="12">
        <v>191</v>
      </c>
      <c r="AP24" s="12">
        <v>322</v>
      </c>
      <c r="AQ24" s="12">
        <v>197</v>
      </c>
    </row>
    <row r="25" spans="1:43" x14ac:dyDescent="0.35">
      <c r="A25" s="19"/>
      <c r="B25" s="13" t="s">
        <v>528</v>
      </c>
      <c r="C25" s="15">
        <v>0.43</v>
      </c>
      <c r="D25" s="15">
        <v>0.35</v>
      </c>
      <c r="E25" s="15">
        <v>0.43</v>
      </c>
      <c r="F25" s="15">
        <v>0.28000000000000003</v>
      </c>
      <c r="G25" s="15">
        <v>0.3</v>
      </c>
      <c r="H25" s="15">
        <v>0.34</v>
      </c>
      <c r="I25" s="15">
        <v>0.37</v>
      </c>
      <c r="J25" s="15">
        <v>0.53</v>
      </c>
      <c r="K25" s="15">
        <v>0.27</v>
      </c>
      <c r="L25" s="15">
        <v>0.44</v>
      </c>
      <c r="M25" s="15">
        <v>0.75</v>
      </c>
      <c r="N25" s="15">
        <v>0.39</v>
      </c>
      <c r="O25" s="15">
        <v>0.53</v>
      </c>
      <c r="P25" s="15">
        <v>0.42</v>
      </c>
      <c r="Q25" s="15">
        <v>0.57999999999999996</v>
      </c>
      <c r="R25" s="15">
        <v>0.49</v>
      </c>
      <c r="S25" s="15">
        <v>0.3</v>
      </c>
      <c r="T25" s="15">
        <v>0.27</v>
      </c>
      <c r="U25" s="15">
        <v>0.04</v>
      </c>
      <c r="V25" s="15">
        <v>0.4</v>
      </c>
      <c r="W25" s="15">
        <v>0.32</v>
      </c>
      <c r="X25" s="15">
        <v>0.13</v>
      </c>
      <c r="Y25" s="15">
        <v>0.21</v>
      </c>
      <c r="Z25" s="15">
        <v>0.32</v>
      </c>
      <c r="AA25" s="15">
        <v>0.63</v>
      </c>
      <c r="AB25" s="15">
        <v>0.5</v>
      </c>
      <c r="AC25" s="15">
        <v>0.33</v>
      </c>
      <c r="AD25" s="15">
        <v>0.35</v>
      </c>
      <c r="AE25" s="15">
        <v>0.32</v>
      </c>
      <c r="AF25" s="15">
        <v>0.28999999999999998</v>
      </c>
      <c r="AG25" s="15">
        <v>0.51</v>
      </c>
      <c r="AH25" s="15">
        <v>0.53</v>
      </c>
      <c r="AI25" s="15">
        <v>0.63</v>
      </c>
      <c r="AJ25" s="15">
        <v>0.53</v>
      </c>
      <c r="AK25" s="15">
        <v>0.51</v>
      </c>
      <c r="AL25" s="15">
        <v>0.33</v>
      </c>
      <c r="AM25" s="15">
        <v>0.5</v>
      </c>
      <c r="AN25" s="15">
        <v>0.57999999999999996</v>
      </c>
      <c r="AO25" s="15">
        <v>0.19</v>
      </c>
      <c r="AP25" s="15">
        <v>0.61</v>
      </c>
      <c r="AQ25" s="15">
        <v>0.2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553</v>
      </c>
      <c r="C3" s="18"/>
      <c r="D3" s="18"/>
      <c r="E3" s="18"/>
      <c r="F3" s="18"/>
      <c r="H3" s="18" t="s">
        <v>554</v>
      </c>
      <c r="I3" s="18"/>
      <c r="J3" s="18"/>
      <c r="K3" s="18"/>
      <c r="L3" s="18"/>
    </row>
    <row r="4" spans="1:43" ht="27" customHeight="1" x14ac:dyDescent="0.35">
      <c r="B4" s="18" t="s">
        <v>555</v>
      </c>
      <c r="C4" s="18"/>
      <c r="D4" s="18"/>
      <c r="E4" s="18"/>
      <c r="F4" s="18"/>
      <c r="H4" s="18" t="s">
        <v>556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557</v>
      </c>
      <c r="C12" s="12">
        <v>6611</v>
      </c>
      <c r="D12" s="12">
        <v>278</v>
      </c>
      <c r="E12" s="12">
        <v>274</v>
      </c>
      <c r="F12" s="12">
        <v>298</v>
      </c>
      <c r="G12" s="12">
        <v>275</v>
      </c>
      <c r="H12" s="12">
        <v>197</v>
      </c>
      <c r="I12" s="12">
        <v>255</v>
      </c>
      <c r="J12" s="12">
        <v>58</v>
      </c>
      <c r="K12" s="12">
        <v>282</v>
      </c>
      <c r="L12" s="12">
        <v>255</v>
      </c>
      <c r="M12" s="12">
        <v>190</v>
      </c>
      <c r="N12" s="12">
        <v>304</v>
      </c>
      <c r="O12" s="12">
        <v>251</v>
      </c>
      <c r="P12" s="12">
        <v>319</v>
      </c>
      <c r="Q12" s="12">
        <v>315</v>
      </c>
      <c r="R12" s="12">
        <v>127</v>
      </c>
      <c r="S12" s="12">
        <v>310</v>
      </c>
      <c r="T12" s="12">
        <v>315</v>
      </c>
      <c r="U12" s="12">
        <v>153</v>
      </c>
      <c r="V12" s="12">
        <v>177</v>
      </c>
      <c r="W12" s="12">
        <v>158</v>
      </c>
      <c r="X12" s="12">
        <v>309</v>
      </c>
      <c r="Y12" s="12">
        <v>199</v>
      </c>
      <c r="Z12" s="12">
        <v>201</v>
      </c>
      <c r="AA12" s="12">
        <v>233</v>
      </c>
      <c r="AB12" s="12">
        <v>308</v>
      </c>
      <c r="AC12" s="12">
        <v>265</v>
      </c>
      <c r="AD12" s="12">
        <v>227</v>
      </c>
      <c r="AE12" s="12">
        <v>291</v>
      </c>
      <c r="AF12" s="12">
        <v>416</v>
      </c>
      <c r="AG12" s="12">
        <v>343</v>
      </c>
      <c r="AH12" s="12">
        <v>375</v>
      </c>
      <c r="AI12" s="12">
        <v>118</v>
      </c>
      <c r="AJ12" s="12">
        <v>381</v>
      </c>
      <c r="AK12" s="12">
        <v>443</v>
      </c>
      <c r="AL12" s="12">
        <v>506</v>
      </c>
      <c r="AM12" s="12">
        <v>275</v>
      </c>
      <c r="AN12" s="12">
        <v>293</v>
      </c>
      <c r="AO12" s="12">
        <v>594</v>
      </c>
      <c r="AP12" s="12">
        <v>345</v>
      </c>
      <c r="AQ12" s="12">
        <v>563</v>
      </c>
    </row>
    <row r="13" spans="1:43" x14ac:dyDescent="0.35">
      <c r="A13" s="19"/>
      <c r="B13" s="13" t="s">
        <v>558</v>
      </c>
      <c r="C13" s="15">
        <v>0.25</v>
      </c>
      <c r="D13" s="15">
        <v>0.27</v>
      </c>
      <c r="E13" s="15">
        <v>0.27</v>
      </c>
      <c r="F13" s="15">
        <v>0.27</v>
      </c>
      <c r="G13" s="15">
        <v>0.27</v>
      </c>
      <c r="H13" s="15">
        <v>0.16</v>
      </c>
      <c r="I13" s="15">
        <v>0.17</v>
      </c>
      <c r="J13" s="15">
        <v>0.2</v>
      </c>
      <c r="K13" s="15">
        <v>0.28000000000000003</v>
      </c>
      <c r="L13" s="15">
        <v>0.25</v>
      </c>
      <c r="M13" s="15">
        <v>0.19</v>
      </c>
      <c r="N13" s="15">
        <v>0.3</v>
      </c>
      <c r="O13" s="15">
        <v>0.25</v>
      </c>
      <c r="P13" s="15">
        <v>0.32</v>
      </c>
      <c r="Q13" s="15">
        <v>0.31</v>
      </c>
      <c r="R13" s="15">
        <v>0.25</v>
      </c>
      <c r="S13" s="15">
        <v>0.31</v>
      </c>
      <c r="T13" s="15">
        <v>0.31</v>
      </c>
      <c r="U13" s="15">
        <v>0.3</v>
      </c>
      <c r="V13" s="15">
        <v>0.17</v>
      </c>
      <c r="W13" s="15">
        <v>0.31</v>
      </c>
      <c r="X13" s="15">
        <v>0.31</v>
      </c>
      <c r="Y13" s="15">
        <v>0.2</v>
      </c>
      <c r="Z13" s="15">
        <v>0.19</v>
      </c>
      <c r="AA13" s="15">
        <v>0.23</v>
      </c>
      <c r="AB13" s="15">
        <v>0.28999999999999998</v>
      </c>
      <c r="AC13" s="15">
        <v>0.26</v>
      </c>
      <c r="AD13" s="15">
        <v>0.23</v>
      </c>
      <c r="AE13" s="15">
        <v>0.28999999999999998</v>
      </c>
      <c r="AF13" s="15">
        <v>0.4</v>
      </c>
      <c r="AG13" s="15">
        <v>0.33</v>
      </c>
      <c r="AH13" s="15">
        <v>0.37</v>
      </c>
      <c r="AI13" s="15">
        <v>0.23</v>
      </c>
      <c r="AJ13" s="15">
        <v>0.37</v>
      </c>
      <c r="AK13" s="15">
        <v>0.44</v>
      </c>
      <c r="AL13" s="15">
        <v>0.5</v>
      </c>
      <c r="AM13" s="15">
        <v>0.26</v>
      </c>
      <c r="AN13" s="15">
        <v>0.28999999999999998</v>
      </c>
      <c r="AO13" s="15">
        <v>0.59</v>
      </c>
      <c r="AP13" s="15">
        <v>0.66</v>
      </c>
      <c r="AQ13" s="15">
        <v>0.56000000000000005</v>
      </c>
    </row>
    <row r="14" spans="1:43" x14ac:dyDescent="0.35">
      <c r="A14" s="19"/>
      <c r="B14" s="11" t="s">
        <v>559</v>
      </c>
      <c r="C14" s="12">
        <v>4307</v>
      </c>
      <c r="D14" s="12">
        <v>218</v>
      </c>
      <c r="E14" s="12">
        <v>262</v>
      </c>
      <c r="F14" s="12">
        <v>197</v>
      </c>
      <c r="G14" s="12">
        <v>56</v>
      </c>
      <c r="H14" s="12">
        <v>204</v>
      </c>
      <c r="I14" s="12">
        <v>275</v>
      </c>
      <c r="J14" s="12">
        <v>71</v>
      </c>
      <c r="K14" s="12">
        <v>192</v>
      </c>
      <c r="L14" s="12">
        <v>115</v>
      </c>
      <c r="M14" s="12">
        <v>198</v>
      </c>
      <c r="N14" s="12">
        <v>92</v>
      </c>
      <c r="O14" s="12">
        <v>175</v>
      </c>
      <c r="P14" s="12">
        <v>221</v>
      </c>
      <c r="Q14" s="12">
        <v>129</v>
      </c>
      <c r="R14" s="12">
        <v>65</v>
      </c>
      <c r="S14" s="12">
        <v>101</v>
      </c>
      <c r="T14" s="12">
        <v>103</v>
      </c>
      <c r="U14" s="12">
        <v>64</v>
      </c>
      <c r="V14" s="12">
        <v>200</v>
      </c>
      <c r="W14" s="12">
        <v>62</v>
      </c>
      <c r="X14" s="12">
        <v>87</v>
      </c>
      <c r="Y14" s="12">
        <v>244</v>
      </c>
      <c r="Z14" s="12">
        <v>204</v>
      </c>
      <c r="AA14" s="12">
        <v>184</v>
      </c>
      <c r="AB14" s="12">
        <v>314</v>
      </c>
      <c r="AC14" s="12">
        <v>137</v>
      </c>
      <c r="AD14" s="12">
        <v>338</v>
      </c>
      <c r="AE14" s="12">
        <v>38</v>
      </c>
      <c r="AF14" s="12">
        <v>48</v>
      </c>
      <c r="AG14" s="12">
        <v>330</v>
      </c>
      <c r="AH14" s="12">
        <v>155</v>
      </c>
      <c r="AI14" s="12">
        <v>78</v>
      </c>
      <c r="AJ14" s="12">
        <v>137</v>
      </c>
      <c r="AK14" s="12">
        <v>73</v>
      </c>
      <c r="AL14" s="12">
        <v>99</v>
      </c>
      <c r="AM14" s="12">
        <v>154</v>
      </c>
      <c r="AN14" s="12">
        <v>138</v>
      </c>
      <c r="AO14" s="12">
        <v>137</v>
      </c>
      <c r="AP14" s="12">
        <v>68</v>
      </c>
      <c r="AQ14" s="12">
        <v>72</v>
      </c>
    </row>
    <row r="15" spans="1:43" x14ac:dyDescent="0.35">
      <c r="A15" s="19"/>
      <c r="B15" s="13" t="s">
        <v>560</v>
      </c>
      <c r="C15" s="15">
        <v>0.16</v>
      </c>
      <c r="D15" s="15">
        <v>0.22</v>
      </c>
      <c r="E15" s="15">
        <v>0.25</v>
      </c>
      <c r="F15" s="15">
        <v>0.18</v>
      </c>
      <c r="G15" s="15">
        <v>0.06</v>
      </c>
      <c r="H15" s="15">
        <v>0.17</v>
      </c>
      <c r="I15" s="15">
        <v>0.18</v>
      </c>
      <c r="J15" s="15">
        <v>0.24</v>
      </c>
      <c r="K15" s="15">
        <v>0.19</v>
      </c>
      <c r="L15" s="15">
        <v>0.12</v>
      </c>
      <c r="M15" s="15">
        <v>0.2</v>
      </c>
      <c r="N15" s="15">
        <v>0.09</v>
      </c>
      <c r="O15" s="15">
        <v>0.17</v>
      </c>
      <c r="P15" s="15">
        <v>0.22</v>
      </c>
      <c r="Q15" s="15">
        <v>0.12</v>
      </c>
      <c r="R15" s="15">
        <v>0.13</v>
      </c>
      <c r="S15" s="15">
        <v>0.1</v>
      </c>
      <c r="T15" s="15">
        <v>0.1</v>
      </c>
      <c r="U15" s="15">
        <v>0.13</v>
      </c>
      <c r="V15" s="15">
        <v>0.2</v>
      </c>
      <c r="W15" s="15">
        <v>0.12</v>
      </c>
      <c r="X15" s="15">
        <v>0.08</v>
      </c>
      <c r="Y15" s="15">
        <v>0.24</v>
      </c>
      <c r="Z15" s="15">
        <v>0.2</v>
      </c>
      <c r="AA15" s="15">
        <v>0.18</v>
      </c>
      <c r="AB15" s="15">
        <v>0.3</v>
      </c>
      <c r="AC15" s="15">
        <v>0.14000000000000001</v>
      </c>
      <c r="AD15" s="15">
        <v>0.33</v>
      </c>
      <c r="AE15" s="15">
        <v>0.04</v>
      </c>
      <c r="AF15" s="15">
        <v>0.05</v>
      </c>
      <c r="AG15" s="15">
        <v>0.32</v>
      </c>
      <c r="AH15" s="15">
        <v>0.15</v>
      </c>
      <c r="AI15" s="15">
        <v>0.15</v>
      </c>
      <c r="AJ15" s="15">
        <v>0.13</v>
      </c>
      <c r="AK15" s="15">
        <v>7.0000000000000007E-2</v>
      </c>
      <c r="AL15" s="15">
        <v>0.1</v>
      </c>
      <c r="AM15" s="15">
        <v>0.15</v>
      </c>
      <c r="AN15" s="15">
        <v>0.14000000000000001</v>
      </c>
      <c r="AO15" s="15">
        <v>0.14000000000000001</v>
      </c>
      <c r="AP15" s="15">
        <v>0.13</v>
      </c>
      <c r="AQ15" s="15">
        <v>7.0000000000000007E-2</v>
      </c>
    </row>
    <row r="16" spans="1:43" x14ac:dyDescent="0.35">
      <c r="A16" s="19"/>
      <c r="B16" s="11" t="s">
        <v>561</v>
      </c>
      <c r="C16" s="12">
        <v>15159</v>
      </c>
      <c r="D16" s="12">
        <v>510</v>
      </c>
      <c r="E16" s="12">
        <v>438</v>
      </c>
      <c r="F16" s="12">
        <v>598</v>
      </c>
      <c r="G16" s="12">
        <v>663</v>
      </c>
      <c r="H16" s="12">
        <v>810</v>
      </c>
      <c r="I16" s="12">
        <v>972</v>
      </c>
      <c r="J16" s="12">
        <v>162</v>
      </c>
      <c r="K16" s="12">
        <v>506</v>
      </c>
      <c r="L16" s="12">
        <v>619</v>
      </c>
      <c r="M16" s="12">
        <v>617</v>
      </c>
      <c r="N16" s="12">
        <v>600</v>
      </c>
      <c r="O16" s="12">
        <v>538</v>
      </c>
      <c r="P16" s="12">
        <v>464</v>
      </c>
      <c r="Q16" s="12">
        <v>576</v>
      </c>
      <c r="R16" s="12">
        <v>297</v>
      </c>
      <c r="S16" s="12">
        <v>569</v>
      </c>
      <c r="T16" s="12">
        <v>573</v>
      </c>
      <c r="U16" s="12">
        <v>282</v>
      </c>
      <c r="V16" s="12">
        <v>626</v>
      </c>
      <c r="W16" s="12">
        <v>274</v>
      </c>
      <c r="X16" s="12">
        <v>605</v>
      </c>
      <c r="Y16" s="12">
        <v>536</v>
      </c>
      <c r="Z16" s="12">
        <v>622</v>
      </c>
      <c r="AA16" s="12">
        <v>594</v>
      </c>
      <c r="AB16" s="12">
        <v>408</v>
      </c>
      <c r="AC16" s="12">
        <v>591</v>
      </c>
      <c r="AD16" s="12">
        <v>430</v>
      </c>
      <c r="AE16" s="12">
        <v>673</v>
      </c>
      <c r="AF16" s="12">
        <v>577</v>
      </c>
      <c r="AG16" s="12">
        <v>359</v>
      </c>
      <c r="AH16" s="12">
        <v>472</v>
      </c>
      <c r="AI16" s="12">
        <v>325</v>
      </c>
      <c r="AJ16" s="12">
        <v>516</v>
      </c>
      <c r="AK16" s="12">
        <v>486</v>
      </c>
      <c r="AL16" s="12">
        <v>342</v>
      </c>
      <c r="AM16" s="12">
        <v>592</v>
      </c>
      <c r="AN16" s="12">
        <v>569</v>
      </c>
      <c r="AO16" s="12">
        <v>251</v>
      </c>
      <c r="AP16" s="12">
        <v>109</v>
      </c>
      <c r="AQ16" s="12">
        <v>314</v>
      </c>
    </row>
    <row r="17" spans="1:43" x14ac:dyDescent="0.35">
      <c r="A17" s="19"/>
      <c r="B17" s="13" t="s">
        <v>562</v>
      </c>
      <c r="C17" s="15">
        <v>0.57000000000000006</v>
      </c>
      <c r="D17" s="15">
        <v>0.5</v>
      </c>
      <c r="E17" s="15">
        <v>0.43</v>
      </c>
      <c r="F17" s="15">
        <v>0.54</v>
      </c>
      <c r="G17" s="15">
        <v>0.66</v>
      </c>
      <c r="H17" s="15">
        <v>0.66</v>
      </c>
      <c r="I17" s="15">
        <v>0.64</v>
      </c>
      <c r="J17" s="15">
        <v>0.55000000000000004</v>
      </c>
      <c r="K17" s="15">
        <v>0.51</v>
      </c>
      <c r="L17" s="15">
        <v>0.62</v>
      </c>
      <c r="M17" s="15">
        <v>0.61</v>
      </c>
      <c r="N17" s="15">
        <v>0.6</v>
      </c>
      <c r="O17" s="15">
        <v>0.54</v>
      </c>
      <c r="P17" s="15">
        <v>0.46</v>
      </c>
      <c r="Q17" s="15">
        <v>0.56000000000000005</v>
      </c>
      <c r="R17" s="15">
        <v>0.59</v>
      </c>
      <c r="S17" s="15">
        <v>0.57000000000000006</v>
      </c>
      <c r="T17" s="15">
        <v>0.57000000000000006</v>
      </c>
      <c r="U17" s="15">
        <v>0.56000000000000005</v>
      </c>
      <c r="V17" s="15">
        <v>0.62</v>
      </c>
      <c r="W17" s="15">
        <v>0.54</v>
      </c>
      <c r="X17" s="15">
        <v>0.6</v>
      </c>
      <c r="Y17" s="15">
        <v>0.54</v>
      </c>
      <c r="Z17" s="15">
        <v>0.6</v>
      </c>
      <c r="AA17" s="15">
        <v>0.57000000000000006</v>
      </c>
      <c r="AB17" s="15">
        <v>0.39</v>
      </c>
      <c r="AC17" s="15">
        <v>0.59</v>
      </c>
      <c r="AD17" s="15">
        <v>0.43</v>
      </c>
      <c r="AE17" s="15">
        <v>0.66</v>
      </c>
      <c r="AF17" s="15">
        <v>0.55000000000000004</v>
      </c>
      <c r="AG17" s="15">
        <v>0.35</v>
      </c>
      <c r="AH17" s="15">
        <v>0.47</v>
      </c>
      <c r="AI17" s="15">
        <v>0.62</v>
      </c>
      <c r="AJ17" s="15">
        <v>0.5</v>
      </c>
      <c r="AK17" s="15">
        <v>0.48</v>
      </c>
      <c r="AL17" s="15">
        <v>0.34</v>
      </c>
      <c r="AM17" s="15">
        <v>0.57000000000000006</v>
      </c>
      <c r="AN17" s="15">
        <v>0.57000000000000006</v>
      </c>
      <c r="AO17" s="15">
        <v>0.25</v>
      </c>
      <c r="AP17" s="15">
        <v>0.21</v>
      </c>
      <c r="AQ17" s="15">
        <v>0.32</v>
      </c>
    </row>
    <row r="18" spans="1:43" x14ac:dyDescent="0.35">
      <c r="A18" s="19"/>
      <c r="B18" s="11" t="s">
        <v>485</v>
      </c>
      <c r="C18" s="12">
        <v>368</v>
      </c>
      <c r="D18" s="12">
        <v>7</v>
      </c>
      <c r="E18" s="12">
        <v>56</v>
      </c>
      <c r="F18" s="12">
        <v>9</v>
      </c>
      <c r="G18" s="12">
        <v>12</v>
      </c>
      <c r="H18" s="12">
        <v>10</v>
      </c>
      <c r="I18" s="12">
        <v>14</v>
      </c>
      <c r="J18" s="12">
        <v>3</v>
      </c>
      <c r="K18" s="12">
        <v>22</v>
      </c>
      <c r="L18" s="12">
        <v>12</v>
      </c>
      <c r="M18" s="12">
        <v>5</v>
      </c>
      <c r="N18" s="12">
        <v>7</v>
      </c>
      <c r="O18" s="12">
        <v>37</v>
      </c>
      <c r="P18" s="12">
        <v>1</v>
      </c>
      <c r="Q18" s="12">
        <v>7</v>
      </c>
      <c r="R18" s="12">
        <v>15</v>
      </c>
      <c r="S18" s="12">
        <v>22</v>
      </c>
      <c r="T18" s="12">
        <v>15</v>
      </c>
      <c r="U18" s="12">
        <v>6</v>
      </c>
      <c r="V18" s="12">
        <v>11</v>
      </c>
      <c r="W18" s="12">
        <v>14</v>
      </c>
      <c r="X18" s="12">
        <v>8</v>
      </c>
      <c r="Y18" s="12">
        <v>25</v>
      </c>
      <c r="Z18" s="12">
        <v>5</v>
      </c>
      <c r="AA18" s="12">
        <v>22</v>
      </c>
      <c r="AB18" s="12">
        <v>22</v>
      </c>
      <c r="AC18" s="12">
        <v>10</v>
      </c>
      <c r="AD18" s="12">
        <v>10</v>
      </c>
      <c r="AE18" s="12">
        <v>11</v>
      </c>
      <c r="AF18" s="12">
        <v>2</v>
      </c>
      <c r="AG18" s="12">
        <v>3</v>
      </c>
      <c r="AH18" s="12">
        <v>11</v>
      </c>
      <c r="AI18" s="12">
        <v>2</v>
      </c>
      <c r="AJ18" s="12">
        <v>4</v>
      </c>
      <c r="AK18" s="12">
        <v>5</v>
      </c>
      <c r="AL18" s="12">
        <v>66</v>
      </c>
      <c r="AM18" s="12">
        <v>19</v>
      </c>
      <c r="AN18" s="12">
        <v>3</v>
      </c>
      <c r="AO18" s="12">
        <v>23</v>
      </c>
      <c r="AP18" s="12">
        <v>2</v>
      </c>
      <c r="AQ18" s="12">
        <v>53</v>
      </c>
    </row>
    <row r="19" spans="1:43" x14ac:dyDescent="0.35">
      <c r="A19" s="19"/>
      <c r="B19" s="13" t="s">
        <v>486</v>
      </c>
      <c r="C19" s="15">
        <v>0.02</v>
      </c>
      <c r="D19" s="15">
        <v>0.01</v>
      </c>
      <c r="E19" s="15">
        <v>0.05</v>
      </c>
      <c r="F19" s="15">
        <v>0.01</v>
      </c>
      <c r="G19" s="15">
        <v>0.01</v>
      </c>
      <c r="H19" s="15">
        <v>0.01</v>
      </c>
      <c r="I19" s="15">
        <v>0.01</v>
      </c>
      <c r="J19" s="15">
        <v>0.01</v>
      </c>
      <c r="K19" s="15">
        <v>0.02</v>
      </c>
      <c r="L19" s="15">
        <v>0.01</v>
      </c>
      <c r="M19" s="14" t="s">
        <v>475</v>
      </c>
      <c r="N19" s="15">
        <v>0.01</v>
      </c>
      <c r="O19" s="15">
        <v>0.04</v>
      </c>
      <c r="P19" s="14" t="s">
        <v>475</v>
      </c>
      <c r="Q19" s="15">
        <v>0.01</v>
      </c>
      <c r="R19" s="15">
        <v>0.03</v>
      </c>
      <c r="S19" s="15">
        <v>0.02</v>
      </c>
      <c r="T19" s="15">
        <v>0.02</v>
      </c>
      <c r="U19" s="15">
        <v>0.01</v>
      </c>
      <c r="V19" s="15">
        <v>0.01</v>
      </c>
      <c r="W19" s="15">
        <v>0.03</v>
      </c>
      <c r="X19" s="15">
        <v>0.01</v>
      </c>
      <c r="Y19" s="15">
        <v>0.02</v>
      </c>
      <c r="Z19" s="15">
        <v>0.01</v>
      </c>
      <c r="AA19" s="15">
        <v>0.02</v>
      </c>
      <c r="AB19" s="15">
        <v>0.02</v>
      </c>
      <c r="AC19" s="15">
        <v>0.01</v>
      </c>
      <c r="AD19" s="15">
        <v>0.01</v>
      </c>
      <c r="AE19" s="15">
        <v>0.01</v>
      </c>
      <c r="AF19" s="14" t="s">
        <v>475</v>
      </c>
      <c r="AG19" s="14" t="s">
        <v>475</v>
      </c>
      <c r="AH19" s="15">
        <v>0.01</v>
      </c>
      <c r="AI19" s="14" t="s">
        <v>475</v>
      </c>
      <c r="AJ19" s="14" t="s">
        <v>475</v>
      </c>
      <c r="AK19" s="15">
        <v>0.01</v>
      </c>
      <c r="AL19" s="15">
        <v>0.06</v>
      </c>
      <c r="AM19" s="15">
        <v>0.02</v>
      </c>
      <c r="AN19" s="14" t="s">
        <v>475</v>
      </c>
      <c r="AO19" s="15">
        <v>0.02</v>
      </c>
      <c r="AP19" s="14" t="s">
        <v>475</v>
      </c>
      <c r="AQ19" s="15">
        <v>0.05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563</v>
      </c>
      <c r="C3" s="18"/>
      <c r="D3" s="18"/>
      <c r="E3" s="18"/>
      <c r="F3" s="18"/>
      <c r="H3" s="18" t="s">
        <v>564</v>
      </c>
      <c r="I3" s="18"/>
      <c r="J3" s="18"/>
      <c r="K3" s="18"/>
      <c r="L3" s="18"/>
    </row>
    <row r="4" spans="1:43" ht="27" customHeight="1" x14ac:dyDescent="0.35">
      <c r="B4" s="18" t="s">
        <v>515</v>
      </c>
      <c r="C4" s="18"/>
      <c r="D4" s="18"/>
      <c r="E4" s="18"/>
      <c r="F4" s="18"/>
      <c r="H4" s="18" t="s">
        <v>516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557</v>
      </c>
      <c r="C12" s="12">
        <v>5178</v>
      </c>
      <c r="D12" s="12">
        <v>125</v>
      </c>
      <c r="E12" s="12">
        <v>232</v>
      </c>
      <c r="F12" s="12">
        <v>275</v>
      </c>
      <c r="G12" s="12">
        <v>124</v>
      </c>
      <c r="H12" s="12">
        <v>210</v>
      </c>
      <c r="I12" s="12">
        <v>238</v>
      </c>
      <c r="J12" s="12">
        <v>28</v>
      </c>
      <c r="K12" s="12">
        <v>213</v>
      </c>
      <c r="L12" s="12">
        <v>151</v>
      </c>
      <c r="M12" s="12">
        <v>167</v>
      </c>
      <c r="N12" s="12">
        <v>172</v>
      </c>
      <c r="O12" s="12">
        <v>158</v>
      </c>
      <c r="P12" s="12">
        <v>295</v>
      </c>
      <c r="Q12" s="12">
        <v>328</v>
      </c>
      <c r="R12" s="12">
        <v>72</v>
      </c>
      <c r="S12" s="12">
        <v>195</v>
      </c>
      <c r="T12" s="12">
        <v>236</v>
      </c>
      <c r="U12" s="12">
        <v>96</v>
      </c>
      <c r="V12" s="12">
        <v>181</v>
      </c>
      <c r="W12" s="12">
        <v>88</v>
      </c>
      <c r="X12" s="12">
        <v>173</v>
      </c>
      <c r="Y12" s="12">
        <v>180</v>
      </c>
      <c r="Z12" s="12">
        <v>179</v>
      </c>
      <c r="AA12" s="12">
        <v>258</v>
      </c>
      <c r="AB12" s="12">
        <v>248</v>
      </c>
      <c r="AC12" s="12">
        <v>166</v>
      </c>
      <c r="AD12" s="12">
        <v>104</v>
      </c>
      <c r="AE12" s="12">
        <v>240</v>
      </c>
      <c r="AF12" s="12">
        <v>271</v>
      </c>
      <c r="AG12" s="12">
        <v>318</v>
      </c>
      <c r="AH12" s="12">
        <v>325</v>
      </c>
      <c r="AI12" s="12">
        <v>110</v>
      </c>
      <c r="AJ12" s="12">
        <v>393</v>
      </c>
      <c r="AK12" s="12">
        <v>366</v>
      </c>
      <c r="AL12" s="12">
        <v>478</v>
      </c>
      <c r="AM12" s="12">
        <v>136</v>
      </c>
      <c r="AN12" s="12">
        <v>263</v>
      </c>
      <c r="AO12" s="12">
        <v>564</v>
      </c>
      <c r="AP12" s="12">
        <v>332</v>
      </c>
      <c r="AQ12" s="12">
        <v>503</v>
      </c>
    </row>
    <row r="13" spans="1:43" x14ac:dyDescent="0.35">
      <c r="A13" s="19"/>
      <c r="B13" s="13" t="s">
        <v>558</v>
      </c>
      <c r="C13" s="15">
        <v>0.2</v>
      </c>
      <c r="D13" s="15">
        <v>0.12</v>
      </c>
      <c r="E13" s="15">
        <v>0.23</v>
      </c>
      <c r="F13" s="15">
        <v>0.25</v>
      </c>
      <c r="G13" s="15">
        <v>0.13</v>
      </c>
      <c r="H13" s="15">
        <v>0.17</v>
      </c>
      <c r="I13" s="15">
        <v>0.16</v>
      </c>
      <c r="J13" s="15">
        <v>0.1</v>
      </c>
      <c r="K13" s="15">
        <v>0.21</v>
      </c>
      <c r="L13" s="15">
        <v>0.15</v>
      </c>
      <c r="M13" s="15">
        <v>0.17</v>
      </c>
      <c r="N13" s="15">
        <v>0.17</v>
      </c>
      <c r="O13" s="15">
        <v>0.16</v>
      </c>
      <c r="P13" s="15">
        <v>0.28999999999999998</v>
      </c>
      <c r="Q13" s="15">
        <v>0.32</v>
      </c>
      <c r="R13" s="15">
        <v>0.14000000000000001</v>
      </c>
      <c r="S13" s="15">
        <v>0.2</v>
      </c>
      <c r="T13" s="15">
        <v>0.24</v>
      </c>
      <c r="U13" s="15">
        <v>0.19</v>
      </c>
      <c r="V13" s="15">
        <v>0.18</v>
      </c>
      <c r="W13" s="15">
        <v>0.18</v>
      </c>
      <c r="X13" s="15">
        <v>0.17</v>
      </c>
      <c r="Y13" s="15">
        <v>0.18</v>
      </c>
      <c r="Z13" s="15">
        <v>0.17</v>
      </c>
      <c r="AA13" s="15">
        <v>0.25</v>
      </c>
      <c r="AB13" s="15">
        <v>0.24</v>
      </c>
      <c r="AC13" s="15">
        <v>0.17</v>
      </c>
      <c r="AD13" s="15">
        <v>0.1</v>
      </c>
      <c r="AE13" s="15">
        <v>0.23</v>
      </c>
      <c r="AF13" s="15">
        <v>0.26</v>
      </c>
      <c r="AG13" s="15">
        <v>0.31</v>
      </c>
      <c r="AH13" s="15">
        <v>0.32</v>
      </c>
      <c r="AI13" s="15">
        <v>0.21</v>
      </c>
      <c r="AJ13" s="15">
        <v>0.38</v>
      </c>
      <c r="AK13" s="15">
        <v>0.36</v>
      </c>
      <c r="AL13" s="15">
        <v>0.47</v>
      </c>
      <c r="AM13" s="15">
        <v>0.13</v>
      </c>
      <c r="AN13" s="15">
        <v>0.26</v>
      </c>
      <c r="AO13" s="15">
        <v>0.56000000000000005</v>
      </c>
      <c r="AP13" s="15">
        <v>0.63</v>
      </c>
      <c r="AQ13" s="15">
        <v>0.5</v>
      </c>
    </row>
    <row r="14" spans="1:43" x14ac:dyDescent="0.35">
      <c r="A14" s="19"/>
      <c r="B14" s="11" t="s">
        <v>559</v>
      </c>
      <c r="C14" s="12">
        <v>8586</v>
      </c>
      <c r="D14" s="12">
        <v>451</v>
      </c>
      <c r="E14" s="12">
        <v>405</v>
      </c>
      <c r="F14" s="12">
        <v>312</v>
      </c>
      <c r="G14" s="12">
        <v>193</v>
      </c>
      <c r="H14" s="12">
        <v>459</v>
      </c>
      <c r="I14" s="12">
        <v>604</v>
      </c>
      <c r="J14" s="12">
        <v>145</v>
      </c>
      <c r="K14" s="12">
        <v>325</v>
      </c>
      <c r="L14" s="12">
        <v>332</v>
      </c>
      <c r="M14" s="12">
        <v>363</v>
      </c>
      <c r="N14" s="12">
        <v>281</v>
      </c>
      <c r="O14" s="12">
        <v>407</v>
      </c>
      <c r="P14" s="12">
        <v>261</v>
      </c>
      <c r="Q14" s="12">
        <v>214</v>
      </c>
      <c r="R14" s="12">
        <v>147</v>
      </c>
      <c r="S14" s="12">
        <v>234</v>
      </c>
      <c r="T14" s="12">
        <v>195</v>
      </c>
      <c r="U14" s="12">
        <v>140</v>
      </c>
      <c r="V14" s="12">
        <v>294</v>
      </c>
      <c r="W14" s="12">
        <v>174</v>
      </c>
      <c r="X14" s="12">
        <v>345</v>
      </c>
      <c r="Y14" s="12">
        <v>329</v>
      </c>
      <c r="Z14" s="12">
        <v>258</v>
      </c>
      <c r="AA14" s="12">
        <v>294</v>
      </c>
      <c r="AB14" s="12">
        <v>375</v>
      </c>
      <c r="AC14" s="12">
        <v>269</v>
      </c>
      <c r="AD14" s="12">
        <v>592</v>
      </c>
      <c r="AE14" s="12">
        <v>230</v>
      </c>
      <c r="AF14" s="12">
        <v>259</v>
      </c>
      <c r="AG14" s="12">
        <v>398</v>
      </c>
      <c r="AH14" s="12">
        <v>270</v>
      </c>
      <c r="AI14" s="12">
        <v>125</v>
      </c>
      <c r="AJ14" s="12">
        <v>280</v>
      </c>
      <c r="AK14" s="12">
        <v>142</v>
      </c>
      <c r="AL14" s="12">
        <v>160</v>
      </c>
      <c r="AM14" s="12">
        <v>494</v>
      </c>
      <c r="AN14" s="12">
        <v>239</v>
      </c>
      <c r="AO14" s="12">
        <v>165</v>
      </c>
      <c r="AP14" s="12">
        <v>77</v>
      </c>
      <c r="AQ14" s="12">
        <v>127</v>
      </c>
    </row>
    <row r="15" spans="1:43" x14ac:dyDescent="0.35">
      <c r="A15" s="19"/>
      <c r="B15" s="13" t="s">
        <v>560</v>
      </c>
      <c r="C15" s="15">
        <v>0.32</v>
      </c>
      <c r="D15" s="15">
        <v>0.45</v>
      </c>
      <c r="E15" s="15">
        <v>0.39</v>
      </c>
      <c r="F15" s="15">
        <v>0.28000000000000003</v>
      </c>
      <c r="G15" s="15">
        <v>0.19</v>
      </c>
      <c r="H15" s="15">
        <v>0.38</v>
      </c>
      <c r="I15" s="15">
        <v>0.4</v>
      </c>
      <c r="J15" s="15">
        <v>0.49</v>
      </c>
      <c r="K15" s="15">
        <v>0.33</v>
      </c>
      <c r="L15" s="15">
        <v>0.33</v>
      </c>
      <c r="M15" s="15">
        <v>0.36</v>
      </c>
      <c r="N15" s="15">
        <v>0.28000000000000003</v>
      </c>
      <c r="O15" s="15">
        <v>0.41</v>
      </c>
      <c r="P15" s="15">
        <v>0.26</v>
      </c>
      <c r="Q15" s="15">
        <v>0.21</v>
      </c>
      <c r="R15" s="15">
        <v>0.28999999999999998</v>
      </c>
      <c r="S15" s="15">
        <v>0.23</v>
      </c>
      <c r="T15" s="15">
        <v>0.19</v>
      </c>
      <c r="U15" s="15">
        <v>0.28000000000000003</v>
      </c>
      <c r="V15" s="15">
        <v>0.28999999999999998</v>
      </c>
      <c r="W15" s="15">
        <v>0.34</v>
      </c>
      <c r="X15" s="15">
        <v>0.34</v>
      </c>
      <c r="Y15" s="15">
        <v>0.33</v>
      </c>
      <c r="Z15" s="15">
        <v>0.25</v>
      </c>
      <c r="AA15" s="15">
        <v>0.28999999999999998</v>
      </c>
      <c r="AB15" s="15">
        <v>0.36</v>
      </c>
      <c r="AC15" s="15">
        <v>0.27</v>
      </c>
      <c r="AD15" s="15">
        <v>0.59</v>
      </c>
      <c r="AE15" s="15">
        <v>0.23</v>
      </c>
      <c r="AF15" s="15">
        <v>0.25</v>
      </c>
      <c r="AG15" s="15">
        <v>0.38</v>
      </c>
      <c r="AH15" s="15">
        <v>0.27</v>
      </c>
      <c r="AI15" s="15">
        <v>0.24</v>
      </c>
      <c r="AJ15" s="15">
        <v>0.27</v>
      </c>
      <c r="AK15" s="15">
        <v>0.14000000000000001</v>
      </c>
      <c r="AL15" s="15">
        <v>0.16</v>
      </c>
      <c r="AM15" s="15">
        <v>0.47</v>
      </c>
      <c r="AN15" s="15">
        <v>0.24</v>
      </c>
      <c r="AO15" s="15">
        <v>0.17</v>
      </c>
      <c r="AP15" s="15">
        <v>0.15</v>
      </c>
      <c r="AQ15" s="15">
        <v>0.13</v>
      </c>
    </row>
    <row r="16" spans="1:43" x14ac:dyDescent="0.35">
      <c r="A16" s="19"/>
      <c r="B16" s="11" t="s">
        <v>561</v>
      </c>
      <c r="C16" s="12">
        <v>12084</v>
      </c>
      <c r="D16" s="12">
        <v>419</v>
      </c>
      <c r="E16" s="12">
        <v>339</v>
      </c>
      <c r="F16" s="12">
        <v>488</v>
      </c>
      <c r="G16" s="12">
        <v>656</v>
      </c>
      <c r="H16" s="12">
        <v>533</v>
      </c>
      <c r="I16" s="12">
        <v>652</v>
      </c>
      <c r="J16" s="12">
        <v>119</v>
      </c>
      <c r="K16" s="12">
        <v>433</v>
      </c>
      <c r="L16" s="12">
        <v>500</v>
      </c>
      <c r="M16" s="12">
        <v>479</v>
      </c>
      <c r="N16" s="12">
        <v>524</v>
      </c>
      <c r="O16" s="12">
        <v>395</v>
      </c>
      <c r="P16" s="12">
        <v>446</v>
      </c>
      <c r="Q16" s="12">
        <v>472</v>
      </c>
      <c r="R16" s="12">
        <v>272</v>
      </c>
      <c r="S16" s="12">
        <v>540</v>
      </c>
      <c r="T16" s="12">
        <v>554</v>
      </c>
      <c r="U16" s="12">
        <v>252</v>
      </c>
      <c r="V16" s="12">
        <v>522</v>
      </c>
      <c r="W16" s="12">
        <v>209</v>
      </c>
      <c r="X16" s="12">
        <v>475</v>
      </c>
      <c r="Y16" s="12">
        <v>481</v>
      </c>
      <c r="Z16" s="12">
        <v>578</v>
      </c>
      <c r="AA16" s="12">
        <v>436</v>
      </c>
      <c r="AB16" s="12">
        <v>382</v>
      </c>
      <c r="AC16" s="12">
        <v>545</v>
      </c>
      <c r="AD16" s="12">
        <v>294</v>
      </c>
      <c r="AE16" s="12">
        <v>514</v>
      </c>
      <c r="AF16" s="12">
        <v>504</v>
      </c>
      <c r="AG16" s="12">
        <v>311</v>
      </c>
      <c r="AH16" s="12">
        <v>406</v>
      </c>
      <c r="AI16" s="12">
        <v>286</v>
      </c>
      <c r="AJ16" s="12">
        <v>360</v>
      </c>
      <c r="AK16" s="12">
        <v>495</v>
      </c>
      <c r="AL16" s="12">
        <v>309</v>
      </c>
      <c r="AM16" s="12">
        <v>384</v>
      </c>
      <c r="AN16" s="12">
        <v>496</v>
      </c>
      <c r="AO16" s="12">
        <v>253</v>
      </c>
      <c r="AP16" s="12">
        <v>109</v>
      </c>
      <c r="AQ16" s="12">
        <v>316</v>
      </c>
    </row>
    <row r="17" spans="1:43" x14ac:dyDescent="0.35">
      <c r="A17" s="19"/>
      <c r="B17" s="13" t="s">
        <v>562</v>
      </c>
      <c r="C17" s="15">
        <v>0.46</v>
      </c>
      <c r="D17" s="15">
        <v>0.41</v>
      </c>
      <c r="E17" s="15">
        <v>0.33</v>
      </c>
      <c r="F17" s="15">
        <v>0.44</v>
      </c>
      <c r="G17" s="15">
        <v>0.65</v>
      </c>
      <c r="H17" s="15">
        <v>0.44</v>
      </c>
      <c r="I17" s="15">
        <v>0.43</v>
      </c>
      <c r="J17" s="15">
        <v>0.4</v>
      </c>
      <c r="K17" s="15">
        <v>0.43</v>
      </c>
      <c r="L17" s="15">
        <v>0.5</v>
      </c>
      <c r="M17" s="15">
        <v>0.47</v>
      </c>
      <c r="N17" s="15">
        <v>0.52</v>
      </c>
      <c r="O17" s="15">
        <v>0.39</v>
      </c>
      <c r="P17" s="15">
        <v>0.45</v>
      </c>
      <c r="Q17" s="15">
        <v>0.46</v>
      </c>
      <c r="R17" s="15">
        <v>0.54</v>
      </c>
      <c r="S17" s="15">
        <v>0.54</v>
      </c>
      <c r="T17" s="15">
        <v>0.55000000000000004</v>
      </c>
      <c r="U17" s="15">
        <v>0.5</v>
      </c>
      <c r="V17" s="15">
        <v>0.51</v>
      </c>
      <c r="W17" s="15">
        <v>0.41</v>
      </c>
      <c r="X17" s="15">
        <v>0.47</v>
      </c>
      <c r="Y17" s="15">
        <v>0.48</v>
      </c>
      <c r="Z17" s="15">
        <v>0.56000000000000005</v>
      </c>
      <c r="AA17" s="15">
        <v>0.42</v>
      </c>
      <c r="AB17" s="15">
        <v>0.36</v>
      </c>
      <c r="AC17" s="15">
        <v>0.54</v>
      </c>
      <c r="AD17" s="15">
        <v>0.28999999999999998</v>
      </c>
      <c r="AE17" s="15">
        <v>0.51</v>
      </c>
      <c r="AF17" s="15">
        <v>0.48</v>
      </c>
      <c r="AG17" s="15">
        <v>0.3</v>
      </c>
      <c r="AH17" s="15">
        <v>0.4</v>
      </c>
      <c r="AI17" s="15">
        <v>0.55000000000000004</v>
      </c>
      <c r="AJ17" s="15">
        <v>0.35</v>
      </c>
      <c r="AK17" s="15">
        <v>0.49</v>
      </c>
      <c r="AL17" s="15">
        <v>0.31</v>
      </c>
      <c r="AM17" s="15">
        <v>0.37</v>
      </c>
      <c r="AN17" s="15">
        <v>0.49</v>
      </c>
      <c r="AO17" s="15">
        <v>0.25</v>
      </c>
      <c r="AP17" s="15">
        <v>0.21</v>
      </c>
      <c r="AQ17" s="15">
        <v>0.31</v>
      </c>
    </row>
    <row r="18" spans="1:43" x14ac:dyDescent="0.35">
      <c r="A18" s="19"/>
      <c r="B18" s="11" t="s">
        <v>485</v>
      </c>
      <c r="C18" s="12">
        <v>598</v>
      </c>
      <c r="D18" s="12">
        <v>17</v>
      </c>
      <c r="E18" s="12">
        <v>55</v>
      </c>
      <c r="F18" s="12">
        <v>27</v>
      </c>
      <c r="G18" s="12">
        <v>33</v>
      </c>
      <c r="H18" s="12">
        <v>19</v>
      </c>
      <c r="I18" s="12">
        <v>22</v>
      </c>
      <c r="J18" s="12">
        <v>3</v>
      </c>
      <c r="K18" s="12">
        <v>31</v>
      </c>
      <c r="L18" s="12">
        <v>19</v>
      </c>
      <c r="M18" s="12">
        <v>1</v>
      </c>
      <c r="N18" s="12">
        <v>27</v>
      </c>
      <c r="O18" s="12">
        <v>40</v>
      </c>
      <c r="P18" s="12">
        <v>2</v>
      </c>
      <c r="Q18" s="12">
        <v>13</v>
      </c>
      <c r="R18" s="12">
        <v>13</v>
      </c>
      <c r="S18" s="12">
        <v>33</v>
      </c>
      <c r="T18" s="12">
        <v>20</v>
      </c>
      <c r="U18" s="12">
        <v>16</v>
      </c>
      <c r="V18" s="12">
        <v>18</v>
      </c>
      <c r="W18" s="12">
        <v>37</v>
      </c>
      <c r="X18" s="12">
        <v>15</v>
      </c>
      <c r="Y18" s="12">
        <v>14</v>
      </c>
      <c r="Z18" s="12">
        <v>16</v>
      </c>
      <c r="AA18" s="12">
        <v>45</v>
      </c>
      <c r="AB18" s="12">
        <v>46</v>
      </c>
      <c r="AC18" s="12">
        <v>23</v>
      </c>
      <c r="AD18" s="12">
        <v>15</v>
      </c>
      <c r="AE18" s="12">
        <v>28</v>
      </c>
      <c r="AF18" s="12">
        <v>9</v>
      </c>
      <c r="AG18" s="12">
        <v>8</v>
      </c>
      <c r="AH18" s="12">
        <v>12</v>
      </c>
      <c r="AI18" s="12">
        <v>1</v>
      </c>
      <c r="AJ18" s="12">
        <v>4</v>
      </c>
      <c r="AK18" s="12">
        <v>4</v>
      </c>
      <c r="AL18" s="12">
        <v>65</v>
      </c>
      <c r="AM18" s="12">
        <v>27</v>
      </c>
      <c r="AN18" s="12">
        <v>5</v>
      </c>
      <c r="AO18" s="12">
        <v>23</v>
      </c>
      <c r="AP18" s="12">
        <v>5</v>
      </c>
      <c r="AQ18" s="12">
        <v>57</v>
      </c>
    </row>
    <row r="19" spans="1:43" x14ac:dyDescent="0.35">
      <c r="A19" s="19"/>
      <c r="B19" s="13" t="s">
        <v>486</v>
      </c>
      <c r="C19" s="15">
        <v>0.02</v>
      </c>
      <c r="D19" s="15">
        <v>0.02</v>
      </c>
      <c r="E19" s="15">
        <v>0.05</v>
      </c>
      <c r="F19" s="15">
        <v>0.03</v>
      </c>
      <c r="G19" s="15">
        <v>0.03</v>
      </c>
      <c r="H19" s="15">
        <v>0.01</v>
      </c>
      <c r="I19" s="15">
        <v>0.01</v>
      </c>
      <c r="J19" s="15">
        <v>0.01</v>
      </c>
      <c r="K19" s="15">
        <v>0.03</v>
      </c>
      <c r="L19" s="15">
        <v>0.02</v>
      </c>
      <c r="M19" s="14" t="s">
        <v>475</v>
      </c>
      <c r="N19" s="15">
        <v>0.03</v>
      </c>
      <c r="O19" s="15">
        <v>0.04</v>
      </c>
      <c r="P19" s="14" t="s">
        <v>475</v>
      </c>
      <c r="Q19" s="15">
        <v>0.01</v>
      </c>
      <c r="R19" s="15">
        <v>0.03</v>
      </c>
      <c r="S19" s="15">
        <v>0.03</v>
      </c>
      <c r="T19" s="15">
        <v>0.02</v>
      </c>
      <c r="U19" s="15">
        <v>0.03</v>
      </c>
      <c r="V19" s="15">
        <v>0.02</v>
      </c>
      <c r="W19" s="15">
        <v>7.0000000000000007E-2</v>
      </c>
      <c r="X19" s="15">
        <v>0.02</v>
      </c>
      <c r="Y19" s="15">
        <v>0.01</v>
      </c>
      <c r="Z19" s="15">
        <v>0.02</v>
      </c>
      <c r="AA19" s="15">
        <v>0.04</v>
      </c>
      <c r="AB19" s="15">
        <v>0.04</v>
      </c>
      <c r="AC19" s="15">
        <v>0.02</v>
      </c>
      <c r="AD19" s="15">
        <v>0.02</v>
      </c>
      <c r="AE19" s="15">
        <v>0.03</v>
      </c>
      <c r="AF19" s="15">
        <v>0.01</v>
      </c>
      <c r="AG19" s="15">
        <v>0.01</v>
      </c>
      <c r="AH19" s="15">
        <v>0.01</v>
      </c>
      <c r="AI19" s="14" t="s">
        <v>475</v>
      </c>
      <c r="AJ19" s="14" t="s">
        <v>475</v>
      </c>
      <c r="AK19" s="15">
        <v>0.01</v>
      </c>
      <c r="AL19" s="15">
        <v>0.06</v>
      </c>
      <c r="AM19" s="15">
        <v>0.03</v>
      </c>
      <c r="AN19" s="15">
        <v>0.01</v>
      </c>
      <c r="AO19" s="15">
        <v>0.02</v>
      </c>
      <c r="AP19" s="15">
        <v>0.01</v>
      </c>
      <c r="AQ19" s="15">
        <v>0.06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565</v>
      </c>
      <c r="C3" s="18"/>
      <c r="D3" s="18"/>
      <c r="E3" s="18"/>
      <c r="F3" s="18"/>
      <c r="H3" s="18" t="s">
        <v>566</v>
      </c>
      <c r="I3" s="18"/>
      <c r="J3" s="18"/>
      <c r="K3" s="18"/>
      <c r="L3" s="18"/>
    </row>
    <row r="4" spans="1:43" ht="27" customHeight="1" x14ac:dyDescent="0.35">
      <c r="B4" s="18" t="s">
        <v>567</v>
      </c>
      <c r="C4" s="18"/>
      <c r="D4" s="18"/>
      <c r="E4" s="18"/>
      <c r="F4" s="18"/>
      <c r="H4" s="18" t="s">
        <v>568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557</v>
      </c>
      <c r="C12" s="12">
        <v>5229</v>
      </c>
      <c r="D12" s="12">
        <v>132</v>
      </c>
      <c r="E12" s="12">
        <v>211</v>
      </c>
      <c r="F12" s="12">
        <v>262</v>
      </c>
      <c r="G12" s="12">
        <v>111</v>
      </c>
      <c r="H12" s="12">
        <v>232</v>
      </c>
      <c r="I12" s="12">
        <v>265</v>
      </c>
      <c r="J12" s="12">
        <v>33</v>
      </c>
      <c r="K12" s="12">
        <v>224</v>
      </c>
      <c r="L12" s="12">
        <v>134</v>
      </c>
      <c r="M12" s="12">
        <v>142</v>
      </c>
      <c r="N12" s="12">
        <v>175</v>
      </c>
      <c r="O12" s="12">
        <v>154</v>
      </c>
      <c r="P12" s="12">
        <v>280</v>
      </c>
      <c r="Q12" s="12">
        <v>333</v>
      </c>
      <c r="R12" s="12">
        <v>76</v>
      </c>
      <c r="S12" s="12">
        <v>161</v>
      </c>
      <c r="T12" s="12">
        <v>211</v>
      </c>
      <c r="U12" s="12">
        <v>84</v>
      </c>
      <c r="V12" s="12">
        <v>172</v>
      </c>
      <c r="W12" s="12">
        <v>103</v>
      </c>
      <c r="X12" s="12">
        <v>123</v>
      </c>
      <c r="Y12" s="12">
        <v>204</v>
      </c>
      <c r="Z12" s="12">
        <v>198</v>
      </c>
      <c r="AA12" s="12">
        <v>258</v>
      </c>
      <c r="AB12" s="12">
        <v>238</v>
      </c>
      <c r="AC12" s="12">
        <v>162</v>
      </c>
      <c r="AD12" s="12">
        <v>90</v>
      </c>
      <c r="AE12" s="12">
        <v>238</v>
      </c>
      <c r="AF12" s="12">
        <v>300</v>
      </c>
      <c r="AG12" s="12">
        <v>326</v>
      </c>
      <c r="AH12" s="12">
        <v>295</v>
      </c>
      <c r="AI12" s="12">
        <v>115</v>
      </c>
      <c r="AJ12" s="12">
        <v>371</v>
      </c>
      <c r="AK12" s="12">
        <v>326</v>
      </c>
      <c r="AL12" s="12">
        <v>460</v>
      </c>
      <c r="AM12" s="12">
        <v>125</v>
      </c>
      <c r="AN12" s="12">
        <v>239</v>
      </c>
      <c r="AO12" s="12">
        <v>550</v>
      </c>
      <c r="AP12" s="12">
        <v>299</v>
      </c>
      <c r="AQ12" s="12">
        <v>482</v>
      </c>
    </row>
    <row r="13" spans="1:43" x14ac:dyDescent="0.35">
      <c r="A13" s="19"/>
      <c r="B13" s="13" t="s">
        <v>558</v>
      </c>
      <c r="C13" s="15">
        <v>0.2</v>
      </c>
      <c r="D13" s="15">
        <v>0.13</v>
      </c>
      <c r="E13" s="15">
        <v>0.2</v>
      </c>
      <c r="F13" s="15">
        <v>0.24</v>
      </c>
      <c r="G13" s="15">
        <v>0.11</v>
      </c>
      <c r="H13" s="15">
        <v>0.19</v>
      </c>
      <c r="I13" s="15">
        <v>0.18</v>
      </c>
      <c r="J13" s="15">
        <v>0.11</v>
      </c>
      <c r="K13" s="15">
        <v>0.22</v>
      </c>
      <c r="L13" s="15">
        <v>0.13</v>
      </c>
      <c r="M13" s="15">
        <v>0.14000000000000001</v>
      </c>
      <c r="N13" s="15">
        <v>0.17</v>
      </c>
      <c r="O13" s="15">
        <v>0.15</v>
      </c>
      <c r="P13" s="15">
        <v>0.28000000000000003</v>
      </c>
      <c r="Q13" s="15">
        <v>0.33</v>
      </c>
      <c r="R13" s="15">
        <v>0.15</v>
      </c>
      <c r="S13" s="15">
        <v>0.16</v>
      </c>
      <c r="T13" s="15">
        <v>0.21</v>
      </c>
      <c r="U13" s="15">
        <v>0.17</v>
      </c>
      <c r="V13" s="15">
        <v>0.17</v>
      </c>
      <c r="W13" s="15">
        <v>0.2</v>
      </c>
      <c r="X13" s="15">
        <v>0.12</v>
      </c>
      <c r="Y13" s="15">
        <v>0.2</v>
      </c>
      <c r="Z13" s="15">
        <v>0.19</v>
      </c>
      <c r="AA13" s="15">
        <v>0.25</v>
      </c>
      <c r="AB13" s="15">
        <v>0.23</v>
      </c>
      <c r="AC13" s="15">
        <v>0.16</v>
      </c>
      <c r="AD13" s="15">
        <v>0.09</v>
      </c>
      <c r="AE13" s="15">
        <v>0.23</v>
      </c>
      <c r="AF13" s="15">
        <v>0.28999999999999998</v>
      </c>
      <c r="AG13" s="15">
        <v>0.32</v>
      </c>
      <c r="AH13" s="15">
        <v>0.28999999999999998</v>
      </c>
      <c r="AI13" s="15">
        <v>0.22</v>
      </c>
      <c r="AJ13" s="15">
        <v>0.36</v>
      </c>
      <c r="AK13" s="15">
        <v>0.32</v>
      </c>
      <c r="AL13" s="15">
        <v>0.46</v>
      </c>
      <c r="AM13" s="15">
        <v>0.12</v>
      </c>
      <c r="AN13" s="15">
        <v>0.24</v>
      </c>
      <c r="AO13" s="15">
        <v>0.55000000000000004</v>
      </c>
      <c r="AP13" s="15">
        <v>0.57000000000000006</v>
      </c>
      <c r="AQ13" s="15">
        <v>0.48</v>
      </c>
    </row>
    <row r="14" spans="1:43" x14ac:dyDescent="0.35">
      <c r="A14" s="19"/>
      <c r="B14" s="11" t="s">
        <v>559</v>
      </c>
      <c r="C14" s="12">
        <v>9267</v>
      </c>
      <c r="D14" s="12">
        <v>486</v>
      </c>
      <c r="E14" s="12">
        <v>429</v>
      </c>
      <c r="F14" s="12">
        <v>351</v>
      </c>
      <c r="G14" s="12">
        <v>249</v>
      </c>
      <c r="H14" s="12">
        <v>484</v>
      </c>
      <c r="I14" s="12">
        <v>643</v>
      </c>
      <c r="J14" s="12">
        <v>159</v>
      </c>
      <c r="K14" s="12">
        <v>393</v>
      </c>
      <c r="L14" s="12">
        <v>367</v>
      </c>
      <c r="M14" s="12">
        <v>401</v>
      </c>
      <c r="N14" s="12">
        <v>295</v>
      </c>
      <c r="O14" s="12">
        <v>449</v>
      </c>
      <c r="P14" s="12">
        <v>297</v>
      </c>
      <c r="Q14" s="12">
        <v>240</v>
      </c>
      <c r="R14" s="12">
        <v>142</v>
      </c>
      <c r="S14" s="12">
        <v>269</v>
      </c>
      <c r="T14" s="12">
        <v>206</v>
      </c>
      <c r="U14" s="12">
        <v>149</v>
      </c>
      <c r="V14" s="12">
        <v>346</v>
      </c>
      <c r="W14" s="12">
        <v>135</v>
      </c>
      <c r="X14" s="12">
        <v>346</v>
      </c>
      <c r="Y14" s="12">
        <v>388</v>
      </c>
      <c r="Z14" s="12">
        <v>255</v>
      </c>
      <c r="AA14" s="12">
        <v>314</v>
      </c>
      <c r="AB14" s="12">
        <v>398</v>
      </c>
      <c r="AC14" s="12">
        <v>305</v>
      </c>
      <c r="AD14" s="12">
        <v>672</v>
      </c>
      <c r="AE14" s="12">
        <v>295</v>
      </c>
      <c r="AF14" s="12">
        <v>243</v>
      </c>
      <c r="AG14" s="12">
        <v>399</v>
      </c>
      <c r="AH14" s="12">
        <v>315</v>
      </c>
      <c r="AI14" s="12">
        <v>144</v>
      </c>
      <c r="AJ14" s="12">
        <v>330</v>
      </c>
      <c r="AK14" s="12">
        <v>167</v>
      </c>
      <c r="AL14" s="12">
        <v>186</v>
      </c>
      <c r="AM14" s="12">
        <v>526</v>
      </c>
      <c r="AN14" s="12">
        <v>282</v>
      </c>
      <c r="AO14" s="12">
        <v>203</v>
      </c>
      <c r="AP14" s="12">
        <v>133</v>
      </c>
      <c r="AQ14" s="12">
        <v>175</v>
      </c>
    </row>
    <row r="15" spans="1:43" x14ac:dyDescent="0.35">
      <c r="A15" s="19"/>
      <c r="B15" s="13" t="s">
        <v>560</v>
      </c>
      <c r="C15" s="15">
        <v>0.35</v>
      </c>
      <c r="D15" s="15">
        <v>0.48</v>
      </c>
      <c r="E15" s="15">
        <v>0.42</v>
      </c>
      <c r="F15" s="15">
        <v>0.32</v>
      </c>
      <c r="G15" s="15">
        <v>0.25</v>
      </c>
      <c r="H15" s="15">
        <v>0.4</v>
      </c>
      <c r="I15" s="15">
        <v>0.42</v>
      </c>
      <c r="J15" s="15">
        <v>0.54</v>
      </c>
      <c r="K15" s="15">
        <v>0.39</v>
      </c>
      <c r="L15" s="15">
        <v>0.37</v>
      </c>
      <c r="M15" s="15">
        <v>0.4</v>
      </c>
      <c r="N15" s="15">
        <v>0.3</v>
      </c>
      <c r="O15" s="15">
        <v>0.45</v>
      </c>
      <c r="P15" s="15">
        <v>0.3</v>
      </c>
      <c r="Q15" s="15">
        <v>0.23</v>
      </c>
      <c r="R15" s="15">
        <v>0.28000000000000003</v>
      </c>
      <c r="S15" s="15">
        <v>0.27</v>
      </c>
      <c r="T15" s="15">
        <v>0.2</v>
      </c>
      <c r="U15" s="15">
        <v>0.28999999999999998</v>
      </c>
      <c r="V15" s="15">
        <v>0.34</v>
      </c>
      <c r="W15" s="15">
        <v>0.27</v>
      </c>
      <c r="X15" s="15">
        <v>0.34</v>
      </c>
      <c r="Y15" s="15">
        <v>0.39</v>
      </c>
      <c r="Z15" s="15">
        <v>0.25</v>
      </c>
      <c r="AA15" s="15">
        <v>0.3</v>
      </c>
      <c r="AB15" s="15">
        <v>0.38</v>
      </c>
      <c r="AC15" s="15">
        <v>0.31</v>
      </c>
      <c r="AD15" s="15">
        <v>0.67</v>
      </c>
      <c r="AE15" s="15">
        <v>0.28999999999999998</v>
      </c>
      <c r="AF15" s="15">
        <v>0.23</v>
      </c>
      <c r="AG15" s="15">
        <v>0.38</v>
      </c>
      <c r="AH15" s="15">
        <v>0.31</v>
      </c>
      <c r="AI15" s="15">
        <v>0.27</v>
      </c>
      <c r="AJ15" s="15">
        <v>0.32</v>
      </c>
      <c r="AK15" s="15">
        <v>0.17</v>
      </c>
      <c r="AL15" s="15">
        <v>0.18</v>
      </c>
      <c r="AM15" s="15">
        <v>0.51</v>
      </c>
      <c r="AN15" s="15">
        <v>0.28000000000000003</v>
      </c>
      <c r="AO15" s="15">
        <v>0.2</v>
      </c>
      <c r="AP15" s="15">
        <v>0.25</v>
      </c>
      <c r="AQ15" s="15">
        <v>0.18</v>
      </c>
    </row>
    <row r="16" spans="1:43" x14ac:dyDescent="0.35">
      <c r="A16" s="19"/>
      <c r="B16" s="11" t="s">
        <v>561</v>
      </c>
      <c r="C16" s="12">
        <v>11326</v>
      </c>
      <c r="D16" s="12">
        <v>378</v>
      </c>
      <c r="E16" s="12">
        <v>328</v>
      </c>
      <c r="F16" s="12">
        <v>449</v>
      </c>
      <c r="G16" s="12">
        <v>612</v>
      </c>
      <c r="H16" s="12">
        <v>488</v>
      </c>
      <c r="I16" s="12">
        <v>588</v>
      </c>
      <c r="J16" s="12">
        <v>100</v>
      </c>
      <c r="K16" s="12">
        <v>340</v>
      </c>
      <c r="L16" s="12">
        <v>476</v>
      </c>
      <c r="M16" s="12">
        <v>463</v>
      </c>
      <c r="N16" s="12">
        <v>501</v>
      </c>
      <c r="O16" s="12">
        <v>358</v>
      </c>
      <c r="P16" s="12">
        <v>427</v>
      </c>
      <c r="Q16" s="12">
        <v>445</v>
      </c>
      <c r="R16" s="12">
        <v>273</v>
      </c>
      <c r="S16" s="12">
        <v>535</v>
      </c>
      <c r="T16" s="12">
        <v>568</v>
      </c>
      <c r="U16" s="12">
        <v>247</v>
      </c>
      <c r="V16" s="12">
        <v>473</v>
      </c>
      <c r="W16" s="12">
        <v>228</v>
      </c>
      <c r="X16" s="12">
        <v>529</v>
      </c>
      <c r="Y16" s="12">
        <v>393</v>
      </c>
      <c r="Z16" s="12">
        <v>554</v>
      </c>
      <c r="AA16" s="12">
        <v>415</v>
      </c>
      <c r="AB16" s="12">
        <v>374</v>
      </c>
      <c r="AC16" s="12">
        <v>513</v>
      </c>
      <c r="AD16" s="12">
        <v>226</v>
      </c>
      <c r="AE16" s="12">
        <v>441</v>
      </c>
      <c r="AF16" s="12">
        <v>490</v>
      </c>
      <c r="AG16" s="12">
        <v>307</v>
      </c>
      <c r="AH16" s="12">
        <v>395</v>
      </c>
      <c r="AI16" s="12">
        <v>260</v>
      </c>
      <c r="AJ16" s="12">
        <v>334</v>
      </c>
      <c r="AK16" s="12">
        <v>512</v>
      </c>
      <c r="AL16" s="12">
        <v>270</v>
      </c>
      <c r="AM16" s="12">
        <v>357</v>
      </c>
      <c r="AN16" s="12">
        <v>477</v>
      </c>
      <c r="AO16" s="12">
        <v>226</v>
      </c>
      <c r="AP16" s="12">
        <v>89</v>
      </c>
      <c r="AQ16" s="12">
        <v>282</v>
      </c>
    </row>
    <row r="17" spans="1:43" x14ac:dyDescent="0.35">
      <c r="A17" s="19"/>
      <c r="B17" s="13" t="s">
        <v>562</v>
      </c>
      <c r="C17" s="15">
        <v>0.43</v>
      </c>
      <c r="D17" s="15">
        <v>0.37</v>
      </c>
      <c r="E17" s="15">
        <v>0.32</v>
      </c>
      <c r="F17" s="15">
        <v>0.41</v>
      </c>
      <c r="G17" s="15">
        <v>0.61</v>
      </c>
      <c r="H17" s="15">
        <v>0.4</v>
      </c>
      <c r="I17" s="15">
        <v>0.39</v>
      </c>
      <c r="J17" s="15">
        <v>0.34</v>
      </c>
      <c r="K17" s="15">
        <v>0.34</v>
      </c>
      <c r="L17" s="15">
        <v>0.47</v>
      </c>
      <c r="M17" s="15">
        <v>0.46</v>
      </c>
      <c r="N17" s="15">
        <v>0.5</v>
      </c>
      <c r="O17" s="15">
        <v>0.36</v>
      </c>
      <c r="P17" s="15">
        <v>0.42</v>
      </c>
      <c r="Q17" s="15">
        <v>0.43</v>
      </c>
      <c r="R17" s="15">
        <v>0.54</v>
      </c>
      <c r="S17" s="15">
        <v>0.53</v>
      </c>
      <c r="T17" s="15">
        <v>0.57000000000000006</v>
      </c>
      <c r="U17" s="15">
        <v>0.49</v>
      </c>
      <c r="V17" s="15">
        <v>0.47</v>
      </c>
      <c r="W17" s="15">
        <v>0.45</v>
      </c>
      <c r="X17" s="15">
        <v>0.53</v>
      </c>
      <c r="Y17" s="15">
        <v>0.39</v>
      </c>
      <c r="Z17" s="15">
        <v>0.54</v>
      </c>
      <c r="AA17" s="15">
        <v>0.4</v>
      </c>
      <c r="AB17" s="15">
        <v>0.35</v>
      </c>
      <c r="AC17" s="15">
        <v>0.51</v>
      </c>
      <c r="AD17" s="15">
        <v>0.22</v>
      </c>
      <c r="AE17" s="15">
        <v>0.44</v>
      </c>
      <c r="AF17" s="15">
        <v>0.47</v>
      </c>
      <c r="AG17" s="15">
        <v>0.3</v>
      </c>
      <c r="AH17" s="15">
        <v>0.39</v>
      </c>
      <c r="AI17" s="15">
        <v>0.5</v>
      </c>
      <c r="AJ17" s="15">
        <v>0.32</v>
      </c>
      <c r="AK17" s="15">
        <v>0.51</v>
      </c>
      <c r="AL17" s="15">
        <v>0.27</v>
      </c>
      <c r="AM17" s="15">
        <v>0.34</v>
      </c>
      <c r="AN17" s="15">
        <v>0.48</v>
      </c>
      <c r="AO17" s="15">
        <v>0.22</v>
      </c>
      <c r="AP17" s="15">
        <v>0.17</v>
      </c>
      <c r="AQ17" s="15">
        <v>0.28000000000000003</v>
      </c>
    </row>
    <row r="18" spans="1:43" x14ac:dyDescent="0.35">
      <c r="A18" s="19"/>
      <c r="B18" s="11" t="s">
        <v>485</v>
      </c>
      <c r="C18" s="12">
        <v>623</v>
      </c>
      <c r="D18" s="12">
        <v>17</v>
      </c>
      <c r="E18" s="12">
        <v>62</v>
      </c>
      <c r="F18" s="12">
        <v>39</v>
      </c>
      <c r="G18" s="12">
        <v>34</v>
      </c>
      <c r="H18" s="12">
        <v>17</v>
      </c>
      <c r="I18" s="12">
        <v>19</v>
      </c>
      <c r="J18" s="12">
        <v>2</v>
      </c>
      <c r="K18" s="12">
        <v>45</v>
      </c>
      <c r="L18" s="12">
        <v>26</v>
      </c>
      <c r="M18" s="12">
        <v>5</v>
      </c>
      <c r="N18" s="12">
        <v>32</v>
      </c>
      <c r="O18" s="12">
        <v>40</v>
      </c>
      <c r="P18" s="12">
        <v>1</v>
      </c>
      <c r="Q18" s="12">
        <v>9</v>
      </c>
      <c r="R18" s="12">
        <v>13</v>
      </c>
      <c r="S18" s="12">
        <v>37</v>
      </c>
      <c r="T18" s="12">
        <v>21</v>
      </c>
      <c r="U18" s="12">
        <v>24</v>
      </c>
      <c r="V18" s="12">
        <v>24</v>
      </c>
      <c r="W18" s="12">
        <v>42</v>
      </c>
      <c r="X18" s="12">
        <v>12</v>
      </c>
      <c r="Y18" s="12">
        <v>19</v>
      </c>
      <c r="Z18" s="12">
        <v>24</v>
      </c>
      <c r="AA18" s="12">
        <v>46</v>
      </c>
      <c r="AB18" s="12">
        <v>40</v>
      </c>
      <c r="AC18" s="12">
        <v>23</v>
      </c>
      <c r="AD18" s="12">
        <v>17</v>
      </c>
      <c r="AE18" s="12">
        <v>38</v>
      </c>
      <c r="AF18" s="12">
        <v>10</v>
      </c>
      <c r="AG18" s="12">
        <v>3</v>
      </c>
      <c r="AH18" s="12">
        <v>8</v>
      </c>
      <c r="AI18" s="12">
        <v>4</v>
      </c>
      <c r="AJ18" s="12">
        <v>2</v>
      </c>
      <c r="AK18" s="12">
        <v>2</v>
      </c>
      <c r="AL18" s="12">
        <v>96</v>
      </c>
      <c r="AM18" s="12">
        <v>31</v>
      </c>
      <c r="AN18" s="12">
        <v>4</v>
      </c>
      <c r="AO18" s="12">
        <v>26</v>
      </c>
      <c r="AP18" s="12">
        <v>3</v>
      </c>
      <c r="AQ18" s="12">
        <v>63</v>
      </c>
    </row>
    <row r="19" spans="1:43" x14ac:dyDescent="0.35">
      <c r="A19" s="19"/>
      <c r="B19" s="13" t="s">
        <v>486</v>
      </c>
      <c r="C19" s="15">
        <v>0.02</v>
      </c>
      <c r="D19" s="15">
        <v>0.02</v>
      </c>
      <c r="E19" s="15">
        <v>0.06</v>
      </c>
      <c r="F19" s="15">
        <v>0.03</v>
      </c>
      <c r="G19" s="15">
        <v>0.03</v>
      </c>
      <c r="H19" s="15">
        <v>0.01</v>
      </c>
      <c r="I19" s="15">
        <v>0.01</v>
      </c>
      <c r="J19" s="15">
        <v>0.01</v>
      </c>
      <c r="K19" s="15">
        <v>0.05</v>
      </c>
      <c r="L19" s="15">
        <v>0.03</v>
      </c>
      <c r="M19" s="14" t="s">
        <v>475</v>
      </c>
      <c r="N19" s="15">
        <v>0.03</v>
      </c>
      <c r="O19" s="15">
        <v>0.04</v>
      </c>
      <c r="P19" s="14" t="s">
        <v>475</v>
      </c>
      <c r="Q19" s="15">
        <v>0.01</v>
      </c>
      <c r="R19" s="15">
        <v>0.03</v>
      </c>
      <c r="S19" s="15">
        <v>0.04</v>
      </c>
      <c r="T19" s="15">
        <v>0.02</v>
      </c>
      <c r="U19" s="15">
        <v>0.05</v>
      </c>
      <c r="V19" s="15">
        <v>0.02</v>
      </c>
      <c r="W19" s="15">
        <v>0.08</v>
      </c>
      <c r="X19" s="15">
        <v>0.01</v>
      </c>
      <c r="Y19" s="15">
        <v>0.02</v>
      </c>
      <c r="Z19" s="15">
        <v>0.02</v>
      </c>
      <c r="AA19" s="15">
        <v>0.05</v>
      </c>
      <c r="AB19" s="15">
        <v>0.04</v>
      </c>
      <c r="AC19" s="15">
        <v>0.02</v>
      </c>
      <c r="AD19" s="15">
        <v>0.02</v>
      </c>
      <c r="AE19" s="15">
        <v>0.04</v>
      </c>
      <c r="AF19" s="15">
        <v>0.01</v>
      </c>
      <c r="AG19" s="14" t="s">
        <v>475</v>
      </c>
      <c r="AH19" s="15">
        <v>0.01</v>
      </c>
      <c r="AI19" s="15">
        <v>0.01</v>
      </c>
      <c r="AJ19" s="14" t="s">
        <v>475</v>
      </c>
      <c r="AK19" s="14" t="s">
        <v>475</v>
      </c>
      <c r="AL19" s="15">
        <v>0.09</v>
      </c>
      <c r="AM19" s="15">
        <v>0.03</v>
      </c>
      <c r="AN19" s="14" t="s">
        <v>475</v>
      </c>
      <c r="AO19" s="15">
        <v>0.03</v>
      </c>
      <c r="AP19" s="15">
        <v>0.01</v>
      </c>
      <c r="AQ19" s="15">
        <v>0.06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569</v>
      </c>
      <c r="C3" s="18"/>
      <c r="D3" s="18"/>
      <c r="E3" s="18"/>
      <c r="F3" s="18"/>
      <c r="H3" s="18" t="s">
        <v>570</v>
      </c>
      <c r="I3" s="18"/>
      <c r="J3" s="18"/>
      <c r="K3" s="18"/>
      <c r="L3" s="18"/>
    </row>
    <row r="4" spans="1:43" ht="27" customHeight="1" x14ac:dyDescent="0.35">
      <c r="B4" s="18" t="s">
        <v>543</v>
      </c>
      <c r="C4" s="18"/>
      <c r="D4" s="18"/>
      <c r="E4" s="18"/>
      <c r="F4" s="18"/>
      <c r="H4" s="18" t="s">
        <v>544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557</v>
      </c>
      <c r="C12" s="12">
        <v>5210</v>
      </c>
      <c r="D12" s="12">
        <v>209</v>
      </c>
      <c r="E12" s="12">
        <v>228</v>
      </c>
      <c r="F12" s="12">
        <v>243</v>
      </c>
      <c r="G12" s="12">
        <v>221</v>
      </c>
      <c r="H12" s="12">
        <v>156</v>
      </c>
      <c r="I12" s="12">
        <v>200</v>
      </c>
      <c r="J12" s="12">
        <v>44</v>
      </c>
      <c r="K12" s="12">
        <v>217</v>
      </c>
      <c r="L12" s="12">
        <v>155</v>
      </c>
      <c r="M12" s="12">
        <v>138</v>
      </c>
      <c r="N12" s="12">
        <v>202</v>
      </c>
      <c r="O12" s="12">
        <v>202</v>
      </c>
      <c r="P12" s="12">
        <v>315</v>
      </c>
      <c r="Q12" s="12">
        <v>261</v>
      </c>
      <c r="R12" s="12">
        <v>93</v>
      </c>
      <c r="S12" s="12">
        <v>265</v>
      </c>
      <c r="T12" s="12">
        <v>256</v>
      </c>
      <c r="U12" s="12">
        <v>111</v>
      </c>
      <c r="V12" s="12">
        <v>178</v>
      </c>
      <c r="W12" s="12">
        <v>111</v>
      </c>
      <c r="X12" s="12">
        <v>232</v>
      </c>
      <c r="Y12" s="12">
        <v>160</v>
      </c>
      <c r="Z12" s="12">
        <v>178</v>
      </c>
      <c r="AA12" s="12">
        <v>202</v>
      </c>
      <c r="AB12" s="12">
        <v>271</v>
      </c>
      <c r="AC12" s="12">
        <v>178</v>
      </c>
      <c r="AD12" s="12">
        <v>141</v>
      </c>
      <c r="AE12" s="12">
        <v>212</v>
      </c>
      <c r="AF12" s="12">
        <v>298</v>
      </c>
      <c r="AG12" s="12">
        <v>311</v>
      </c>
      <c r="AH12" s="12">
        <v>339</v>
      </c>
      <c r="AI12" s="12">
        <v>116</v>
      </c>
      <c r="AJ12" s="12">
        <v>392</v>
      </c>
      <c r="AK12" s="12">
        <v>396</v>
      </c>
      <c r="AL12" s="12">
        <v>508</v>
      </c>
      <c r="AM12" s="12">
        <v>211</v>
      </c>
      <c r="AN12" s="12">
        <v>296</v>
      </c>
      <c r="AO12" s="12">
        <v>581</v>
      </c>
      <c r="AP12" s="12">
        <v>298</v>
      </c>
      <c r="AQ12" s="12">
        <v>541</v>
      </c>
    </row>
    <row r="13" spans="1:43" x14ac:dyDescent="0.35">
      <c r="A13" s="19"/>
      <c r="B13" s="13" t="s">
        <v>558</v>
      </c>
      <c r="C13" s="15">
        <v>0.2</v>
      </c>
      <c r="D13" s="15">
        <v>0.21</v>
      </c>
      <c r="E13" s="15">
        <v>0.22</v>
      </c>
      <c r="F13" s="15">
        <v>0.22</v>
      </c>
      <c r="G13" s="15">
        <v>0.22</v>
      </c>
      <c r="H13" s="15">
        <v>0.13</v>
      </c>
      <c r="I13" s="15">
        <v>0.13</v>
      </c>
      <c r="J13" s="15">
        <v>0.15</v>
      </c>
      <c r="K13" s="15">
        <v>0.22</v>
      </c>
      <c r="L13" s="15">
        <v>0.15</v>
      </c>
      <c r="M13" s="15">
        <v>0.13</v>
      </c>
      <c r="N13" s="15">
        <v>0.2</v>
      </c>
      <c r="O13" s="15">
        <v>0.2</v>
      </c>
      <c r="P13" s="15">
        <v>0.32</v>
      </c>
      <c r="Q13" s="15">
        <v>0.25</v>
      </c>
      <c r="R13" s="15">
        <v>0.18</v>
      </c>
      <c r="S13" s="15">
        <v>0.27</v>
      </c>
      <c r="T13" s="15">
        <v>0.25</v>
      </c>
      <c r="U13" s="15">
        <v>0.22</v>
      </c>
      <c r="V13" s="15">
        <v>0.17</v>
      </c>
      <c r="W13" s="15">
        <v>0.22</v>
      </c>
      <c r="X13" s="15">
        <v>0.23</v>
      </c>
      <c r="Y13" s="15">
        <v>0.16</v>
      </c>
      <c r="Z13" s="15">
        <v>0.17</v>
      </c>
      <c r="AA13" s="15">
        <v>0.2</v>
      </c>
      <c r="AB13" s="15">
        <v>0.26</v>
      </c>
      <c r="AC13" s="15">
        <v>0.18</v>
      </c>
      <c r="AD13" s="15">
        <v>0.14000000000000001</v>
      </c>
      <c r="AE13" s="15">
        <v>0.21</v>
      </c>
      <c r="AF13" s="15">
        <v>0.28999999999999998</v>
      </c>
      <c r="AG13" s="15">
        <v>0.3</v>
      </c>
      <c r="AH13" s="15">
        <v>0.33</v>
      </c>
      <c r="AI13" s="15">
        <v>0.22</v>
      </c>
      <c r="AJ13" s="15">
        <v>0.38</v>
      </c>
      <c r="AK13" s="15">
        <v>0.39</v>
      </c>
      <c r="AL13" s="15">
        <v>0.5</v>
      </c>
      <c r="AM13" s="15">
        <v>0.2</v>
      </c>
      <c r="AN13" s="15">
        <v>0.28999999999999998</v>
      </c>
      <c r="AO13" s="15">
        <v>0.57999999999999996</v>
      </c>
      <c r="AP13" s="15">
        <v>0.57000000000000006</v>
      </c>
      <c r="AQ13" s="15">
        <v>0.54</v>
      </c>
    </row>
    <row r="14" spans="1:43" x14ac:dyDescent="0.35">
      <c r="A14" s="19"/>
      <c r="B14" s="11" t="s">
        <v>559</v>
      </c>
      <c r="C14" s="12">
        <v>4557</v>
      </c>
      <c r="D14" s="12">
        <v>217</v>
      </c>
      <c r="E14" s="12">
        <v>261</v>
      </c>
      <c r="F14" s="12">
        <v>211</v>
      </c>
      <c r="G14" s="12">
        <v>54</v>
      </c>
      <c r="H14" s="12">
        <v>173</v>
      </c>
      <c r="I14" s="12">
        <v>235</v>
      </c>
      <c r="J14" s="12">
        <v>62</v>
      </c>
      <c r="K14" s="12">
        <v>197</v>
      </c>
      <c r="L14" s="12">
        <v>188</v>
      </c>
      <c r="M14" s="12">
        <v>230</v>
      </c>
      <c r="N14" s="12">
        <v>107</v>
      </c>
      <c r="O14" s="12">
        <v>200</v>
      </c>
      <c r="P14" s="12">
        <v>202</v>
      </c>
      <c r="Q14" s="12">
        <v>149</v>
      </c>
      <c r="R14" s="12">
        <v>74</v>
      </c>
      <c r="S14" s="12">
        <v>87</v>
      </c>
      <c r="T14" s="12">
        <v>98</v>
      </c>
      <c r="U14" s="12">
        <v>68</v>
      </c>
      <c r="V14" s="12">
        <v>188</v>
      </c>
      <c r="W14" s="12">
        <v>71</v>
      </c>
      <c r="X14" s="12">
        <v>112</v>
      </c>
      <c r="Y14" s="12">
        <v>286</v>
      </c>
      <c r="Z14" s="12">
        <v>211</v>
      </c>
      <c r="AA14" s="12">
        <v>180</v>
      </c>
      <c r="AB14" s="12">
        <v>329</v>
      </c>
      <c r="AC14" s="12">
        <v>171</v>
      </c>
      <c r="AD14" s="12">
        <v>428</v>
      </c>
      <c r="AE14" s="12">
        <v>77</v>
      </c>
      <c r="AF14" s="12">
        <v>70</v>
      </c>
      <c r="AG14" s="12">
        <v>334</v>
      </c>
      <c r="AH14" s="12">
        <v>141</v>
      </c>
      <c r="AI14" s="12">
        <v>111</v>
      </c>
      <c r="AJ14" s="12">
        <v>151</v>
      </c>
      <c r="AK14" s="12">
        <v>77</v>
      </c>
      <c r="AL14" s="12">
        <v>97</v>
      </c>
      <c r="AM14" s="12">
        <v>195</v>
      </c>
      <c r="AN14" s="12">
        <v>138</v>
      </c>
      <c r="AO14" s="12">
        <v>140</v>
      </c>
      <c r="AP14" s="12">
        <v>60</v>
      </c>
      <c r="AQ14" s="12">
        <v>69</v>
      </c>
    </row>
    <row r="15" spans="1:43" x14ac:dyDescent="0.35">
      <c r="A15" s="19"/>
      <c r="B15" s="13" t="s">
        <v>560</v>
      </c>
      <c r="C15" s="15">
        <v>0.17</v>
      </c>
      <c r="D15" s="15">
        <v>0.21</v>
      </c>
      <c r="E15" s="15">
        <v>0.25</v>
      </c>
      <c r="F15" s="15">
        <v>0.19</v>
      </c>
      <c r="G15" s="15">
        <v>0.05</v>
      </c>
      <c r="H15" s="15">
        <v>0.14000000000000001</v>
      </c>
      <c r="I15" s="15">
        <v>0.16</v>
      </c>
      <c r="J15" s="15">
        <v>0.21</v>
      </c>
      <c r="K15" s="15">
        <v>0.2</v>
      </c>
      <c r="L15" s="15">
        <v>0.19</v>
      </c>
      <c r="M15" s="15">
        <v>0.23</v>
      </c>
      <c r="N15" s="15">
        <v>0.11</v>
      </c>
      <c r="O15" s="15">
        <v>0.2</v>
      </c>
      <c r="P15" s="15">
        <v>0.2</v>
      </c>
      <c r="Q15" s="15">
        <v>0.14000000000000001</v>
      </c>
      <c r="R15" s="15">
        <v>0.15</v>
      </c>
      <c r="S15" s="15">
        <v>0.09</v>
      </c>
      <c r="T15" s="15">
        <v>0.1</v>
      </c>
      <c r="U15" s="15">
        <v>0.13</v>
      </c>
      <c r="V15" s="15">
        <v>0.19</v>
      </c>
      <c r="W15" s="15">
        <v>0.14000000000000001</v>
      </c>
      <c r="X15" s="15">
        <v>0.11</v>
      </c>
      <c r="Y15" s="15">
        <v>0.28000000000000003</v>
      </c>
      <c r="Z15" s="15">
        <v>0.21</v>
      </c>
      <c r="AA15" s="15">
        <v>0.17</v>
      </c>
      <c r="AB15" s="15">
        <v>0.31</v>
      </c>
      <c r="AC15" s="15">
        <v>0.17</v>
      </c>
      <c r="AD15" s="15">
        <v>0.43</v>
      </c>
      <c r="AE15" s="15">
        <v>7.0000000000000007E-2</v>
      </c>
      <c r="AF15" s="15">
        <v>7.0000000000000007E-2</v>
      </c>
      <c r="AG15" s="15">
        <v>0.32</v>
      </c>
      <c r="AH15" s="15">
        <v>0.14000000000000001</v>
      </c>
      <c r="AI15" s="15">
        <v>0.21</v>
      </c>
      <c r="AJ15" s="15">
        <v>0.15</v>
      </c>
      <c r="AK15" s="15">
        <v>0.08</v>
      </c>
      <c r="AL15" s="15">
        <v>0.1</v>
      </c>
      <c r="AM15" s="15">
        <v>0.19</v>
      </c>
      <c r="AN15" s="15">
        <v>0.14000000000000001</v>
      </c>
      <c r="AO15" s="15">
        <v>0.14000000000000001</v>
      </c>
      <c r="AP15" s="15">
        <v>0.11</v>
      </c>
      <c r="AQ15" s="15">
        <v>7.0000000000000007E-2</v>
      </c>
    </row>
    <row r="16" spans="1:43" x14ac:dyDescent="0.35">
      <c r="A16" s="19"/>
      <c r="B16" s="11" t="s">
        <v>561</v>
      </c>
      <c r="C16" s="12">
        <v>16198</v>
      </c>
      <c r="D16" s="12">
        <v>571</v>
      </c>
      <c r="E16" s="12">
        <v>450</v>
      </c>
      <c r="F16" s="12">
        <v>632</v>
      </c>
      <c r="G16" s="12">
        <v>722</v>
      </c>
      <c r="H16" s="12">
        <v>880</v>
      </c>
      <c r="I16" s="12">
        <v>1065</v>
      </c>
      <c r="J16" s="12">
        <v>185</v>
      </c>
      <c r="K16" s="12">
        <v>553</v>
      </c>
      <c r="L16" s="12">
        <v>633</v>
      </c>
      <c r="M16" s="12">
        <v>635</v>
      </c>
      <c r="N16" s="12">
        <v>685</v>
      </c>
      <c r="O16" s="12">
        <v>550</v>
      </c>
      <c r="P16" s="12">
        <v>484</v>
      </c>
      <c r="Q16" s="12">
        <v>612</v>
      </c>
      <c r="R16" s="12">
        <v>329</v>
      </c>
      <c r="S16" s="12">
        <v>636</v>
      </c>
      <c r="T16" s="12">
        <v>639</v>
      </c>
      <c r="U16" s="12">
        <v>315</v>
      </c>
      <c r="V16" s="12">
        <v>630</v>
      </c>
      <c r="W16" s="12">
        <v>296</v>
      </c>
      <c r="X16" s="12">
        <v>664</v>
      </c>
      <c r="Y16" s="12">
        <v>541</v>
      </c>
      <c r="Z16" s="12">
        <v>622</v>
      </c>
      <c r="AA16" s="12">
        <v>619</v>
      </c>
      <c r="AB16" s="12">
        <v>432</v>
      </c>
      <c r="AC16" s="12">
        <v>646</v>
      </c>
      <c r="AD16" s="12">
        <v>425</v>
      </c>
      <c r="AE16" s="12">
        <v>716</v>
      </c>
      <c r="AF16" s="12">
        <v>670</v>
      </c>
      <c r="AG16" s="12">
        <v>387</v>
      </c>
      <c r="AH16" s="12">
        <v>527</v>
      </c>
      <c r="AI16" s="12">
        <v>291</v>
      </c>
      <c r="AJ16" s="12">
        <v>488</v>
      </c>
      <c r="AK16" s="12">
        <v>529</v>
      </c>
      <c r="AL16" s="12">
        <v>357</v>
      </c>
      <c r="AM16" s="12">
        <v>614</v>
      </c>
      <c r="AN16" s="12">
        <v>562</v>
      </c>
      <c r="AO16" s="12">
        <v>264</v>
      </c>
      <c r="AP16" s="12">
        <v>163</v>
      </c>
      <c r="AQ16" s="12">
        <v>345</v>
      </c>
    </row>
    <row r="17" spans="1:43" x14ac:dyDescent="0.35">
      <c r="A17" s="19"/>
      <c r="B17" s="13" t="s">
        <v>562</v>
      </c>
      <c r="C17" s="15">
        <v>0.61</v>
      </c>
      <c r="D17" s="15">
        <v>0.56000000000000005</v>
      </c>
      <c r="E17" s="15">
        <v>0.44</v>
      </c>
      <c r="F17" s="15">
        <v>0.57000000000000006</v>
      </c>
      <c r="G17" s="15">
        <v>0.72</v>
      </c>
      <c r="H17" s="15">
        <v>0.72</v>
      </c>
      <c r="I17" s="15">
        <v>0.70000000000000007</v>
      </c>
      <c r="J17" s="15">
        <v>0.63</v>
      </c>
      <c r="K17" s="15">
        <v>0.55000000000000004</v>
      </c>
      <c r="L17" s="15">
        <v>0.63</v>
      </c>
      <c r="M17" s="15">
        <v>0.63</v>
      </c>
      <c r="N17" s="15">
        <v>0.68</v>
      </c>
      <c r="O17" s="15">
        <v>0.55000000000000004</v>
      </c>
      <c r="P17" s="15">
        <v>0.48</v>
      </c>
      <c r="Q17" s="15">
        <v>0.6</v>
      </c>
      <c r="R17" s="15">
        <v>0.65</v>
      </c>
      <c r="S17" s="15">
        <v>0.63</v>
      </c>
      <c r="T17" s="15">
        <v>0.64</v>
      </c>
      <c r="U17" s="15">
        <v>0.63</v>
      </c>
      <c r="V17" s="15">
        <v>0.62</v>
      </c>
      <c r="W17" s="15">
        <v>0.57999999999999996</v>
      </c>
      <c r="X17" s="15">
        <v>0.66</v>
      </c>
      <c r="Y17" s="15">
        <v>0.54</v>
      </c>
      <c r="Z17" s="15">
        <v>0.6</v>
      </c>
      <c r="AA17" s="15">
        <v>0.6</v>
      </c>
      <c r="AB17" s="15">
        <v>0.41</v>
      </c>
      <c r="AC17" s="15">
        <v>0.64</v>
      </c>
      <c r="AD17" s="15">
        <v>0.42</v>
      </c>
      <c r="AE17" s="15">
        <v>0.71</v>
      </c>
      <c r="AF17" s="15">
        <v>0.64</v>
      </c>
      <c r="AG17" s="15">
        <v>0.37</v>
      </c>
      <c r="AH17" s="15">
        <v>0.52</v>
      </c>
      <c r="AI17" s="15">
        <v>0.56000000000000005</v>
      </c>
      <c r="AJ17" s="15">
        <v>0.47</v>
      </c>
      <c r="AK17" s="15">
        <v>0.52</v>
      </c>
      <c r="AL17" s="15">
        <v>0.35</v>
      </c>
      <c r="AM17" s="15">
        <v>0.59</v>
      </c>
      <c r="AN17" s="15">
        <v>0.56000000000000005</v>
      </c>
      <c r="AO17" s="15">
        <v>0.26</v>
      </c>
      <c r="AP17" s="15">
        <v>0.31</v>
      </c>
      <c r="AQ17" s="15">
        <v>0.34</v>
      </c>
    </row>
    <row r="18" spans="1:43" x14ac:dyDescent="0.35">
      <c r="A18" s="19"/>
      <c r="B18" s="11" t="s">
        <v>485</v>
      </c>
      <c r="C18" s="12">
        <v>480</v>
      </c>
      <c r="D18" s="12">
        <v>16</v>
      </c>
      <c r="E18" s="12">
        <v>91</v>
      </c>
      <c r="F18" s="12">
        <v>17</v>
      </c>
      <c r="G18" s="12">
        <v>9</v>
      </c>
      <c r="H18" s="12">
        <v>12</v>
      </c>
      <c r="I18" s="12">
        <v>15</v>
      </c>
      <c r="J18" s="12">
        <v>3</v>
      </c>
      <c r="K18" s="12">
        <v>35</v>
      </c>
      <c r="L18" s="12">
        <v>26</v>
      </c>
      <c r="M18" s="12">
        <v>7</v>
      </c>
      <c r="N18" s="12">
        <v>9</v>
      </c>
      <c r="O18" s="12">
        <v>49</v>
      </c>
      <c r="P18" s="12">
        <v>3</v>
      </c>
      <c r="Q18" s="12">
        <v>6</v>
      </c>
      <c r="R18" s="12">
        <v>8</v>
      </c>
      <c r="S18" s="12">
        <v>14</v>
      </c>
      <c r="T18" s="12">
        <v>14</v>
      </c>
      <c r="U18" s="12">
        <v>10</v>
      </c>
      <c r="V18" s="12">
        <v>19</v>
      </c>
      <c r="W18" s="12">
        <v>30</v>
      </c>
      <c r="X18" s="12">
        <v>1</v>
      </c>
      <c r="Y18" s="12">
        <v>16</v>
      </c>
      <c r="Z18" s="12">
        <v>20</v>
      </c>
      <c r="AA18" s="12">
        <v>32</v>
      </c>
      <c r="AB18" s="12">
        <v>19</v>
      </c>
      <c r="AC18" s="12">
        <v>9</v>
      </c>
      <c r="AD18" s="12">
        <v>12</v>
      </c>
      <c r="AE18" s="12">
        <v>7</v>
      </c>
      <c r="AF18" s="12">
        <v>5</v>
      </c>
      <c r="AG18" s="12">
        <v>4</v>
      </c>
      <c r="AH18" s="12">
        <v>7</v>
      </c>
      <c r="AI18" s="12">
        <v>5</v>
      </c>
      <c r="AJ18" s="12">
        <v>6</v>
      </c>
      <c r="AK18" s="12">
        <v>5</v>
      </c>
      <c r="AL18" s="12">
        <v>50</v>
      </c>
      <c r="AM18" s="12">
        <v>20</v>
      </c>
      <c r="AN18" s="12">
        <v>7</v>
      </c>
      <c r="AO18" s="12">
        <v>19</v>
      </c>
      <c r="AP18" s="12">
        <v>3</v>
      </c>
      <c r="AQ18" s="12">
        <v>47</v>
      </c>
    </row>
    <row r="19" spans="1:43" x14ac:dyDescent="0.35">
      <c r="A19" s="19"/>
      <c r="B19" s="13" t="s">
        <v>486</v>
      </c>
      <c r="C19" s="15">
        <v>0.02</v>
      </c>
      <c r="D19" s="15">
        <v>0.02</v>
      </c>
      <c r="E19" s="15">
        <v>0.09</v>
      </c>
      <c r="F19" s="15">
        <v>0.02</v>
      </c>
      <c r="G19" s="15">
        <v>0.01</v>
      </c>
      <c r="H19" s="15">
        <v>0.01</v>
      </c>
      <c r="I19" s="15">
        <v>0.01</v>
      </c>
      <c r="J19" s="15">
        <v>0.01</v>
      </c>
      <c r="K19" s="15">
        <v>0.03</v>
      </c>
      <c r="L19" s="15">
        <v>0.03</v>
      </c>
      <c r="M19" s="15">
        <v>0.01</v>
      </c>
      <c r="N19" s="15">
        <v>0.01</v>
      </c>
      <c r="O19" s="15">
        <v>0.05</v>
      </c>
      <c r="P19" s="14" t="s">
        <v>475</v>
      </c>
      <c r="Q19" s="15">
        <v>0.01</v>
      </c>
      <c r="R19" s="15">
        <v>0.02</v>
      </c>
      <c r="S19" s="15">
        <v>0.01</v>
      </c>
      <c r="T19" s="15">
        <v>0.01</v>
      </c>
      <c r="U19" s="15">
        <v>0.02</v>
      </c>
      <c r="V19" s="15">
        <v>0.02</v>
      </c>
      <c r="W19" s="15">
        <v>0.06</v>
      </c>
      <c r="X19" s="14" t="s">
        <v>475</v>
      </c>
      <c r="Y19" s="15">
        <v>0.02</v>
      </c>
      <c r="Z19" s="15">
        <v>0.02</v>
      </c>
      <c r="AA19" s="15">
        <v>0.03</v>
      </c>
      <c r="AB19" s="15">
        <v>0.02</v>
      </c>
      <c r="AC19" s="15">
        <v>0.01</v>
      </c>
      <c r="AD19" s="15">
        <v>0.01</v>
      </c>
      <c r="AE19" s="15">
        <v>0.01</v>
      </c>
      <c r="AF19" s="14" t="s">
        <v>475</v>
      </c>
      <c r="AG19" s="15">
        <v>0.01</v>
      </c>
      <c r="AH19" s="15">
        <v>0.01</v>
      </c>
      <c r="AI19" s="15">
        <v>0.01</v>
      </c>
      <c r="AJ19" s="14" t="s">
        <v>475</v>
      </c>
      <c r="AK19" s="15">
        <v>0.01</v>
      </c>
      <c r="AL19" s="15">
        <v>0.05</v>
      </c>
      <c r="AM19" s="15">
        <v>0.02</v>
      </c>
      <c r="AN19" s="15">
        <v>0.01</v>
      </c>
      <c r="AO19" s="15">
        <v>0.02</v>
      </c>
      <c r="AP19" s="15">
        <v>0.01</v>
      </c>
      <c r="AQ19" s="15">
        <v>0.05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571</v>
      </c>
      <c r="C3" s="18"/>
      <c r="D3" s="18"/>
      <c r="E3" s="18"/>
      <c r="F3" s="18"/>
      <c r="H3" s="18" t="s">
        <v>572</v>
      </c>
      <c r="I3" s="18"/>
      <c r="J3" s="18"/>
      <c r="K3" s="18"/>
      <c r="L3" s="18"/>
    </row>
    <row r="4" spans="1:43" ht="27" customHeight="1" x14ac:dyDescent="0.35">
      <c r="B4" s="18" t="s">
        <v>547</v>
      </c>
      <c r="C4" s="18"/>
      <c r="D4" s="18"/>
      <c r="E4" s="18"/>
      <c r="F4" s="18"/>
      <c r="H4" s="18" t="s">
        <v>548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557</v>
      </c>
      <c r="C12" s="12">
        <v>4899</v>
      </c>
      <c r="D12" s="12">
        <v>148</v>
      </c>
      <c r="E12" s="12">
        <v>203</v>
      </c>
      <c r="F12" s="12">
        <v>203</v>
      </c>
      <c r="G12" s="12">
        <v>121</v>
      </c>
      <c r="H12" s="12">
        <v>178</v>
      </c>
      <c r="I12" s="12">
        <v>212</v>
      </c>
      <c r="J12" s="12">
        <v>34</v>
      </c>
      <c r="K12" s="12">
        <v>168</v>
      </c>
      <c r="L12" s="12">
        <v>161</v>
      </c>
      <c r="M12" s="12">
        <v>143</v>
      </c>
      <c r="N12" s="12">
        <v>189</v>
      </c>
      <c r="O12" s="12">
        <v>146</v>
      </c>
      <c r="P12" s="12">
        <v>292</v>
      </c>
      <c r="Q12" s="12">
        <v>339</v>
      </c>
      <c r="R12" s="12">
        <v>67</v>
      </c>
      <c r="S12" s="12">
        <v>195</v>
      </c>
      <c r="T12" s="12">
        <v>195</v>
      </c>
      <c r="U12" s="12">
        <v>90</v>
      </c>
      <c r="V12" s="12">
        <v>151</v>
      </c>
      <c r="W12" s="12">
        <v>78</v>
      </c>
      <c r="X12" s="12">
        <v>130</v>
      </c>
      <c r="Y12" s="12">
        <v>168</v>
      </c>
      <c r="Z12" s="12">
        <v>153</v>
      </c>
      <c r="AA12" s="12">
        <v>223</v>
      </c>
      <c r="AB12" s="12">
        <v>208</v>
      </c>
      <c r="AC12" s="12">
        <v>138</v>
      </c>
      <c r="AD12" s="12">
        <v>107</v>
      </c>
      <c r="AE12" s="12">
        <v>288</v>
      </c>
      <c r="AF12" s="12">
        <v>272</v>
      </c>
      <c r="AG12" s="12">
        <v>320</v>
      </c>
      <c r="AH12" s="12">
        <v>269</v>
      </c>
      <c r="AI12" s="12">
        <v>105</v>
      </c>
      <c r="AJ12" s="12">
        <v>319</v>
      </c>
      <c r="AK12" s="12">
        <v>318</v>
      </c>
      <c r="AL12" s="12">
        <v>461</v>
      </c>
      <c r="AM12" s="12">
        <v>122</v>
      </c>
      <c r="AN12" s="12">
        <v>251</v>
      </c>
      <c r="AO12" s="12">
        <v>548</v>
      </c>
      <c r="AP12" s="12">
        <v>280</v>
      </c>
      <c r="AQ12" s="12">
        <v>464</v>
      </c>
    </row>
    <row r="13" spans="1:43" x14ac:dyDescent="0.35">
      <c r="A13" s="19"/>
      <c r="B13" s="13" t="s">
        <v>558</v>
      </c>
      <c r="C13" s="15">
        <v>0.19</v>
      </c>
      <c r="D13" s="15">
        <v>0.15</v>
      </c>
      <c r="E13" s="15">
        <v>0.2</v>
      </c>
      <c r="F13" s="15">
        <v>0.18</v>
      </c>
      <c r="G13" s="15">
        <v>0.12</v>
      </c>
      <c r="H13" s="15">
        <v>0.14000000000000001</v>
      </c>
      <c r="I13" s="15">
        <v>0.14000000000000001</v>
      </c>
      <c r="J13" s="15">
        <v>0.12</v>
      </c>
      <c r="K13" s="15">
        <v>0.17</v>
      </c>
      <c r="L13" s="15">
        <v>0.16</v>
      </c>
      <c r="M13" s="15">
        <v>0.14000000000000001</v>
      </c>
      <c r="N13" s="15">
        <v>0.19</v>
      </c>
      <c r="O13" s="15">
        <v>0.14000000000000001</v>
      </c>
      <c r="P13" s="15">
        <v>0.28999999999999998</v>
      </c>
      <c r="Q13" s="15">
        <v>0.33</v>
      </c>
      <c r="R13" s="15">
        <v>0.13</v>
      </c>
      <c r="S13" s="15">
        <v>0.19</v>
      </c>
      <c r="T13" s="15">
        <v>0.2</v>
      </c>
      <c r="U13" s="15">
        <v>0.18</v>
      </c>
      <c r="V13" s="15">
        <v>0.15</v>
      </c>
      <c r="W13" s="15">
        <v>0.15</v>
      </c>
      <c r="X13" s="15">
        <v>0.13</v>
      </c>
      <c r="Y13" s="15">
        <v>0.17</v>
      </c>
      <c r="Z13" s="15">
        <v>0.15</v>
      </c>
      <c r="AA13" s="15">
        <v>0.22</v>
      </c>
      <c r="AB13" s="15">
        <v>0.2</v>
      </c>
      <c r="AC13" s="15">
        <v>0.14000000000000001</v>
      </c>
      <c r="AD13" s="15">
        <v>0.11</v>
      </c>
      <c r="AE13" s="15">
        <v>0.28999999999999998</v>
      </c>
      <c r="AF13" s="15">
        <v>0.26</v>
      </c>
      <c r="AG13" s="15">
        <v>0.31</v>
      </c>
      <c r="AH13" s="15">
        <v>0.26</v>
      </c>
      <c r="AI13" s="15">
        <v>0.2</v>
      </c>
      <c r="AJ13" s="15">
        <v>0.31</v>
      </c>
      <c r="AK13" s="15">
        <v>0.32</v>
      </c>
      <c r="AL13" s="15">
        <v>0.45</v>
      </c>
      <c r="AM13" s="15">
        <v>0.12</v>
      </c>
      <c r="AN13" s="15">
        <v>0.25</v>
      </c>
      <c r="AO13" s="15">
        <v>0.54</v>
      </c>
      <c r="AP13" s="15">
        <v>0.54</v>
      </c>
      <c r="AQ13" s="15">
        <v>0.46</v>
      </c>
    </row>
    <row r="14" spans="1:43" x14ac:dyDescent="0.35">
      <c r="A14" s="19"/>
      <c r="B14" s="11" t="s">
        <v>559</v>
      </c>
      <c r="C14" s="12">
        <v>7517</v>
      </c>
      <c r="D14" s="12">
        <v>393</v>
      </c>
      <c r="E14" s="12">
        <v>294</v>
      </c>
      <c r="F14" s="12">
        <v>227</v>
      </c>
      <c r="G14" s="12">
        <v>167</v>
      </c>
      <c r="H14" s="12">
        <v>388</v>
      </c>
      <c r="I14" s="12">
        <v>518</v>
      </c>
      <c r="J14" s="12">
        <v>130</v>
      </c>
      <c r="K14" s="12">
        <v>329</v>
      </c>
      <c r="L14" s="12">
        <v>182</v>
      </c>
      <c r="M14" s="12">
        <v>301</v>
      </c>
      <c r="N14" s="12">
        <v>271</v>
      </c>
      <c r="O14" s="12">
        <v>357</v>
      </c>
      <c r="P14" s="12">
        <v>211</v>
      </c>
      <c r="Q14" s="12">
        <v>207</v>
      </c>
      <c r="R14" s="12">
        <v>110</v>
      </c>
      <c r="S14" s="12">
        <v>145</v>
      </c>
      <c r="T14" s="12">
        <v>134</v>
      </c>
      <c r="U14" s="12">
        <v>165</v>
      </c>
      <c r="V14" s="12">
        <v>261</v>
      </c>
      <c r="W14" s="12">
        <v>128</v>
      </c>
      <c r="X14" s="12">
        <v>210</v>
      </c>
      <c r="Y14" s="12">
        <v>372</v>
      </c>
      <c r="Z14" s="12">
        <v>227</v>
      </c>
      <c r="AA14" s="12">
        <v>210</v>
      </c>
      <c r="AB14" s="12">
        <v>366</v>
      </c>
      <c r="AC14" s="12">
        <v>233</v>
      </c>
      <c r="AD14" s="12">
        <v>512</v>
      </c>
      <c r="AE14" s="12">
        <v>278</v>
      </c>
      <c r="AF14" s="12">
        <v>253</v>
      </c>
      <c r="AG14" s="12">
        <v>389</v>
      </c>
      <c r="AH14" s="12">
        <v>231</v>
      </c>
      <c r="AI14" s="12">
        <v>143</v>
      </c>
      <c r="AJ14" s="12">
        <v>241</v>
      </c>
      <c r="AK14" s="12">
        <v>134</v>
      </c>
      <c r="AL14" s="12">
        <v>168</v>
      </c>
      <c r="AM14" s="12">
        <v>399</v>
      </c>
      <c r="AN14" s="12">
        <v>235</v>
      </c>
      <c r="AO14" s="12">
        <v>169</v>
      </c>
      <c r="AP14" s="12">
        <v>102</v>
      </c>
      <c r="AQ14" s="12">
        <v>129</v>
      </c>
    </row>
    <row r="15" spans="1:43" x14ac:dyDescent="0.35">
      <c r="A15" s="19"/>
      <c r="B15" s="13" t="s">
        <v>560</v>
      </c>
      <c r="C15" s="15">
        <v>0.28000000000000003</v>
      </c>
      <c r="D15" s="15">
        <v>0.39</v>
      </c>
      <c r="E15" s="15">
        <v>0.28999999999999998</v>
      </c>
      <c r="F15" s="15">
        <v>0.21</v>
      </c>
      <c r="G15" s="15">
        <v>0.17</v>
      </c>
      <c r="H15" s="15">
        <v>0.32</v>
      </c>
      <c r="I15" s="15">
        <v>0.34</v>
      </c>
      <c r="J15" s="15">
        <v>0.44</v>
      </c>
      <c r="K15" s="15">
        <v>0.33</v>
      </c>
      <c r="L15" s="15">
        <v>0.18</v>
      </c>
      <c r="M15" s="15">
        <v>0.3</v>
      </c>
      <c r="N15" s="15">
        <v>0.27</v>
      </c>
      <c r="O15" s="15">
        <v>0.36</v>
      </c>
      <c r="P15" s="15">
        <v>0.21</v>
      </c>
      <c r="Q15" s="15">
        <v>0.2</v>
      </c>
      <c r="R15" s="15">
        <v>0.22</v>
      </c>
      <c r="S15" s="15">
        <v>0.15</v>
      </c>
      <c r="T15" s="15">
        <v>0.13</v>
      </c>
      <c r="U15" s="15">
        <v>0.33</v>
      </c>
      <c r="V15" s="15">
        <v>0.26</v>
      </c>
      <c r="W15" s="15">
        <v>0.25</v>
      </c>
      <c r="X15" s="15">
        <v>0.21</v>
      </c>
      <c r="Y15" s="15">
        <v>0.37</v>
      </c>
      <c r="Z15" s="15">
        <v>0.22</v>
      </c>
      <c r="AA15" s="15">
        <v>0.2</v>
      </c>
      <c r="AB15" s="15">
        <v>0.35</v>
      </c>
      <c r="AC15" s="15">
        <v>0.23</v>
      </c>
      <c r="AD15" s="15">
        <v>0.51</v>
      </c>
      <c r="AE15" s="15">
        <v>0.27</v>
      </c>
      <c r="AF15" s="15">
        <v>0.24</v>
      </c>
      <c r="AG15" s="15">
        <v>0.38</v>
      </c>
      <c r="AH15" s="15">
        <v>0.23</v>
      </c>
      <c r="AI15" s="15">
        <v>0.27</v>
      </c>
      <c r="AJ15" s="15">
        <v>0.23</v>
      </c>
      <c r="AK15" s="15">
        <v>0.13</v>
      </c>
      <c r="AL15" s="15">
        <v>0.17</v>
      </c>
      <c r="AM15" s="15">
        <v>0.38</v>
      </c>
      <c r="AN15" s="15">
        <v>0.24</v>
      </c>
      <c r="AO15" s="15">
        <v>0.17</v>
      </c>
      <c r="AP15" s="15">
        <v>0.19</v>
      </c>
      <c r="AQ15" s="15">
        <v>0.13</v>
      </c>
    </row>
    <row r="16" spans="1:43" x14ac:dyDescent="0.35">
      <c r="A16" s="19"/>
      <c r="B16" s="11" t="s">
        <v>561</v>
      </c>
      <c r="C16" s="12">
        <v>13111</v>
      </c>
      <c r="D16" s="12">
        <v>448</v>
      </c>
      <c r="E16" s="12">
        <v>408</v>
      </c>
      <c r="F16" s="12">
        <v>628</v>
      </c>
      <c r="G16" s="12">
        <v>679</v>
      </c>
      <c r="H16" s="12">
        <v>610</v>
      </c>
      <c r="I16" s="12">
        <v>737</v>
      </c>
      <c r="J16" s="12">
        <v>127</v>
      </c>
      <c r="K16" s="12">
        <v>393</v>
      </c>
      <c r="L16" s="12">
        <v>629</v>
      </c>
      <c r="M16" s="12">
        <v>560</v>
      </c>
      <c r="N16" s="12">
        <v>518</v>
      </c>
      <c r="O16" s="12">
        <v>436</v>
      </c>
      <c r="P16" s="12">
        <v>492</v>
      </c>
      <c r="Q16" s="12">
        <v>470</v>
      </c>
      <c r="R16" s="12">
        <v>311</v>
      </c>
      <c r="S16" s="12">
        <v>601</v>
      </c>
      <c r="T16" s="12">
        <v>654</v>
      </c>
      <c r="U16" s="12">
        <v>214</v>
      </c>
      <c r="V16" s="12">
        <v>565</v>
      </c>
      <c r="W16" s="12">
        <v>257</v>
      </c>
      <c r="X16" s="12">
        <v>652</v>
      </c>
      <c r="Y16" s="12">
        <v>446</v>
      </c>
      <c r="Z16" s="12">
        <v>609</v>
      </c>
      <c r="AA16" s="12">
        <v>542</v>
      </c>
      <c r="AB16" s="12">
        <v>426</v>
      </c>
      <c r="AC16" s="12">
        <v>595</v>
      </c>
      <c r="AD16" s="12">
        <v>356</v>
      </c>
      <c r="AE16" s="12">
        <v>412</v>
      </c>
      <c r="AF16" s="12">
        <v>502</v>
      </c>
      <c r="AG16" s="12">
        <v>321</v>
      </c>
      <c r="AH16" s="12">
        <v>496</v>
      </c>
      <c r="AI16" s="12">
        <v>272</v>
      </c>
      <c r="AJ16" s="12">
        <v>468</v>
      </c>
      <c r="AK16" s="12">
        <v>545</v>
      </c>
      <c r="AL16" s="12">
        <v>292</v>
      </c>
      <c r="AM16" s="12">
        <v>460</v>
      </c>
      <c r="AN16" s="12">
        <v>505</v>
      </c>
      <c r="AO16" s="12">
        <v>261</v>
      </c>
      <c r="AP16" s="12">
        <v>138</v>
      </c>
      <c r="AQ16" s="12">
        <v>336</v>
      </c>
    </row>
    <row r="17" spans="1:43" x14ac:dyDescent="0.35">
      <c r="A17" s="19"/>
      <c r="B17" s="13" t="s">
        <v>562</v>
      </c>
      <c r="C17" s="15">
        <v>0.5</v>
      </c>
      <c r="D17" s="15">
        <v>0.44</v>
      </c>
      <c r="E17" s="15">
        <v>0.39</v>
      </c>
      <c r="F17" s="15">
        <v>0.57000000000000006</v>
      </c>
      <c r="G17" s="15">
        <v>0.67</v>
      </c>
      <c r="H17" s="15">
        <v>0.5</v>
      </c>
      <c r="I17" s="15">
        <v>0.49</v>
      </c>
      <c r="J17" s="15">
        <v>0.43</v>
      </c>
      <c r="K17" s="15">
        <v>0.39</v>
      </c>
      <c r="L17" s="15">
        <v>0.63</v>
      </c>
      <c r="M17" s="15">
        <v>0.55000000000000004</v>
      </c>
      <c r="N17" s="15">
        <v>0.52</v>
      </c>
      <c r="O17" s="15">
        <v>0.44</v>
      </c>
      <c r="P17" s="15">
        <v>0.49</v>
      </c>
      <c r="Q17" s="15">
        <v>0.46</v>
      </c>
      <c r="R17" s="15">
        <v>0.62</v>
      </c>
      <c r="S17" s="15">
        <v>0.6</v>
      </c>
      <c r="T17" s="15">
        <v>0.65</v>
      </c>
      <c r="U17" s="15">
        <v>0.42</v>
      </c>
      <c r="V17" s="15">
        <v>0.55000000000000004</v>
      </c>
      <c r="W17" s="15">
        <v>0.51</v>
      </c>
      <c r="X17" s="15">
        <v>0.64</v>
      </c>
      <c r="Y17" s="15">
        <v>0.44</v>
      </c>
      <c r="Z17" s="15">
        <v>0.59</v>
      </c>
      <c r="AA17" s="15">
        <v>0.52</v>
      </c>
      <c r="AB17" s="15">
        <v>0.4</v>
      </c>
      <c r="AC17" s="15">
        <v>0.59</v>
      </c>
      <c r="AD17" s="15">
        <v>0.35</v>
      </c>
      <c r="AE17" s="15">
        <v>0.41</v>
      </c>
      <c r="AF17" s="15">
        <v>0.48</v>
      </c>
      <c r="AG17" s="15">
        <v>0.31</v>
      </c>
      <c r="AH17" s="15">
        <v>0.49</v>
      </c>
      <c r="AI17" s="15">
        <v>0.52</v>
      </c>
      <c r="AJ17" s="15">
        <v>0.45</v>
      </c>
      <c r="AK17" s="15">
        <v>0.54</v>
      </c>
      <c r="AL17" s="15">
        <v>0.28999999999999998</v>
      </c>
      <c r="AM17" s="15">
        <v>0.44</v>
      </c>
      <c r="AN17" s="15">
        <v>0.5</v>
      </c>
      <c r="AO17" s="15">
        <v>0.26</v>
      </c>
      <c r="AP17" s="15">
        <v>0.26</v>
      </c>
      <c r="AQ17" s="15">
        <v>0.34</v>
      </c>
    </row>
    <row r="18" spans="1:43" x14ac:dyDescent="0.35">
      <c r="A18" s="19"/>
      <c r="B18" s="11" t="s">
        <v>485</v>
      </c>
      <c r="C18" s="12">
        <v>918</v>
      </c>
      <c r="D18" s="12">
        <v>25</v>
      </c>
      <c r="E18" s="12">
        <v>125</v>
      </c>
      <c r="F18" s="12">
        <v>44</v>
      </c>
      <c r="G18" s="12">
        <v>39</v>
      </c>
      <c r="H18" s="12">
        <v>45</v>
      </c>
      <c r="I18" s="12">
        <v>49</v>
      </c>
      <c r="J18" s="12">
        <v>4</v>
      </c>
      <c r="K18" s="12">
        <v>112</v>
      </c>
      <c r="L18" s="12">
        <v>30</v>
      </c>
      <c r="M18" s="12">
        <v>6</v>
      </c>
      <c r="N18" s="12">
        <v>25</v>
      </c>
      <c r="O18" s="12">
        <v>62</v>
      </c>
      <c r="P18" s="12">
        <v>9</v>
      </c>
      <c r="Q18" s="12">
        <v>11</v>
      </c>
      <c r="R18" s="12">
        <v>15</v>
      </c>
      <c r="S18" s="12">
        <v>61</v>
      </c>
      <c r="T18" s="12">
        <v>23</v>
      </c>
      <c r="U18" s="12">
        <v>35</v>
      </c>
      <c r="V18" s="12">
        <v>38</v>
      </c>
      <c r="W18" s="12">
        <v>45</v>
      </c>
      <c r="X18" s="12">
        <v>17</v>
      </c>
      <c r="Y18" s="12">
        <v>17</v>
      </c>
      <c r="Z18" s="12">
        <v>41</v>
      </c>
      <c r="AA18" s="12">
        <v>57</v>
      </c>
      <c r="AB18" s="12">
        <v>50</v>
      </c>
      <c r="AC18" s="12">
        <v>37</v>
      </c>
      <c r="AD18" s="12">
        <v>30</v>
      </c>
      <c r="AE18" s="12">
        <v>35</v>
      </c>
      <c r="AF18" s="12">
        <v>16</v>
      </c>
      <c r="AG18" s="12">
        <v>5</v>
      </c>
      <c r="AH18" s="12">
        <v>17</v>
      </c>
      <c r="AI18" s="12">
        <v>3</v>
      </c>
      <c r="AJ18" s="12">
        <v>9</v>
      </c>
      <c r="AK18" s="12">
        <v>10</v>
      </c>
      <c r="AL18" s="12">
        <v>91</v>
      </c>
      <c r="AM18" s="12">
        <v>59</v>
      </c>
      <c r="AN18" s="12">
        <v>11</v>
      </c>
      <c r="AO18" s="12">
        <v>26</v>
      </c>
      <c r="AP18" s="12">
        <v>4</v>
      </c>
      <c r="AQ18" s="12">
        <v>73</v>
      </c>
    </row>
    <row r="19" spans="1:43" x14ac:dyDescent="0.35">
      <c r="A19" s="19"/>
      <c r="B19" s="13" t="s">
        <v>486</v>
      </c>
      <c r="C19" s="15">
        <v>0.03</v>
      </c>
      <c r="D19" s="15">
        <v>0.02</v>
      </c>
      <c r="E19" s="15">
        <v>0.12</v>
      </c>
      <c r="F19" s="15">
        <v>0.04</v>
      </c>
      <c r="G19" s="15">
        <v>0.04</v>
      </c>
      <c r="H19" s="15">
        <v>0.04</v>
      </c>
      <c r="I19" s="15">
        <v>0.03</v>
      </c>
      <c r="J19" s="15">
        <v>0.01</v>
      </c>
      <c r="K19" s="15">
        <v>0.11</v>
      </c>
      <c r="L19" s="15">
        <v>0.03</v>
      </c>
      <c r="M19" s="15">
        <v>0.01</v>
      </c>
      <c r="N19" s="15">
        <v>0.02</v>
      </c>
      <c r="O19" s="15">
        <v>0.06</v>
      </c>
      <c r="P19" s="15">
        <v>0.01</v>
      </c>
      <c r="Q19" s="15">
        <v>0.01</v>
      </c>
      <c r="R19" s="15">
        <v>0.03</v>
      </c>
      <c r="S19" s="15">
        <v>0.06</v>
      </c>
      <c r="T19" s="15">
        <v>0.02</v>
      </c>
      <c r="U19" s="15">
        <v>7.0000000000000007E-2</v>
      </c>
      <c r="V19" s="15">
        <v>0.04</v>
      </c>
      <c r="W19" s="15">
        <v>0.09</v>
      </c>
      <c r="X19" s="15">
        <v>0.02</v>
      </c>
      <c r="Y19" s="15">
        <v>0.02</v>
      </c>
      <c r="Z19" s="15">
        <v>0.04</v>
      </c>
      <c r="AA19" s="15">
        <v>0.06</v>
      </c>
      <c r="AB19" s="15">
        <v>0.05</v>
      </c>
      <c r="AC19" s="15">
        <v>0.04</v>
      </c>
      <c r="AD19" s="15">
        <v>0.03</v>
      </c>
      <c r="AE19" s="15">
        <v>0.03</v>
      </c>
      <c r="AF19" s="15">
        <v>0.02</v>
      </c>
      <c r="AG19" s="14" t="s">
        <v>475</v>
      </c>
      <c r="AH19" s="15">
        <v>0.02</v>
      </c>
      <c r="AI19" s="15">
        <v>0.01</v>
      </c>
      <c r="AJ19" s="15">
        <v>0.01</v>
      </c>
      <c r="AK19" s="15">
        <v>0.01</v>
      </c>
      <c r="AL19" s="15">
        <v>0.09</v>
      </c>
      <c r="AM19" s="15">
        <v>0.06</v>
      </c>
      <c r="AN19" s="15">
        <v>0.01</v>
      </c>
      <c r="AO19" s="15">
        <v>0.03</v>
      </c>
      <c r="AP19" s="15">
        <v>0.01</v>
      </c>
      <c r="AQ19" s="15">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573</v>
      </c>
      <c r="C3" s="18"/>
      <c r="D3" s="18"/>
      <c r="E3" s="18"/>
      <c r="F3" s="18"/>
      <c r="H3" s="18" t="s">
        <v>574</v>
      </c>
      <c r="I3" s="18"/>
      <c r="J3" s="18"/>
      <c r="K3" s="18"/>
      <c r="L3" s="18"/>
    </row>
    <row r="4" spans="1:43" ht="27" customHeight="1" x14ac:dyDescent="0.35">
      <c r="B4" s="18" t="s">
        <v>539</v>
      </c>
      <c r="C4" s="18"/>
      <c r="D4" s="18"/>
      <c r="E4" s="18"/>
      <c r="F4" s="18"/>
      <c r="H4" s="18" t="s">
        <v>540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557</v>
      </c>
      <c r="C12" s="12">
        <v>5105</v>
      </c>
      <c r="D12" s="12">
        <v>218</v>
      </c>
      <c r="E12" s="12">
        <v>197</v>
      </c>
      <c r="F12" s="12">
        <v>231</v>
      </c>
      <c r="G12" s="12">
        <v>158</v>
      </c>
      <c r="H12" s="12">
        <v>173</v>
      </c>
      <c r="I12" s="12">
        <v>227</v>
      </c>
      <c r="J12" s="12">
        <v>55</v>
      </c>
      <c r="K12" s="12">
        <v>200</v>
      </c>
      <c r="L12" s="12">
        <v>172</v>
      </c>
      <c r="M12" s="12">
        <v>129</v>
      </c>
      <c r="N12" s="12">
        <v>210</v>
      </c>
      <c r="O12" s="12">
        <v>206</v>
      </c>
      <c r="P12" s="12">
        <v>313</v>
      </c>
      <c r="Q12" s="12">
        <v>249</v>
      </c>
      <c r="R12" s="12">
        <v>96</v>
      </c>
      <c r="S12" s="12">
        <v>227</v>
      </c>
      <c r="T12" s="12">
        <v>202</v>
      </c>
      <c r="U12" s="12">
        <v>129</v>
      </c>
      <c r="V12" s="12">
        <v>144</v>
      </c>
      <c r="W12" s="12">
        <v>101</v>
      </c>
      <c r="X12" s="12">
        <v>247</v>
      </c>
      <c r="Y12" s="12">
        <v>170</v>
      </c>
      <c r="Z12" s="12">
        <v>179</v>
      </c>
      <c r="AA12" s="12">
        <v>188</v>
      </c>
      <c r="AB12" s="12">
        <v>199</v>
      </c>
      <c r="AC12" s="12">
        <v>152</v>
      </c>
      <c r="AD12" s="12">
        <v>141</v>
      </c>
      <c r="AE12" s="12">
        <v>124</v>
      </c>
      <c r="AF12" s="12">
        <v>243</v>
      </c>
      <c r="AG12" s="12">
        <v>314</v>
      </c>
      <c r="AH12" s="12">
        <v>269</v>
      </c>
      <c r="AI12" s="12">
        <v>114</v>
      </c>
      <c r="AJ12" s="12">
        <v>240</v>
      </c>
      <c r="AK12" s="12">
        <v>315</v>
      </c>
      <c r="AL12" s="12">
        <v>420</v>
      </c>
      <c r="AM12" s="12">
        <v>206</v>
      </c>
      <c r="AN12" s="12">
        <v>229</v>
      </c>
      <c r="AO12" s="12">
        <v>547</v>
      </c>
      <c r="AP12" s="12">
        <v>315</v>
      </c>
      <c r="AQ12" s="12">
        <v>395</v>
      </c>
    </row>
    <row r="13" spans="1:43" x14ac:dyDescent="0.35">
      <c r="A13" s="19"/>
      <c r="B13" s="13" t="s">
        <v>558</v>
      </c>
      <c r="C13" s="15">
        <v>0.19</v>
      </c>
      <c r="D13" s="15">
        <v>0.21</v>
      </c>
      <c r="E13" s="15">
        <v>0.19</v>
      </c>
      <c r="F13" s="15">
        <v>0.21</v>
      </c>
      <c r="G13" s="15">
        <v>0.16</v>
      </c>
      <c r="H13" s="15">
        <v>0.14000000000000001</v>
      </c>
      <c r="I13" s="15">
        <v>0.15</v>
      </c>
      <c r="J13" s="15">
        <v>0.18</v>
      </c>
      <c r="K13" s="15">
        <v>0.2</v>
      </c>
      <c r="L13" s="15">
        <v>0.17</v>
      </c>
      <c r="M13" s="15">
        <v>0.13</v>
      </c>
      <c r="N13" s="15">
        <v>0.21</v>
      </c>
      <c r="O13" s="15">
        <v>0.21</v>
      </c>
      <c r="P13" s="15">
        <v>0.31</v>
      </c>
      <c r="Q13" s="15">
        <v>0.24</v>
      </c>
      <c r="R13" s="15">
        <v>0.19</v>
      </c>
      <c r="S13" s="15">
        <v>0.23</v>
      </c>
      <c r="T13" s="15">
        <v>0.2</v>
      </c>
      <c r="U13" s="15">
        <v>0.26</v>
      </c>
      <c r="V13" s="15">
        <v>0.14000000000000001</v>
      </c>
      <c r="W13" s="15">
        <v>0.2</v>
      </c>
      <c r="X13" s="15">
        <v>0.25</v>
      </c>
      <c r="Y13" s="15">
        <v>0.17</v>
      </c>
      <c r="Z13" s="15">
        <v>0.17</v>
      </c>
      <c r="AA13" s="15">
        <v>0.18</v>
      </c>
      <c r="AB13" s="15">
        <v>0.19</v>
      </c>
      <c r="AC13" s="15">
        <v>0.15</v>
      </c>
      <c r="AD13" s="15">
        <v>0.14000000000000001</v>
      </c>
      <c r="AE13" s="15">
        <v>0.12</v>
      </c>
      <c r="AF13" s="15">
        <v>0.23</v>
      </c>
      <c r="AG13" s="15">
        <v>0.3</v>
      </c>
      <c r="AH13" s="15">
        <v>0.27</v>
      </c>
      <c r="AI13" s="15">
        <v>0.22</v>
      </c>
      <c r="AJ13" s="15">
        <v>0.23</v>
      </c>
      <c r="AK13" s="15">
        <v>0.31</v>
      </c>
      <c r="AL13" s="15">
        <v>0.41</v>
      </c>
      <c r="AM13" s="15">
        <v>0.2</v>
      </c>
      <c r="AN13" s="15">
        <v>0.23</v>
      </c>
      <c r="AO13" s="15">
        <v>0.54</v>
      </c>
      <c r="AP13" s="15">
        <v>0.6</v>
      </c>
      <c r="AQ13" s="15">
        <v>0.39</v>
      </c>
    </row>
    <row r="14" spans="1:43" x14ac:dyDescent="0.35">
      <c r="A14" s="19"/>
      <c r="B14" s="11" t="s">
        <v>559</v>
      </c>
      <c r="C14" s="12">
        <v>2421</v>
      </c>
      <c r="D14" s="12">
        <v>138</v>
      </c>
      <c r="E14" s="12">
        <v>114</v>
      </c>
      <c r="F14" s="12">
        <v>107</v>
      </c>
      <c r="G14" s="12">
        <v>27</v>
      </c>
      <c r="H14" s="12">
        <v>82</v>
      </c>
      <c r="I14" s="12">
        <v>108</v>
      </c>
      <c r="J14" s="12">
        <v>26</v>
      </c>
      <c r="K14" s="12">
        <v>99</v>
      </c>
      <c r="L14" s="12">
        <v>66</v>
      </c>
      <c r="M14" s="12">
        <v>106</v>
      </c>
      <c r="N14" s="12">
        <v>62</v>
      </c>
      <c r="O14" s="12">
        <v>72</v>
      </c>
      <c r="P14" s="12">
        <v>156</v>
      </c>
      <c r="Q14" s="12">
        <v>81</v>
      </c>
      <c r="R14" s="12">
        <v>28</v>
      </c>
      <c r="S14" s="12">
        <v>42</v>
      </c>
      <c r="T14" s="12">
        <v>64</v>
      </c>
      <c r="U14" s="12">
        <v>26</v>
      </c>
      <c r="V14" s="12">
        <v>169</v>
      </c>
      <c r="W14" s="12">
        <v>37</v>
      </c>
      <c r="X14" s="12">
        <v>69</v>
      </c>
      <c r="Y14" s="12">
        <v>119</v>
      </c>
      <c r="Z14" s="12">
        <v>133</v>
      </c>
      <c r="AA14" s="12">
        <v>105</v>
      </c>
      <c r="AB14" s="12">
        <v>274</v>
      </c>
      <c r="AC14" s="12">
        <v>64</v>
      </c>
      <c r="AD14" s="12">
        <v>210</v>
      </c>
      <c r="AE14" s="12">
        <v>38</v>
      </c>
      <c r="AF14" s="12">
        <v>33</v>
      </c>
      <c r="AG14" s="12">
        <v>311</v>
      </c>
      <c r="AH14" s="12">
        <v>112</v>
      </c>
      <c r="AI14" s="12">
        <v>124</v>
      </c>
      <c r="AJ14" s="12">
        <v>113</v>
      </c>
      <c r="AK14" s="12">
        <v>75</v>
      </c>
      <c r="AL14" s="12">
        <v>70</v>
      </c>
      <c r="AM14" s="12">
        <v>79</v>
      </c>
      <c r="AN14" s="12">
        <v>119</v>
      </c>
      <c r="AO14" s="12">
        <v>122</v>
      </c>
      <c r="AP14" s="12">
        <v>44</v>
      </c>
      <c r="AQ14" s="12">
        <v>56</v>
      </c>
    </row>
    <row r="15" spans="1:43" x14ac:dyDescent="0.35">
      <c r="A15" s="19"/>
      <c r="B15" s="13" t="s">
        <v>560</v>
      </c>
      <c r="C15" s="15">
        <v>0.09</v>
      </c>
      <c r="D15" s="15">
        <v>0.14000000000000001</v>
      </c>
      <c r="E15" s="15">
        <v>0.11</v>
      </c>
      <c r="F15" s="15">
        <v>0.1</v>
      </c>
      <c r="G15" s="15">
        <v>0.03</v>
      </c>
      <c r="H15" s="15">
        <v>7.0000000000000007E-2</v>
      </c>
      <c r="I15" s="15">
        <v>7.0000000000000007E-2</v>
      </c>
      <c r="J15" s="15">
        <v>0.09</v>
      </c>
      <c r="K15" s="15">
        <v>0.1</v>
      </c>
      <c r="L15" s="15">
        <v>7.0000000000000007E-2</v>
      </c>
      <c r="M15" s="15">
        <v>0.1</v>
      </c>
      <c r="N15" s="15">
        <v>0.06</v>
      </c>
      <c r="O15" s="15">
        <v>7.0000000000000007E-2</v>
      </c>
      <c r="P15" s="15">
        <v>0.16</v>
      </c>
      <c r="Q15" s="15">
        <v>0.08</v>
      </c>
      <c r="R15" s="15">
        <v>0.06</v>
      </c>
      <c r="S15" s="15">
        <v>0.04</v>
      </c>
      <c r="T15" s="15">
        <v>0.06</v>
      </c>
      <c r="U15" s="15">
        <v>0.05</v>
      </c>
      <c r="V15" s="15">
        <v>0.17</v>
      </c>
      <c r="W15" s="15">
        <v>7.0000000000000007E-2</v>
      </c>
      <c r="X15" s="15">
        <v>7.0000000000000007E-2</v>
      </c>
      <c r="Y15" s="15">
        <v>0.12</v>
      </c>
      <c r="Z15" s="15">
        <v>0.13</v>
      </c>
      <c r="AA15" s="15">
        <v>0.1</v>
      </c>
      <c r="AB15" s="15">
        <v>0.26</v>
      </c>
      <c r="AC15" s="15">
        <v>7.0000000000000007E-2</v>
      </c>
      <c r="AD15" s="15">
        <v>0.21</v>
      </c>
      <c r="AE15" s="15">
        <v>0.04</v>
      </c>
      <c r="AF15" s="15">
        <v>0.03</v>
      </c>
      <c r="AG15" s="15">
        <v>0.3</v>
      </c>
      <c r="AH15" s="15">
        <v>0.11</v>
      </c>
      <c r="AI15" s="15">
        <v>0.24</v>
      </c>
      <c r="AJ15" s="15">
        <v>0.11</v>
      </c>
      <c r="AK15" s="15">
        <v>7.0000000000000007E-2</v>
      </c>
      <c r="AL15" s="15">
        <v>7.0000000000000007E-2</v>
      </c>
      <c r="AM15" s="15">
        <v>0.08</v>
      </c>
      <c r="AN15" s="15">
        <v>0.12</v>
      </c>
      <c r="AO15" s="15">
        <v>0.12</v>
      </c>
      <c r="AP15" s="15">
        <v>0.08</v>
      </c>
      <c r="AQ15" s="15">
        <v>0.06</v>
      </c>
    </row>
    <row r="16" spans="1:43" x14ac:dyDescent="0.35">
      <c r="A16" s="19"/>
      <c r="B16" s="11" t="s">
        <v>561</v>
      </c>
      <c r="C16" s="12">
        <v>17601</v>
      </c>
      <c r="D16" s="12">
        <v>634</v>
      </c>
      <c r="E16" s="12">
        <v>655</v>
      </c>
      <c r="F16" s="12">
        <v>732</v>
      </c>
      <c r="G16" s="12">
        <v>800</v>
      </c>
      <c r="H16" s="12">
        <v>909</v>
      </c>
      <c r="I16" s="12">
        <v>1115</v>
      </c>
      <c r="J16" s="12">
        <v>206</v>
      </c>
      <c r="K16" s="12">
        <v>582</v>
      </c>
      <c r="L16" s="12">
        <v>716</v>
      </c>
      <c r="M16" s="12">
        <v>760</v>
      </c>
      <c r="N16" s="12">
        <v>723</v>
      </c>
      <c r="O16" s="12">
        <v>598</v>
      </c>
      <c r="P16" s="12">
        <v>516</v>
      </c>
      <c r="Q16" s="12">
        <v>679</v>
      </c>
      <c r="R16" s="12">
        <v>355</v>
      </c>
      <c r="S16" s="12">
        <v>693</v>
      </c>
      <c r="T16" s="12">
        <v>708</v>
      </c>
      <c r="U16" s="12">
        <v>338</v>
      </c>
      <c r="V16" s="12">
        <v>662</v>
      </c>
      <c r="W16" s="12">
        <v>264</v>
      </c>
      <c r="X16" s="12">
        <v>600</v>
      </c>
      <c r="Y16" s="12">
        <v>674</v>
      </c>
      <c r="Z16" s="12">
        <v>687</v>
      </c>
      <c r="AA16" s="12">
        <v>703</v>
      </c>
      <c r="AB16" s="12">
        <v>487</v>
      </c>
      <c r="AC16" s="12">
        <v>763</v>
      </c>
      <c r="AD16" s="12">
        <v>549</v>
      </c>
      <c r="AE16" s="12">
        <v>775</v>
      </c>
      <c r="AF16" s="12">
        <v>729</v>
      </c>
      <c r="AG16" s="12">
        <v>408</v>
      </c>
      <c r="AH16" s="12">
        <v>589</v>
      </c>
      <c r="AI16" s="12">
        <v>275</v>
      </c>
      <c r="AJ16" s="12">
        <v>537</v>
      </c>
      <c r="AK16" s="12">
        <v>611</v>
      </c>
      <c r="AL16" s="12">
        <v>361</v>
      </c>
      <c r="AM16" s="12">
        <v>698</v>
      </c>
      <c r="AN16" s="12">
        <v>644</v>
      </c>
      <c r="AO16" s="12">
        <v>309</v>
      </c>
      <c r="AP16" s="12">
        <v>163</v>
      </c>
      <c r="AQ16" s="12">
        <v>485</v>
      </c>
    </row>
    <row r="17" spans="1:43" x14ac:dyDescent="0.35">
      <c r="A17" s="19"/>
      <c r="B17" s="13" t="s">
        <v>562</v>
      </c>
      <c r="C17" s="15">
        <v>0.67</v>
      </c>
      <c r="D17" s="15">
        <v>0.63</v>
      </c>
      <c r="E17" s="15">
        <v>0.64</v>
      </c>
      <c r="F17" s="15">
        <v>0.66</v>
      </c>
      <c r="G17" s="15">
        <v>0.79</v>
      </c>
      <c r="H17" s="15">
        <v>0.74</v>
      </c>
      <c r="I17" s="15">
        <v>0.74</v>
      </c>
      <c r="J17" s="15">
        <v>0.70000000000000007</v>
      </c>
      <c r="K17" s="15">
        <v>0.57999999999999996</v>
      </c>
      <c r="L17" s="15">
        <v>0.71</v>
      </c>
      <c r="M17" s="15">
        <v>0.75</v>
      </c>
      <c r="N17" s="15">
        <v>0.72</v>
      </c>
      <c r="O17" s="15">
        <v>0.6</v>
      </c>
      <c r="P17" s="15">
        <v>0.51</v>
      </c>
      <c r="Q17" s="15">
        <v>0.66</v>
      </c>
      <c r="R17" s="15">
        <v>0.70000000000000007</v>
      </c>
      <c r="S17" s="15">
        <v>0.69000000000000006</v>
      </c>
      <c r="T17" s="15">
        <v>0.71</v>
      </c>
      <c r="U17" s="15">
        <v>0.67</v>
      </c>
      <c r="V17" s="15">
        <v>0.65</v>
      </c>
      <c r="W17" s="15">
        <v>0.52</v>
      </c>
      <c r="X17" s="15">
        <v>0.59</v>
      </c>
      <c r="Y17" s="15">
        <v>0.67</v>
      </c>
      <c r="Z17" s="15">
        <v>0.67</v>
      </c>
      <c r="AA17" s="15">
        <v>0.68</v>
      </c>
      <c r="AB17" s="15">
        <v>0.46</v>
      </c>
      <c r="AC17" s="15">
        <v>0.76</v>
      </c>
      <c r="AD17" s="15">
        <v>0.55000000000000004</v>
      </c>
      <c r="AE17" s="15">
        <v>0.77</v>
      </c>
      <c r="AF17" s="15">
        <v>0.70000000000000007</v>
      </c>
      <c r="AG17" s="15">
        <v>0.4</v>
      </c>
      <c r="AH17" s="15">
        <v>0.57999999999999996</v>
      </c>
      <c r="AI17" s="15">
        <v>0.52</v>
      </c>
      <c r="AJ17" s="15">
        <v>0.52</v>
      </c>
      <c r="AK17" s="15">
        <v>0.61</v>
      </c>
      <c r="AL17" s="15">
        <v>0.36</v>
      </c>
      <c r="AM17" s="15">
        <v>0.67</v>
      </c>
      <c r="AN17" s="15">
        <v>0.64</v>
      </c>
      <c r="AO17" s="15">
        <v>0.31</v>
      </c>
      <c r="AP17" s="15">
        <v>0.31</v>
      </c>
      <c r="AQ17" s="15">
        <v>0.48</v>
      </c>
    </row>
    <row r="18" spans="1:43" x14ac:dyDescent="0.35">
      <c r="A18" s="19"/>
      <c r="B18" s="11" t="s">
        <v>485</v>
      </c>
      <c r="C18" s="12">
        <v>1318</v>
      </c>
      <c r="D18" s="12">
        <v>23</v>
      </c>
      <c r="E18" s="12">
        <v>64</v>
      </c>
      <c r="F18" s="12">
        <v>32</v>
      </c>
      <c r="G18" s="12">
        <v>21</v>
      </c>
      <c r="H18" s="12">
        <v>57</v>
      </c>
      <c r="I18" s="12">
        <v>66</v>
      </c>
      <c r="J18" s="12">
        <v>9</v>
      </c>
      <c r="K18" s="12">
        <v>121</v>
      </c>
      <c r="L18" s="12">
        <v>48</v>
      </c>
      <c r="M18" s="12">
        <v>15</v>
      </c>
      <c r="N18" s="12">
        <v>7</v>
      </c>
      <c r="O18" s="12">
        <v>125</v>
      </c>
      <c r="P18" s="12">
        <v>19</v>
      </c>
      <c r="Q18" s="12">
        <v>18</v>
      </c>
      <c r="R18" s="12">
        <v>25</v>
      </c>
      <c r="S18" s="12">
        <v>40</v>
      </c>
      <c r="T18" s="12">
        <v>31</v>
      </c>
      <c r="U18" s="12">
        <v>11</v>
      </c>
      <c r="V18" s="12">
        <v>40</v>
      </c>
      <c r="W18" s="12">
        <v>106</v>
      </c>
      <c r="X18" s="12">
        <v>93</v>
      </c>
      <c r="Y18" s="12">
        <v>40</v>
      </c>
      <c r="Z18" s="12">
        <v>32</v>
      </c>
      <c r="AA18" s="12">
        <v>36</v>
      </c>
      <c r="AB18" s="12">
        <v>92</v>
      </c>
      <c r="AC18" s="12">
        <v>23</v>
      </c>
      <c r="AD18" s="12">
        <v>106</v>
      </c>
      <c r="AE18" s="12">
        <v>75</v>
      </c>
      <c r="AF18" s="12">
        <v>37</v>
      </c>
      <c r="AG18" s="12">
        <v>1</v>
      </c>
      <c r="AH18" s="12">
        <v>43</v>
      </c>
      <c r="AI18" s="12">
        <v>10</v>
      </c>
      <c r="AJ18" s="12">
        <v>146</v>
      </c>
      <c r="AK18" s="12">
        <v>5</v>
      </c>
      <c r="AL18" s="12">
        <v>161</v>
      </c>
      <c r="AM18" s="12">
        <v>57</v>
      </c>
      <c r="AN18" s="12">
        <v>11</v>
      </c>
      <c r="AO18" s="12">
        <v>27</v>
      </c>
      <c r="AP18" s="12">
        <v>2</v>
      </c>
      <c r="AQ18" s="12">
        <v>66</v>
      </c>
    </row>
    <row r="19" spans="1:43" x14ac:dyDescent="0.35">
      <c r="A19" s="19"/>
      <c r="B19" s="13" t="s">
        <v>486</v>
      </c>
      <c r="C19" s="15">
        <v>0.05</v>
      </c>
      <c r="D19" s="15">
        <v>0.02</v>
      </c>
      <c r="E19" s="15">
        <v>0.06</v>
      </c>
      <c r="F19" s="15">
        <v>0.03</v>
      </c>
      <c r="G19" s="15">
        <v>0.02</v>
      </c>
      <c r="H19" s="15">
        <v>0.05</v>
      </c>
      <c r="I19" s="15">
        <v>0.04</v>
      </c>
      <c r="J19" s="15">
        <v>0.03</v>
      </c>
      <c r="K19" s="15">
        <v>0.12</v>
      </c>
      <c r="L19" s="15">
        <v>0.05</v>
      </c>
      <c r="M19" s="15">
        <v>0.02</v>
      </c>
      <c r="N19" s="15">
        <v>0.01</v>
      </c>
      <c r="O19" s="15">
        <v>0.12</v>
      </c>
      <c r="P19" s="15">
        <v>0.02</v>
      </c>
      <c r="Q19" s="15">
        <v>0.02</v>
      </c>
      <c r="R19" s="15">
        <v>0.05</v>
      </c>
      <c r="S19" s="15">
        <v>0.04</v>
      </c>
      <c r="T19" s="15">
        <v>0.03</v>
      </c>
      <c r="U19" s="15">
        <v>0.02</v>
      </c>
      <c r="V19" s="15">
        <v>0.04</v>
      </c>
      <c r="W19" s="15">
        <v>0.21</v>
      </c>
      <c r="X19" s="15">
        <v>0.09</v>
      </c>
      <c r="Y19" s="15">
        <v>0.04</v>
      </c>
      <c r="Z19" s="15">
        <v>0.03</v>
      </c>
      <c r="AA19" s="15">
        <v>0.04</v>
      </c>
      <c r="AB19" s="15">
        <v>0.09</v>
      </c>
      <c r="AC19" s="15">
        <v>0.02</v>
      </c>
      <c r="AD19" s="15">
        <v>0.1</v>
      </c>
      <c r="AE19" s="15">
        <v>7.0000000000000007E-2</v>
      </c>
      <c r="AF19" s="15">
        <v>0.04</v>
      </c>
      <c r="AG19" s="14" t="s">
        <v>475</v>
      </c>
      <c r="AH19" s="15">
        <v>0.04</v>
      </c>
      <c r="AI19" s="15">
        <v>0.02</v>
      </c>
      <c r="AJ19" s="15">
        <v>0.14000000000000001</v>
      </c>
      <c r="AK19" s="15">
        <v>0.01</v>
      </c>
      <c r="AL19" s="15">
        <v>0.16</v>
      </c>
      <c r="AM19" s="15">
        <v>0.05</v>
      </c>
      <c r="AN19" s="15">
        <v>0.01</v>
      </c>
      <c r="AO19" s="15">
        <v>0.03</v>
      </c>
      <c r="AP19" s="15">
        <v>0.01</v>
      </c>
      <c r="AQ19" s="15">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575</v>
      </c>
      <c r="C3" s="18"/>
      <c r="D3" s="18"/>
      <c r="E3" s="18"/>
      <c r="F3" s="18"/>
      <c r="H3" s="18" t="s">
        <v>576</v>
      </c>
      <c r="I3" s="18"/>
      <c r="J3" s="18"/>
      <c r="K3" s="18"/>
      <c r="L3" s="18"/>
    </row>
    <row r="4" spans="1:43" ht="27" customHeight="1" x14ac:dyDescent="0.35">
      <c r="B4" s="18" t="s">
        <v>577</v>
      </c>
      <c r="C4" s="18"/>
      <c r="D4" s="18"/>
      <c r="E4" s="18"/>
      <c r="F4" s="18"/>
      <c r="H4" s="18" t="s">
        <v>578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557</v>
      </c>
      <c r="C12" s="12">
        <v>4723</v>
      </c>
      <c r="D12" s="12">
        <v>122</v>
      </c>
      <c r="E12" s="12">
        <v>221</v>
      </c>
      <c r="F12" s="12">
        <v>154</v>
      </c>
      <c r="G12" s="12">
        <v>108</v>
      </c>
      <c r="H12" s="12">
        <v>171</v>
      </c>
      <c r="I12" s="12">
        <v>194</v>
      </c>
      <c r="J12" s="12">
        <v>23</v>
      </c>
      <c r="K12" s="12">
        <v>178</v>
      </c>
      <c r="L12" s="12">
        <v>112</v>
      </c>
      <c r="M12" s="12">
        <v>149</v>
      </c>
      <c r="N12" s="12">
        <v>184</v>
      </c>
      <c r="O12" s="12">
        <v>140</v>
      </c>
      <c r="P12" s="12">
        <v>310</v>
      </c>
      <c r="Q12" s="12">
        <v>324</v>
      </c>
      <c r="R12" s="12">
        <v>67</v>
      </c>
      <c r="S12" s="12">
        <v>191</v>
      </c>
      <c r="T12" s="12">
        <v>202</v>
      </c>
      <c r="U12" s="12">
        <v>68</v>
      </c>
      <c r="V12" s="12">
        <v>201</v>
      </c>
      <c r="W12" s="12">
        <v>51</v>
      </c>
      <c r="X12" s="12">
        <v>110</v>
      </c>
      <c r="Y12" s="12">
        <v>188</v>
      </c>
      <c r="Z12" s="12">
        <v>166</v>
      </c>
      <c r="AA12" s="12">
        <v>250</v>
      </c>
      <c r="AB12" s="12">
        <v>249</v>
      </c>
      <c r="AC12" s="12">
        <v>149</v>
      </c>
      <c r="AD12" s="12">
        <v>176</v>
      </c>
      <c r="AE12" s="12">
        <v>149</v>
      </c>
      <c r="AF12" s="12">
        <v>168</v>
      </c>
      <c r="AG12" s="12">
        <v>267</v>
      </c>
      <c r="AH12" s="12">
        <v>375</v>
      </c>
      <c r="AI12" s="12">
        <v>107</v>
      </c>
      <c r="AJ12" s="12">
        <v>272</v>
      </c>
      <c r="AK12" s="12">
        <v>603</v>
      </c>
      <c r="AL12" s="12">
        <v>450</v>
      </c>
      <c r="AM12" s="12">
        <v>107</v>
      </c>
      <c r="AN12" s="12">
        <v>245</v>
      </c>
      <c r="AO12" s="12">
        <v>624</v>
      </c>
      <c r="AP12" s="12">
        <v>329</v>
      </c>
      <c r="AQ12" s="12">
        <v>412</v>
      </c>
    </row>
    <row r="13" spans="1:43" x14ac:dyDescent="0.35">
      <c r="A13" s="19"/>
      <c r="B13" s="13" t="s">
        <v>558</v>
      </c>
      <c r="C13" s="15">
        <v>0.18</v>
      </c>
      <c r="D13" s="15">
        <v>0.12</v>
      </c>
      <c r="E13" s="15">
        <v>0.21</v>
      </c>
      <c r="F13" s="15">
        <v>0.14000000000000001</v>
      </c>
      <c r="G13" s="15">
        <v>0.11</v>
      </c>
      <c r="H13" s="15">
        <v>0.14000000000000001</v>
      </c>
      <c r="I13" s="15">
        <v>0.13</v>
      </c>
      <c r="J13" s="15">
        <v>0.08</v>
      </c>
      <c r="K13" s="15">
        <v>0.18</v>
      </c>
      <c r="L13" s="15">
        <v>0.11</v>
      </c>
      <c r="M13" s="15">
        <v>0.15</v>
      </c>
      <c r="N13" s="15">
        <v>0.18</v>
      </c>
      <c r="O13" s="15">
        <v>0.14000000000000001</v>
      </c>
      <c r="P13" s="15">
        <v>0.31</v>
      </c>
      <c r="Q13" s="15">
        <v>0.31</v>
      </c>
      <c r="R13" s="15">
        <v>0.13</v>
      </c>
      <c r="S13" s="15">
        <v>0.19</v>
      </c>
      <c r="T13" s="15">
        <v>0.2</v>
      </c>
      <c r="U13" s="15">
        <v>0.13</v>
      </c>
      <c r="V13" s="15">
        <v>0.2</v>
      </c>
      <c r="W13" s="15">
        <v>0.1</v>
      </c>
      <c r="X13" s="15">
        <v>0.11</v>
      </c>
      <c r="Y13" s="15">
        <v>0.19</v>
      </c>
      <c r="Z13" s="15">
        <v>0.16</v>
      </c>
      <c r="AA13" s="15">
        <v>0.24</v>
      </c>
      <c r="AB13" s="15">
        <v>0.24</v>
      </c>
      <c r="AC13" s="15">
        <v>0.15</v>
      </c>
      <c r="AD13" s="15">
        <v>0.17</v>
      </c>
      <c r="AE13" s="15">
        <v>0.15</v>
      </c>
      <c r="AF13" s="15">
        <v>0.16</v>
      </c>
      <c r="AG13" s="15">
        <v>0.26</v>
      </c>
      <c r="AH13" s="15">
        <v>0.37</v>
      </c>
      <c r="AI13" s="15">
        <v>0.2</v>
      </c>
      <c r="AJ13" s="15">
        <v>0.26</v>
      </c>
      <c r="AK13" s="15">
        <v>0.6</v>
      </c>
      <c r="AL13" s="15">
        <v>0.44</v>
      </c>
      <c r="AM13" s="15">
        <v>0.1</v>
      </c>
      <c r="AN13" s="15">
        <v>0.24</v>
      </c>
      <c r="AO13" s="15">
        <v>0.62</v>
      </c>
      <c r="AP13" s="15">
        <v>0.63</v>
      </c>
      <c r="AQ13" s="15">
        <v>0.41</v>
      </c>
    </row>
    <row r="14" spans="1:43" x14ac:dyDescent="0.35">
      <c r="A14" s="19"/>
      <c r="B14" s="11" t="s">
        <v>559</v>
      </c>
      <c r="C14" s="12">
        <v>6852</v>
      </c>
      <c r="D14" s="12">
        <v>446</v>
      </c>
      <c r="E14" s="12">
        <v>228</v>
      </c>
      <c r="F14" s="12">
        <v>343</v>
      </c>
      <c r="G14" s="12">
        <v>340</v>
      </c>
      <c r="H14" s="12">
        <v>368</v>
      </c>
      <c r="I14" s="12">
        <v>500</v>
      </c>
      <c r="J14" s="12">
        <v>132</v>
      </c>
      <c r="K14" s="12">
        <v>261</v>
      </c>
      <c r="L14" s="12">
        <v>253</v>
      </c>
      <c r="M14" s="12">
        <v>219</v>
      </c>
      <c r="N14" s="12">
        <v>179</v>
      </c>
      <c r="O14" s="12">
        <v>279</v>
      </c>
      <c r="P14" s="12">
        <v>214</v>
      </c>
      <c r="Q14" s="12">
        <v>191</v>
      </c>
      <c r="R14" s="12">
        <v>105</v>
      </c>
      <c r="S14" s="12">
        <v>144</v>
      </c>
      <c r="T14" s="12">
        <v>122</v>
      </c>
      <c r="U14" s="12">
        <v>271</v>
      </c>
      <c r="V14" s="12">
        <v>241</v>
      </c>
      <c r="W14" s="12">
        <v>107</v>
      </c>
      <c r="X14" s="12">
        <v>346</v>
      </c>
      <c r="Y14" s="12">
        <v>386</v>
      </c>
      <c r="Z14" s="12">
        <v>161</v>
      </c>
      <c r="AA14" s="12">
        <v>190</v>
      </c>
      <c r="AB14" s="12">
        <v>316</v>
      </c>
      <c r="AC14" s="12">
        <v>307</v>
      </c>
      <c r="AD14" s="12">
        <v>392</v>
      </c>
      <c r="AE14" s="12">
        <v>196</v>
      </c>
      <c r="AF14" s="12">
        <v>302</v>
      </c>
      <c r="AG14" s="12">
        <v>367</v>
      </c>
      <c r="AH14" s="12">
        <v>139</v>
      </c>
      <c r="AI14" s="12">
        <v>115</v>
      </c>
      <c r="AJ14" s="12">
        <v>229</v>
      </c>
      <c r="AK14" s="12">
        <v>39</v>
      </c>
      <c r="AL14" s="12">
        <v>101</v>
      </c>
      <c r="AM14" s="12">
        <v>225</v>
      </c>
      <c r="AN14" s="12">
        <v>186</v>
      </c>
      <c r="AO14" s="12">
        <v>88</v>
      </c>
      <c r="AP14" s="12">
        <v>41</v>
      </c>
      <c r="AQ14" s="12">
        <v>98</v>
      </c>
    </row>
    <row r="15" spans="1:43" x14ac:dyDescent="0.35">
      <c r="A15" s="19"/>
      <c r="B15" s="13" t="s">
        <v>560</v>
      </c>
      <c r="C15" s="15">
        <v>0.26</v>
      </c>
      <c r="D15" s="15">
        <v>0.44</v>
      </c>
      <c r="E15" s="15">
        <v>0.22</v>
      </c>
      <c r="F15" s="15">
        <v>0.31</v>
      </c>
      <c r="G15" s="15">
        <v>0.34</v>
      </c>
      <c r="H15" s="15">
        <v>0.3</v>
      </c>
      <c r="I15" s="15">
        <v>0.33</v>
      </c>
      <c r="J15" s="15">
        <v>0.45</v>
      </c>
      <c r="K15" s="15">
        <v>0.26</v>
      </c>
      <c r="L15" s="15">
        <v>0.25</v>
      </c>
      <c r="M15" s="15">
        <v>0.22</v>
      </c>
      <c r="N15" s="15">
        <v>0.18</v>
      </c>
      <c r="O15" s="15">
        <v>0.28000000000000003</v>
      </c>
      <c r="P15" s="15">
        <v>0.21</v>
      </c>
      <c r="Q15" s="15">
        <v>0.19</v>
      </c>
      <c r="R15" s="15">
        <v>0.21</v>
      </c>
      <c r="S15" s="15">
        <v>0.14000000000000001</v>
      </c>
      <c r="T15" s="15">
        <v>0.12</v>
      </c>
      <c r="U15" s="15">
        <v>0.54</v>
      </c>
      <c r="V15" s="15">
        <v>0.24</v>
      </c>
      <c r="W15" s="15">
        <v>0.21</v>
      </c>
      <c r="X15" s="15">
        <v>0.34</v>
      </c>
      <c r="Y15" s="15">
        <v>0.38</v>
      </c>
      <c r="Z15" s="15">
        <v>0.16</v>
      </c>
      <c r="AA15" s="15">
        <v>0.18</v>
      </c>
      <c r="AB15" s="15">
        <v>0.3</v>
      </c>
      <c r="AC15" s="15">
        <v>0.3</v>
      </c>
      <c r="AD15" s="15">
        <v>0.39</v>
      </c>
      <c r="AE15" s="15">
        <v>0.19</v>
      </c>
      <c r="AF15" s="15">
        <v>0.28999999999999998</v>
      </c>
      <c r="AG15" s="15">
        <v>0.35</v>
      </c>
      <c r="AH15" s="15">
        <v>0.14000000000000001</v>
      </c>
      <c r="AI15" s="15">
        <v>0.22</v>
      </c>
      <c r="AJ15" s="15">
        <v>0.22</v>
      </c>
      <c r="AK15" s="15">
        <v>0.04</v>
      </c>
      <c r="AL15" s="15">
        <v>0.1</v>
      </c>
      <c r="AM15" s="15">
        <v>0.22</v>
      </c>
      <c r="AN15" s="15">
        <v>0.19</v>
      </c>
      <c r="AO15" s="15">
        <v>0.09</v>
      </c>
      <c r="AP15" s="15">
        <v>0.08</v>
      </c>
      <c r="AQ15" s="15">
        <v>0.1</v>
      </c>
    </row>
    <row r="16" spans="1:43" x14ac:dyDescent="0.35">
      <c r="A16" s="19"/>
      <c r="B16" s="11" t="s">
        <v>561</v>
      </c>
      <c r="C16" s="12">
        <v>12935</v>
      </c>
      <c r="D16" s="12">
        <v>417</v>
      </c>
      <c r="E16" s="12">
        <v>386</v>
      </c>
      <c r="F16" s="12">
        <v>543</v>
      </c>
      <c r="G16" s="12">
        <v>465</v>
      </c>
      <c r="H16" s="12">
        <v>618</v>
      </c>
      <c r="I16" s="12">
        <v>745</v>
      </c>
      <c r="J16" s="12">
        <v>127</v>
      </c>
      <c r="K16" s="12">
        <v>410</v>
      </c>
      <c r="L16" s="12">
        <v>541</v>
      </c>
      <c r="M16" s="12">
        <v>609</v>
      </c>
      <c r="N16" s="12">
        <v>555</v>
      </c>
      <c r="O16" s="12">
        <v>450</v>
      </c>
      <c r="P16" s="12">
        <v>452</v>
      </c>
      <c r="Q16" s="12">
        <v>471</v>
      </c>
      <c r="R16" s="12">
        <v>289</v>
      </c>
      <c r="S16" s="12">
        <v>578</v>
      </c>
      <c r="T16" s="12">
        <v>626</v>
      </c>
      <c r="U16" s="12">
        <v>137</v>
      </c>
      <c r="V16" s="12">
        <v>518</v>
      </c>
      <c r="W16" s="12">
        <v>253</v>
      </c>
      <c r="X16" s="12">
        <v>508</v>
      </c>
      <c r="Y16" s="12">
        <v>381</v>
      </c>
      <c r="Z16" s="12">
        <v>631</v>
      </c>
      <c r="AA16" s="12">
        <v>495</v>
      </c>
      <c r="AB16" s="12">
        <v>392</v>
      </c>
      <c r="AC16" s="12">
        <v>519</v>
      </c>
      <c r="AD16" s="12">
        <v>368</v>
      </c>
      <c r="AE16" s="12">
        <v>540</v>
      </c>
      <c r="AF16" s="12">
        <v>495</v>
      </c>
      <c r="AG16" s="12">
        <v>385</v>
      </c>
      <c r="AH16" s="12">
        <v>448</v>
      </c>
      <c r="AI16" s="12">
        <v>265</v>
      </c>
      <c r="AJ16" s="12">
        <v>502</v>
      </c>
      <c r="AK16" s="12">
        <v>327</v>
      </c>
      <c r="AL16" s="12">
        <v>202</v>
      </c>
      <c r="AM16" s="12">
        <v>444</v>
      </c>
      <c r="AN16" s="12">
        <v>554</v>
      </c>
      <c r="AO16" s="12">
        <v>199</v>
      </c>
      <c r="AP16" s="12">
        <v>145</v>
      </c>
      <c r="AQ16" s="12">
        <v>209</v>
      </c>
    </row>
    <row r="17" spans="1:43" x14ac:dyDescent="0.35">
      <c r="A17" s="19"/>
      <c r="B17" s="13" t="s">
        <v>562</v>
      </c>
      <c r="C17" s="15">
        <v>0.49</v>
      </c>
      <c r="D17" s="15">
        <v>0.41</v>
      </c>
      <c r="E17" s="15">
        <v>0.38</v>
      </c>
      <c r="F17" s="15">
        <v>0.49</v>
      </c>
      <c r="G17" s="15">
        <v>0.46</v>
      </c>
      <c r="H17" s="15">
        <v>0.51</v>
      </c>
      <c r="I17" s="15">
        <v>0.49</v>
      </c>
      <c r="J17" s="15">
        <v>0.43</v>
      </c>
      <c r="K17" s="15">
        <v>0.41</v>
      </c>
      <c r="L17" s="15">
        <v>0.54</v>
      </c>
      <c r="M17" s="15">
        <v>0.6</v>
      </c>
      <c r="N17" s="15">
        <v>0.55000000000000004</v>
      </c>
      <c r="O17" s="15">
        <v>0.45</v>
      </c>
      <c r="P17" s="15">
        <v>0.45</v>
      </c>
      <c r="Q17" s="15">
        <v>0.46</v>
      </c>
      <c r="R17" s="15">
        <v>0.57000000000000006</v>
      </c>
      <c r="S17" s="15">
        <v>0.57999999999999996</v>
      </c>
      <c r="T17" s="15">
        <v>0.62</v>
      </c>
      <c r="U17" s="15">
        <v>0.27</v>
      </c>
      <c r="V17" s="15">
        <v>0.51</v>
      </c>
      <c r="W17" s="15">
        <v>0.5</v>
      </c>
      <c r="X17" s="15">
        <v>0.5</v>
      </c>
      <c r="Y17" s="15">
        <v>0.38</v>
      </c>
      <c r="Z17" s="15">
        <v>0.61</v>
      </c>
      <c r="AA17" s="15">
        <v>0.48</v>
      </c>
      <c r="AB17" s="15">
        <v>0.37</v>
      </c>
      <c r="AC17" s="15">
        <v>0.52</v>
      </c>
      <c r="AD17" s="15">
        <v>0.37</v>
      </c>
      <c r="AE17" s="15">
        <v>0.53</v>
      </c>
      <c r="AF17" s="15">
        <v>0.48</v>
      </c>
      <c r="AG17" s="15">
        <v>0.37</v>
      </c>
      <c r="AH17" s="15">
        <v>0.44</v>
      </c>
      <c r="AI17" s="15">
        <v>0.51</v>
      </c>
      <c r="AJ17" s="15">
        <v>0.49</v>
      </c>
      <c r="AK17" s="15">
        <v>0.32</v>
      </c>
      <c r="AL17" s="15">
        <v>0.2</v>
      </c>
      <c r="AM17" s="15">
        <v>0.43</v>
      </c>
      <c r="AN17" s="15">
        <v>0.55000000000000004</v>
      </c>
      <c r="AO17" s="15">
        <v>0.2</v>
      </c>
      <c r="AP17" s="15">
        <v>0.28000000000000003</v>
      </c>
      <c r="AQ17" s="15">
        <v>0.21</v>
      </c>
    </row>
    <row r="18" spans="1:43" x14ac:dyDescent="0.35">
      <c r="A18" s="19"/>
      <c r="B18" s="11" t="s">
        <v>485</v>
      </c>
      <c r="C18" s="12">
        <v>1935</v>
      </c>
      <c r="D18" s="12">
        <v>28</v>
      </c>
      <c r="E18" s="12">
        <v>194</v>
      </c>
      <c r="F18" s="12">
        <v>62</v>
      </c>
      <c r="G18" s="12">
        <v>93</v>
      </c>
      <c r="H18" s="12">
        <v>63</v>
      </c>
      <c r="I18" s="12">
        <v>76</v>
      </c>
      <c r="J18" s="12">
        <v>13</v>
      </c>
      <c r="K18" s="12">
        <v>153</v>
      </c>
      <c r="L18" s="12">
        <v>96</v>
      </c>
      <c r="M18" s="12">
        <v>34</v>
      </c>
      <c r="N18" s="12">
        <v>84</v>
      </c>
      <c r="O18" s="12">
        <v>131</v>
      </c>
      <c r="P18" s="12">
        <v>27</v>
      </c>
      <c r="Q18" s="12">
        <v>41</v>
      </c>
      <c r="R18" s="12">
        <v>44</v>
      </c>
      <c r="S18" s="12">
        <v>89</v>
      </c>
      <c r="T18" s="12">
        <v>56</v>
      </c>
      <c r="U18" s="12">
        <v>28</v>
      </c>
      <c r="V18" s="12">
        <v>55</v>
      </c>
      <c r="W18" s="12">
        <v>98</v>
      </c>
      <c r="X18" s="12">
        <v>45</v>
      </c>
      <c r="Y18" s="12">
        <v>48</v>
      </c>
      <c r="Z18" s="12">
        <v>74</v>
      </c>
      <c r="AA18" s="12">
        <v>97</v>
      </c>
      <c r="AB18" s="12">
        <v>93</v>
      </c>
      <c r="AC18" s="12">
        <v>28</v>
      </c>
      <c r="AD18" s="12">
        <v>69</v>
      </c>
      <c r="AE18" s="12">
        <v>127</v>
      </c>
      <c r="AF18" s="12">
        <v>78</v>
      </c>
      <c r="AG18" s="12">
        <v>16</v>
      </c>
      <c r="AH18" s="12">
        <v>51</v>
      </c>
      <c r="AI18" s="12">
        <v>36</v>
      </c>
      <c r="AJ18" s="12">
        <v>34</v>
      </c>
      <c r="AK18" s="12">
        <v>38</v>
      </c>
      <c r="AL18" s="12">
        <v>259</v>
      </c>
      <c r="AM18" s="12">
        <v>264</v>
      </c>
      <c r="AN18" s="12">
        <v>18</v>
      </c>
      <c r="AO18" s="12">
        <v>94</v>
      </c>
      <c r="AP18" s="12">
        <v>9</v>
      </c>
      <c r="AQ18" s="12">
        <v>283</v>
      </c>
    </row>
    <row r="19" spans="1:43" x14ac:dyDescent="0.35">
      <c r="A19" s="19"/>
      <c r="B19" s="13" t="s">
        <v>486</v>
      </c>
      <c r="C19" s="15">
        <v>7.0000000000000007E-2</v>
      </c>
      <c r="D19" s="15">
        <v>0.03</v>
      </c>
      <c r="E19" s="15">
        <v>0.19</v>
      </c>
      <c r="F19" s="15">
        <v>0.06</v>
      </c>
      <c r="G19" s="15">
        <v>0.09</v>
      </c>
      <c r="H19" s="15">
        <v>0.05</v>
      </c>
      <c r="I19" s="15">
        <v>0.05</v>
      </c>
      <c r="J19" s="15">
        <v>0.04</v>
      </c>
      <c r="K19" s="15">
        <v>0.15</v>
      </c>
      <c r="L19" s="15">
        <v>0.1</v>
      </c>
      <c r="M19" s="15">
        <v>0.03</v>
      </c>
      <c r="N19" s="15">
        <v>0.09</v>
      </c>
      <c r="O19" s="15">
        <v>0.13</v>
      </c>
      <c r="P19" s="15">
        <v>0.03</v>
      </c>
      <c r="Q19" s="15">
        <v>0.04</v>
      </c>
      <c r="R19" s="15">
        <v>0.09</v>
      </c>
      <c r="S19" s="15">
        <v>0.09</v>
      </c>
      <c r="T19" s="15">
        <v>0.06</v>
      </c>
      <c r="U19" s="15">
        <v>0.06</v>
      </c>
      <c r="V19" s="15">
        <v>0.05</v>
      </c>
      <c r="W19" s="15">
        <v>0.19</v>
      </c>
      <c r="X19" s="15">
        <v>0.05</v>
      </c>
      <c r="Y19" s="15">
        <v>0.05</v>
      </c>
      <c r="Z19" s="15">
        <v>7.0000000000000007E-2</v>
      </c>
      <c r="AA19" s="15">
        <v>0.1</v>
      </c>
      <c r="AB19" s="15">
        <v>0.09</v>
      </c>
      <c r="AC19" s="15">
        <v>0.03</v>
      </c>
      <c r="AD19" s="15">
        <v>7.0000000000000007E-2</v>
      </c>
      <c r="AE19" s="15">
        <v>0.13</v>
      </c>
      <c r="AF19" s="15">
        <v>7.0000000000000007E-2</v>
      </c>
      <c r="AG19" s="15">
        <v>0.02</v>
      </c>
      <c r="AH19" s="15">
        <v>0.05</v>
      </c>
      <c r="AI19" s="15">
        <v>7.0000000000000007E-2</v>
      </c>
      <c r="AJ19" s="15">
        <v>0.03</v>
      </c>
      <c r="AK19" s="15">
        <v>0.04</v>
      </c>
      <c r="AL19" s="15">
        <v>0.26</v>
      </c>
      <c r="AM19" s="15">
        <v>0.25</v>
      </c>
      <c r="AN19" s="15">
        <v>0.02</v>
      </c>
      <c r="AO19" s="15">
        <v>0.09</v>
      </c>
      <c r="AP19" s="15">
        <v>0.01</v>
      </c>
      <c r="AQ19" s="15">
        <v>0.28000000000000003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49"/>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51</v>
      </c>
      <c r="C3" s="18"/>
      <c r="D3" s="18"/>
      <c r="E3" s="18"/>
      <c r="F3" s="18"/>
      <c r="H3" s="18" t="s">
        <v>52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579</v>
      </c>
      <c r="C12" s="12">
        <v>2384</v>
      </c>
      <c r="D12" s="12">
        <v>146</v>
      </c>
      <c r="E12" s="12">
        <v>92</v>
      </c>
      <c r="F12" s="12">
        <v>57</v>
      </c>
      <c r="G12" s="12">
        <v>34</v>
      </c>
      <c r="H12" s="12">
        <v>50</v>
      </c>
      <c r="I12" s="12">
        <v>75</v>
      </c>
      <c r="J12" s="12">
        <v>25</v>
      </c>
      <c r="K12" s="12">
        <v>15</v>
      </c>
      <c r="L12" s="12">
        <v>82</v>
      </c>
      <c r="M12" s="12">
        <v>127</v>
      </c>
      <c r="N12" s="12">
        <v>80</v>
      </c>
      <c r="O12" s="12">
        <v>179</v>
      </c>
      <c r="P12" s="12">
        <v>176</v>
      </c>
      <c r="Q12" s="12">
        <v>92</v>
      </c>
      <c r="R12" s="12">
        <v>68</v>
      </c>
      <c r="S12" s="12">
        <v>14</v>
      </c>
      <c r="T12" s="12">
        <v>31</v>
      </c>
      <c r="U12" s="12">
        <v>66</v>
      </c>
      <c r="V12" s="12">
        <v>25</v>
      </c>
      <c r="W12" s="12">
        <v>38</v>
      </c>
      <c r="X12" s="12">
        <v>57</v>
      </c>
      <c r="Y12" s="12">
        <v>84</v>
      </c>
      <c r="Z12" s="12">
        <v>45</v>
      </c>
      <c r="AA12" s="12">
        <v>69</v>
      </c>
      <c r="AB12" s="12">
        <v>104</v>
      </c>
      <c r="AC12" s="12">
        <v>80</v>
      </c>
      <c r="AD12" s="12">
        <v>62</v>
      </c>
      <c r="AE12" s="12">
        <v>54</v>
      </c>
      <c r="AF12" s="12">
        <v>230</v>
      </c>
      <c r="AG12" s="12">
        <v>146</v>
      </c>
      <c r="AH12" s="12">
        <v>292</v>
      </c>
      <c r="AI12" s="12">
        <v>59</v>
      </c>
      <c r="AJ12" s="12">
        <v>201</v>
      </c>
      <c r="AK12" s="12">
        <v>124</v>
      </c>
      <c r="AL12" s="12">
        <v>32</v>
      </c>
      <c r="AM12" s="12">
        <v>142</v>
      </c>
      <c r="AN12" s="12">
        <v>257</v>
      </c>
      <c r="AO12" s="12">
        <v>39</v>
      </c>
      <c r="AP12" s="12">
        <v>10</v>
      </c>
      <c r="AQ12" s="12">
        <v>82</v>
      </c>
    </row>
    <row r="13" spans="1:43" x14ac:dyDescent="0.35">
      <c r="A13" s="19"/>
      <c r="B13" s="13" t="s">
        <v>580</v>
      </c>
      <c r="C13" s="15">
        <v>0.09</v>
      </c>
      <c r="D13" s="15">
        <v>0.14000000000000001</v>
      </c>
      <c r="E13" s="15">
        <v>0.09</v>
      </c>
      <c r="F13" s="15">
        <v>0.05</v>
      </c>
      <c r="G13" s="15">
        <v>0.03</v>
      </c>
      <c r="H13" s="15">
        <v>0.04</v>
      </c>
      <c r="I13" s="15">
        <v>0.05</v>
      </c>
      <c r="J13" s="15">
        <v>0.09</v>
      </c>
      <c r="K13" s="15">
        <v>0.02</v>
      </c>
      <c r="L13" s="15">
        <v>0.08</v>
      </c>
      <c r="M13" s="15">
        <v>0.13</v>
      </c>
      <c r="N13" s="15">
        <v>0.08</v>
      </c>
      <c r="O13" s="15">
        <v>0.18</v>
      </c>
      <c r="P13" s="15">
        <v>0.18</v>
      </c>
      <c r="Q13" s="15">
        <v>0.09</v>
      </c>
      <c r="R13" s="15">
        <v>0.14000000000000001</v>
      </c>
      <c r="S13" s="15">
        <v>0.01</v>
      </c>
      <c r="T13" s="15">
        <v>0.03</v>
      </c>
      <c r="U13" s="15">
        <v>0.13</v>
      </c>
      <c r="V13" s="15">
        <v>0.02</v>
      </c>
      <c r="W13" s="15">
        <v>7.0000000000000007E-2</v>
      </c>
      <c r="X13" s="15">
        <v>0.06</v>
      </c>
      <c r="Y13" s="15">
        <v>0.08</v>
      </c>
      <c r="Z13" s="15">
        <v>0.04</v>
      </c>
      <c r="AA13" s="15">
        <v>7.0000000000000007E-2</v>
      </c>
      <c r="AB13" s="15">
        <v>0.1</v>
      </c>
      <c r="AC13" s="15">
        <v>0.08</v>
      </c>
      <c r="AD13" s="15">
        <v>0.06</v>
      </c>
      <c r="AE13" s="15">
        <v>0.05</v>
      </c>
      <c r="AF13" s="15">
        <v>0.22</v>
      </c>
      <c r="AG13" s="15">
        <v>0.14000000000000001</v>
      </c>
      <c r="AH13" s="15">
        <v>0.28999999999999998</v>
      </c>
      <c r="AI13" s="15">
        <v>0.11</v>
      </c>
      <c r="AJ13" s="15">
        <v>0.19</v>
      </c>
      <c r="AK13" s="15">
        <v>0.12</v>
      </c>
      <c r="AL13" s="15">
        <v>0.03</v>
      </c>
      <c r="AM13" s="15">
        <v>0.14000000000000001</v>
      </c>
      <c r="AN13" s="15">
        <v>0.26</v>
      </c>
      <c r="AO13" s="15">
        <v>0.04</v>
      </c>
      <c r="AP13" s="15">
        <v>0.02</v>
      </c>
      <c r="AQ13" s="15">
        <v>0.08</v>
      </c>
    </row>
    <row r="14" spans="1:43" x14ac:dyDescent="0.35">
      <c r="A14" s="19"/>
      <c r="B14" s="11" t="s">
        <v>581</v>
      </c>
      <c r="C14" s="12">
        <v>5055</v>
      </c>
      <c r="D14" s="12">
        <v>152</v>
      </c>
      <c r="E14" s="12">
        <v>267</v>
      </c>
      <c r="F14" s="12">
        <v>203</v>
      </c>
      <c r="G14" s="12">
        <v>53</v>
      </c>
      <c r="H14" s="12">
        <v>253</v>
      </c>
      <c r="I14" s="12">
        <v>316</v>
      </c>
      <c r="J14" s="12">
        <v>64</v>
      </c>
      <c r="K14" s="12">
        <v>233</v>
      </c>
      <c r="L14" s="12">
        <v>63</v>
      </c>
      <c r="M14" s="12">
        <v>336</v>
      </c>
      <c r="N14" s="12">
        <v>174</v>
      </c>
      <c r="O14" s="12">
        <v>232</v>
      </c>
      <c r="P14" s="12">
        <v>237</v>
      </c>
      <c r="Q14" s="12">
        <v>231</v>
      </c>
      <c r="R14" s="12">
        <v>116</v>
      </c>
      <c r="S14" s="12">
        <v>221</v>
      </c>
      <c r="T14" s="12">
        <v>116</v>
      </c>
      <c r="U14" s="12">
        <v>41</v>
      </c>
      <c r="V14" s="12">
        <v>268</v>
      </c>
      <c r="W14" s="12">
        <v>27</v>
      </c>
      <c r="X14" s="12">
        <v>24</v>
      </c>
      <c r="Y14" s="12">
        <v>240</v>
      </c>
      <c r="Z14" s="12">
        <v>119</v>
      </c>
      <c r="AA14" s="12">
        <v>123</v>
      </c>
      <c r="AB14" s="12">
        <v>257</v>
      </c>
      <c r="AC14" s="12">
        <v>159</v>
      </c>
      <c r="AD14" s="12">
        <v>249</v>
      </c>
      <c r="AE14" s="12">
        <v>226</v>
      </c>
      <c r="AF14" s="12">
        <v>71</v>
      </c>
      <c r="AG14" s="12">
        <v>398</v>
      </c>
      <c r="AH14" s="12">
        <v>284</v>
      </c>
      <c r="AI14" s="12">
        <v>198</v>
      </c>
      <c r="AJ14" s="12">
        <v>244</v>
      </c>
      <c r="AK14" s="12">
        <v>396</v>
      </c>
      <c r="AL14" s="12">
        <v>279</v>
      </c>
      <c r="AM14" s="12">
        <v>166</v>
      </c>
      <c r="AN14" s="12">
        <v>331</v>
      </c>
      <c r="AO14" s="12">
        <v>266</v>
      </c>
      <c r="AP14" s="12">
        <v>157</v>
      </c>
      <c r="AQ14" s="12">
        <v>168</v>
      </c>
    </row>
    <row r="15" spans="1:43" x14ac:dyDescent="0.35">
      <c r="A15" s="19"/>
      <c r="B15" s="13" t="s">
        <v>582</v>
      </c>
      <c r="C15" s="15">
        <v>0.19</v>
      </c>
      <c r="D15" s="15">
        <v>0.15</v>
      </c>
      <c r="E15" s="15">
        <v>0.26</v>
      </c>
      <c r="F15" s="15">
        <v>0.18</v>
      </c>
      <c r="G15" s="15">
        <v>0.05</v>
      </c>
      <c r="H15" s="15">
        <v>0.21</v>
      </c>
      <c r="I15" s="15">
        <v>0.21</v>
      </c>
      <c r="J15" s="15">
        <v>0.22</v>
      </c>
      <c r="K15" s="15">
        <v>0.23</v>
      </c>
      <c r="L15" s="15">
        <v>0.06</v>
      </c>
      <c r="M15" s="15">
        <v>0.33</v>
      </c>
      <c r="N15" s="15">
        <v>0.17</v>
      </c>
      <c r="O15" s="15">
        <v>0.23</v>
      </c>
      <c r="P15" s="15">
        <v>0.24</v>
      </c>
      <c r="Q15" s="15">
        <v>0.22</v>
      </c>
      <c r="R15" s="15">
        <v>0.23</v>
      </c>
      <c r="S15" s="15">
        <v>0.22</v>
      </c>
      <c r="T15" s="15">
        <v>0.12</v>
      </c>
      <c r="U15" s="15">
        <v>0.08</v>
      </c>
      <c r="V15" s="15">
        <v>0.26</v>
      </c>
      <c r="W15" s="15">
        <v>0.05</v>
      </c>
      <c r="X15" s="15">
        <v>0.02</v>
      </c>
      <c r="Y15" s="15">
        <v>0.24</v>
      </c>
      <c r="Z15" s="15">
        <v>0.12</v>
      </c>
      <c r="AA15" s="15">
        <v>0.12</v>
      </c>
      <c r="AB15" s="15">
        <v>0.24</v>
      </c>
      <c r="AC15" s="15">
        <v>0.16</v>
      </c>
      <c r="AD15" s="15">
        <v>0.25</v>
      </c>
      <c r="AE15" s="15">
        <v>0.22</v>
      </c>
      <c r="AF15" s="15">
        <v>7.0000000000000007E-2</v>
      </c>
      <c r="AG15" s="15">
        <v>0.39</v>
      </c>
      <c r="AH15" s="15">
        <v>0.28000000000000003</v>
      </c>
      <c r="AI15" s="15">
        <v>0.38</v>
      </c>
      <c r="AJ15" s="15">
        <v>0.24</v>
      </c>
      <c r="AK15" s="15">
        <v>0.39</v>
      </c>
      <c r="AL15" s="15">
        <v>0.28000000000000003</v>
      </c>
      <c r="AM15" s="15">
        <v>0.16</v>
      </c>
      <c r="AN15" s="15">
        <v>0.33</v>
      </c>
      <c r="AO15" s="15">
        <v>0.26</v>
      </c>
      <c r="AP15" s="15">
        <v>0.3</v>
      </c>
      <c r="AQ15" s="15">
        <v>0.17</v>
      </c>
    </row>
    <row r="16" spans="1:43" ht="21.5" x14ac:dyDescent="0.35">
      <c r="A16" s="19"/>
      <c r="B16" s="11" t="s">
        <v>583</v>
      </c>
      <c r="C16" s="12">
        <v>8253</v>
      </c>
      <c r="D16" s="12">
        <v>271</v>
      </c>
      <c r="E16" s="12">
        <v>516</v>
      </c>
      <c r="F16" s="12">
        <v>344</v>
      </c>
      <c r="G16" s="12">
        <v>283</v>
      </c>
      <c r="H16" s="12">
        <v>338</v>
      </c>
      <c r="I16" s="12">
        <v>436</v>
      </c>
      <c r="J16" s="12">
        <v>98</v>
      </c>
      <c r="K16" s="12">
        <v>399</v>
      </c>
      <c r="L16" s="12">
        <v>385</v>
      </c>
      <c r="M16" s="12">
        <v>499</v>
      </c>
      <c r="N16" s="12">
        <v>229</v>
      </c>
      <c r="O16" s="12">
        <v>358</v>
      </c>
      <c r="P16" s="12">
        <v>509</v>
      </c>
      <c r="Q16" s="12">
        <v>316</v>
      </c>
      <c r="R16" s="12">
        <v>187</v>
      </c>
      <c r="S16" s="12">
        <v>329</v>
      </c>
      <c r="T16" s="12">
        <v>387</v>
      </c>
      <c r="U16" s="12">
        <v>180</v>
      </c>
      <c r="V16" s="12">
        <v>440</v>
      </c>
      <c r="W16" s="12">
        <v>202</v>
      </c>
      <c r="X16" s="12">
        <v>205</v>
      </c>
      <c r="Y16" s="12">
        <v>481</v>
      </c>
      <c r="Z16" s="12">
        <v>285</v>
      </c>
      <c r="AA16" s="12">
        <v>354</v>
      </c>
      <c r="AB16" s="12">
        <v>413</v>
      </c>
      <c r="AC16" s="12">
        <v>285</v>
      </c>
      <c r="AD16" s="12">
        <v>407</v>
      </c>
      <c r="AE16" s="12">
        <v>176</v>
      </c>
      <c r="AF16" s="12">
        <v>161</v>
      </c>
      <c r="AG16" s="12">
        <v>386</v>
      </c>
      <c r="AH16" s="12">
        <v>336</v>
      </c>
      <c r="AI16" s="12">
        <v>320</v>
      </c>
      <c r="AJ16" s="12">
        <v>332</v>
      </c>
      <c r="AK16" s="12">
        <v>527</v>
      </c>
      <c r="AL16" s="12">
        <v>455</v>
      </c>
      <c r="AM16" s="12">
        <v>360</v>
      </c>
      <c r="AN16" s="12">
        <v>423</v>
      </c>
      <c r="AO16" s="12">
        <v>446</v>
      </c>
      <c r="AP16" s="12">
        <v>172</v>
      </c>
      <c r="AQ16" s="12">
        <v>375</v>
      </c>
    </row>
    <row r="17" spans="1:43" ht="21.5" x14ac:dyDescent="0.35">
      <c r="A17" s="19"/>
      <c r="B17" s="13" t="s">
        <v>584</v>
      </c>
      <c r="C17" s="15">
        <v>0.31</v>
      </c>
      <c r="D17" s="15">
        <v>0.27</v>
      </c>
      <c r="E17" s="15">
        <v>0.5</v>
      </c>
      <c r="F17" s="15">
        <v>0.31</v>
      </c>
      <c r="G17" s="15">
        <v>0.28000000000000003</v>
      </c>
      <c r="H17" s="15">
        <v>0.28000000000000003</v>
      </c>
      <c r="I17" s="15">
        <v>0.28999999999999998</v>
      </c>
      <c r="J17" s="15">
        <v>0.33</v>
      </c>
      <c r="K17" s="15">
        <v>0.4</v>
      </c>
      <c r="L17" s="15">
        <v>0.38</v>
      </c>
      <c r="M17" s="15">
        <v>0.49</v>
      </c>
      <c r="N17" s="15">
        <v>0.23</v>
      </c>
      <c r="O17" s="15">
        <v>0.36</v>
      </c>
      <c r="P17" s="15">
        <v>0.51</v>
      </c>
      <c r="Q17" s="15">
        <v>0.31</v>
      </c>
      <c r="R17" s="15">
        <v>0.37</v>
      </c>
      <c r="S17" s="15">
        <v>0.33</v>
      </c>
      <c r="T17" s="15">
        <v>0.39</v>
      </c>
      <c r="U17" s="15">
        <v>0.36</v>
      </c>
      <c r="V17" s="15">
        <v>0.43</v>
      </c>
      <c r="W17" s="15">
        <v>0.4</v>
      </c>
      <c r="X17" s="15">
        <v>0.2</v>
      </c>
      <c r="Y17" s="15">
        <v>0.48</v>
      </c>
      <c r="Z17" s="15">
        <v>0.28000000000000003</v>
      </c>
      <c r="AA17" s="15">
        <v>0.34</v>
      </c>
      <c r="AB17" s="15">
        <v>0.39</v>
      </c>
      <c r="AC17" s="15">
        <v>0.28000000000000003</v>
      </c>
      <c r="AD17" s="15">
        <v>0.41</v>
      </c>
      <c r="AE17" s="15">
        <v>0.17</v>
      </c>
      <c r="AF17" s="15">
        <v>0.15</v>
      </c>
      <c r="AG17" s="15">
        <v>0.37</v>
      </c>
      <c r="AH17" s="15">
        <v>0.33</v>
      </c>
      <c r="AI17" s="15">
        <v>0.61</v>
      </c>
      <c r="AJ17" s="15">
        <v>0.32</v>
      </c>
      <c r="AK17" s="15">
        <v>0.52</v>
      </c>
      <c r="AL17" s="15">
        <v>0.45</v>
      </c>
      <c r="AM17" s="15">
        <v>0.35</v>
      </c>
      <c r="AN17" s="15">
        <v>0.42</v>
      </c>
      <c r="AO17" s="15">
        <v>0.44</v>
      </c>
      <c r="AP17" s="15">
        <v>0.33</v>
      </c>
      <c r="AQ17" s="15">
        <v>0.37</v>
      </c>
    </row>
    <row r="18" spans="1:43" x14ac:dyDescent="0.35">
      <c r="A18" s="19"/>
      <c r="B18" s="11" t="s">
        <v>585</v>
      </c>
      <c r="C18" s="12">
        <v>909</v>
      </c>
      <c r="D18" s="12">
        <v>34</v>
      </c>
      <c r="E18" s="12">
        <v>33</v>
      </c>
      <c r="F18" s="12">
        <v>41</v>
      </c>
      <c r="G18" s="12">
        <v>44</v>
      </c>
      <c r="H18" s="12">
        <v>41</v>
      </c>
      <c r="I18" s="12">
        <v>48</v>
      </c>
      <c r="J18" s="12">
        <v>7</v>
      </c>
      <c r="K18" s="12">
        <v>14</v>
      </c>
      <c r="L18" s="12">
        <v>13</v>
      </c>
      <c r="M18" s="12">
        <v>16</v>
      </c>
      <c r="N18" s="12">
        <v>51</v>
      </c>
      <c r="O18" s="12">
        <v>23</v>
      </c>
      <c r="P18" s="12">
        <v>21</v>
      </c>
      <c r="Q18" s="12">
        <v>59</v>
      </c>
      <c r="R18" s="12">
        <v>9</v>
      </c>
      <c r="S18" s="12">
        <v>14</v>
      </c>
      <c r="T18" s="12">
        <v>13</v>
      </c>
      <c r="U18" s="12">
        <v>11</v>
      </c>
      <c r="V18" s="12">
        <v>24</v>
      </c>
      <c r="W18" s="12">
        <v>17</v>
      </c>
      <c r="X18" s="12">
        <v>50</v>
      </c>
      <c r="Y18" s="12">
        <v>35</v>
      </c>
      <c r="Z18" s="12">
        <v>29</v>
      </c>
      <c r="AA18" s="12">
        <v>7</v>
      </c>
      <c r="AB18" s="12">
        <v>21</v>
      </c>
      <c r="AC18" s="12">
        <v>44</v>
      </c>
      <c r="AD18" s="12">
        <v>28</v>
      </c>
      <c r="AE18" s="12">
        <v>9</v>
      </c>
      <c r="AF18" s="12">
        <v>35</v>
      </c>
      <c r="AG18" s="12">
        <v>44</v>
      </c>
      <c r="AH18" s="12">
        <v>19</v>
      </c>
      <c r="AI18" s="12">
        <v>9</v>
      </c>
      <c r="AJ18" s="12">
        <v>12</v>
      </c>
      <c r="AK18" s="12">
        <v>2</v>
      </c>
      <c r="AL18" s="12">
        <v>8</v>
      </c>
      <c r="AM18" s="12">
        <v>33</v>
      </c>
      <c r="AN18" s="12">
        <v>32</v>
      </c>
      <c r="AO18" s="12">
        <v>17</v>
      </c>
      <c r="AP18" s="12">
        <v>10</v>
      </c>
      <c r="AQ18" s="12">
        <v>25</v>
      </c>
    </row>
    <row r="19" spans="1:43" ht="21.5" x14ac:dyDescent="0.35">
      <c r="A19" s="19"/>
      <c r="B19" s="13" t="s">
        <v>586</v>
      </c>
      <c r="C19" s="15">
        <v>0.03</v>
      </c>
      <c r="D19" s="15">
        <v>0.03</v>
      </c>
      <c r="E19" s="15">
        <v>0.03</v>
      </c>
      <c r="F19" s="15">
        <v>0.04</v>
      </c>
      <c r="G19" s="15">
        <v>0.04</v>
      </c>
      <c r="H19" s="15">
        <v>0.03</v>
      </c>
      <c r="I19" s="15">
        <v>0.03</v>
      </c>
      <c r="J19" s="15">
        <v>0.02</v>
      </c>
      <c r="K19" s="15">
        <v>0.01</v>
      </c>
      <c r="L19" s="15">
        <v>0.01</v>
      </c>
      <c r="M19" s="15">
        <v>0.02</v>
      </c>
      <c r="N19" s="15">
        <v>0.05</v>
      </c>
      <c r="O19" s="15">
        <v>0.02</v>
      </c>
      <c r="P19" s="15">
        <v>0.02</v>
      </c>
      <c r="Q19" s="15">
        <v>0.06</v>
      </c>
      <c r="R19" s="15">
        <v>0.02</v>
      </c>
      <c r="S19" s="15">
        <v>0.01</v>
      </c>
      <c r="T19" s="15">
        <v>0.01</v>
      </c>
      <c r="U19" s="15">
        <v>0.02</v>
      </c>
      <c r="V19" s="15">
        <v>0.02</v>
      </c>
      <c r="W19" s="15">
        <v>0.03</v>
      </c>
      <c r="X19" s="15">
        <v>0.05</v>
      </c>
      <c r="Y19" s="15">
        <v>0.03</v>
      </c>
      <c r="Z19" s="15">
        <v>0.03</v>
      </c>
      <c r="AA19" s="15">
        <v>0.01</v>
      </c>
      <c r="AB19" s="15">
        <v>0.02</v>
      </c>
      <c r="AC19" s="15">
        <v>0.04</v>
      </c>
      <c r="AD19" s="15">
        <v>0.03</v>
      </c>
      <c r="AE19" s="15">
        <v>0.01</v>
      </c>
      <c r="AF19" s="15">
        <v>0.03</v>
      </c>
      <c r="AG19" s="15">
        <v>0.04</v>
      </c>
      <c r="AH19" s="15">
        <v>0.02</v>
      </c>
      <c r="AI19" s="15">
        <v>0.02</v>
      </c>
      <c r="AJ19" s="15">
        <v>0.01</v>
      </c>
      <c r="AK19" s="14" t="s">
        <v>475</v>
      </c>
      <c r="AL19" s="15">
        <v>0.01</v>
      </c>
      <c r="AM19" s="15">
        <v>0.03</v>
      </c>
      <c r="AN19" s="15">
        <v>0.03</v>
      </c>
      <c r="AO19" s="15">
        <v>0.02</v>
      </c>
      <c r="AP19" s="15">
        <v>0.02</v>
      </c>
      <c r="AQ19" s="15">
        <v>0.02</v>
      </c>
    </row>
    <row r="20" spans="1:43" x14ac:dyDescent="0.35">
      <c r="A20" s="19"/>
      <c r="B20" s="11" t="s">
        <v>587</v>
      </c>
      <c r="C20" s="12">
        <v>2112</v>
      </c>
      <c r="D20" s="12">
        <v>135</v>
      </c>
      <c r="E20" s="12">
        <v>69</v>
      </c>
      <c r="F20" s="12">
        <v>43</v>
      </c>
      <c r="G20" s="12">
        <v>9</v>
      </c>
      <c r="H20" s="12">
        <v>39</v>
      </c>
      <c r="I20" s="12">
        <v>50</v>
      </c>
      <c r="J20" s="12">
        <v>11</v>
      </c>
      <c r="K20" s="12">
        <v>76</v>
      </c>
      <c r="L20" s="12">
        <v>13</v>
      </c>
      <c r="M20" s="12">
        <v>134</v>
      </c>
      <c r="N20" s="12">
        <v>114</v>
      </c>
      <c r="O20" s="12">
        <v>65</v>
      </c>
      <c r="P20" s="12">
        <v>72</v>
      </c>
      <c r="Q20" s="12">
        <v>152</v>
      </c>
      <c r="R20" s="12">
        <v>21</v>
      </c>
      <c r="S20" s="12">
        <v>71</v>
      </c>
      <c r="T20" s="12">
        <v>56</v>
      </c>
      <c r="U20" s="12">
        <v>37</v>
      </c>
      <c r="V20" s="12">
        <v>56</v>
      </c>
      <c r="W20" s="12">
        <v>12</v>
      </c>
      <c r="X20" s="12">
        <v>21</v>
      </c>
      <c r="Y20" s="12">
        <v>87</v>
      </c>
      <c r="Z20" s="12">
        <v>35</v>
      </c>
      <c r="AA20" s="12">
        <v>92</v>
      </c>
      <c r="AB20" s="12">
        <v>65</v>
      </c>
      <c r="AC20" s="12">
        <v>35</v>
      </c>
      <c r="AD20" s="12">
        <v>52</v>
      </c>
      <c r="AE20" s="12">
        <v>406</v>
      </c>
      <c r="AF20" s="12">
        <v>188</v>
      </c>
      <c r="AG20" s="12">
        <v>91</v>
      </c>
      <c r="AH20" s="12">
        <v>120</v>
      </c>
      <c r="AI20" s="12">
        <v>101</v>
      </c>
      <c r="AJ20" s="12">
        <v>62</v>
      </c>
      <c r="AK20" s="12">
        <v>228</v>
      </c>
      <c r="AL20" s="12">
        <v>178</v>
      </c>
      <c r="AM20" s="12">
        <v>85</v>
      </c>
      <c r="AN20" s="12">
        <v>118</v>
      </c>
      <c r="AO20" s="12">
        <v>290</v>
      </c>
      <c r="AP20" s="12">
        <v>47</v>
      </c>
      <c r="AQ20" s="12">
        <v>241</v>
      </c>
    </row>
    <row r="21" spans="1:43" x14ac:dyDescent="0.35">
      <c r="A21" s="19"/>
      <c r="B21" s="13" t="s">
        <v>588</v>
      </c>
      <c r="C21" s="15">
        <v>0.08</v>
      </c>
      <c r="D21" s="15">
        <v>0.13</v>
      </c>
      <c r="E21" s="15">
        <v>7.0000000000000007E-2</v>
      </c>
      <c r="F21" s="15">
        <v>0.04</v>
      </c>
      <c r="G21" s="15">
        <v>0.01</v>
      </c>
      <c r="H21" s="15">
        <v>0.03</v>
      </c>
      <c r="I21" s="15">
        <v>0.03</v>
      </c>
      <c r="J21" s="15">
        <v>0.04</v>
      </c>
      <c r="K21" s="15">
        <v>0.08</v>
      </c>
      <c r="L21" s="15">
        <v>0.01</v>
      </c>
      <c r="M21" s="15">
        <v>0.13</v>
      </c>
      <c r="N21" s="15">
        <v>0.11</v>
      </c>
      <c r="O21" s="15">
        <v>7.0000000000000007E-2</v>
      </c>
      <c r="P21" s="15">
        <v>7.0000000000000007E-2</v>
      </c>
      <c r="Q21" s="15">
        <v>0.15</v>
      </c>
      <c r="R21" s="15">
        <v>0.04</v>
      </c>
      <c r="S21" s="15">
        <v>7.0000000000000007E-2</v>
      </c>
      <c r="T21" s="15">
        <v>0.06</v>
      </c>
      <c r="U21" s="15">
        <v>7.0000000000000007E-2</v>
      </c>
      <c r="V21" s="15">
        <v>0.06</v>
      </c>
      <c r="W21" s="15">
        <v>0.02</v>
      </c>
      <c r="X21" s="15">
        <v>0.02</v>
      </c>
      <c r="Y21" s="15">
        <v>0.09</v>
      </c>
      <c r="Z21" s="15">
        <v>0.03</v>
      </c>
      <c r="AA21" s="15">
        <v>0.09</v>
      </c>
      <c r="AB21" s="15">
        <v>0.06</v>
      </c>
      <c r="AC21" s="15">
        <v>0.04</v>
      </c>
      <c r="AD21" s="15">
        <v>0.05</v>
      </c>
      <c r="AE21" s="15">
        <v>0.4</v>
      </c>
      <c r="AF21" s="15">
        <v>0.18</v>
      </c>
      <c r="AG21" s="15">
        <v>0.09</v>
      </c>
      <c r="AH21" s="15">
        <v>0.12</v>
      </c>
      <c r="AI21" s="15">
        <v>0.19</v>
      </c>
      <c r="AJ21" s="15">
        <v>0.06</v>
      </c>
      <c r="AK21" s="15">
        <v>0.23</v>
      </c>
      <c r="AL21" s="15">
        <v>0.18</v>
      </c>
      <c r="AM21" s="15">
        <v>0.08</v>
      </c>
      <c r="AN21" s="15">
        <v>0.12</v>
      </c>
      <c r="AO21" s="15">
        <v>0.28999999999999998</v>
      </c>
      <c r="AP21" s="15">
        <v>0.09</v>
      </c>
      <c r="AQ21" s="15">
        <v>0.24</v>
      </c>
    </row>
    <row r="22" spans="1:43" x14ac:dyDescent="0.35">
      <c r="A22" s="19"/>
      <c r="B22" s="11" t="s">
        <v>589</v>
      </c>
      <c r="C22" s="12">
        <v>0</v>
      </c>
      <c r="D22" s="12">
        <v>0</v>
      </c>
      <c r="E22" s="12">
        <v>0</v>
      </c>
      <c r="F22" s="12">
        <v>0</v>
      </c>
      <c r="G22" s="12">
        <v>0</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v>0</v>
      </c>
      <c r="AP22" s="12">
        <v>162</v>
      </c>
      <c r="AQ22" s="12">
        <v>0</v>
      </c>
    </row>
    <row r="23" spans="1:43" x14ac:dyDescent="0.35">
      <c r="A23" s="19"/>
      <c r="B23" s="13" t="s">
        <v>590</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5">
        <v>0.31</v>
      </c>
      <c r="AQ23" s="14" t="s">
        <v>475</v>
      </c>
    </row>
    <row r="24" spans="1:43" x14ac:dyDescent="0.35">
      <c r="A24" s="19"/>
      <c r="B24" s="11" t="s">
        <v>591</v>
      </c>
      <c r="C24" s="12">
        <v>3432</v>
      </c>
      <c r="D24" s="12">
        <v>74</v>
      </c>
      <c r="E24" s="12">
        <v>23</v>
      </c>
      <c r="F24" s="12">
        <v>191</v>
      </c>
      <c r="G24" s="12">
        <v>34</v>
      </c>
      <c r="H24" s="12">
        <v>143</v>
      </c>
      <c r="I24" s="12">
        <v>179</v>
      </c>
      <c r="J24" s="12">
        <v>36</v>
      </c>
      <c r="K24" s="12">
        <v>18</v>
      </c>
      <c r="L24" s="12">
        <v>649</v>
      </c>
      <c r="M24" s="12">
        <v>60</v>
      </c>
      <c r="N24" s="12">
        <v>358</v>
      </c>
      <c r="O24" s="12">
        <v>55</v>
      </c>
      <c r="P24" s="12">
        <v>145</v>
      </c>
      <c r="Q24" s="12">
        <v>23</v>
      </c>
      <c r="R24" s="12">
        <v>103</v>
      </c>
      <c r="S24" s="12">
        <v>31</v>
      </c>
      <c r="T24" s="12">
        <v>21</v>
      </c>
      <c r="U24" s="12">
        <v>282</v>
      </c>
      <c r="V24" s="12">
        <v>51</v>
      </c>
      <c r="W24" s="12">
        <v>83</v>
      </c>
      <c r="X24" s="12">
        <v>525</v>
      </c>
      <c r="Y24" s="12">
        <v>69</v>
      </c>
      <c r="Z24" s="12">
        <v>59</v>
      </c>
      <c r="AA24" s="12">
        <v>333</v>
      </c>
      <c r="AB24" s="12">
        <v>19</v>
      </c>
      <c r="AC24" s="12">
        <v>197</v>
      </c>
      <c r="AD24" s="12">
        <v>55</v>
      </c>
      <c r="AE24" s="12">
        <v>11</v>
      </c>
      <c r="AF24" s="12">
        <v>32</v>
      </c>
      <c r="AG24" s="12">
        <v>11</v>
      </c>
      <c r="AH24" s="12">
        <v>14</v>
      </c>
      <c r="AI24" s="12">
        <v>38</v>
      </c>
      <c r="AJ24" s="12">
        <v>45</v>
      </c>
      <c r="AK24" s="12">
        <v>16</v>
      </c>
      <c r="AL24" s="12">
        <v>33</v>
      </c>
      <c r="AM24" s="12">
        <v>116</v>
      </c>
      <c r="AN24" s="12">
        <v>24</v>
      </c>
      <c r="AO24" s="12">
        <v>8</v>
      </c>
      <c r="AP24" s="12">
        <v>6</v>
      </c>
      <c r="AQ24" s="12">
        <v>30</v>
      </c>
    </row>
    <row r="25" spans="1:43" x14ac:dyDescent="0.35">
      <c r="A25" s="19"/>
      <c r="B25" s="13" t="s">
        <v>592</v>
      </c>
      <c r="C25" s="15">
        <v>0.13</v>
      </c>
      <c r="D25" s="15">
        <v>7.0000000000000007E-2</v>
      </c>
      <c r="E25" s="15">
        <v>0.02</v>
      </c>
      <c r="F25" s="15">
        <v>0.17</v>
      </c>
      <c r="G25" s="15">
        <v>0.03</v>
      </c>
      <c r="H25" s="15">
        <v>0.12</v>
      </c>
      <c r="I25" s="15">
        <v>0.12</v>
      </c>
      <c r="J25" s="15">
        <v>0.12</v>
      </c>
      <c r="K25" s="15">
        <v>0.02</v>
      </c>
      <c r="L25" s="15">
        <v>0.65</v>
      </c>
      <c r="M25" s="15">
        <v>0.06</v>
      </c>
      <c r="N25" s="15">
        <v>0.36</v>
      </c>
      <c r="O25" s="15">
        <v>0.06</v>
      </c>
      <c r="P25" s="15">
        <v>0.14000000000000001</v>
      </c>
      <c r="Q25" s="15">
        <v>0.02</v>
      </c>
      <c r="R25" s="15">
        <v>0.21</v>
      </c>
      <c r="S25" s="15">
        <v>0.03</v>
      </c>
      <c r="T25" s="15">
        <v>0.02</v>
      </c>
      <c r="U25" s="15">
        <v>0.56000000000000005</v>
      </c>
      <c r="V25" s="15">
        <v>0.05</v>
      </c>
      <c r="W25" s="15">
        <v>0.16</v>
      </c>
      <c r="X25" s="15">
        <v>0.52</v>
      </c>
      <c r="Y25" s="15">
        <v>7.0000000000000007E-2</v>
      </c>
      <c r="Z25" s="15">
        <v>0.06</v>
      </c>
      <c r="AA25" s="15">
        <v>0.32</v>
      </c>
      <c r="AB25" s="15">
        <v>0.02</v>
      </c>
      <c r="AC25" s="15">
        <v>0.2</v>
      </c>
      <c r="AD25" s="15">
        <v>0.05</v>
      </c>
      <c r="AE25" s="15">
        <v>0.01</v>
      </c>
      <c r="AF25" s="15">
        <v>0.03</v>
      </c>
      <c r="AG25" s="15">
        <v>0.01</v>
      </c>
      <c r="AH25" s="15">
        <v>0.01</v>
      </c>
      <c r="AI25" s="15">
        <v>7.0000000000000007E-2</v>
      </c>
      <c r="AJ25" s="15">
        <v>0.04</v>
      </c>
      <c r="AK25" s="15">
        <v>0.02</v>
      </c>
      <c r="AL25" s="15">
        <v>0.03</v>
      </c>
      <c r="AM25" s="15">
        <v>0.11</v>
      </c>
      <c r="AN25" s="15">
        <v>0.02</v>
      </c>
      <c r="AO25" s="15">
        <v>0.01</v>
      </c>
      <c r="AP25" s="15">
        <v>0.01</v>
      </c>
      <c r="AQ25" s="15">
        <v>0.03</v>
      </c>
    </row>
    <row r="26" spans="1:43" x14ac:dyDescent="0.35">
      <c r="A26" s="19"/>
      <c r="B26" s="11" t="s">
        <v>593</v>
      </c>
      <c r="C26" s="12">
        <v>3280</v>
      </c>
      <c r="D26" s="12">
        <v>306</v>
      </c>
      <c r="E26" s="12">
        <v>104</v>
      </c>
      <c r="F26" s="12">
        <v>289</v>
      </c>
      <c r="G26" s="12">
        <v>16</v>
      </c>
      <c r="H26" s="12">
        <v>114</v>
      </c>
      <c r="I26" s="12">
        <v>166</v>
      </c>
      <c r="J26" s="12">
        <v>53</v>
      </c>
      <c r="K26" s="12">
        <v>77</v>
      </c>
      <c r="L26" s="12">
        <v>12</v>
      </c>
      <c r="M26" s="12">
        <v>97</v>
      </c>
      <c r="N26" s="12">
        <v>51</v>
      </c>
      <c r="O26" s="12">
        <v>241</v>
      </c>
      <c r="P26" s="12">
        <v>107</v>
      </c>
      <c r="Q26" s="12">
        <v>112</v>
      </c>
      <c r="R26" s="12">
        <v>8</v>
      </c>
      <c r="S26" s="12">
        <v>146</v>
      </c>
      <c r="T26" s="12">
        <v>40</v>
      </c>
      <c r="U26" s="12">
        <v>6</v>
      </c>
      <c r="V26" s="12">
        <v>161</v>
      </c>
      <c r="W26" s="12">
        <v>84</v>
      </c>
      <c r="X26" s="12">
        <v>7</v>
      </c>
      <c r="Y26" s="12">
        <v>172</v>
      </c>
      <c r="Z26" s="12">
        <v>85</v>
      </c>
      <c r="AA26" s="12">
        <v>14</v>
      </c>
      <c r="AB26" s="12">
        <v>173</v>
      </c>
      <c r="AC26" s="12">
        <v>67</v>
      </c>
      <c r="AD26" s="12">
        <v>205</v>
      </c>
      <c r="AE26" s="12">
        <v>254</v>
      </c>
      <c r="AF26" s="12">
        <v>7</v>
      </c>
      <c r="AG26" s="12">
        <v>71</v>
      </c>
      <c r="AH26" s="12">
        <v>70</v>
      </c>
      <c r="AI26" s="12">
        <v>34</v>
      </c>
      <c r="AJ26" s="12">
        <v>133</v>
      </c>
      <c r="AK26" s="12">
        <v>23</v>
      </c>
      <c r="AL26" s="12">
        <v>66</v>
      </c>
      <c r="AM26" s="12">
        <v>88</v>
      </c>
      <c r="AN26" s="12">
        <v>100</v>
      </c>
      <c r="AO26" s="12">
        <v>12</v>
      </c>
      <c r="AP26" s="12">
        <v>0</v>
      </c>
      <c r="AQ26" s="12">
        <v>16</v>
      </c>
    </row>
    <row r="27" spans="1:43" x14ac:dyDescent="0.35">
      <c r="A27" s="19"/>
      <c r="B27" s="13" t="s">
        <v>594</v>
      </c>
      <c r="C27" s="15">
        <v>0.12</v>
      </c>
      <c r="D27" s="15">
        <v>0.3</v>
      </c>
      <c r="E27" s="15">
        <v>0.1</v>
      </c>
      <c r="F27" s="15">
        <v>0.26</v>
      </c>
      <c r="G27" s="15">
        <v>0.02</v>
      </c>
      <c r="H27" s="15">
        <v>0.09</v>
      </c>
      <c r="I27" s="15">
        <v>0.11</v>
      </c>
      <c r="J27" s="15">
        <v>0.18</v>
      </c>
      <c r="K27" s="15">
        <v>0.08</v>
      </c>
      <c r="L27" s="15">
        <v>0.01</v>
      </c>
      <c r="M27" s="15">
        <v>0.1</v>
      </c>
      <c r="N27" s="15">
        <v>0.05</v>
      </c>
      <c r="O27" s="15">
        <v>0.24</v>
      </c>
      <c r="P27" s="15">
        <v>0.11</v>
      </c>
      <c r="Q27" s="15">
        <v>0.11</v>
      </c>
      <c r="R27" s="15">
        <v>0.02</v>
      </c>
      <c r="S27" s="15">
        <v>0.15</v>
      </c>
      <c r="T27" s="15">
        <v>0.04</v>
      </c>
      <c r="U27" s="15">
        <v>0.01</v>
      </c>
      <c r="V27" s="15">
        <v>0.16</v>
      </c>
      <c r="W27" s="15">
        <v>0.17</v>
      </c>
      <c r="X27" s="15">
        <v>0.01</v>
      </c>
      <c r="Y27" s="15">
        <v>0.17</v>
      </c>
      <c r="Z27" s="15">
        <v>0.08</v>
      </c>
      <c r="AA27" s="15">
        <v>0.01</v>
      </c>
      <c r="AB27" s="15">
        <v>0.16</v>
      </c>
      <c r="AC27" s="15">
        <v>7.0000000000000007E-2</v>
      </c>
      <c r="AD27" s="15">
        <v>0.2</v>
      </c>
      <c r="AE27" s="15">
        <v>0.25</v>
      </c>
      <c r="AF27" s="15">
        <v>0.01</v>
      </c>
      <c r="AG27" s="15">
        <v>7.0000000000000007E-2</v>
      </c>
      <c r="AH27" s="15">
        <v>7.0000000000000007E-2</v>
      </c>
      <c r="AI27" s="15">
        <v>7.0000000000000007E-2</v>
      </c>
      <c r="AJ27" s="15">
        <v>0.13</v>
      </c>
      <c r="AK27" s="15">
        <v>0.02</v>
      </c>
      <c r="AL27" s="15">
        <v>0.06</v>
      </c>
      <c r="AM27" s="15">
        <v>0.08</v>
      </c>
      <c r="AN27" s="15">
        <v>0.1</v>
      </c>
      <c r="AO27" s="15">
        <v>0.01</v>
      </c>
      <c r="AP27" s="14" t="s">
        <v>475</v>
      </c>
      <c r="AQ27" s="15">
        <v>0.02</v>
      </c>
    </row>
    <row r="28" spans="1:43" x14ac:dyDescent="0.35">
      <c r="A28" s="19"/>
      <c r="B28" s="11" t="s">
        <v>595</v>
      </c>
      <c r="C28" s="12">
        <v>3861</v>
      </c>
      <c r="D28" s="12">
        <v>183</v>
      </c>
      <c r="E28" s="12">
        <v>51</v>
      </c>
      <c r="F28" s="12">
        <v>144</v>
      </c>
      <c r="G28" s="12">
        <v>99</v>
      </c>
      <c r="H28" s="12">
        <v>223</v>
      </c>
      <c r="I28" s="12">
        <v>290</v>
      </c>
      <c r="J28" s="12">
        <v>67</v>
      </c>
      <c r="K28" s="12">
        <v>43</v>
      </c>
      <c r="L28" s="12">
        <v>264</v>
      </c>
      <c r="M28" s="12">
        <v>156</v>
      </c>
      <c r="N28" s="12">
        <v>168</v>
      </c>
      <c r="O28" s="12">
        <v>112</v>
      </c>
      <c r="P28" s="12">
        <v>96</v>
      </c>
      <c r="Q28" s="12">
        <v>163</v>
      </c>
      <c r="R28" s="12">
        <v>177</v>
      </c>
      <c r="S28" s="12">
        <v>69</v>
      </c>
      <c r="T28" s="12">
        <v>73</v>
      </c>
      <c r="U28" s="12">
        <v>62</v>
      </c>
      <c r="V28" s="12">
        <v>59</v>
      </c>
      <c r="W28" s="12">
        <v>153</v>
      </c>
      <c r="X28" s="12">
        <v>290</v>
      </c>
      <c r="Y28" s="12">
        <v>157</v>
      </c>
      <c r="Z28" s="12">
        <v>113</v>
      </c>
      <c r="AA28" s="12">
        <v>184</v>
      </c>
      <c r="AB28" s="12">
        <v>29</v>
      </c>
      <c r="AC28" s="12">
        <v>100</v>
      </c>
      <c r="AD28" s="12">
        <v>51</v>
      </c>
      <c r="AE28" s="12">
        <v>87</v>
      </c>
      <c r="AF28" s="12">
        <v>91</v>
      </c>
      <c r="AG28" s="12">
        <v>103</v>
      </c>
      <c r="AH28" s="12">
        <v>227</v>
      </c>
      <c r="AI28" s="12">
        <v>25</v>
      </c>
      <c r="AJ28" s="12">
        <v>67</v>
      </c>
      <c r="AK28" s="12">
        <v>180</v>
      </c>
      <c r="AL28" s="12">
        <v>152</v>
      </c>
      <c r="AM28" s="12">
        <v>309</v>
      </c>
      <c r="AN28" s="12">
        <v>79</v>
      </c>
      <c r="AO28" s="12">
        <v>95</v>
      </c>
      <c r="AP28" s="12">
        <v>59</v>
      </c>
      <c r="AQ28" s="12">
        <v>183</v>
      </c>
    </row>
    <row r="29" spans="1:43" x14ac:dyDescent="0.35">
      <c r="A29" s="19"/>
      <c r="B29" s="13" t="s">
        <v>596</v>
      </c>
      <c r="C29" s="15">
        <v>0.15</v>
      </c>
      <c r="D29" s="15">
        <v>0.18</v>
      </c>
      <c r="E29" s="15">
        <v>0.05</v>
      </c>
      <c r="F29" s="15">
        <v>0.13</v>
      </c>
      <c r="G29" s="15">
        <v>0.1</v>
      </c>
      <c r="H29" s="15">
        <v>0.18</v>
      </c>
      <c r="I29" s="15">
        <v>0.19</v>
      </c>
      <c r="J29" s="15">
        <v>0.23</v>
      </c>
      <c r="K29" s="15">
        <v>0.04</v>
      </c>
      <c r="L29" s="15">
        <v>0.26</v>
      </c>
      <c r="M29" s="15">
        <v>0.15</v>
      </c>
      <c r="N29" s="15">
        <v>0.17</v>
      </c>
      <c r="O29" s="15">
        <v>0.11</v>
      </c>
      <c r="P29" s="15">
        <v>0.1</v>
      </c>
      <c r="Q29" s="15">
        <v>0.16</v>
      </c>
      <c r="R29" s="15">
        <v>0.35</v>
      </c>
      <c r="S29" s="15">
        <v>7.0000000000000007E-2</v>
      </c>
      <c r="T29" s="15">
        <v>7.0000000000000007E-2</v>
      </c>
      <c r="U29" s="15">
        <v>0.12</v>
      </c>
      <c r="V29" s="15">
        <v>0.06</v>
      </c>
      <c r="W29" s="15">
        <v>0.3</v>
      </c>
      <c r="X29" s="15">
        <v>0.28999999999999998</v>
      </c>
      <c r="Y29" s="15">
        <v>0.16</v>
      </c>
      <c r="Z29" s="15">
        <v>0.11</v>
      </c>
      <c r="AA29" s="15">
        <v>0.18</v>
      </c>
      <c r="AB29" s="15">
        <v>0.03</v>
      </c>
      <c r="AC29" s="15">
        <v>0.1</v>
      </c>
      <c r="AD29" s="15">
        <v>0.05</v>
      </c>
      <c r="AE29" s="15">
        <v>0.09</v>
      </c>
      <c r="AF29" s="15">
        <v>0.09</v>
      </c>
      <c r="AG29" s="15">
        <v>0.1</v>
      </c>
      <c r="AH29" s="15">
        <v>0.22</v>
      </c>
      <c r="AI29" s="15">
        <v>0.05</v>
      </c>
      <c r="AJ29" s="15">
        <v>0.06</v>
      </c>
      <c r="AK29" s="15">
        <v>0.18</v>
      </c>
      <c r="AL29" s="15">
        <v>0.15</v>
      </c>
      <c r="AM29" s="15">
        <v>0.3</v>
      </c>
      <c r="AN29" s="15">
        <v>0.08</v>
      </c>
      <c r="AO29" s="15">
        <v>0.09</v>
      </c>
      <c r="AP29" s="15">
        <v>0.11</v>
      </c>
      <c r="AQ29" s="15">
        <v>0.18</v>
      </c>
    </row>
    <row r="30" spans="1:43" x14ac:dyDescent="0.35">
      <c r="A30" s="19"/>
      <c r="B30" s="11" t="s">
        <v>597</v>
      </c>
      <c r="C30" s="12">
        <v>3199</v>
      </c>
      <c r="D30" s="12">
        <v>57</v>
      </c>
      <c r="E30" s="12">
        <v>120</v>
      </c>
      <c r="F30" s="12">
        <v>38</v>
      </c>
      <c r="G30" s="12">
        <v>122</v>
      </c>
      <c r="H30" s="12">
        <v>56</v>
      </c>
      <c r="I30" s="12">
        <v>73</v>
      </c>
      <c r="J30" s="12">
        <v>17</v>
      </c>
      <c r="K30" s="12">
        <v>85</v>
      </c>
      <c r="L30" s="12">
        <v>200</v>
      </c>
      <c r="M30" s="12">
        <v>125</v>
      </c>
      <c r="N30" s="12">
        <v>165</v>
      </c>
      <c r="O30" s="12">
        <v>165</v>
      </c>
      <c r="P30" s="12">
        <v>78</v>
      </c>
      <c r="Q30" s="12">
        <v>105</v>
      </c>
      <c r="R30" s="12">
        <v>27</v>
      </c>
      <c r="S30" s="12">
        <v>226</v>
      </c>
      <c r="T30" s="12">
        <v>142</v>
      </c>
      <c r="U30" s="12">
        <v>32</v>
      </c>
      <c r="V30" s="12">
        <v>320</v>
      </c>
      <c r="W30" s="12">
        <v>59</v>
      </c>
      <c r="X30" s="12">
        <v>69</v>
      </c>
      <c r="Y30" s="12">
        <v>75</v>
      </c>
      <c r="Z30" s="12">
        <v>142</v>
      </c>
      <c r="AA30" s="12">
        <v>382</v>
      </c>
      <c r="AB30" s="12">
        <v>130</v>
      </c>
      <c r="AC30" s="12">
        <v>244</v>
      </c>
      <c r="AD30" s="12">
        <v>72</v>
      </c>
      <c r="AE30" s="12">
        <v>109</v>
      </c>
      <c r="AF30" s="12">
        <v>105</v>
      </c>
      <c r="AG30" s="12">
        <v>93</v>
      </c>
      <c r="AH30" s="12">
        <v>167</v>
      </c>
      <c r="AI30" s="12">
        <v>18</v>
      </c>
      <c r="AJ30" s="12">
        <v>96</v>
      </c>
      <c r="AK30" s="12">
        <v>151</v>
      </c>
      <c r="AL30" s="12">
        <v>170</v>
      </c>
      <c r="AM30" s="12">
        <v>212</v>
      </c>
      <c r="AN30" s="12">
        <v>84</v>
      </c>
      <c r="AO30" s="12">
        <v>250</v>
      </c>
      <c r="AP30" s="12">
        <v>184</v>
      </c>
      <c r="AQ30" s="12">
        <v>153</v>
      </c>
    </row>
    <row r="31" spans="1:43" x14ac:dyDescent="0.35">
      <c r="A31" s="19"/>
      <c r="B31" s="13" t="s">
        <v>598</v>
      </c>
      <c r="C31" s="15">
        <v>0.12</v>
      </c>
      <c r="D31" s="15">
        <v>0.06</v>
      </c>
      <c r="E31" s="15">
        <v>0.12</v>
      </c>
      <c r="F31" s="15">
        <v>0.03</v>
      </c>
      <c r="G31" s="15">
        <v>0.12</v>
      </c>
      <c r="H31" s="15">
        <v>0.05</v>
      </c>
      <c r="I31" s="15">
        <v>0.05</v>
      </c>
      <c r="J31" s="15">
        <v>0.06</v>
      </c>
      <c r="K31" s="15">
        <v>0.08</v>
      </c>
      <c r="L31" s="15">
        <v>0.2</v>
      </c>
      <c r="M31" s="15">
        <v>0.12</v>
      </c>
      <c r="N31" s="15">
        <v>0.16</v>
      </c>
      <c r="O31" s="15">
        <v>0.16</v>
      </c>
      <c r="P31" s="15">
        <v>0.08</v>
      </c>
      <c r="Q31" s="15">
        <v>0.1</v>
      </c>
      <c r="R31" s="15">
        <v>0.05</v>
      </c>
      <c r="S31" s="15">
        <v>0.23</v>
      </c>
      <c r="T31" s="15">
        <v>0.14000000000000001</v>
      </c>
      <c r="U31" s="15">
        <v>0.06</v>
      </c>
      <c r="V31" s="15">
        <v>0.32</v>
      </c>
      <c r="W31" s="15">
        <v>0.12</v>
      </c>
      <c r="X31" s="15">
        <v>7.0000000000000007E-2</v>
      </c>
      <c r="Y31" s="15">
        <v>0.08</v>
      </c>
      <c r="Z31" s="15">
        <v>0.14000000000000001</v>
      </c>
      <c r="AA31" s="15">
        <v>0.37</v>
      </c>
      <c r="AB31" s="15">
        <v>0.12</v>
      </c>
      <c r="AC31" s="15">
        <v>0.24</v>
      </c>
      <c r="AD31" s="15">
        <v>7.0000000000000007E-2</v>
      </c>
      <c r="AE31" s="15">
        <v>0.11</v>
      </c>
      <c r="AF31" s="15">
        <v>0.1</v>
      </c>
      <c r="AG31" s="15">
        <v>0.09</v>
      </c>
      <c r="AH31" s="15">
        <v>0.16</v>
      </c>
      <c r="AI31" s="15">
        <v>0.04</v>
      </c>
      <c r="AJ31" s="15">
        <v>0.09</v>
      </c>
      <c r="AK31" s="15">
        <v>0.15</v>
      </c>
      <c r="AL31" s="15">
        <v>0.17</v>
      </c>
      <c r="AM31" s="15">
        <v>0.2</v>
      </c>
      <c r="AN31" s="15">
        <v>0.08</v>
      </c>
      <c r="AO31" s="15">
        <v>0.25</v>
      </c>
      <c r="AP31" s="15">
        <v>0.35</v>
      </c>
      <c r="AQ31" s="15">
        <v>0.15</v>
      </c>
    </row>
    <row r="32" spans="1:43" x14ac:dyDescent="0.35">
      <c r="A32" s="19"/>
      <c r="B32" s="11" t="s">
        <v>599</v>
      </c>
      <c r="C32" s="12">
        <v>1808</v>
      </c>
      <c r="D32" s="12">
        <v>109</v>
      </c>
      <c r="E32" s="12">
        <v>46</v>
      </c>
      <c r="F32" s="12">
        <v>30</v>
      </c>
      <c r="G32" s="12">
        <v>50</v>
      </c>
      <c r="H32" s="12">
        <v>97</v>
      </c>
      <c r="I32" s="12">
        <v>133</v>
      </c>
      <c r="J32" s="12">
        <v>36</v>
      </c>
      <c r="K32" s="12">
        <v>86</v>
      </c>
      <c r="L32" s="12">
        <v>35</v>
      </c>
      <c r="M32" s="12">
        <v>59</v>
      </c>
      <c r="N32" s="12">
        <v>43</v>
      </c>
      <c r="O32" s="12">
        <v>103</v>
      </c>
      <c r="P32" s="12">
        <v>31</v>
      </c>
      <c r="Q32" s="12">
        <v>52</v>
      </c>
      <c r="R32" s="12">
        <v>42</v>
      </c>
      <c r="S32" s="12">
        <v>115</v>
      </c>
      <c r="T32" s="12">
        <v>93</v>
      </c>
      <c r="U32" s="12">
        <v>56</v>
      </c>
      <c r="V32" s="12">
        <v>73</v>
      </c>
      <c r="W32" s="12">
        <v>44</v>
      </c>
      <c r="X32" s="12">
        <v>45</v>
      </c>
      <c r="Y32" s="12">
        <v>67</v>
      </c>
      <c r="Z32" s="12">
        <v>17</v>
      </c>
      <c r="AA32" s="12">
        <v>66</v>
      </c>
      <c r="AB32" s="12">
        <v>87</v>
      </c>
      <c r="AC32" s="12">
        <v>45</v>
      </c>
      <c r="AD32" s="12">
        <v>52</v>
      </c>
      <c r="AE32" s="12">
        <v>53</v>
      </c>
      <c r="AF32" s="12">
        <v>189</v>
      </c>
      <c r="AG32" s="12">
        <v>142</v>
      </c>
      <c r="AH32" s="12">
        <v>60</v>
      </c>
      <c r="AI32" s="12">
        <v>18</v>
      </c>
      <c r="AJ32" s="12">
        <v>132</v>
      </c>
      <c r="AK32" s="12">
        <v>114</v>
      </c>
      <c r="AL32" s="12">
        <v>80</v>
      </c>
      <c r="AM32" s="12">
        <v>69</v>
      </c>
      <c r="AN32" s="12">
        <v>64</v>
      </c>
      <c r="AO32" s="12">
        <v>157</v>
      </c>
      <c r="AP32" s="12">
        <v>78</v>
      </c>
      <c r="AQ32" s="12">
        <v>198</v>
      </c>
    </row>
    <row r="33" spans="1:43" x14ac:dyDescent="0.35">
      <c r="A33" s="19"/>
      <c r="B33" s="13" t="s">
        <v>600</v>
      </c>
      <c r="C33" s="15">
        <v>7.0000000000000007E-2</v>
      </c>
      <c r="D33" s="15">
        <v>0.11</v>
      </c>
      <c r="E33" s="15">
        <v>0.04</v>
      </c>
      <c r="F33" s="15">
        <v>0.03</v>
      </c>
      <c r="G33" s="15">
        <v>0.05</v>
      </c>
      <c r="H33" s="15">
        <v>0.08</v>
      </c>
      <c r="I33" s="15">
        <v>0.09</v>
      </c>
      <c r="J33" s="15">
        <v>0.12</v>
      </c>
      <c r="K33" s="15">
        <v>0.09</v>
      </c>
      <c r="L33" s="15">
        <v>0.04</v>
      </c>
      <c r="M33" s="15">
        <v>0.06</v>
      </c>
      <c r="N33" s="15">
        <v>0.04</v>
      </c>
      <c r="O33" s="15">
        <v>0.1</v>
      </c>
      <c r="P33" s="15">
        <v>0.03</v>
      </c>
      <c r="Q33" s="15">
        <v>0.05</v>
      </c>
      <c r="R33" s="15">
        <v>0.08</v>
      </c>
      <c r="S33" s="15">
        <v>0.12</v>
      </c>
      <c r="T33" s="15">
        <v>0.09</v>
      </c>
      <c r="U33" s="15">
        <v>0.11</v>
      </c>
      <c r="V33" s="15">
        <v>7.0000000000000007E-2</v>
      </c>
      <c r="W33" s="15">
        <v>0.09</v>
      </c>
      <c r="X33" s="15">
        <v>0.04</v>
      </c>
      <c r="Y33" s="15">
        <v>7.0000000000000007E-2</v>
      </c>
      <c r="Z33" s="15">
        <v>0.02</v>
      </c>
      <c r="AA33" s="15">
        <v>0.06</v>
      </c>
      <c r="AB33" s="15">
        <v>0.08</v>
      </c>
      <c r="AC33" s="15">
        <v>0.04</v>
      </c>
      <c r="AD33" s="15">
        <v>0.05</v>
      </c>
      <c r="AE33" s="15">
        <v>0.05</v>
      </c>
      <c r="AF33" s="15">
        <v>0.18</v>
      </c>
      <c r="AG33" s="15">
        <v>0.14000000000000001</v>
      </c>
      <c r="AH33" s="15">
        <v>0.06</v>
      </c>
      <c r="AI33" s="15">
        <v>0.04</v>
      </c>
      <c r="AJ33" s="15">
        <v>0.13</v>
      </c>
      <c r="AK33" s="15">
        <v>0.11</v>
      </c>
      <c r="AL33" s="15">
        <v>0.08</v>
      </c>
      <c r="AM33" s="15">
        <v>7.0000000000000007E-2</v>
      </c>
      <c r="AN33" s="15">
        <v>0.06</v>
      </c>
      <c r="AO33" s="15">
        <v>0.16</v>
      </c>
      <c r="AP33" s="15">
        <v>0.15</v>
      </c>
      <c r="AQ33" s="15">
        <v>0.2</v>
      </c>
    </row>
    <row r="34" spans="1:43" x14ac:dyDescent="0.35">
      <c r="A34" s="19"/>
      <c r="B34" s="11" t="s">
        <v>601</v>
      </c>
      <c r="C34" s="12">
        <v>2388</v>
      </c>
      <c r="D34" s="12">
        <v>60</v>
      </c>
      <c r="E34" s="12">
        <v>128</v>
      </c>
      <c r="F34" s="12">
        <v>122</v>
      </c>
      <c r="G34" s="12">
        <v>218</v>
      </c>
      <c r="H34" s="12">
        <v>110</v>
      </c>
      <c r="I34" s="12">
        <v>139</v>
      </c>
      <c r="J34" s="12">
        <v>29</v>
      </c>
      <c r="K34" s="12">
        <v>122</v>
      </c>
      <c r="L34" s="12">
        <v>29</v>
      </c>
      <c r="M34" s="12">
        <v>91</v>
      </c>
      <c r="N34" s="12">
        <v>84</v>
      </c>
      <c r="O34" s="12">
        <v>56</v>
      </c>
      <c r="P34" s="12">
        <v>91</v>
      </c>
      <c r="Q34" s="12">
        <v>122</v>
      </c>
      <c r="R34" s="12">
        <v>19</v>
      </c>
      <c r="S34" s="12">
        <v>100</v>
      </c>
      <c r="T34" s="12">
        <v>131</v>
      </c>
      <c r="U34" s="12">
        <v>28</v>
      </c>
      <c r="V34" s="12">
        <v>75</v>
      </c>
      <c r="W34" s="12">
        <v>32</v>
      </c>
      <c r="X34" s="12">
        <v>98</v>
      </c>
      <c r="Y34" s="12">
        <v>95</v>
      </c>
      <c r="Z34" s="12">
        <v>126</v>
      </c>
      <c r="AA34" s="12">
        <v>38</v>
      </c>
      <c r="AB34" s="12">
        <v>70</v>
      </c>
      <c r="AC34" s="12">
        <v>90</v>
      </c>
      <c r="AD34" s="12">
        <v>112</v>
      </c>
      <c r="AE34" s="12">
        <v>86</v>
      </c>
      <c r="AF34" s="12">
        <v>93</v>
      </c>
      <c r="AG34" s="12">
        <v>44</v>
      </c>
      <c r="AH34" s="12">
        <v>80</v>
      </c>
      <c r="AI34" s="12">
        <v>27</v>
      </c>
      <c r="AJ34" s="12">
        <v>184</v>
      </c>
      <c r="AK34" s="12">
        <v>20</v>
      </c>
      <c r="AL34" s="12">
        <v>30</v>
      </c>
      <c r="AM34" s="12">
        <v>61</v>
      </c>
      <c r="AN34" s="12">
        <v>105</v>
      </c>
      <c r="AO34" s="12">
        <v>49</v>
      </c>
      <c r="AP34" s="12">
        <v>24</v>
      </c>
      <c r="AQ34" s="12">
        <v>60</v>
      </c>
    </row>
    <row r="35" spans="1:43" x14ac:dyDescent="0.35">
      <c r="A35" s="19"/>
      <c r="B35" s="13" t="s">
        <v>602</v>
      </c>
      <c r="C35" s="15">
        <v>0.09</v>
      </c>
      <c r="D35" s="15">
        <v>0.06</v>
      </c>
      <c r="E35" s="15">
        <v>0.12</v>
      </c>
      <c r="F35" s="15">
        <v>0.11</v>
      </c>
      <c r="G35" s="15">
        <v>0.22</v>
      </c>
      <c r="H35" s="15">
        <v>0.09</v>
      </c>
      <c r="I35" s="15">
        <v>0.09</v>
      </c>
      <c r="J35" s="15">
        <v>0.1</v>
      </c>
      <c r="K35" s="15">
        <v>0.12</v>
      </c>
      <c r="L35" s="15">
        <v>0.03</v>
      </c>
      <c r="M35" s="15">
        <v>0.09</v>
      </c>
      <c r="N35" s="15">
        <v>0.08</v>
      </c>
      <c r="O35" s="15">
        <v>0.06</v>
      </c>
      <c r="P35" s="15">
        <v>0.09</v>
      </c>
      <c r="Q35" s="15">
        <v>0.12</v>
      </c>
      <c r="R35" s="15">
        <v>0.04</v>
      </c>
      <c r="S35" s="15">
        <v>0.1</v>
      </c>
      <c r="T35" s="15">
        <v>0.13</v>
      </c>
      <c r="U35" s="15">
        <v>0.06</v>
      </c>
      <c r="V35" s="15">
        <v>7.0000000000000007E-2</v>
      </c>
      <c r="W35" s="15">
        <v>0.06</v>
      </c>
      <c r="X35" s="15">
        <v>0.1</v>
      </c>
      <c r="Y35" s="15">
        <v>0.09</v>
      </c>
      <c r="Z35" s="15">
        <v>0.12</v>
      </c>
      <c r="AA35" s="15">
        <v>0.04</v>
      </c>
      <c r="AB35" s="15">
        <v>7.0000000000000007E-2</v>
      </c>
      <c r="AC35" s="15">
        <v>0.09</v>
      </c>
      <c r="AD35" s="15">
        <v>0.11</v>
      </c>
      <c r="AE35" s="15">
        <v>0.09</v>
      </c>
      <c r="AF35" s="15">
        <v>0.09</v>
      </c>
      <c r="AG35" s="15">
        <v>0.04</v>
      </c>
      <c r="AH35" s="15">
        <v>0.08</v>
      </c>
      <c r="AI35" s="15">
        <v>0.05</v>
      </c>
      <c r="AJ35" s="15">
        <v>0.18</v>
      </c>
      <c r="AK35" s="15">
        <v>0.02</v>
      </c>
      <c r="AL35" s="15">
        <v>0.03</v>
      </c>
      <c r="AM35" s="15">
        <v>0.06</v>
      </c>
      <c r="AN35" s="15">
        <v>0.11</v>
      </c>
      <c r="AO35" s="15">
        <v>0.05</v>
      </c>
      <c r="AP35" s="15">
        <v>0.05</v>
      </c>
      <c r="AQ35" s="15">
        <v>0.06</v>
      </c>
    </row>
    <row r="36" spans="1:43" ht="51.5" x14ac:dyDescent="0.35">
      <c r="A36" s="19"/>
      <c r="B36" s="11" t="s">
        <v>603</v>
      </c>
      <c r="C36" s="12">
        <v>2407</v>
      </c>
      <c r="D36" s="12">
        <v>66</v>
      </c>
      <c r="E36" s="12">
        <v>100</v>
      </c>
      <c r="F36" s="12">
        <v>79</v>
      </c>
      <c r="G36" s="12">
        <v>187</v>
      </c>
      <c r="H36" s="12">
        <v>180</v>
      </c>
      <c r="I36" s="12">
        <v>205</v>
      </c>
      <c r="J36" s="12">
        <v>25</v>
      </c>
      <c r="K36" s="12">
        <v>58</v>
      </c>
      <c r="L36" s="12">
        <v>37</v>
      </c>
      <c r="M36" s="12">
        <v>43</v>
      </c>
      <c r="N36" s="12">
        <v>79</v>
      </c>
      <c r="O36" s="12">
        <v>65</v>
      </c>
      <c r="P36" s="12">
        <v>58</v>
      </c>
      <c r="Q36" s="12">
        <v>58</v>
      </c>
      <c r="R36" s="12">
        <v>13</v>
      </c>
      <c r="S36" s="12">
        <v>53</v>
      </c>
      <c r="T36" s="12">
        <v>97</v>
      </c>
      <c r="U36" s="12">
        <v>24</v>
      </c>
      <c r="V36" s="12">
        <v>61</v>
      </c>
      <c r="W36" s="12">
        <v>44</v>
      </c>
      <c r="X36" s="12">
        <v>198</v>
      </c>
      <c r="Y36" s="12">
        <v>75</v>
      </c>
      <c r="Z36" s="12">
        <v>84</v>
      </c>
      <c r="AA36" s="12">
        <v>22</v>
      </c>
      <c r="AB36" s="12">
        <v>79</v>
      </c>
      <c r="AC36" s="12">
        <v>64</v>
      </c>
      <c r="AD36" s="12">
        <v>101</v>
      </c>
      <c r="AE36" s="12">
        <v>78</v>
      </c>
      <c r="AF36" s="12">
        <v>281</v>
      </c>
      <c r="AG36" s="12">
        <v>65</v>
      </c>
      <c r="AH36" s="12">
        <v>64</v>
      </c>
      <c r="AI36" s="12">
        <v>17</v>
      </c>
      <c r="AJ36" s="12">
        <v>237</v>
      </c>
      <c r="AK36" s="12">
        <v>32</v>
      </c>
      <c r="AL36" s="12">
        <v>52</v>
      </c>
      <c r="AM36" s="12">
        <v>91</v>
      </c>
      <c r="AN36" s="12">
        <v>87</v>
      </c>
      <c r="AO36" s="12">
        <v>71</v>
      </c>
      <c r="AP36" s="12">
        <v>19</v>
      </c>
      <c r="AQ36" s="12">
        <v>77</v>
      </c>
    </row>
    <row r="37" spans="1:43" ht="31.5" x14ac:dyDescent="0.35">
      <c r="A37" s="19"/>
      <c r="B37" s="13" t="s">
        <v>604</v>
      </c>
      <c r="C37" s="15">
        <v>0.09</v>
      </c>
      <c r="D37" s="15">
        <v>7.0000000000000007E-2</v>
      </c>
      <c r="E37" s="15">
        <v>0.1</v>
      </c>
      <c r="F37" s="15">
        <v>7.0000000000000007E-2</v>
      </c>
      <c r="G37" s="15">
        <v>0.19</v>
      </c>
      <c r="H37" s="15">
        <v>0.15</v>
      </c>
      <c r="I37" s="15">
        <v>0.14000000000000001</v>
      </c>
      <c r="J37" s="15">
        <v>0.09</v>
      </c>
      <c r="K37" s="15">
        <v>0.06</v>
      </c>
      <c r="L37" s="15">
        <v>0.04</v>
      </c>
      <c r="M37" s="15">
        <v>0.04</v>
      </c>
      <c r="N37" s="15">
        <v>0.08</v>
      </c>
      <c r="O37" s="15">
        <v>0.06</v>
      </c>
      <c r="P37" s="15">
        <v>0.06</v>
      </c>
      <c r="Q37" s="15">
        <v>0.06</v>
      </c>
      <c r="R37" s="15">
        <v>0.02</v>
      </c>
      <c r="S37" s="15">
        <v>0.05</v>
      </c>
      <c r="T37" s="15">
        <v>0.1</v>
      </c>
      <c r="U37" s="15">
        <v>0.05</v>
      </c>
      <c r="V37" s="15">
        <v>0.06</v>
      </c>
      <c r="W37" s="15">
        <v>0.09</v>
      </c>
      <c r="X37" s="15">
        <v>0.2</v>
      </c>
      <c r="Y37" s="15">
        <v>0.08</v>
      </c>
      <c r="Z37" s="15">
        <v>0.08</v>
      </c>
      <c r="AA37" s="15">
        <v>0.02</v>
      </c>
      <c r="AB37" s="15">
        <v>7.0000000000000007E-2</v>
      </c>
      <c r="AC37" s="15">
        <v>0.06</v>
      </c>
      <c r="AD37" s="15">
        <v>0.1</v>
      </c>
      <c r="AE37" s="15">
        <v>0.08</v>
      </c>
      <c r="AF37" s="15">
        <v>0.27</v>
      </c>
      <c r="AG37" s="15">
        <v>0.06</v>
      </c>
      <c r="AH37" s="15">
        <v>0.06</v>
      </c>
      <c r="AI37" s="15">
        <v>0.03</v>
      </c>
      <c r="AJ37" s="15">
        <v>0.23</v>
      </c>
      <c r="AK37" s="15">
        <v>0.03</v>
      </c>
      <c r="AL37" s="15">
        <v>0.05</v>
      </c>
      <c r="AM37" s="15">
        <v>0.09</v>
      </c>
      <c r="AN37" s="15">
        <v>0.09</v>
      </c>
      <c r="AO37" s="15">
        <v>7.0000000000000007E-2</v>
      </c>
      <c r="AP37" s="15">
        <v>0.04</v>
      </c>
      <c r="AQ37" s="15">
        <v>0.08</v>
      </c>
    </row>
    <row r="38" spans="1:43" ht="31.5" x14ac:dyDescent="0.35">
      <c r="A38" s="19"/>
      <c r="B38" s="11" t="s">
        <v>605</v>
      </c>
      <c r="C38" s="12">
        <v>2008</v>
      </c>
      <c r="D38" s="12">
        <v>80</v>
      </c>
      <c r="E38" s="12">
        <v>88</v>
      </c>
      <c r="F38" s="12">
        <v>60</v>
      </c>
      <c r="G38" s="12">
        <v>216</v>
      </c>
      <c r="H38" s="12">
        <v>121</v>
      </c>
      <c r="I38" s="12">
        <v>143</v>
      </c>
      <c r="J38" s="12">
        <v>22</v>
      </c>
      <c r="K38" s="12">
        <v>26</v>
      </c>
      <c r="L38" s="12">
        <v>41</v>
      </c>
      <c r="M38" s="12">
        <v>29</v>
      </c>
      <c r="N38" s="12">
        <v>26</v>
      </c>
      <c r="O38" s="12">
        <v>63</v>
      </c>
      <c r="P38" s="12">
        <v>58</v>
      </c>
      <c r="Q38" s="12">
        <v>78</v>
      </c>
      <c r="R38" s="12">
        <v>21</v>
      </c>
      <c r="S38" s="12">
        <v>11</v>
      </c>
      <c r="T38" s="12">
        <v>12</v>
      </c>
      <c r="U38" s="12">
        <v>28</v>
      </c>
      <c r="V38" s="12">
        <v>56</v>
      </c>
      <c r="W38" s="12">
        <v>131</v>
      </c>
      <c r="X38" s="12">
        <v>184</v>
      </c>
      <c r="Y38" s="12">
        <v>96</v>
      </c>
      <c r="Z38" s="12">
        <v>61</v>
      </c>
      <c r="AA38" s="12">
        <v>29</v>
      </c>
      <c r="AB38" s="12">
        <v>58</v>
      </c>
      <c r="AC38" s="12">
        <v>40</v>
      </c>
      <c r="AD38" s="12">
        <v>39</v>
      </c>
      <c r="AE38" s="12">
        <v>83</v>
      </c>
      <c r="AF38" s="12">
        <v>287</v>
      </c>
      <c r="AG38" s="12">
        <v>22</v>
      </c>
      <c r="AH38" s="12">
        <v>39</v>
      </c>
      <c r="AI38" s="12">
        <v>11</v>
      </c>
      <c r="AJ38" s="12">
        <v>52</v>
      </c>
      <c r="AK38" s="12">
        <v>8</v>
      </c>
      <c r="AL38" s="12">
        <v>40</v>
      </c>
      <c r="AM38" s="12">
        <v>61</v>
      </c>
      <c r="AN38" s="12">
        <v>57</v>
      </c>
      <c r="AO38" s="12">
        <v>28</v>
      </c>
      <c r="AP38" s="12">
        <v>8</v>
      </c>
      <c r="AQ38" s="12">
        <v>38</v>
      </c>
    </row>
    <row r="39" spans="1:43" ht="21.5" x14ac:dyDescent="0.35">
      <c r="A39" s="19"/>
      <c r="B39" s="13" t="s">
        <v>606</v>
      </c>
      <c r="C39" s="15">
        <v>0.08</v>
      </c>
      <c r="D39" s="15">
        <v>0.08</v>
      </c>
      <c r="E39" s="15">
        <v>0.09</v>
      </c>
      <c r="F39" s="15">
        <v>0.05</v>
      </c>
      <c r="G39" s="15">
        <v>0.21</v>
      </c>
      <c r="H39" s="15">
        <v>0.1</v>
      </c>
      <c r="I39" s="15">
        <v>0.09</v>
      </c>
      <c r="J39" s="15">
        <v>7.0000000000000007E-2</v>
      </c>
      <c r="K39" s="15">
        <v>0.03</v>
      </c>
      <c r="L39" s="15">
        <v>0.04</v>
      </c>
      <c r="M39" s="15">
        <v>0.03</v>
      </c>
      <c r="N39" s="15">
        <v>0.03</v>
      </c>
      <c r="O39" s="15">
        <v>0.06</v>
      </c>
      <c r="P39" s="15">
        <v>0.06</v>
      </c>
      <c r="Q39" s="15">
        <v>0.08</v>
      </c>
      <c r="R39" s="15">
        <v>0.04</v>
      </c>
      <c r="S39" s="15">
        <v>0.01</v>
      </c>
      <c r="T39" s="15">
        <v>0.01</v>
      </c>
      <c r="U39" s="15">
        <v>0.06</v>
      </c>
      <c r="V39" s="15">
        <v>0.06</v>
      </c>
      <c r="W39" s="15">
        <v>0.26</v>
      </c>
      <c r="X39" s="15">
        <v>0.18</v>
      </c>
      <c r="Y39" s="15">
        <v>0.1</v>
      </c>
      <c r="Z39" s="15">
        <v>0.06</v>
      </c>
      <c r="AA39" s="15">
        <v>0.03</v>
      </c>
      <c r="AB39" s="15">
        <v>0.06</v>
      </c>
      <c r="AC39" s="15">
        <v>0.04</v>
      </c>
      <c r="AD39" s="15">
        <v>0.04</v>
      </c>
      <c r="AE39" s="15">
        <v>0.08</v>
      </c>
      <c r="AF39" s="15">
        <v>0.28000000000000003</v>
      </c>
      <c r="AG39" s="15">
        <v>0.02</v>
      </c>
      <c r="AH39" s="15">
        <v>0.04</v>
      </c>
      <c r="AI39" s="15">
        <v>0.02</v>
      </c>
      <c r="AJ39" s="15">
        <v>0.05</v>
      </c>
      <c r="AK39" s="15">
        <v>0.01</v>
      </c>
      <c r="AL39" s="15">
        <v>0.04</v>
      </c>
      <c r="AM39" s="15">
        <v>0.06</v>
      </c>
      <c r="AN39" s="15">
        <v>0.06</v>
      </c>
      <c r="AO39" s="15">
        <v>0.03</v>
      </c>
      <c r="AP39" s="15">
        <v>0.02</v>
      </c>
      <c r="AQ39" s="15">
        <v>0.04</v>
      </c>
    </row>
    <row r="40" spans="1:43" x14ac:dyDescent="0.35">
      <c r="A40" s="19"/>
      <c r="B40" s="11" t="s">
        <v>607</v>
      </c>
      <c r="C40" s="12">
        <v>3365</v>
      </c>
      <c r="D40" s="12">
        <v>92</v>
      </c>
      <c r="E40" s="12">
        <v>62</v>
      </c>
      <c r="F40" s="12">
        <v>108</v>
      </c>
      <c r="G40" s="12">
        <v>328</v>
      </c>
      <c r="H40" s="12">
        <v>256</v>
      </c>
      <c r="I40" s="12">
        <v>299</v>
      </c>
      <c r="J40" s="12">
        <v>43</v>
      </c>
      <c r="K40" s="12">
        <v>216</v>
      </c>
      <c r="L40" s="12">
        <v>19</v>
      </c>
      <c r="M40" s="12">
        <v>88</v>
      </c>
      <c r="N40" s="12">
        <v>39</v>
      </c>
      <c r="O40" s="12">
        <v>90</v>
      </c>
      <c r="P40" s="12">
        <v>68</v>
      </c>
      <c r="Q40" s="12">
        <v>132</v>
      </c>
      <c r="R40" s="12">
        <v>56</v>
      </c>
      <c r="S40" s="12">
        <v>170</v>
      </c>
      <c r="T40" s="12">
        <v>264</v>
      </c>
      <c r="U40" s="12">
        <v>26</v>
      </c>
      <c r="V40" s="12">
        <v>43</v>
      </c>
      <c r="W40" s="12">
        <v>14</v>
      </c>
      <c r="X40" s="12">
        <v>119</v>
      </c>
      <c r="Y40" s="12">
        <v>83</v>
      </c>
      <c r="Z40" s="12">
        <v>251</v>
      </c>
      <c r="AA40" s="12">
        <v>58</v>
      </c>
      <c r="AB40" s="12">
        <v>95</v>
      </c>
      <c r="AC40" s="12">
        <v>81</v>
      </c>
      <c r="AD40" s="12">
        <v>73</v>
      </c>
      <c r="AE40" s="12">
        <v>148</v>
      </c>
      <c r="AF40" s="12">
        <v>183</v>
      </c>
      <c r="AG40" s="12">
        <v>93</v>
      </c>
      <c r="AH40" s="12">
        <v>58</v>
      </c>
      <c r="AI40" s="12">
        <v>7</v>
      </c>
      <c r="AJ40" s="12">
        <v>103</v>
      </c>
      <c r="AK40" s="12">
        <v>108</v>
      </c>
      <c r="AL40" s="12">
        <v>58</v>
      </c>
      <c r="AM40" s="12">
        <v>69</v>
      </c>
      <c r="AN40" s="12">
        <v>87</v>
      </c>
      <c r="AO40" s="12">
        <v>83</v>
      </c>
      <c r="AP40" s="12">
        <v>21</v>
      </c>
      <c r="AQ40" s="12">
        <v>61</v>
      </c>
    </row>
    <row r="41" spans="1:43" x14ac:dyDescent="0.35">
      <c r="A41" s="19"/>
      <c r="B41" s="13" t="s">
        <v>608</v>
      </c>
      <c r="C41" s="15">
        <v>0.13</v>
      </c>
      <c r="D41" s="15">
        <v>0.09</v>
      </c>
      <c r="E41" s="15">
        <v>0.06</v>
      </c>
      <c r="F41" s="15">
        <v>0.1</v>
      </c>
      <c r="G41" s="15">
        <v>0.33</v>
      </c>
      <c r="H41" s="15">
        <v>0.21</v>
      </c>
      <c r="I41" s="15">
        <v>0.2</v>
      </c>
      <c r="J41" s="15">
        <v>0.15</v>
      </c>
      <c r="K41" s="15">
        <v>0.22</v>
      </c>
      <c r="L41" s="15">
        <v>0.02</v>
      </c>
      <c r="M41" s="15">
        <v>0.09</v>
      </c>
      <c r="N41" s="15">
        <v>0.04</v>
      </c>
      <c r="O41" s="15">
        <v>0.09</v>
      </c>
      <c r="P41" s="15">
        <v>7.0000000000000007E-2</v>
      </c>
      <c r="Q41" s="15">
        <v>0.13</v>
      </c>
      <c r="R41" s="15">
        <v>0.11</v>
      </c>
      <c r="S41" s="15">
        <v>0.17</v>
      </c>
      <c r="T41" s="15">
        <v>0.26</v>
      </c>
      <c r="U41" s="15">
        <v>0.05</v>
      </c>
      <c r="V41" s="15">
        <v>0.04</v>
      </c>
      <c r="W41" s="15">
        <v>0.03</v>
      </c>
      <c r="X41" s="15">
        <v>0.12</v>
      </c>
      <c r="Y41" s="15">
        <v>0.08</v>
      </c>
      <c r="Z41" s="15">
        <v>0.24</v>
      </c>
      <c r="AA41" s="15">
        <v>0.06</v>
      </c>
      <c r="AB41" s="15">
        <v>0.09</v>
      </c>
      <c r="AC41" s="15">
        <v>0.08</v>
      </c>
      <c r="AD41" s="15">
        <v>7.0000000000000007E-2</v>
      </c>
      <c r="AE41" s="15">
        <v>0.15</v>
      </c>
      <c r="AF41" s="15">
        <v>0.18</v>
      </c>
      <c r="AG41" s="15">
        <v>0.09</v>
      </c>
      <c r="AH41" s="15">
        <v>0.06</v>
      </c>
      <c r="AI41" s="15">
        <v>0.01</v>
      </c>
      <c r="AJ41" s="15">
        <v>0.1</v>
      </c>
      <c r="AK41" s="15">
        <v>0.11</v>
      </c>
      <c r="AL41" s="15">
        <v>0.06</v>
      </c>
      <c r="AM41" s="15">
        <v>7.0000000000000007E-2</v>
      </c>
      <c r="AN41" s="15">
        <v>0.09</v>
      </c>
      <c r="AO41" s="15">
        <v>0.08</v>
      </c>
      <c r="AP41" s="15">
        <v>0.04</v>
      </c>
      <c r="AQ41" s="15">
        <v>0.06</v>
      </c>
    </row>
    <row r="42" spans="1:43" ht="21.5" x14ac:dyDescent="0.35">
      <c r="A42" s="19"/>
      <c r="B42" s="11" t="s">
        <v>609</v>
      </c>
      <c r="C42" s="12">
        <v>2467</v>
      </c>
      <c r="D42" s="12">
        <v>64</v>
      </c>
      <c r="E42" s="12">
        <v>106</v>
      </c>
      <c r="F42" s="12">
        <v>153</v>
      </c>
      <c r="G42" s="12">
        <v>255</v>
      </c>
      <c r="H42" s="12">
        <v>191</v>
      </c>
      <c r="I42" s="12">
        <v>225</v>
      </c>
      <c r="J42" s="12">
        <v>34</v>
      </c>
      <c r="K42" s="12">
        <v>126</v>
      </c>
      <c r="L42" s="12">
        <v>49</v>
      </c>
      <c r="M42" s="12">
        <v>24</v>
      </c>
      <c r="N42" s="12">
        <v>45</v>
      </c>
      <c r="O42" s="12">
        <v>42</v>
      </c>
      <c r="P42" s="12">
        <v>68</v>
      </c>
      <c r="Q42" s="12">
        <v>76</v>
      </c>
      <c r="R42" s="12">
        <v>10</v>
      </c>
      <c r="S42" s="12">
        <v>152</v>
      </c>
      <c r="T42" s="12">
        <v>200</v>
      </c>
      <c r="U42" s="12">
        <v>32</v>
      </c>
      <c r="V42" s="12">
        <v>104</v>
      </c>
      <c r="W42" s="12">
        <v>18</v>
      </c>
      <c r="X42" s="12">
        <v>65</v>
      </c>
      <c r="Y42" s="12">
        <v>52</v>
      </c>
      <c r="Z42" s="12">
        <v>174</v>
      </c>
      <c r="AA42" s="12">
        <v>62</v>
      </c>
      <c r="AB42" s="12">
        <v>97</v>
      </c>
      <c r="AC42" s="12">
        <v>71</v>
      </c>
      <c r="AD42" s="12">
        <v>109</v>
      </c>
      <c r="AE42" s="12">
        <v>154</v>
      </c>
      <c r="AF42" s="12">
        <v>99</v>
      </c>
      <c r="AG42" s="12">
        <v>7</v>
      </c>
      <c r="AH42" s="12">
        <v>40</v>
      </c>
      <c r="AI42" s="12">
        <v>0</v>
      </c>
      <c r="AJ42" s="12">
        <v>56</v>
      </c>
      <c r="AK42" s="12">
        <v>14</v>
      </c>
      <c r="AL42" s="12">
        <v>143</v>
      </c>
      <c r="AM42" s="12">
        <v>54</v>
      </c>
      <c r="AN42" s="12">
        <v>38</v>
      </c>
      <c r="AO42" s="12">
        <v>14</v>
      </c>
      <c r="AP42" s="12">
        <v>9</v>
      </c>
      <c r="AQ42" s="12">
        <v>59</v>
      </c>
    </row>
    <row r="43" spans="1:43" x14ac:dyDescent="0.35">
      <c r="A43" s="19"/>
      <c r="B43" s="13" t="s">
        <v>610</v>
      </c>
      <c r="C43" s="15">
        <v>0.09</v>
      </c>
      <c r="D43" s="15">
        <v>0.06</v>
      </c>
      <c r="E43" s="15">
        <v>0.1</v>
      </c>
      <c r="F43" s="15">
        <v>0.14000000000000001</v>
      </c>
      <c r="G43" s="15">
        <v>0.25</v>
      </c>
      <c r="H43" s="15">
        <v>0.16</v>
      </c>
      <c r="I43" s="15">
        <v>0.15</v>
      </c>
      <c r="J43" s="15">
        <v>0.12</v>
      </c>
      <c r="K43" s="15">
        <v>0.13</v>
      </c>
      <c r="L43" s="15">
        <v>0.05</v>
      </c>
      <c r="M43" s="15">
        <v>0.02</v>
      </c>
      <c r="N43" s="15">
        <v>0.04</v>
      </c>
      <c r="O43" s="15">
        <v>0.04</v>
      </c>
      <c r="P43" s="15">
        <v>7.0000000000000007E-2</v>
      </c>
      <c r="Q43" s="15">
        <v>7.0000000000000007E-2</v>
      </c>
      <c r="R43" s="15">
        <v>0.02</v>
      </c>
      <c r="S43" s="15">
        <v>0.15</v>
      </c>
      <c r="T43" s="15">
        <v>0.2</v>
      </c>
      <c r="U43" s="15">
        <v>0.06</v>
      </c>
      <c r="V43" s="15">
        <v>0.1</v>
      </c>
      <c r="W43" s="15">
        <v>0.03</v>
      </c>
      <c r="X43" s="15">
        <v>0.06</v>
      </c>
      <c r="Y43" s="15">
        <v>0.05</v>
      </c>
      <c r="Z43" s="15">
        <v>0.17</v>
      </c>
      <c r="AA43" s="15">
        <v>0.06</v>
      </c>
      <c r="AB43" s="15">
        <v>0.09</v>
      </c>
      <c r="AC43" s="15">
        <v>7.0000000000000007E-2</v>
      </c>
      <c r="AD43" s="15">
        <v>0.11</v>
      </c>
      <c r="AE43" s="15">
        <v>0.15</v>
      </c>
      <c r="AF43" s="15">
        <v>0.09</v>
      </c>
      <c r="AG43" s="15">
        <v>0.01</v>
      </c>
      <c r="AH43" s="15">
        <v>0.04</v>
      </c>
      <c r="AI43" s="14" t="s">
        <v>475</v>
      </c>
      <c r="AJ43" s="15">
        <v>0.05</v>
      </c>
      <c r="AK43" s="15">
        <v>0.01</v>
      </c>
      <c r="AL43" s="15">
        <v>0.14000000000000001</v>
      </c>
      <c r="AM43" s="15">
        <v>0.05</v>
      </c>
      <c r="AN43" s="15">
        <v>0.04</v>
      </c>
      <c r="AO43" s="15">
        <v>0.01</v>
      </c>
      <c r="AP43" s="15">
        <v>0.02</v>
      </c>
      <c r="AQ43" s="15">
        <v>0.06</v>
      </c>
    </row>
    <row r="44" spans="1:43" x14ac:dyDescent="0.35">
      <c r="A44" s="19"/>
      <c r="B44" s="11" t="s">
        <v>611</v>
      </c>
      <c r="C44" s="12">
        <v>277</v>
      </c>
      <c r="D44" s="12">
        <v>5</v>
      </c>
      <c r="E44" s="12">
        <v>6</v>
      </c>
      <c r="F44" s="12">
        <v>7</v>
      </c>
      <c r="G44" s="12">
        <v>2</v>
      </c>
      <c r="H44" s="12">
        <v>32</v>
      </c>
      <c r="I44" s="12">
        <v>32</v>
      </c>
      <c r="J44" s="12">
        <v>0</v>
      </c>
      <c r="K44" s="12">
        <v>28</v>
      </c>
      <c r="L44" s="12">
        <v>2</v>
      </c>
      <c r="M44" s="12">
        <v>11</v>
      </c>
      <c r="N44" s="12">
        <v>18</v>
      </c>
      <c r="O44" s="12">
        <v>6</v>
      </c>
      <c r="P44" s="12">
        <v>1</v>
      </c>
      <c r="Q44" s="12">
        <v>5</v>
      </c>
      <c r="R44" s="12">
        <v>12</v>
      </c>
      <c r="S44" s="12">
        <v>19</v>
      </c>
      <c r="T44" s="12">
        <v>26</v>
      </c>
      <c r="U44" s="12">
        <v>4</v>
      </c>
      <c r="V44" s="12">
        <v>1</v>
      </c>
      <c r="W44" s="12">
        <v>1</v>
      </c>
      <c r="X44" s="12">
        <v>0</v>
      </c>
      <c r="Y44" s="12">
        <v>4</v>
      </c>
      <c r="Z44" s="12">
        <v>6</v>
      </c>
      <c r="AA44" s="12">
        <v>10</v>
      </c>
      <c r="AB44" s="12">
        <v>15</v>
      </c>
      <c r="AC44" s="12">
        <v>31</v>
      </c>
      <c r="AD44" s="12">
        <v>6</v>
      </c>
      <c r="AE44" s="12">
        <v>4</v>
      </c>
      <c r="AF44" s="12">
        <v>5</v>
      </c>
      <c r="AG44" s="12">
        <v>11</v>
      </c>
      <c r="AH44" s="12">
        <v>5</v>
      </c>
      <c r="AI44" s="12">
        <v>2</v>
      </c>
      <c r="AJ44" s="12">
        <v>26</v>
      </c>
      <c r="AK44" s="12">
        <v>0</v>
      </c>
      <c r="AL44" s="12">
        <v>12</v>
      </c>
      <c r="AM44" s="12">
        <v>1</v>
      </c>
      <c r="AN44" s="12">
        <v>9</v>
      </c>
      <c r="AO44" s="12">
        <v>5</v>
      </c>
      <c r="AP44" s="12">
        <v>0</v>
      </c>
      <c r="AQ44" s="12">
        <v>36</v>
      </c>
    </row>
    <row r="45" spans="1:43" x14ac:dyDescent="0.35">
      <c r="A45" s="19"/>
      <c r="B45" s="13" t="s">
        <v>612</v>
      </c>
      <c r="C45" s="15">
        <v>0.01</v>
      </c>
      <c r="D45" s="15">
        <v>0.01</v>
      </c>
      <c r="E45" s="15">
        <v>0.01</v>
      </c>
      <c r="F45" s="15">
        <v>0.01</v>
      </c>
      <c r="G45" s="14" t="s">
        <v>475</v>
      </c>
      <c r="H45" s="15">
        <v>0.03</v>
      </c>
      <c r="I45" s="15">
        <v>0.02</v>
      </c>
      <c r="J45" s="14" t="s">
        <v>475</v>
      </c>
      <c r="K45" s="15">
        <v>0.03</v>
      </c>
      <c r="L45" s="14" t="s">
        <v>475</v>
      </c>
      <c r="M45" s="15">
        <v>0.01</v>
      </c>
      <c r="N45" s="15">
        <v>0.02</v>
      </c>
      <c r="O45" s="15">
        <v>0.01</v>
      </c>
      <c r="P45" s="14" t="s">
        <v>475</v>
      </c>
      <c r="Q45" s="14" t="s">
        <v>475</v>
      </c>
      <c r="R45" s="15">
        <v>0.02</v>
      </c>
      <c r="S45" s="15">
        <v>0.02</v>
      </c>
      <c r="T45" s="15">
        <v>0.03</v>
      </c>
      <c r="U45" s="15">
        <v>0.01</v>
      </c>
      <c r="V45" s="14" t="s">
        <v>475</v>
      </c>
      <c r="W45" s="14" t="s">
        <v>475</v>
      </c>
      <c r="X45" s="14" t="s">
        <v>475</v>
      </c>
      <c r="Y45" s="14" t="s">
        <v>475</v>
      </c>
      <c r="Z45" s="15">
        <v>0.01</v>
      </c>
      <c r="AA45" s="15">
        <v>0.01</v>
      </c>
      <c r="AB45" s="15">
        <v>0.01</v>
      </c>
      <c r="AC45" s="15">
        <v>0.03</v>
      </c>
      <c r="AD45" s="15">
        <v>0.01</v>
      </c>
      <c r="AE45" s="14" t="s">
        <v>475</v>
      </c>
      <c r="AF45" s="15">
        <v>0.01</v>
      </c>
      <c r="AG45" s="15">
        <v>0.01</v>
      </c>
      <c r="AH45" s="15">
        <v>0.01</v>
      </c>
      <c r="AI45" s="14" t="s">
        <v>475</v>
      </c>
      <c r="AJ45" s="15">
        <v>0.02</v>
      </c>
      <c r="AK45" s="14" t="s">
        <v>475</v>
      </c>
      <c r="AL45" s="15">
        <v>0.01</v>
      </c>
      <c r="AM45" s="14" t="s">
        <v>475</v>
      </c>
      <c r="AN45" s="15">
        <v>0.01</v>
      </c>
      <c r="AO45" s="14" t="s">
        <v>475</v>
      </c>
      <c r="AP45" s="14" t="s">
        <v>475</v>
      </c>
      <c r="AQ45" s="15">
        <v>0.04</v>
      </c>
    </row>
    <row r="46" spans="1:43" x14ac:dyDescent="0.35">
      <c r="A46" s="19"/>
      <c r="B46" s="11" t="s">
        <v>613</v>
      </c>
      <c r="C46" s="12">
        <v>35</v>
      </c>
      <c r="D46" s="12">
        <v>0</v>
      </c>
      <c r="E46" s="12">
        <v>0</v>
      </c>
      <c r="F46" s="12">
        <v>2</v>
      </c>
      <c r="G46" s="12">
        <v>0</v>
      </c>
      <c r="H46" s="12">
        <v>0</v>
      </c>
      <c r="I46" s="12">
        <v>0</v>
      </c>
      <c r="J46" s="12">
        <v>0</v>
      </c>
      <c r="K46" s="12">
        <v>2</v>
      </c>
      <c r="L46" s="12">
        <v>1</v>
      </c>
      <c r="M46" s="12">
        <v>1</v>
      </c>
      <c r="N46" s="12">
        <v>10</v>
      </c>
      <c r="O46" s="12">
        <v>0</v>
      </c>
      <c r="P46" s="12">
        <v>1</v>
      </c>
      <c r="Q46" s="12">
        <v>0</v>
      </c>
      <c r="R46" s="12">
        <v>1</v>
      </c>
      <c r="S46" s="12">
        <v>2</v>
      </c>
      <c r="T46" s="12">
        <v>3</v>
      </c>
      <c r="U46" s="12">
        <v>1</v>
      </c>
      <c r="V46" s="12">
        <v>0</v>
      </c>
      <c r="W46" s="12">
        <v>0</v>
      </c>
      <c r="X46" s="12">
        <v>0</v>
      </c>
      <c r="Y46" s="12">
        <v>2</v>
      </c>
      <c r="Z46" s="12">
        <v>0</v>
      </c>
      <c r="AA46" s="12">
        <v>1</v>
      </c>
      <c r="AB46" s="12">
        <v>1</v>
      </c>
      <c r="AC46" s="12">
        <v>5</v>
      </c>
      <c r="AD46" s="12">
        <v>0</v>
      </c>
      <c r="AE46" s="12">
        <v>1</v>
      </c>
      <c r="AF46" s="12">
        <v>0</v>
      </c>
      <c r="AG46" s="12">
        <v>8</v>
      </c>
      <c r="AH46" s="12">
        <v>0</v>
      </c>
      <c r="AI46" s="12">
        <v>0</v>
      </c>
      <c r="AJ46" s="12">
        <v>0</v>
      </c>
      <c r="AK46" s="12">
        <v>1</v>
      </c>
      <c r="AL46" s="12">
        <v>2</v>
      </c>
      <c r="AM46" s="12">
        <v>1</v>
      </c>
      <c r="AN46" s="12">
        <v>1</v>
      </c>
      <c r="AO46" s="12">
        <v>1</v>
      </c>
      <c r="AP46" s="12">
        <v>0</v>
      </c>
      <c r="AQ46" s="12">
        <v>6</v>
      </c>
    </row>
    <row r="47" spans="1:43" x14ac:dyDescent="0.35">
      <c r="A47" s="19"/>
      <c r="B47" s="13" t="s">
        <v>614</v>
      </c>
      <c r="C47" s="14" t="s">
        <v>475</v>
      </c>
      <c r="D47" s="14" t="s">
        <v>475</v>
      </c>
      <c r="E47" s="14" t="s">
        <v>475</v>
      </c>
      <c r="F47" s="14" t="s">
        <v>475</v>
      </c>
      <c r="G47" s="14" t="s">
        <v>475</v>
      </c>
      <c r="H47" s="14" t="s">
        <v>475</v>
      </c>
      <c r="I47" s="14" t="s">
        <v>475</v>
      </c>
      <c r="J47" s="14" t="s">
        <v>475</v>
      </c>
      <c r="K47" s="14" t="s">
        <v>475</v>
      </c>
      <c r="L47" s="14" t="s">
        <v>475</v>
      </c>
      <c r="M47" s="14" t="s">
        <v>475</v>
      </c>
      <c r="N47" s="15">
        <v>0.01</v>
      </c>
      <c r="O47" s="14" t="s">
        <v>475</v>
      </c>
      <c r="P47" s="14" t="s">
        <v>475</v>
      </c>
      <c r="Q47" s="14" t="s">
        <v>475</v>
      </c>
      <c r="R47" s="14" t="s">
        <v>475</v>
      </c>
      <c r="S47" s="14" t="s">
        <v>475</v>
      </c>
      <c r="T47" s="14" t="s">
        <v>475</v>
      </c>
      <c r="U47" s="14" t="s">
        <v>475</v>
      </c>
      <c r="V47" s="14" t="s">
        <v>475</v>
      </c>
      <c r="W47" s="14" t="s">
        <v>475</v>
      </c>
      <c r="X47" s="14" t="s">
        <v>475</v>
      </c>
      <c r="Y47" s="14" t="s">
        <v>475</v>
      </c>
      <c r="Z47" s="14" t="s">
        <v>475</v>
      </c>
      <c r="AA47" s="14" t="s">
        <v>475</v>
      </c>
      <c r="AB47" s="14" t="s">
        <v>475</v>
      </c>
      <c r="AC47" s="14" t="s">
        <v>475</v>
      </c>
      <c r="AD47" s="14" t="s">
        <v>475</v>
      </c>
      <c r="AE47" s="14" t="s">
        <v>475</v>
      </c>
      <c r="AF47" s="14" t="s">
        <v>475</v>
      </c>
      <c r="AG47" s="15">
        <v>0.01</v>
      </c>
      <c r="AH47" s="14" t="s">
        <v>475</v>
      </c>
      <c r="AI47" s="14" t="s">
        <v>475</v>
      </c>
      <c r="AJ47" s="14" t="s">
        <v>475</v>
      </c>
      <c r="AK47" s="14" t="s">
        <v>475</v>
      </c>
      <c r="AL47" s="14" t="s">
        <v>475</v>
      </c>
      <c r="AM47" s="14" t="s">
        <v>475</v>
      </c>
      <c r="AN47" s="14" t="s">
        <v>475</v>
      </c>
      <c r="AO47" s="14" t="s">
        <v>475</v>
      </c>
      <c r="AP47" s="14" t="s">
        <v>475</v>
      </c>
      <c r="AQ47" s="15">
        <v>0.01</v>
      </c>
    </row>
    <row r="48" spans="1:43" x14ac:dyDescent="0.35">
      <c r="A48" s="19"/>
      <c r="B48" s="11" t="s">
        <v>485</v>
      </c>
      <c r="C48" s="12">
        <v>93</v>
      </c>
      <c r="D48" s="12">
        <v>1</v>
      </c>
      <c r="E48" s="12">
        <v>13</v>
      </c>
      <c r="F48" s="12">
        <v>19</v>
      </c>
      <c r="G48" s="12">
        <v>7</v>
      </c>
      <c r="H48" s="12">
        <v>2</v>
      </c>
      <c r="I48" s="12">
        <v>2</v>
      </c>
      <c r="J48" s="12">
        <v>0</v>
      </c>
      <c r="K48" s="12">
        <v>4</v>
      </c>
      <c r="L48" s="12">
        <v>1</v>
      </c>
      <c r="M48" s="12">
        <v>0</v>
      </c>
      <c r="N48" s="12">
        <v>10</v>
      </c>
      <c r="O48" s="12">
        <v>3</v>
      </c>
      <c r="P48" s="12">
        <v>0</v>
      </c>
      <c r="Q48" s="12">
        <v>2</v>
      </c>
      <c r="R48" s="12">
        <v>12</v>
      </c>
      <c r="S48" s="12">
        <v>5</v>
      </c>
      <c r="T48" s="12">
        <v>4</v>
      </c>
      <c r="U48" s="12">
        <v>3</v>
      </c>
      <c r="V48" s="12">
        <v>0</v>
      </c>
      <c r="W48" s="12">
        <v>0</v>
      </c>
      <c r="X48" s="12">
        <v>0</v>
      </c>
      <c r="Y48" s="12">
        <v>7</v>
      </c>
      <c r="Z48" s="12">
        <v>2</v>
      </c>
      <c r="AA48" s="12">
        <v>10</v>
      </c>
      <c r="AB48" s="12">
        <v>4</v>
      </c>
      <c r="AC48" s="12">
        <v>2</v>
      </c>
      <c r="AD48" s="12">
        <v>0</v>
      </c>
      <c r="AE48" s="12">
        <v>5</v>
      </c>
      <c r="AF48" s="12">
        <v>0</v>
      </c>
      <c r="AG48" s="12">
        <v>0</v>
      </c>
      <c r="AH48" s="12">
        <v>0</v>
      </c>
      <c r="AI48" s="12">
        <v>0</v>
      </c>
      <c r="AJ48" s="12">
        <v>4</v>
      </c>
      <c r="AK48" s="12">
        <v>0</v>
      </c>
      <c r="AL48" s="12">
        <v>42</v>
      </c>
      <c r="AM48" s="12">
        <v>8</v>
      </c>
      <c r="AN48" s="12">
        <v>0</v>
      </c>
      <c r="AO48" s="12">
        <v>6</v>
      </c>
      <c r="AP48" s="12">
        <v>0</v>
      </c>
      <c r="AQ48" s="12">
        <v>30</v>
      </c>
    </row>
    <row r="49" spans="1:43" x14ac:dyDescent="0.35">
      <c r="A49" s="19"/>
      <c r="B49" s="13" t="s">
        <v>486</v>
      </c>
      <c r="C49" s="14" t="s">
        <v>475</v>
      </c>
      <c r="D49" s="14" t="s">
        <v>475</v>
      </c>
      <c r="E49" s="15">
        <v>0.01</v>
      </c>
      <c r="F49" s="15">
        <v>0.02</v>
      </c>
      <c r="G49" s="15">
        <v>0.01</v>
      </c>
      <c r="H49" s="14" t="s">
        <v>475</v>
      </c>
      <c r="I49" s="14" t="s">
        <v>475</v>
      </c>
      <c r="J49" s="14" t="s">
        <v>475</v>
      </c>
      <c r="K49" s="14" t="s">
        <v>475</v>
      </c>
      <c r="L49" s="14" t="s">
        <v>475</v>
      </c>
      <c r="M49" s="14" t="s">
        <v>475</v>
      </c>
      <c r="N49" s="15">
        <v>0.01</v>
      </c>
      <c r="O49" s="14" t="s">
        <v>475</v>
      </c>
      <c r="P49" s="14" t="s">
        <v>475</v>
      </c>
      <c r="Q49" s="14" t="s">
        <v>475</v>
      </c>
      <c r="R49" s="15">
        <v>0.02</v>
      </c>
      <c r="S49" s="14" t="s">
        <v>475</v>
      </c>
      <c r="T49" s="14" t="s">
        <v>475</v>
      </c>
      <c r="U49" s="15">
        <v>0.01</v>
      </c>
      <c r="V49" s="14" t="s">
        <v>475</v>
      </c>
      <c r="W49" s="14" t="s">
        <v>475</v>
      </c>
      <c r="X49" s="14" t="s">
        <v>475</v>
      </c>
      <c r="Y49" s="15">
        <v>0.01</v>
      </c>
      <c r="Z49" s="14" t="s">
        <v>475</v>
      </c>
      <c r="AA49" s="15">
        <v>0.01</v>
      </c>
      <c r="AB49" s="14" t="s">
        <v>475</v>
      </c>
      <c r="AC49" s="14" t="s">
        <v>475</v>
      </c>
      <c r="AD49" s="14" t="s">
        <v>475</v>
      </c>
      <c r="AE49" s="15">
        <v>0.01</v>
      </c>
      <c r="AF49" s="14" t="s">
        <v>475</v>
      </c>
      <c r="AG49" s="14" t="s">
        <v>475</v>
      </c>
      <c r="AH49" s="14" t="s">
        <v>475</v>
      </c>
      <c r="AI49" s="14" t="s">
        <v>475</v>
      </c>
      <c r="AJ49" s="14" t="s">
        <v>475</v>
      </c>
      <c r="AK49" s="14" t="s">
        <v>475</v>
      </c>
      <c r="AL49" s="15">
        <v>0.04</v>
      </c>
      <c r="AM49" s="15">
        <v>0.01</v>
      </c>
      <c r="AN49" s="14" t="s">
        <v>475</v>
      </c>
      <c r="AO49" s="15">
        <v>0.01</v>
      </c>
      <c r="AP49" s="14" t="s">
        <v>475</v>
      </c>
      <c r="AQ49" s="15">
        <v>0.03</v>
      </c>
    </row>
  </sheetData>
  <mergeCells count="9">
    <mergeCell ref="A10:A49"/>
    <mergeCell ref="H4:L4"/>
    <mergeCell ref="B4:F4"/>
    <mergeCell ref="H3:L3"/>
    <mergeCell ref="B3:F3"/>
    <mergeCell ref="B5:F5"/>
    <mergeCell ref="C8:AQ8"/>
    <mergeCell ref="B10:B11"/>
    <mergeCell ref="H5:L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4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53</v>
      </c>
      <c r="C3" s="18"/>
      <c r="D3" s="18"/>
      <c r="E3" s="18"/>
      <c r="F3" s="18"/>
      <c r="H3" s="18" t="s">
        <v>54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579</v>
      </c>
      <c r="C12" s="12">
        <v>1724</v>
      </c>
      <c r="D12" s="12">
        <v>132</v>
      </c>
      <c r="E12" s="12">
        <v>50</v>
      </c>
      <c r="F12" s="12">
        <v>40</v>
      </c>
      <c r="G12" s="12">
        <v>37</v>
      </c>
      <c r="H12" s="12">
        <v>46</v>
      </c>
      <c r="I12" s="12">
        <v>57</v>
      </c>
      <c r="J12" s="12">
        <v>11</v>
      </c>
      <c r="K12" s="12">
        <v>13</v>
      </c>
      <c r="L12" s="12">
        <v>72</v>
      </c>
      <c r="M12" s="12">
        <v>61</v>
      </c>
      <c r="N12" s="12">
        <v>54</v>
      </c>
      <c r="O12" s="12">
        <v>116</v>
      </c>
      <c r="P12" s="12">
        <v>51</v>
      </c>
      <c r="Q12" s="12">
        <v>91</v>
      </c>
      <c r="R12" s="12">
        <v>29</v>
      </c>
      <c r="S12" s="12">
        <v>26</v>
      </c>
      <c r="T12" s="12">
        <v>19</v>
      </c>
      <c r="U12" s="12">
        <v>67</v>
      </c>
      <c r="V12" s="12">
        <v>26</v>
      </c>
      <c r="W12" s="12">
        <v>17</v>
      </c>
      <c r="X12" s="12">
        <v>61</v>
      </c>
      <c r="Y12" s="12">
        <v>52</v>
      </c>
      <c r="Z12" s="12">
        <v>36</v>
      </c>
      <c r="AA12" s="12">
        <v>35</v>
      </c>
      <c r="AB12" s="12">
        <v>68</v>
      </c>
      <c r="AC12" s="12">
        <v>21</v>
      </c>
      <c r="AD12" s="12">
        <v>35</v>
      </c>
      <c r="AE12" s="12">
        <v>27</v>
      </c>
      <c r="AF12" s="12">
        <v>143</v>
      </c>
      <c r="AG12" s="12">
        <v>132</v>
      </c>
      <c r="AH12" s="12">
        <v>59</v>
      </c>
      <c r="AI12" s="12">
        <v>14</v>
      </c>
      <c r="AJ12" s="12">
        <v>41</v>
      </c>
      <c r="AK12" s="12">
        <v>56</v>
      </c>
      <c r="AL12" s="12">
        <v>13</v>
      </c>
      <c r="AM12" s="12">
        <v>94</v>
      </c>
      <c r="AN12" s="12">
        <v>62</v>
      </c>
      <c r="AO12" s="12">
        <v>17</v>
      </c>
      <c r="AP12" s="12">
        <v>18</v>
      </c>
      <c r="AQ12" s="12">
        <v>25</v>
      </c>
    </row>
    <row r="13" spans="1:43" x14ac:dyDescent="0.35">
      <c r="A13" s="19"/>
      <c r="B13" s="13" t="s">
        <v>580</v>
      </c>
      <c r="C13" s="15">
        <v>7.0000000000000007E-2</v>
      </c>
      <c r="D13" s="15">
        <v>0.13</v>
      </c>
      <c r="E13" s="15">
        <v>0.05</v>
      </c>
      <c r="F13" s="15">
        <v>0.04</v>
      </c>
      <c r="G13" s="15">
        <v>0.04</v>
      </c>
      <c r="H13" s="15">
        <v>0.04</v>
      </c>
      <c r="I13" s="15">
        <v>0.04</v>
      </c>
      <c r="J13" s="15">
        <v>0.04</v>
      </c>
      <c r="K13" s="15">
        <v>0.01</v>
      </c>
      <c r="L13" s="15">
        <v>7.0000000000000007E-2</v>
      </c>
      <c r="M13" s="15">
        <v>0.06</v>
      </c>
      <c r="N13" s="15">
        <v>0.05</v>
      </c>
      <c r="O13" s="15">
        <v>0.12</v>
      </c>
      <c r="P13" s="15">
        <v>0.05</v>
      </c>
      <c r="Q13" s="15">
        <v>0.09</v>
      </c>
      <c r="R13" s="15">
        <v>0.06</v>
      </c>
      <c r="S13" s="15">
        <v>0.03</v>
      </c>
      <c r="T13" s="15">
        <v>0.02</v>
      </c>
      <c r="U13" s="15">
        <v>0.13</v>
      </c>
      <c r="V13" s="15">
        <v>0.03</v>
      </c>
      <c r="W13" s="15">
        <v>0.03</v>
      </c>
      <c r="X13" s="15">
        <v>0.06</v>
      </c>
      <c r="Y13" s="15">
        <v>0.05</v>
      </c>
      <c r="Z13" s="15">
        <v>0.04</v>
      </c>
      <c r="AA13" s="15">
        <v>0.03</v>
      </c>
      <c r="AB13" s="15">
        <v>0.06</v>
      </c>
      <c r="AC13" s="15">
        <v>0.02</v>
      </c>
      <c r="AD13" s="15">
        <v>0.03</v>
      </c>
      <c r="AE13" s="15">
        <v>0.03</v>
      </c>
      <c r="AF13" s="15">
        <v>0.14000000000000001</v>
      </c>
      <c r="AG13" s="15">
        <v>0.13</v>
      </c>
      <c r="AH13" s="15">
        <v>0.06</v>
      </c>
      <c r="AI13" s="15">
        <v>0.03</v>
      </c>
      <c r="AJ13" s="15">
        <v>0.04</v>
      </c>
      <c r="AK13" s="15">
        <v>0.06</v>
      </c>
      <c r="AL13" s="15">
        <v>0.01</v>
      </c>
      <c r="AM13" s="15">
        <v>0.09</v>
      </c>
      <c r="AN13" s="15">
        <v>0.06</v>
      </c>
      <c r="AO13" s="15">
        <v>0.02</v>
      </c>
      <c r="AP13" s="15">
        <v>0.03</v>
      </c>
      <c r="AQ13" s="15">
        <v>0.03</v>
      </c>
    </row>
    <row r="14" spans="1:43" ht="21.5" x14ac:dyDescent="0.35">
      <c r="A14" s="19"/>
      <c r="B14" s="11" t="s">
        <v>567</v>
      </c>
      <c r="C14" s="12">
        <v>3103</v>
      </c>
      <c r="D14" s="12">
        <v>110</v>
      </c>
      <c r="E14" s="12">
        <v>166</v>
      </c>
      <c r="F14" s="12">
        <v>100</v>
      </c>
      <c r="G14" s="12">
        <v>39</v>
      </c>
      <c r="H14" s="12">
        <v>172</v>
      </c>
      <c r="I14" s="12">
        <v>208</v>
      </c>
      <c r="J14" s="12">
        <v>36</v>
      </c>
      <c r="K14" s="12">
        <v>97</v>
      </c>
      <c r="L14" s="12">
        <v>76</v>
      </c>
      <c r="M14" s="12">
        <v>134</v>
      </c>
      <c r="N14" s="12">
        <v>109</v>
      </c>
      <c r="O14" s="12">
        <v>139</v>
      </c>
      <c r="P14" s="12">
        <v>139</v>
      </c>
      <c r="Q14" s="12">
        <v>111</v>
      </c>
      <c r="R14" s="12">
        <v>64</v>
      </c>
      <c r="S14" s="12">
        <v>131</v>
      </c>
      <c r="T14" s="12">
        <v>75</v>
      </c>
      <c r="U14" s="12">
        <v>22</v>
      </c>
      <c r="V14" s="12">
        <v>184</v>
      </c>
      <c r="W14" s="12">
        <v>33</v>
      </c>
      <c r="X14" s="12">
        <v>67</v>
      </c>
      <c r="Y14" s="12">
        <v>98</v>
      </c>
      <c r="Z14" s="12">
        <v>95</v>
      </c>
      <c r="AA14" s="12">
        <v>57</v>
      </c>
      <c r="AB14" s="12">
        <v>143</v>
      </c>
      <c r="AC14" s="12">
        <v>68</v>
      </c>
      <c r="AD14" s="12">
        <v>163</v>
      </c>
      <c r="AE14" s="12">
        <v>155</v>
      </c>
      <c r="AF14" s="12">
        <v>121</v>
      </c>
      <c r="AG14" s="12">
        <v>177</v>
      </c>
      <c r="AH14" s="12">
        <v>145</v>
      </c>
      <c r="AI14" s="12">
        <v>205</v>
      </c>
      <c r="AJ14" s="12">
        <v>133</v>
      </c>
      <c r="AK14" s="12">
        <v>137</v>
      </c>
      <c r="AL14" s="12">
        <v>137</v>
      </c>
      <c r="AM14" s="12">
        <v>170</v>
      </c>
      <c r="AN14" s="12">
        <v>161</v>
      </c>
      <c r="AO14" s="12">
        <v>149</v>
      </c>
      <c r="AP14" s="12">
        <v>98</v>
      </c>
      <c r="AQ14" s="12">
        <v>152</v>
      </c>
    </row>
    <row r="15" spans="1:43" ht="21.5" x14ac:dyDescent="0.35">
      <c r="A15" s="19"/>
      <c r="B15" s="13" t="s">
        <v>568</v>
      </c>
      <c r="C15" s="15">
        <v>0.12</v>
      </c>
      <c r="D15" s="15">
        <v>0.11</v>
      </c>
      <c r="E15" s="15">
        <v>0.16</v>
      </c>
      <c r="F15" s="15">
        <v>0.09</v>
      </c>
      <c r="G15" s="15">
        <v>0.04</v>
      </c>
      <c r="H15" s="15">
        <v>0.14000000000000001</v>
      </c>
      <c r="I15" s="15">
        <v>0.14000000000000001</v>
      </c>
      <c r="J15" s="15">
        <v>0.12</v>
      </c>
      <c r="K15" s="15">
        <v>0.1</v>
      </c>
      <c r="L15" s="15">
        <v>0.08</v>
      </c>
      <c r="M15" s="15">
        <v>0.13</v>
      </c>
      <c r="N15" s="15">
        <v>0.11</v>
      </c>
      <c r="O15" s="15">
        <v>0.14000000000000001</v>
      </c>
      <c r="P15" s="15">
        <v>0.14000000000000001</v>
      </c>
      <c r="Q15" s="15">
        <v>0.11</v>
      </c>
      <c r="R15" s="15">
        <v>0.13</v>
      </c>
      <c r="S15" s="15">
        <v>0.13</v>
      </c>
      <c r="T15" s="15">
        <v>7.0000000000000007E-2</v>
      </c>
      <c r="U15" s="15">
        <v>0.04</v>
      </c>
      <c r="V15" s="15">
        <v>0.18</v>
      </c>
      <c r="W15" s="15">
        <v>7.0000000000000007E-2</v>
      </c>
      <c r="X15" s="15">
        <v>7.0000000000000007E-2</v>
      </c>
      <c r="Y15" s="15">
        <v>0.1</v>
      </c>
      <c r="Z15" s="15">
        <v>0.09</v>
      </c>
      <c r="AA15" s="15">
        <v>0.05</v>
      </c>
      <c r="AB15" s="15">
        <v>0.14000000000000001</v>
      </c>
      <c r="AC15" s="15">
        <v>7.0000000000000007E-2</v>
      </c>
      <c r="AD15" s="15">
        <v>0.16</v>
      </c>
      <c r="AE15" s="15">
        <v>0.15</v>
      </c>
      <c r="AF15" s="15">
        <v>0.12</v>
      </c>
      <c r="AG15" s="15">
        <v>0.17</v>
      </c>
      <c r="AH15" s="15">
        <v>0.14000000000000001</v>
      </c>
      <c r="AI15" s="15">
        <v>0.39</v>
      </c>
      <c r="AJ15" s="15">
        <v>0.13</v>
      </c>
      <c r="AK15" s="15">
        <v>0.14000000000000001</v>
      </c>
      <c r="AL15" s="15">
        <v>0.14000000000000001</v>
      </c>
      <c r="AM15" s="15">
        <v>0.16</v>
      </c>
      <c r="AN15" s="15">
        <v>0.16</v>
      </c>
      <c r="AO15" s="15">
        <v>0.15</v>
      </c>
      <c r="AP15" s="15">
        <v>0.19</v>
      </c>
      <c r="AQ15" s="15">
        <v>0.15</v>
      </c>
    </row>
    <row r="16" spans="1:43" ht="21.5" x14ac:dyDescent="0.35">
      <c r="A16" s="19"/>
      <c r="B16" s="11" t="s">
        <v>583</v>
      </c>
      <c r="C16" s="12">
        <v>12628</v>
      </c>
      <c r="D16" s="12">
        <v>439</v>
      </c>
      <c r="E16" s="12">
        <v>592</v>
      </c>
      <c r="F16" s="12">
        <v>528</v>
      </c>
      <c r="G16" s="12">
        <v>443</v>
      </c>
      <c r="H16" s="12">
        <v>637</v>
      </c>
      <c r="I16" s="12">
        <v>819</v>
      </c>
      <c r="J16" s="12">
        <v>181</v>
      </c>
      <c r="K16" s="12">
        <v>521</v>
      </c>
      <c r="L16" s="12">
        <v>624</v>
      </c>
      <c r="M16" s="12">
        <v>658</v>
      </c>
      <c r="N16" s="12">
        <v>479</v>
      </c>
      <c r="O16" s="12">
        <v>478</v>
      </c>
      <c r="P16" s="12">
        <v>565</v>
      </c>
      <c r="Q16" s="12">
        <v>459</v>
      </c>
      <c r="R16" s="12">
        <v>298</v>
      </c>
      <c r="S16" s="12">
        <v>624</v>
      </c>
      <c r="T16" s="12">
        <v>560</v>
      </c>
      <c r="U16" s="12">
        <v>201</v>
      </c>
      <c r="V16" s="12">
        <v>586</v>
      </c>
      <c r="W16" s="12">
        <v>309</v>
      </c>
      <c r="X16" s="12">
        <v>390</v>
      </c>
      <c r="Y16" s="12">
        <v>496</v>
      </c>
      <c r="Z16" s="12">
        <v>380</v>
      </c>
      <c r="AA16" s="12">
        <v>567</v>
      </c>
      <c r="AB16" s="12">
        <v>539</v>
      </c>
      <c r="AC16" s="12">
        <v>373</v>
      </c>
      <c r="AD16" s="12">
        <v>570</v>
      </c>
      <c r="AE16" s="12">
        <v>183</v>
      </c>
      <c r="AF16" s="12">
        <v>242</v>
      </c>
      <c r="AG16" s="12">
        <v>222</v>
      </c>
      <c r="AH16" s="12">
        <v>509</v>
      </c>
      <c r="AI16" s="12">
        <v>282</v>
      </c>
      <c r="AJ16" s="12">
        <v>576</v>
      </c>
      <c r="AK16" s="12">
        <v>568</v>
      </c>
      <c r="AL16" s="12">
        <v>449</v>
      </c>
      <c r="AM16" s="12">
        <v>497</v>
      </c>
      <c r="AN16" s="12">
        <v>598</v>
      </c>
      <c r="AO16" s="12">
        <v>501</v>
      </c>
      <c r="AP16" s="12">
        <v>209</v>
      </c>
      <c r="AQ16" s="12">
        <v>393</v>
      </c>
    </row>
    <row r="17" spans="1:43" ht="21.5" x14ac:dyDescent="0.35">
      <c r="A17" s="19"/>
      <c r="B17" s="13" t="s">
        <v>615</v>
      </c>
      <c r="C17" s="15">
        <v>0.48</v>
      </c>
      <c r="D17" s="15">
        <v>0.43</v>
      </c>
      <c r="E17" s="15">
        <v>0.57000000000000006</v>
      </c>
      <c r="F17" s="15">
        <v>0.48</v>
      </c>
      <c r="G17" s="15">
        <v>0.44</v>
      </c>
      <c r="H17" s="15">
        <v>0.52</v>
      </c>
      <c r="I17" s="15">
        <v>0.54</v>
      </c>
      <c r="J17" s="15">
        <v>0.62</v>
      </c>
      <c r="K17" s="15">
        <v>0.52</v>
      </c>
      <c r="L17" s="15">
        <v>0.62</v>
      </c>
      <c r="M17" s="15">
        <v>0.65</v>
      </c>
      <c r="N17" s="15">
        <v>0.48</v>
      </c>
      <c r="O17" s="15">
        <v>0.48</v>
      </c>
      <c r="P17" s="15">
        <v>0.56000000000000005</v>
      </c>
      <c r="Q17" s="15">
        <v>0.45</v>
      </c>
      <c r="R17" s="15">
        <v>0.59</v>
      </c>
      <c r="S17" s="15">
        <v>0.62</v>
      </c>
      <c r="T17" s="15">
        <v>0.56000000000000005</v>
      </c>
      <c r="U17" s="15">
        <v>0.4</v>
      </c>
      <c r="V17" s="15">
        <v>0.57999999999999996</v>
      </c>
      <c r="W17" s="15">
        <v>0.61</v>
      </c>
      <c r="X17" s="15">
        <v>0.39</v>
      </c>
      <c r="Y17" s="15">
        <v>0.49</v>
      </c>
      <c r="Z17" s="15">
        <v>0.37</v>
      </c>
      <c r="AA17" s="15">
        <v>0.55000000000000004</v>
      </c>
      <c r="AB17" s="15">
        <v>0.51</v>
      </c>
      <c r="AC17" s="15">
        <v>0.37</v>
      </c>
      <c r="AD17" s="15">
        <v>0.57000000000000006</v>
      </c>
      <c r="AE17" s="15">
        <v>0.18</v>
      </c>
      <c r="AF17" s="15">
        <v>0.23</v>
      </c>
      <c r="AG17" s="15">
        <v>0.21</v>
      </c>
      <c r="AH17" s="15">
        <v>0.5</v>
      </c>
      <c r="AI17" s="15">
        <v>0.54</v>
      </c>
      <c r="AJ17" s="15">
        <v>0.56000000000000005</v>
      </c>
      <c r="AK17" s="15">
        <v>0.56000000000000005</v>
      </c>
      <c r="AL17" s="15">
        <v>0.44</v>
      </c>
      <c r="AM17" s="15">
        <v>0.48</v>
      </c>
      <c r="AN17" s="15">
        <v>0.6</v>
      </c>
      <c r="AO17" s="15">
        <v>0.5</v>
      </c>
      <c r="AP17" s="15">
        <v>0.4</v>
      </c>
      <c r="AQ17" s="15">
        <v>0.39</v>
      </c>
    </row>
    <row r="18" spans="1:43" x14ac:dyDescent="0.35">
      <c r="A18" s="19"/>
      <c r="B18" s="11" t="s">
        <v>616</v>
      </c>
      <c r="C18" s="12">
        <v>2730</v>
      </c>
      <c r="D18" s="12">
        <v>132</v>
      </c>
      <c r="E18" s="12">
        <v>55</v>
      </c>
      <c r="F18" s="12">
        <v>53</v>
      </c>
      <c r="G18" s="12">
        <v>44</v>
      </c>
      <c r="H18" s="12">
        <v>91</v>
      </c>
      <c r="I18" s="12">
        <v>116</v>
      </c>
      <c r="J18" s="12">
        <v>25</v>
      </c>
      <c r="K18" s="12">
        <v>161</v>
      </c>
      <c r="L18" s="12">
        <v>114</v>
      </c>
      <c r="M18" s="12">
        <v>156</v>
      </c>
      <c r="N18" s="12">
        <v>116</v>
      </c>
      <c r="O18" s="12">
        <v>90</v>
      </c>
      <c r="P18" s="12">
        <v>66</v>
      </c>
      <c r="Q18" s="12">
        <v>187</v>
      </c>
      <c r="R18" s="12">
        <v>20</v>
      </c>
      <c r="S18" s="12">
        <v>112</v>
      </c>
      <c r="T18" s="12">
        <v>244</v>
      </c>
      <c r="U18" s="12">
        <v>52</v>
      </c>
      <c r="V18" s="12">
        <v>71</v>
      </c>
      <c r="W18" s="12">
        <v>24</v>
      </c>
      <c r="X18" s="12">
        <v>82</v>
      </c>
      <c r="Y18" s="12">
        <v>39</v>
      </c>
      <c r="Z18" s="12">
        <v>86</v>
      </c>
      <c r="AA18" s="12">
        <v>182</v>
      </c>
      <c r="AB18" s="12">
        <v>137</v>
      </c>
      <c r="AC18" s="12">
        <v>96</v>
      </c>
      <c r="AD18" s="12">
        <v>91</v>
      </c>
      <c r="AE18" s="12">
        <v>33</v>
      </c>
      <c r="AF18" s="12">
        <v>18</v>
      </c>
      <c r="AG18" s="12">
        <v>14</v>
      </c>
      <c r="AH18" s="12">
        <v>22</v>
      </c>
      <c r="AI18" s="12">
        <v>3</v>
      </c>
      <c r="AJ18" s="12">
        <v>49</v>
      </c>
      <c r="AK18" s="12">
        <v>14</v>
      </c>
      <c r="AL18" s="12">
        <v>54</v>
      </c>
      <c r="AM18" s="12">
        <v>115</v>
      </c>
      <c r="AN18" s="12">
        <v>50</v>
      </c>
      <c r="AO18" s="12">
        <v>37</v>
      </c>
      <c r="AP18" s="12">
        <v>16</v>
      </c>
      <c r="AQ18" s="12">
        <v>111</v>
      </c>
    </row>
    <row r="19" spans="1:43" x14ac:dyDescent="0.35">
      <c r="A19" s="19"/>
      <c r="B19" s="13" t="s">
        <v>617</v>
      </c>
      <c r="C19" s="15">
        <v>0.1</v>
      </c>
      <c r="D19" s="15">
        <v>0.13</v>
      </c>
      <c r="E19" s="15">
        <v>0.05</v>
      </c>
      <c r="F19" s="15">
        <v>0.05</v>
      </c>
      <c r="G19" s="15">
        <v>0.04</v>
      </c>
      <c r="H19" s="15">
        <v>7.0000000000000007E-2</v>
      </c>
      <c r="I19" s="15">
        <v>0.08</v>
      </c>
      <c r="J19" s="15">
        <v>0.08</v>
      </c>
      <c r="K19" s="15">
        <v>0.16</v>
      </c>
      <c r="L19" s="15">
        <v>0.11</v>
      </c>
      <c r="M19" s="15">
        <v>0.15</v>
      </c>
      <c r="N19" s="15">
        <v>0.12</v>
      </c>
      <c r="O19" s="15">
        <v>0.09</v>
      </c>
      <c r="P19" s="15">
        <v>7.0000000000000007E-2</v>
      </c>
      <c r="Q19" s="15">
        <v>0.18</v>
      </c>
      <c r="R19" s="15">
        <v>0.04</v>
      </c>
      <c r="S19" s="15">
        <v>0.11</v>
      </c>
      <c r="T19" s="15">
        <v>0.24</v>
      </c>
      <c r="U19" s="15">
        <v>0.1</v>
      </c>
      <c r="V19" s="15">
        <v>7.0000000000000007E-2</v>
      </c>
      <c r="W19" s="15">
        <v>0.05</v>
      </c>
      <c r="X19" s="15">
        <v>0.08</v>
      </c>
      <c r="Y19" s="15">
        <v>0.04</v>
      </c>
      <c r="Z19" s="15">
        <v>0.08</v>
      </c>
      <c r="AA19" s="15">
        <v>0.18</v>
      </c>
      <c r="AB19" s="15">
        <v>0.13</v>
      </c>
      <c r="AC19" s="15">
        <v>0.1</v>
      </c>
      <c r="AD19" s="15">
        <v>0.09</v>
      </c>
      <c r="AE19" s="15">
        <v>0.03</v>
      </c>
      <c r="AF19" s="15">
        <v>0.02</v>
      </c>
      <c r="AG19" s="15">
        <v>0.01</v>
      </c>
      <c r="AH19" s="15">
        <v>0.02</v>
      </c>
      <c r="AI19" s="15">
        <v>0.01</v>
      </c>
      <c r="AJ19" s="15">
        <v>0.05</v>
      </c>
      <c r="AK19" s="15">
        <v>0.01</v>
      </c>
      <c r="AL19" s="15">
        <v>0.05</v>
      </c>
      <c r="AM19" s="15">
        <v>0.11</v>
      </c>
      <c r="AN19" s="15">
        <v>0.05</v>
      </c>
      <c r="AO19" s="15">
        <v>0.04</v>
      </c>
      <c r="AP19" s="15">
        <v>0.03</v>
      </c>
      <c r="AQ19" s="15">
        <v>0.11</v>
      </c>
    </row>
    <row r="20" spans="1:43" x14ac:dyDescent="0.35">
      <c r="A20" s="19"/>
      <c r="B20" s="11" t="s">
        <v>587</v>
      </c>
      <c r="C20" s="12">
        <v>1655</v>
      </c>
      <c r="D20" s="12">
        <v>71</v>
      </c>
      <c r="E20" s="12">
        <v>60</v>
      </c>
      <c r="F20" s="12">
        <v>26</v>
      </c>
      <c r="G20" s="12">
        <v>56</v>
      </c>
      <c r="H20" s="12">
        <v>48</v>
      </c>
      <c r="I20" s="12">
        <v>51</v>
      </c>
      <c r="J20" s="12">
        <v>3</v>
      </c>
      <c r="K20" s="12">
        <v>62</v>
      </c>
      <c r="L20" s="12">
        <v>36</v>
      </c>
      <c r="M20" s="12">
        <v>73</v>
      </c>
      <c r="N20" s="12">
        <v>102</v>
      </c>
      <c r="O20" s="12">
        <v>75</v>
      </c>
      <c r="P20" s="12">
        <v>57</v>
      </c>
      <c r="Q20" s="12">
        <v>105</v>
      </c>
      <c r="R20" s="12">
        <v>16</v>
      </c>
      <c r="S20" s="12">
        <v>42</v>
      </c>
      <c r="T20" s="12">
        <v>50</v>
      </c>
      <c r="U20" s="12">
        <v>21</v>
      </c>
      <c r="V20" s="12">
        <v>40</v>
      </c>
      <c r="W20" s="12">
        <v>7</v>
      </c>
      <c r="X20" s="12">
        <v>21</v>
      </c>
      <c r="Y20" s="12">
        <v>63</v>
      </c>
      <c r="Z20" s="12">
        <v>39</v>
      </c>
      <c r="AA20" s="12">
        <v>44</v>
      </c>
      <c r="AB20" s="12">
        <v>44</v>
      </c>
      <c r="AC20" s="12">
        <v>30</v>
      </c>
      <c r="AD20" s="12">
        <v>39</v>
      </c>
      <c r="AE20" s="12">
        <v>106</v>
      </c>
      <c r="AF20" s="12">
        <v>94</v>
      </c>
      <c r="AG20" s="12">
        <v>94</v>
      </c>
      <c r="AH20" s="12">
        <v>123</v>
      </c>
      <c r="AI20" s="12">
        <v>56</v>
      </c>
      <c r="AJ20" s="12">
        <v>50</v>
      </c>
      <c r="AK20" s="12">
        <v>138</v>
      </c>
      <c r="AL20" s="12">
        <v>93</v>
      </c>
      <c r="AM20" s="12">
        <v>47</v>
      </c>
      <c r="AN20" s="12">
        <v>110</v>
      </c>
      <c r="AO20" s="12">
        <v>239</v>
      </c>
      <c r="AP20" s="12">
        <v>46</v>
      </c>
      <c r="AQ20" s="12">
        <v>183</v>
      </c>
    </row>
    <row r="21" spans="1:43" x14ac:dyDescent="0.35">
      <c r="A21" s="19"/>
      <c r="B21" s="13" t="s">
        <v>588</v>
      </c>
      <c r="C21" s="15">
        <v>0.06</v>
      </c>
      <c r="D21" s="15">
        <v>7.0000000000000007E-2</v>
      </c>
      <c r="E21" s="15">
        <v>0.06</v>
      </c>
      <c r="F21" s="15">
        <v>0.02</v>
      </c>
      <c r="G21" s="15">
        <v>0.06</v>
      </c>
      <c r="H21" s="15">
        <v>0.04</v>
      </c>
      <c r="I21" s="15">
        <v>0.03</v>
      </c>
      <c r="J21" s="15">
        <v>0.01</v>
      </c>
      <c r="K21" s="15">
        <v>0.06</v>
      </c>
      <c r="L21" s="15">
        <v>0.04</v>
      </c>
      <c r="M21" s="15">
        <v>7.0000000000000007E-2</v>
      </c>
      <c r="N21" s="15">
        <v>0.1</v>
      </c>
      <c r="O21" s="15">
        <v>0.08</v>
      </c>
      <c r="P21" s="15">
        <v>0.06</v>
      </c>
      <c r="Q21" s="15">
        <v>0.1</v>
      </c>
      <c r="R21" s="15">
        <v>0.03</v>
      </c>
      <c r="S21" s="15">
        <v>0.04</v>
      </c>
      <c r="T21" s="15">
        <v>0.05</v>
      </c>
      <c r="U21" s="15">
        <v>0.04</v>
      </c>
      <c r="V21" s="15">
        <v>0.04</v>
      </c>
      <c r="W21" s="15">
        <v>0.01</v>
      </c>
      <c r="X21" s="15">
        <v>0.02</v>
      </c>
      <c r="Y21" s="15">
        <v>0.06</v>
      </c>
      <c r="Z21" s="15">
        <v>0.04</v>
      </c>
      <c r="AA21" s="15">
        <v>0.04</v>
      </c>
      <c r="AB21" s="15">
        <v>0.04</v>
      </c>
      <c r="AC21" s="15">
        <v>0.03</v>
      </c>
      <c r="AD21" s="15">
        <v>0.04</v>
      </c>
      <c r="AE21" s="15">
        <v>0.1</v>
      </c>
      <c r="AF21" s="15">
        <v>0.09</v>
      </c>
      <c r="AG21" s="15">
        <v>0.09</v>
      </c>
      <c r="AH21" s="15">
        <v>0.12</v>
      </c>
      <c r="AI21" s="15">
        <v>0.11</v>
      </c>
      <c r="AJ21" s="15">
        <v>0.05</v>
      </c>
      <c r="AK21" s="15">
        <v>0.14000000000000001</v>
      </c>
      <c r="AL21" s="15">
        <v>0.09</v>
      </c>
      <c r="AM21" s="15">
        <v>0.05</v>
      </c>
      <c r="AN21" s="15">
        <v>0.11</v>
      </c>
      <c r="AO21" s="15">
        <v>0.24</v>
      </c>
      <c r="AP21" s="15">
        <v>0.09</v>
      </c>
      <c r="AQ21" s="15">
        <v>0.18</v>
      </c>
    </row>
    <row r="22" spans="1:43" x14ac:dyDescent="0.35">
      <c r="A22" s="19"/>
      <c r="B22" s="11" t="s">
        <v>618</v>
      </c>
      <c r="C22" s="12">
        <v>404</v>
      </c>
      <c r="D22" s="12">
        <v>23</v>
      </c>
      <c r="E22" s="12">
        <v>12</v>
      </c>
      <c r="F22" s="12">
        <v>19</v>
      </c>
      <c r="G22" s="12">
        <v>28</v>
      </c>
      <c r="H22" s="12">
        <v>12</v>
      </c>
      <c r="I22" s="12">
        <v>16</v>
      </c>
      <c r="J22" s="12">
        <v>3</v>
      </c>
      <c r="K22" s="12">
        <v>7</v>
      </c>
      <c r="L22" s="12">
        <v>9</v>
      </c>
      <c r="M22" s="12">
        <v>4</v>
      </c>
      <c r="N22" s="12">
        <v>7</v>
      </c>
      <c r="O22" s="12">
        <v>11</v>
      </c>
      <c r="P22" s="12">
        <v>18</v>
      </c>
      <c r="Q22" s="12">
        <v>25</v>
      </c>
      <c r="R22" s="12">
        <v>7</v>
      </c>
      <c r="S22" s="12">
        <v>1</v>
      </c>
      <c r="T22" s="12">
        <v>5</v>
      </c>
      <c r="U22" s="12">
        <v>1</v>
      </c>
      <c r="V22" s="12">
        <v>14</v>
      </c>
      <c r="W22" s="12">
        <v>6</v>
      </c>
      <c r="X22" s="12">
        <v>7</v>
      </c>
      <c r="Y22" s="12">
        <v>27</v>
      </c>
      <c r="Z22" s="12">
        <v>37</v>
      </c>
      <c r="AA22" s="12">
        <v>11</v>
      </c>
      <c r="AB22" s="12">
        <v>22</v>
      </c>
      <c r="AC22" s="12">
        <v>4</v>
      </c>
      <c r="AD22" s="12">
        <v>12</v>
      </c>
      <c r="AE22" s="12">
        <v>9</v>
      </c>
      <c r="AF22" s="12">
        <v>13</v>
      </c>
      <c r="AG22" s="12">
        <v>94</v>
      </c>
      <c r="AH22" s="12">
        <v>12</v>
      </c>
      <c r="AI22" s="12">
        <v>2</v>
      </c>
      <c r="AJ22" s="12">
        <v>5</v>
      </c>
      <c r="AK22" s="12">
        <v>6</v>
      </c>
      <c r="AL22" s="12">
        <v>3</v>
      </c>
      <c r="AM22" s="12">
        <v>5</v>
      </c>
      <c r="AN22" s="12">
        <v>24</v>
      </c>
      <c r="AO22" s="12">
        <v>6</v>
      </c>
      <c r="AP22" s="12">
        <v>6</v>
      </c>
      <c r="AQ22" s="12">
        <v>2</v>
      </c>
    </row>
    <row r="23" spans="1:43" x14ac:dyDescent="0.35">
      <c r="A23" s="19"/>
      <c r="B23" s="13" t="s">
        <v>619</v>
      </c>
      <c r="C23" s="15">
        <v>0.02</v>
      </c>
      <c r="D23" s="15">
        <v>0.02</v>
      </c>
      <c r="E23" s="15">
        <v>0.01</v>
      </c>
      <c r="F23" s="15">
        <v>0.02</v>
      </c>
      <c r="G23" s="15">
        <v>0.03</v>
      </c>
      <c r="H23" s="15">
        <v>0.01</v>
      </c>
      <c r="I23" s="15">
        <v>0.01</v>
      </c>
      <c r="J23" s="15">
        <v>0.01</v>
      </c>
      <c r="K23" s="15">
        <v>0.01</v>
      </c>
      <c r="L23" s="15">
        <v>0.01</v>
      </c>
      <c r="M23" s="14" t="s">
        <v>475</v>
      </c>
      <c r="N23" s="15">
        <v>0.01</v>
      </c>
      <c r="O23" s="15">
        <v>0.01</v>
      </c>
      <c r="P23" s="15">
        <v>0.02</v>
      </c>
      <c r="Q23" s="15">
        <v>0.02</v>
      </c>
      <c r="R23" s="15">
        <v>0.01</v>
      </c>
      <c r="S23" s="14" t="s">
        <v>475</v>
      </c>
      <c r="T23" s="15">
        <v>0.01</v>
      </c>
      <c r="U23" s="14" t="s">
        <v>475</v>
      </c>
      <c r="V23" s="15">
        <v>0.01</v>
      </c>
      <c r="W23" s="15">
        <v>0.01</v>
      </c>
      <c r="X23" s="15">
        <v>0.01</v>
      </c>
      <c r="Y23" s="15">
        <v>0.03</v>
      </c>
      <c r="Z23" s="15">
        <v>0.04</v>
      </c>
      <c r="AA23" s="15">
        <v>0.01</v>
      </c>
      <c r="AB23" s="15">
        <v>0.02</v>
      </c>
      <c r="AC23" s="14" t="s">
        <v>475</v>
      </c>
      <c r="AD23" s="15">
        <v>0.01</v>
      </c>
      <c r="AE23" s="15">
        <v>0.01</v>
      </c>
      <c r="AF23" s="15">
        <v>0.01</v>
      </c>
      <c r="AG23" s="15">
        <v>0.09</v>
      </c>
      <c r="AH23" s="15">
        <v>0.01</v>
      </c>
      <c r="AI23" s="14" t="s">
        <v>475</v>
      </c>
      <c r="AJ23" s="14" t="s">
        <v>475</v>
      </c>
      <c r="AK23" s="15">
        <v>0.01</v>
      </c>
      <c r="AL23" s="14" t="s">
        <v>475</v>
      </c>
      <c r="AM23" s="14" t="s">
        <v>475</v>
      </c>
      <c r="AN23" s="15">
        <v>0.02</v>
      </c>
      <c r="AO23" s="15">
        <v>0.01</v>
      </c>
      <c r="AP23" s="15">
        <v>0.01</v>
      </c>
      <c r="AQ23" s="14" t="s">
        <v>475</v>
      </c>
    </row>
    <row r="24" spans="1:43" x14ac:dyDescent="0.35">
      <c r="A24" s="19"/>
      <c r="B24" s="11" t="s">
        <v>591</v>
      </c>
      <c r="C24" s="12">
        <v>2439</v>
      </c>
      <c r="D24" s="12">
        <v>87</v>
      </c>
      <c r="E24" s="12">
        <v>27</v>
      </c>
      <c r="F24" s="12">
        <v>135</v>
      </c>
      <c r="G24" s="12">
        <v>59</v>
      </c>
      <c r="H24" s="12">
        <v>115</v>
      </c>
      <c r="I24" s="12">
        <v>139</v>
      </c>
      <c r="J24" s="12">
        <v>24</v>
      </c>
      <c r="K24" s="12">
        <v>49</v>
      </c>
      <c r="L24" s="12">
        <v>221</v>
      </c>
      <c r="M24" s="12">
        <v>21</v>
      </c>
      <c r="N24" s="12">
        <v>222</v>
      </c>
      <c r="O24" s="12">
        <v>60</v>
      </c>
      <c r="P24" s="12">
        <v>120</v>
      </c>
      <c r="Q24" s="12">
        <v>42</v>
      </c>
      <c r="R24" s="12">
        <v>67</v>
      </c>
      <c r="S24" s="12">
        <v>57</v>
      </c>
      <c r="T24" s="12">
        <v>50</v>
      </c>
      <c r="U24" s="12">
        <v>104</v>
      </c>
      <c r="V24" s="12">
        <v>37</v>
      </c>
      <c r="W24" s="12">
        <v>53</v>
      </c>
      <c r="X24" s="12">
        <v>199</v>
      </c>
      <c r="Y24" s="12">
        <v>79</v>
      </c>
      <c r="Z24" s="12">
        <v>73</v>
      </c>
      <c r="AA24" s="12">
        <v>121</v>
      </c>
      <c r="AB24" s="12">
        <v>60</v>
      </c>
      <c r="AC24" s="12">
        <v>59</v>
      </c>
      <c r="AD24" s="12">
        <v>65</v>
      </c>
      <c r="AE24" s="12">
        <v>83</v>
      </c>
      <c r="AF24" s="12">
        <v>61</v>
      </c>
      <c r="AG24" s="12">
        <v>11</v>
      </c>
      <c r="AH24" s="12">
        <v>24</v>
      </c>
      <c r="AI24" s="12">
        <v>25</v>
      </c>
      <c r="AJ24" s="12">
        <v>71</v>
      </c>
      <c r="AK24" s="12">
        <v>20</v>
      </c>
      <c r="AL24" s="12">
        <v>41</v>
      </c>
      <c r="AM24" s="12">
        <v>73</v>
      </c>
      <c r="AN24" s="12">
        <v>55</v>
      </c>
      <c r="AO24" s="12">
        <v>21</v>
      </c>
      <c r="AP24" s="12">
        <v>5</v>
      </c>
      <c r="AQ24" s="12">
        <v>65</v>
      </c>
    </row>
    <row r="25" spans="1:43" x14ac:dyDescent="0.35">
      <c r="A25" s="19"/>
      <c r="B25" s="13" t="s">
        <v>592</v>
      </c>
      <c r="C25" s="15">
        <v>0.09</v>
      </c>
      <c r="D25" s="15">
        <v>0.09</v>
      </c>
      <c r="E25" s="15">
        <v>0.03</v>
      </c>
      <c r="F25" s="15">
        <v>0.12</v>
      </c>
      <c r="G25" s="15">
        <v>0.06</v>
      </c>
      <c r="H25" s="15">
        <v>0.09</v>
      </c>
      <c r="I25" s="15">
        <v>0.09</v>
      </c>
      <c r="J25" s="15">
        <v>0.08</v>
      </c>
      <c r="K25" s="15">
        <v>0.05</v>
      </c>
      <c r="L25" s="15">
        <v>0.22</v>
      </c>
      <c r="M25" s="15">
        <v>0.02</v>
      </c>
      <c r="N25" s="15">
        <v>0.22</v>
      </c>
      <c r="O25" s="15">
        <v>0.06</v>
      </c>
      <c r="P25" s="15">
        <v>0.12</v>
      </c>
      <c r="Q25" s="15">
        <v>0.04</v>
      </c>
      <c r="R25" s="15">
        <v>0.13</v>
      </c>
      <c r="S25" s="15">
        <v>0.06</v>
      </c>
      <c r="T25" s="15">
        <v>0.05</v>
      </c>
      <c r="U25" s="15">
        <v>0.21</v>
      </c>
      <c r="V25" s="15">
        <v>0.04</v>
      </c>
      <c r="W25" s="15">
        <v>0.11</v>
      </c>
      <c r="X25" s="15">
        <v>0.2</v>
      </c>
      <c r="Y25" s="15">
        <v>0.08</v>
      </c>
      <c r="Z25" s="15">
        <v>7.0000000000000007E-2</v>
      </c>
      <c r="AA25" s="15">
        <v>0.12</v>
      </c>
      <c r="AB25" s="15">
        <v>0.06</v>
      </c>
      <c r="AC25" s="15">
        <v>0.06</v>
      </c>
      <c r="AD25" s="15">
        <v>0.06</v>
      </c>
      <c r="AE25" s="15">
        <v>0.08</v>
      </c>
      <c r="AF25" s="15">
        <v>0.06</v>
      </c>
      <c r="AG25" s="15">
        <v>0.01</v>
      </c>
      <c r="AH25" s="15">
        <v>0.02</v>
      </c>
      <c r="AI25" s="15">
        <v>0.05</v>
      </c>
      <c r="AJ25" s="15">
        <v>7.0000000000000007E-2</v>
      </c>
      <c r="AK25" s="15">
        <v>0.02</v>
      </c>
      <c r="AL25" s="15">
        <v>0.04</v>
      </c>
      <c r="AM25" s="15">
        <v>7.0000000000000007E-2</v>
      </c>
      <c r="AN25" s="15">
        <v>0.05</v>
      </c>
      <c r="AO25" s="15">
        <v>0.02</v>
      </c>
      <c r="AP25" s="15">
        <v>0.01</v>
      </c>
      <c r="AQ25" s="15">
        <v>7.0000000000000007E-2</v>
      </c>
    </row>
    <row r="26" spans="1:43" x14ac:dyDescent="0.35">
      <c r="A26" s="19"/>
      <c r="B26" s="11" t="s">
        <v>589</v>
      </c>
      <c r="C26" s="12">
        <v>0</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67</v>
      </c>
      <c r="AQ26" s="12">
        <v>0</v>
      </c>
    </row>
    <row r="27" spans="1:43" x14ac:dyDescent="0.35">
      <c r="A27" s="19"/>
      <c r="B27" s="13" t="s">
        <v>590</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5">
        <v>0.13</v>
      </c>
      <c r="AQ27" s="14" t="s">
        <v>475</v>
      </c>
    </row>
    <row r="28" spans="1:43" ht="21.5" x14ac:dyDescent="0.35">
      <c r="A28" s="19"/>
      <c r="B28" s="11" t="s">
        <v>620</v>
      </c>
      <c r="C28" s="12">
        <v>3424</v>
      </c>
      <c r="D28" s="12">
        <v>143</v>
      </c>
      <c r="E28" s="12">
        <v>232</v>
      </c>
      <c r="F28" s="12">
        <v>193</v>
      </c>
      <c r="G28" s="12">
        <v>87</v>
      </c>
      <c r="H28" s="12">
        <v>111</v>
      </c>
      <c r="I28" s="12">
        <v>165</v>
      </c>
      <c r="J28" s="12">
        <v>55</v>
      </c>
      <c r="K28" s="12">
        <v>150</v>
      </c>
      <c r="L28" s="12">
        <v>106</v>
      </c>
      <c r="M28" s="12">
        <v>242</v>
      </c>
      <c r="N28" s="12">
        <v>71</v>
      </c>
      <c r="O28" s="12">
        <v>171</v>
      </c>
      <c r="P28" s="12">
        <v>220</v>
      </c>
      <c r="Q28" s="12">
        <v>101</v>
      </c>
      <c r="R28" s="12">
        <v>96</v>
      </c>
      <c r="S28" s="12">
        <v>79</v>
      </c>
      <c r="T28" s="12">
        <v>54</v>
      </c>
      <c r="U28" s="12">
        <v>30</v>
      </c>
      <c r="V28" s="12">
        <v>209</v>
      </c>
      <c r="W28" s="12">
        <v>39</v>
      </c>
      <c r="X28" s="12">
        <v>99</v>
      </c>
      <c r="Y28" s="12">
        <v>203</v>
      </c>
      <c r="Z28" s="12">
        <v>133</v>
      </c>
      <c r="AA28" s="12">
        <v>100</v>
      </c>
      <c r="AB28" s="12">
        <v>193</v>
      </c>
      <c r="AC28" s="12">
        <v>96</v>
      </c>
      <c r="AD28" s="12">
        <v>143</v>
      </c>
      <c r="AE28" s="12">
        <v>203</v>
      </c>
      <c r="AF28" s="12">
        <v>118</v>
      </c>
      <c r="AG28" s="12">
        <v>117</v>
      </c>
      <c r="AH28" s="12">
        <v>168</v>
      </c>
      <c r="AI28" s="12">
        <v>148</v>
      </c>
      <c r="AJ28" s="12">
        <v>209</v>
      </c>
      <c r="AK28" s="12">
        <v>157</v>
      </c>
      <c r="AL28" s="12">
        <v>161</v>
      </c>
      <c r="AM28" s="12">
        <v>133</v>
      </c>
      <c r="AN28" s="12">
        <v>138</v>
      </c>
      <c r="AO28" s="12">
        <v>79</v>
      </c>
      <c r="AP28" s="12">
        <v>48</v>
      </c>
      <c r="AQ28" s="12">
        <v>155</v>
      </c>
    </row>
    <row r="29" spans="1:43" ht="21.5" x14ac:dyDescent="0.35">
      <c r="A29" s="19"/>
      <c r="B29" s="13" t="s">
        <v>544</v>
      </c>
      <c r="C29" s="15">
        <v>0.13</v>
      </c>
      <c r="D29" s="15">
        <v>0.14000000000000001</v>
      </c>
      <c r="E29" s="15">
        <v>0.23</v>
      </c>
      <c r="F29" s="15">
        <v>0.17</v>
      </c>
      <c r="G29" s="15">
        <v>0.09</v>
      </c>
      <c r="H29" s="15">
        <v>0.09</v>
      </c>
      <c r="I29" s="15">
        <v>0.11</v>
      </c>
      <c r="J29" s="15">
        <v>0.19</v>
      </c>
      <c r="K29" s="15">
        <v>0.15</v>
      </c>
      <c r="L29" s="15">
        <v>0.11</v>
      </c>
      <c r="M29" s="15">
        <v>0.24</v>
      </c>
      <c r="N29" s="15">
        <v>7.0000000000000007E-2</v>
      </c>
      <c r="O29" s="15">
        <v>0.17</v>
      </c>
      <c r="P29" s="15">
        <v>0.22</v>
      </c>
      <c r="Q29" s="15">
        <v>0.1</v>
      </c>
      <c r="R29" s="15">
        <v>0.19</v>
      </c>
      <c r="S29" s="15">
        <v>0.08</v>
      </c>
      <c r="T29" s="15">
        <v>0.05</v>
      </c>
      <c r="U29" s="15">
        <v>0.06</v>
      </c>
      <c r="V29" s="15">
        <v>0.21</v>
      </c>
      <c r="W29" s="15">
        <v>0.08</v>
      </c>
      <c r="X29" s="15">
        <v>0.1</v>
      </c>
      <c r="Y29" s="15">
        <v>0.2</v>
      </c>
      <c r="Z29" s="15">
        <v>0.13</v>
      </c>
      <c r="AA29" s="15">
        <v>0.1</v>
      </c>
      <c r="AB29" s="15">
        <v>0.18</v>
      </c>
      <c r="AC29" s="15">
        <v>0.1</v>
      </c>
      <c r="AD29" s="15">
        <v>0.14000000000000001</v>
      </c>
      <c r="AE29" s="15">
        <v>0.2</v>
      </c>
      <c r="AF29" s="15">
        <v>0.11</v>
      </c>
      <c r="AG29" s="15">
        <v>0.11</v>
      </c>
      <c r="AH29" s="15">
        <v>0.17</v>
      </c>
      <c r="AI29" s="15">
        <v>0.28000000000000003</v>
      </c>
      <c r="AJ29" s="15">
        <v>0.2</v>
      </c>
      <c r="AK29" s="15">
        <v>0.16</v>
      </c>
      <c r="AL29" s="15">
        <v>0.16</v>
      </c>
      <c r="AM29" s="15">
        <v>0.13</v>
      </c>
      <c r="AN29" s="15">
        <v>0.14000000000000001</v>
      </c>
      <c r="AO29" s="15">
        <v>0.08</v>
      </c>
      <c r="AP29" s="15">
        <v>0.09</v>
      </c>
      <c r="AQ29" s="15">
        <v>0.15</v>
      </c>
    </row>
    <row r="30" spans="1:43" x14ac:dyDescent="0.35">
      <c r="A30" s="19"/>
      <c r="B30" s="11" t="s">
        <v>595</v>
      </c>
      <c r="C30" s="12">
        <v>1571</v>
      </c>
      <c r="D30" s="12">
        <v>85</v>
      </c>
      <c r="E30" s="12">
        <v>19</v>
      </c>
      <c r="F30" s="12">
        <v>58</v>
      </c>
      <c r="G30" s="12">
        <v>34</v>
      </c>
      <c r="H30" s="12">
        <v>77</v>
      </c>
      <c r="I30" s="12">
        <v>97</v>
      </c>
      <c r="J30" s="12">
        <v>20</v>
      </c>
      <c r="K30" s="12">
        <v>29</v>
      </c>
      <c r="L30" s="12">
        <v>79</v>
      </c>
      <c r="M30" s="12">
        <v>31</v>
      </c>
      <c r="N30" s="12">
        <v>64</v>
      </c>
      <c r="O30" s="12">
        <v>41</v>
      </c>
      <c r="P30" s="12">
        <v>29</v>
      </c>
      <c r="Q30" s="12">
        <v>112</v>
      </c>
      <c r="R30" s="12">
        <v>66</v>
      </c>
      <c r="S30" s="12">
        <v>19</v>
      </c>
      <c r="T30" s="12">
        <v>26</v>
      </c>
      <c r="U30" s="12">
        <v>28</v>
      </c>
      <c r="V30" s="12">
        <v>38</v>
      </c>
      <c r="W30" s="12">
        <v>70</v>
      </c>
      <c r="X30" s="12">
        <v>62</v>
      </c>
      <c r="Y30" s="12">
        <v>31</v>
      </c>
      <c r="Z30" s="12">
        <v>64</v>
      </c>
      <c r="AA30" s="12">
        <v>31</v>
      </c>
      <c r="AB30" s="12">
        <v>38</v>
      </c>
      <c r="AC30" s="12">
        <v>35</v>
      </c>
      <c r="AD30" s="12">
        <v>28</v>
      </c>
      <c r="AE30" s="12">
        <v>18</v>
      </c>
      <c r="AF30" s="12">
        <v>39</v>
      </c>
      <c r="AG30" s="12">
        <v>58</v>
      </c>
      <c r="AH30" s="12">
        <v>102</v>
      </c>
      <c r="AI30" s="12">
        <v>30</v>
      </c>
      <c r="AJ30" s="12">
        <v>53</v>
      </c>
      <c r="AK30" s="12">
        <v>59</v>
      </c>
      <c r="AL30" s="12">
        <v>51</v>
      </c>
      <c r="AM30" s="12">
        <v>99</v>
      </c>
      <c r="AN30" s="12">
        <v>30</v>
      </c>
      <c r="AO30" s="12">
        <v>74</v>
      </c>
      <c r="AP30" s="12">
        <v>41</v>
      </c>
      <c r="AQ30" s="12">
        <v>48</v>
      </c>
    </row>
    <row r="31" spans="1:43" x14ac:dyDescent="0.35">
      <c r="A31" s="19"/>
      <c r="B31" s="13" t="s">
        <v>596</v>
      </c>
      <c r="C31" s="15">
        <v>0.06</v>
      </c>
      <c r="D31" s="15">
        <v>0.08</v>
      </c>
      <c r="E31" s="15">
        <v>0.02</v>
      </c>
      <c r="F31" s="15">
        <v>0.05</v>
      </c>
      <c r="G31" s="15">
        <v>0.03</v>
      </c>
      <c r="H31" s="15">
        <v>0.06</v>
      </c>
      <c r="I31" s="15">
        <v>0.06</v>
      </c>
      <c r="J31" s="15">
        <v>7.0000000000000007E-2</v>
      </c>
      <c r="K31" s="15">
        <v>0.03</v>
      </c>
      <c r="L31" s="15">
        <v>0.08</v>
      </c>
      <c r="M31" s="15">
        <v>0.03</v>
      </c>
      <c r="N31" s="15">
        <v>0.06</v>
      </c>
      <c r="O31" s="15">
        <v>0.04</v>
      </c>
      <c r="P31" s="15">
        <v>0.03</v>
      </c>
      <c r="Q31" s="15">
        <v>0.11</v>
      </c>
      <c r="R31" s="15">
        <v>0.13</v>
      </c>
      <c r="S31" s="15">
        <v>0.02</v>
      </c>
      <c r="T31" s="15">
        <v>0.03</v>
      </c>
      <c r="U31" s="15">
        <v>0.06</v>
      </c>
      <c r="V31" s="15">
        <v>0.04</v>
      </c>
      <c r="W31" s="15">
        <v>0.14000000000000001</v>
      </c>
      <c r="X31" s="15">
        <v>0.06</v>
      </c>
      <c r="Y31" s="15">
        <v>0.03</v>
      </c>
      <c r="Z31" s="15">
        <v>0.06</v>
      </c>
      <c r="AA31" s="15">
        <v>0.03</v>
      </c>
      <c r="AB31" s="15">
        <v>0.04</v>
      </c>
      <c r="AC31" s="15">
        <v>0.03</v>
      </c>
      <c r="AD31" s="15">
        <v>0.03</v>
      </c>
      <c r="AE31" s="15">
        <v>0.02</v>
      </c>
      <c r="AF31" s="15">
        <v>0.04</v>
      </c>
      <c r="AG31" s="15">
        <v>0.06</v>
      </c>
      <c r="AH31" s="15">
        <v>0.1</v>
      </c>
      <c r="AI31" s="15">
        <v>0.06</v>
      </c>
      <c r="AJ31" s="15">
        <v>0.05</v>
      </c>
      <c r="AK31" s="15">
        <v>0.06</v>
      </c>
      <c r="AL31" s="15">
        <v>0.05</v>
      </c>
      <c r="AM31" s="15">
        <v>0.09</v>
      </c>
      <c r="AN31" s="15">
        <v>0.03</v>
      </c>
      <c r="AO31" s="15">
        <v>7.0000000000000007E-2</v>
      </c>
      <c r="AP31" s="15">
        <v>0.08</v>
      </c>
      <c r="AQ31" s="15">
        <v>0.05</v>
      </c>
    </row>
    <row r="32" spans="1:43" x14ac:dyDescent="0.35">
      <c r="A32" s="19"/>
      <c r="B32" s="11" t="s">
        <v>597</v>
      </c>
      <c r="C32" s="12">
        <v>4915</v>
      </c>
      <c r="D32" s="12">
        <v>163</v>
      </c>
      <c r="E32" s="12">
        <v>137</v>
      </c>
      <c r="F32" s="12">
        <v>230</v>
      </c>
      <c r="G32" s="12">
        <v>219</v>
      </c>
      <c r="H32" s="12">
        <v>150</v>
      </c>
      <c r="I32" s="12">
        <v>213</v>
      </c>
      <c r="J32" s="12">
        <v>63</v>
      </c>
      <c r="K32" s="12">
        <v>196</v>
      </c>
      <c r="L32" s="12">
        <v>213</v>
      </c>
      <c r="M32" s="12">
        <v>138</v>
      </c>
      <c r="N32" s="12">
        <v>186</v>
      </c>
      <c r="O32" s="12">
        <v>205</v>
      </c>
      <c r="P32" s="12">
        <v>197</v>
      </c>
      <c r="Q32" s="12">
        <v>147</v>
      </c>
      <c r="R32" s="12">
        <v>59</v>
      </c>
      <c r="S32" s="12">
        <v>302</v>
      </c>
      <c r="T32" s="12">
        <v>248</v>
      </c>
      <c r="U32" s="12">
        <v>69</v>
      </c>
      <c r="V32" s="12">
        <v>236</v>
      </c>
      <c r="W32" s="12">
        <v>99</v>
      </c>
      <c r="X32" s="12">
        <v>260</v>
      </c>
      <c r="Y32" s="12">
        <v>212</v>
      </c>
      <c r="Z32" s="12">
        <v>213</v>
      </c>
      <c r="AA32" s="12">
        <v>211</v>
      </c>
      <c r="AB32" s="12">
        <v>129</v>
      </c>
      <c r="AC32" s="12">
        <v>264</v>
      </c>
      <c r="AD32" s="12">
        <v>217</v>
      </c>
      <c r="AE32" s="12">
        <v>479</v>
      </c>
      <c r="AF32" s="12">
        <v>369</v>
      </c>
      <c r="AG32" s="12">
        <v>98</v>
      </c>
      <c r="AH32" s="12">
        <v>183</v>
      </c>
      <c r="AI32" s="12">
        <v>21</v>
      </c>
      <c r="AJ32" s="12">
        <v>180</v>
      </c>
      <c r="AK32" s="12">
        <v>139</v>
      </c>
      <c r="AL32" s="12">
        <v>287</v>
      </c>
      <c r="AM32" s="12">
        <v>271</v>
      </c>
      <c r="AN32" s="12">
        <v>154</v>
      </c>
      <c r="AO32" s="12">
        <v>225</v>
      </c>
      <c r="AP32" s="12">
        <v>198</v>
      </c>
      <c r="AQ32" s="12">
        <v>191</v>
      </c>
    </row>
    <row r="33" spans="1:43" x14ac:dyDescent="0.35">
      <c r="A33" s="19"/>
      <c r="B33" s="13" t="s">
        <v>598</v>
      </c>
      <c r="C33" s="15">
        <v>0.19</v>
      </c>
      <c r="D33" s="15">
        <v>0.16</v>
      </c>
      <c r="E33" s="15">
        <v>0.13</v>
      </c>
      <c r="F33" s="15">
        <v>0.21</v>
      </c>
      <c r="G33" s="15">
        <v>0.22</v>
      </c>
      <c r="H33" s="15">
        <v>0.12</v>
      </c>
      <c r="I33" s="15">
        <v>0.14000000000000001</v>
      </c>
      <c r="J33" s="15">
        <v>0.21</v>
      </c>
      <c r="K33" s="15">
        <v>0.2</v>
      </c>
      <c r="L33" s="15">
        <v>0.21</v>
      </c>
      <c r="M33" s="15">
        <v>0.14000000000000001</v>
      </c>
      <c r="N33" s="15">
        <v>0.18</v>
      </c>
      <c r="O33" s="15">
        <v>0.2</v>
      </c>
      <c r="P33" s="15">
        <v>0.2</v>
      </c>
      <c r="Q33" s="15">
        <v>0.14000000000000001</v>
      </c>
      <c r="R33" s="15">
        <v>0.12</v>
      </c>
      <c r="S33" s="15">
        <v>0.3</v>
      </c>
      <c r="T33" s="15">
        <v>0.25</v>
      </c>
      <c r="U33" s="15">
        <v>0.14000000000000001</v>
      </c>
      <c r="V33" s="15">
        <v>0.23</v>
      </c>
      <c r="W33" s="15">
        <v>0.19</v>
      </c>
      <c r="X33" s="15">
        <v>0.26</v>
      </c>
      <c r="Y33" s="15">
        <v>0.21</v>
      </c>
      <c r="Z33" s="15">
        <v>0.21</v>
      </c>
      <c r="AA33" s="15">
        <v>0.2</v>
      </c>
      <c r="AB33" s="15">
        <v>0.12</v>
      </c>
      <c r="AC33" s="15">
        <v>0.26</v>
      </c>
      <c r="AD33" s="15">
        <v>0.22</v>
      </c>
      <c r="AE33" s="15">
        <v>0.47</v>
      </c>
      <c r="AF33" s="15">
        <v>0.35</v>
      </c>
      <c r="AG33" s="15">
        <v>0.09</v>
      </c>
      <c r="AH33" s="15">
        <v>0.18</v>
      </c>
      <c r="AI33" s="15">
        <v>0.04</v>
      </c>
      <c r="AJ33" s="15">
        <v>0.17</v>
      </c>
      <c r="AK33" s="15">
        <v>0.14000000000000001</v>
      </c>
      <c r="AL33" s="15">
        <v>0.28000000000000003</v>
      </c>
      <c r="AM33" s="15">
        <v>0.26</v>
      </c>
      <c r="AN33" s="15">
        <v>0.15</v>
      </c>
      <c r="AO33" s="15">
        <v>0.22</v>
      </c>
      <c r="AP33" s="15">
        <v>0.38</v>
      </c>
      <c r="AQ33" s="15">
        <v>0.19</v>
      </c>
    </row>
    <row r="34" spans="1:43" x14ac:dyDescent="0.35">
      <c r="A34" s="19"/>
      <c r="B34" s="11" t="s">
        <v>599</v>
      </c>
      <c r="C34" s="12">
        <v>2153</v>
      </c>
      <c r="D34" s="12">
        <v>86</v>
      </c>
      <c r="E34" s="12">
        <v>97</v>
      </c>
      <c r="F34" s="12">
        <v>67</v>
      </c>
      <c r="G34" s="12">
        <v>62</v>
      </c>
      <c r="H34" s="12">
        <v>115</v>
      </c>
      <c r="I34" s="12">
        <v>144</v>
      </c>
      <c r="J34" s="12">
        <v>29</v>
      </c>
      <c r="K34" s="12">
        <v>93</v>
      </c>
      <c r="L34" s="12">
        <v>56</v>
      </c>
      <c r="M34" s="12">
        <v>97</v>
      </c>
      <c r="N34" s="12">
        <v>66</v>
      </c>
      <c r="O34" s="12">
        <v>84</v>
      </c>
      <c r="P34" s="12">
        <v>45</v>
      </c>
      <c r="Q34" s="12">
        <v>80</v>
      </c>
      <c r="R34" s="12">
        <v>30</v>
      </c>
      <c r="S34" s="12">
        <v>100</v>
      </c>
      <c r="T34" s="12">
        <v>85</v>
      </c>
      <c r="U34" s="12">
        <v>57</v>
      </c>
      <c r="V34" s="12">
        <v>81</v>
      </c>
      <c r="W34" s="12">
        <v>38</v>
      </c>
      <c r="X34" s="12">
        <v>97</v>
      </c>
      <c r="Y34" s="12">
        <v>126</v>
      </c>
      <c r="Z34" s="12">
        <v>33</v>
      </c>
      <c r="AA34" s="12">
        <v>87</v>
      </c>
      <c r="AB34" s="12">
        <v>80</v>
      </c>
      <c r="AC34" s="12">
        <v>79</v>
      </c>
      <c r="AD34" s="12">
        <v>110</v>
      </c>
      <c r="AE34" s="12">
        <v>101</v>
      </c>
      <c r="AF34" s="12">
        <v>181</v>
      </c>
      <c r="AG34" s="12">
        <v>117</v>
      </c>
      <c r="AH34" s="12">
        <v>59</v>
      </c>
      <c r="AI34" s="12">
        <v>21</v>
      </c>
      <c r="AJ34" s="12">
        <v>115</v>
      </c>
      <c r="AK34" s="12">
        <v>102</v>
      </c>
      <c r="AL34" s="12">
        <v>64</v>
      </c>
      <c r="AM34" s="12">
        <v>75</v>
      </c>
      <c r="AN34" s="12">
        <v>103</v>
      </c>
      <c r="AO34" s="12">
        <v>133</v>
      </c>
      <c r="AP34" s="12">
        <v>83</v>
      </c>
      <c r="AQ34" s="12">
        <v>96</v>
      </c>
    </row>
    <row r="35" spans="1:43" x14ac:dyDescent="0.35">
      <c r="A35" s="19"/>
      <c r="B35" s="13" t="s">
        <v>600</v>
      </c>
      <c r="C35" s="15">
        <v>0.08</v>
      </c>
      <c r="D35" s="15">
        <v>0.09</v>
      </c>
      <c r="E35" s="15">
        <v>0.09</v>
      </c>
      <c r="F35" s="15">
        <v>0.06</v>
      </c>
      <c r="G35" s="15">
        <v>0.06</v>
      </c>
      <c r="H35" s="15">
        <v>0.09</v>
      </c>
      <c r="I35" s="15">
        <v>0.1</v>
      </c>
      <c r="J35" s="15">
        <v>0.1</v>
      </c>
      <c r="K35" s="15">
        <v>0.09</v>
      </c>
      <c r="L35" s="15">
        <v>0.06</v>
      </c>
      <c r="M35" s="15">
        <v>0.1</v>
      </c>
      <c r="N35" s="15">
        <v>7.0000000000000007E-2</v>
      </c>
      <c r="O35" s="15">
        <v>0.08</v>
      </c>
      <c r="P35" s="15">
        <v>0.05</v>
      </c>
      <c r="Q35" s="15">
        <v>0.08</v>
      </c>
      <c r="R35" s="15">
        <v>0.06</v>
      </c>
      <c r="S35" s="15">
        <v>0.1</v>
      </c>
      <c r="T35" s="15">
        <v>0.08</v>
      </c>
      <c r="U35" s="15">
        <v>0.11</v>
      </c>
      <c r="V35" s="15">
        <v>0.08</v>
      </c>
      <c r="W35" s="15">
        <v>7.0000000000000007E-2</v>
      </c>
      <c r="X35" s="15">
        <v>0.1</v>
      </c>
      <c r="Y35" s="15">
        <v>0.13</v>
      </c>
      <c r="Z35" s="15">
        <v>0.03</v>
      </c>
      <c r="AA35" s="15">
        <v>0.08</v>
      </c>
      <c r="AB35" s="15">
        <v>0.08</v>
      </c>
      <c r="AC35" s="15">
        <v>0.08</v>
      </c>
      <c r="AD35" s="15">
        <v>0.11</v>
      </c>
      <c r="AE35" s="15">
        <v>0.1</v>
      </c>
      <c r="AF35" s="15">
        <v>0.17</v>
      </c>
      <c r="AG35" s="15">
        <v>0.11</v>
      </c>
      <c r="AH35" s="15">
        <v>0.06</v>
      </c>
      <c r="AI35" s="15">
        <v>0.04</v>
      </c>
      <c r="AJ35" s="15">
        <v>0.11</v>
      </c>
      <c r="AK35" s="15">
        <v>0.1</v>
      </c>
      <c r="AL35" s="15">
        <v>0.06</v>
      </c>
      <c r="AM35" s="15">
        <v>7.0000000000000007E-2</v>
      </c>
      <c r="AN35" s="15">
        <v>0.1</v>
      </c>
      <c r="AO35" s="15">
        <v>0.13</v>
      </c>
      <c r="AP35" s="15">
        <v>0.16</v>
      </c>
      <c r="AQ35" s="15">
        <v>0.1</v>
      </c>
    </row>
    <row r="36" spans="1:43" ht="31.5" x14ac:dyDescent="0.35">
      <c r="A36" s="19"/>
      <c r="B36" s="11" t="s">
        <v>605</v>
      </c>
      <c r="C36" s="12">
        <v>2386</v>
      </c>
      <c r="D36" s="12">
        <v>95</v>
      </c>
      <c r="E36" s="12">
        <v>82</v>
      </c>
      <c r="F36" s="12">
        <v>53</v>
      </c>
      <c r="G36" s="12">
        <v>178</v>
      </c>
      <c r="H36" s="12">
        <v>139</v>
      </c>
      <c r="I36" s="12">
        <v>158</v>
      </c>
      <c r="J36" s="12">
        <v>19</v>
      </c>
      <c r="K36" s="12">
        <v>30</v>
      </c>
      <c r="L36" s="12">
        <v>69</v>
      </c>
      <c r="M36" s="12">
        <v>53</v>
      </c>
      <c r="N36" s="12">
        <v>52</v>
      </c>
      <c r="O36" s="12">
        <v>76</v>
      </c>
      <c r="P36" s="12">
        <v>56</v>
      </c>
      <c r="Q36" s="12">
        <v>100</v>
      </c>
      <c r="R36" s="12">
        <v>23</v>
      </c>
      <c r="S36" s="12">
        <v>16</v>
      </c>
      <c r="T36" s="12">
        <v>27</v>
      </c>
      <c r="U36" s="12">
        <v>31</v>
      </c>
      <c r="V36" s="12">
        <v>68</v>
      </c>
      <c r="W36" s="12">
        <v>133</v>
      </c>
      <c r="X36" s="12">
        <v>228</v>
      </c>
      <c r="Y36" s="12">
        <v>72</v>
      </c>
      <c r="Z36" s="12">
        <v>66</v>
      </c>
      <c r="AA36" s="12">
        <v>41</v>
      </c>
      <c r="AB36" s="12">
        <v>75</v>
      </c>
      <c r="AC36" s="12">
        <v>52</v>
      </c>
      <c r="AD36" s="12">
        <v>59</v>
      </c>
      <c r="AE36" s="12">
        <v>118</v>
      </c>
      <c r="AF36" s="12">
        <v>309</v>
      </c>
      <c r="AG36" s="12">
        <v>46</v>
      </c>
      <c r="AH36" s="12">
        <v>80</v>
      </c>
      <c r="AI36" s="12">
        <v>27</v>
      </c>
      <c r="AJ36" s="12">
        <v>110</v>
      </c>
      <c r="AK36" s="12">
        <v>17</v>
      </c>
      <c r="AL36" s="12">
        <v>40</v>
      </c>
      <c r="AM36" s="12">
        <v>77</v>
      </c>
      <c r="AN36" s="12">
        <v>57</v>
      </c>
      <c r="AO36" s="12">
        <v>33</v>
      </c>
      <c r="AP36" s="12">
        <v>6</v>
      </c>
      <c r="AQ36" s="12">
        <v>38</v>
      </c>
    </row>
    <row r="37" spans="1:43" ht="21.5" x14ac:dyDescent="0.35">
      <c r="A37" s="19"/>
      <c r="B37" s="13" t="s">
        <v>606</v>
      </c>
      <c r="C37" s="15">
        <v>0.09</v>
      </c>
      <c r="D37" s="15">
        <v>0.09</v>
      </c>
      <c r="E37" s="15">
        <v>0.08</v>
      </c>
      <c r="F37" s="15">
        <v>0.05</v>
      </c>
      <c r="G37" s="15">
        <v>0.18</v>
      </c>
      <c r="H37" s="15">
        <v>0.11</v>
      </c>
      <c r="I37" s="15">
        <v>0.1</v>
      </c>
      <c r="J37" s="15">
        <v>0.06</v>
      </c>
      <c r="K37" s="15">
        <v>0.03</v>
      </c>
      <c r="L37" s="15">
        <v>7.0000000000000007E-2</v>
      </c>
      <c r="M37" s="15">
        <v>0.05</v>
      </c>
      <c r="N37" s="15">
        <v>0.05</v>
      </c>
      <c r="O37" s="15">
        <v>0.08</v>
      </c>
      <c r="P37" s="15">
        <v>0.06</v>
      </c>
      <c r="Q37" s="15">
        <v>0.1</v>
      </c>
      <c r="R37" s="15">
        <v>0.05</v>
      </c>
      <c r="S37" s="15">
        <v>0.02</v>
      </c>
      <c r="T37" s="15">
        <v>0.03</v>
      </c>
      <c r="U37" s="15">
        <v>0.06</v>
      </c>
      <c r="V37" s="15">
        <v>7.0000000000000007E-2</v>
      </c>
      <c r="W37" s="15">
        <v>0.26</v>
      </c>
      <c r="X37" s="15">
        <v>0.23</v>
      </c>
      <c r="Y37" s="15">
        <v>7.0000000000000007E-2</v>
      </c>
      <c r="Z37" s="15">
        <v>0.06</v>
      </c>
      <c r="AA37" s="15">
        <v>0.04</v>
      </c>
      <c r="AB37" s="15">
        <v>7.0000000000000007E-2</v>
      </c>
      <c r="AC37" s="15">
        <v>0.05</v>
      </c>
      <c r="AD37" s="15">
        <v>0.06</v>
      </c>
      <c r="AE37" s="15">
        <v>0.12</v>
      </c>
      <c r="AF37" s="15">
        <v>0.3</v>
      </c>
      <c r="AG37" s="15">
        <v>0.04</v>
      </c>
      <c r="AH37" s="15">
        <v>0.08</v>
      </c>
      <c r="AI37" s="15">
        <v>0.05</v>
      </c>
      <c r="AJ37" s="15">
        <v>0.11</v>
      </c>
      <c r="AK37" s="15">
        <v>0.02</v>
      </c>
      <c r="AL37" s="15">
        <v>0.04</v>
      </c>
      <c r="AM37" s="15">
        <v>7.0000000000000007E-2</v>
      </c>
      <c r="AN37" s="15">
        <v>0.06</v>
      </c>
      <c r="AO37" s="15">
        <v>0.03</v>
      </c>
      <c r="AP37" s="15">
        <v>0.01</v>
      </c>
      <c r="AQ37" s="15">
        <v>0.04</v>
      </c>
    </row>
    <row r="38" spans="1:43" x14ac:dyDescent="0.35">
      <c r="A38" s="19"/>
      <c r="B38" s="11" t="s">
        <v>621</v>
      </c>
      <c r="C38" s="12">
        <v>2938</v>
      </c>
      <c r="D38" s="12">
        <v>139</v>
      </c>
      <c r="E38" s="12">
        <v>129</v>
      </c>
      <c r="F38" s="12">
        <v>142</v>
      </c>
      <c r="G38" s="12">
        <v>81</v>
      </c>
      <c r="H38" s="12">
        <v>139</v>
      </c>
      <c r="I38" s="12">
        <v>176</v>
      </c>
      <c r="J38" s="12">
        <v>37</v>
      </c>
      <c r="K38" s="12">
        <v>102</v>
      </c>
      <c r="L38" s="12">
        <v>55</v>
      </c>
      <c r="M38" s="12">
        <v>126</v>
      </c>
      <c r="N38" s="12">
        <v>102</v>
      </c>
      <c r="O38" s="12">
        <v>134</v>
      </c>
      <c r="P38" s="12">
        <v>132</v>
      </c>
      <c r="Q38" s="12">
        <v>101</v>
      </c>
      <c r="R38" s="12">
        <v>33</v>
      </c>
      <c r="S38" s="12">
        <v>89</v>
      </c>
      <c r="T38" s="12">
        <v>67</v>
      </c>
      <c r="U38" s="12">
        <v>34</v>
      </c>
      <c r="V38" s="12">
        <v>111</v>
      </c>
      <c r="W38" s="12">
        <v>28</v>
      </c>
      <c r="X38" s="12">
        <v>86</v>
      </c>
      <c r="Y38" s="12">
        <v>94</v>
      </c>
      <c r="Z38" s="12">
        <v>112</v>
      </c>
      <c r="AA38" s="12">
        <v>165</v>
      </c>
      <c r="AB38" s="12">
        <v>107</v>
      </c>
      <c r="AC38" s="12">
        <v>132</v>
      </c>
      <c r="AD38" s="12">
        <v>101</v>
      </c>
      <c r="AE38" s="12">
        <v>87</v>
      </c>
      <c r="AF38" s="12">
        <v>92</v>
      </c>
      <c r="AG38" s="12">
        <v>93</v>
      </c>
      <c r="AH38" s="12">
        <v>56</v>
      </c>
      <c r="AI38" s="12">
        <v>15</v>
      </c>
      <c r="AJ38" s="12">
        <v>77</v>
      </c>
      <c r="AK38" s="12">
        <v>146</v>
      </c>
      <c r="AL38" s="12">
        <v>186</v>
      </c>
      <c r="AM38" s="12">
        <v>95</v>
      </c>
      <c r="AN38" s="12">
        <v>106</v>
      </c>
      <c r="AO38" s="12">
        <v>75</v>
      </c>
      <c r="AP38" s="12">
        <v>0</v>
      </c>
      <c r="AQ38" s="12">
        <v>128</v>
      </c>
    </row>
    <row r="39" spans="1:43" x14ac:dyDescent="0.35">
      <c r="A39" s="19"/>
      <c r="B39" s="13" t="s">
        <v>622</v>
      </c>
      <c r="C39" s="15">
        <v>0.11</v>
      </c>
      <c r="D39" s="15">
        <v>0.14000000000000001</v>
      </c>
      <c r="E39" s="15">
        <v>0.12</v>
      </c>
      <c r="F39" s="15">
        <v>0.13</v>
      </c>
      <c r="G39" s="15">
        <v>0.08</v>
      </c>
      <c r="H39" s="15">
        <v>0.11</v>
      </c>
      <c r="I39" s="15">
        <v>0.12</v>
      </c>
      <c r="J39" s="15">
        <v>0.13</v>
      </c>
      <c r="K39" s="15">
        <v>0.1</v>
      </c>
      <c r="L39" s="15">
        <v>0.06</v>
      </c>
      <c r="M39" s="15">
        <v>0.13</v>
      </c>
      <c r="N39" s="15">
        <v>0.1</v>
      </c>
      <c r="O39" s="15">
        <v>0.13</v>
      </c>
      <c r="P39" s="15">
        <v>0.13</v>
      </c>
      <c r="Q39" s="15">
        <v>0.1</v>
      </c>
      <c r="R39" s="15">
        <v>7.0000000000000007E-2</v>
      </c>
      <c r="S39" s="15">
        <v>0.09</v>
      </c>
      <c r="T39" s="15">
        <v>7.0000000000000007E-2</v>
      </c>
      <c r="U39" s="15">
        <v>7.0000000000000007E-2</v>
      </c>
      <c r="V39" s="15">
        <v>0.11</v>
      </c>
      <c r="W39" s="15">
        <v>0.06</v>
      </c>
      <c r="X39" s="15">
        <v>0.09</v>
      </c>
      <c r="Y39" s="15">
        <v>0.09</v>
      </c>
      <c r="Z39" s="15">
        <v>0.11</v>
      </c>
      <c r="AA39" s="15">
        <v>0.16</v>
      </c>
      <c r="AB39" s="15">
        <v>0.1</v>
      </c>
      <c r="AC39" s="15">
        <v>0.13</v>
      </c>
      <c r="AD39" s="15">
        <v>0.1</v>
      </c>
      <c r="AE39" s="15">
        <v>0.09</v>
      </c>
      <c r="AF39" s="15">
        <v>0.09</v>
      </c>
      <c r="AG39" s="15">
        <v>0.09</v>
      </c>
      <c r="AH39" s="15">
        <v>0.05</v>
      </c>
      <c r="AI39" s="15">
        <v>0.03</v>
      </c>
      <c r="AJ39" s="15">
        <v>7.0000000000000007E-2</v>
      </c>
      <c r="AK39" s="15">
        <v>0.15</v>
      </c>
      <c r="AL39" s="15">
        <v>0.18</v>
      </c>
      <c r="AM39" s="15">
        <v>0.09</v>
      </c>
      <c r="AN39" s="15">
        <v>0.11</v>
      </c>
      <c r="AO39" s="15">
        <v>7.0000000000000007E-2</v>
      </c>
      <c r="AP39" s="14" t="s">
        <v>475</v>
      </c>
      <c r="AQ39" s="15">
        <v>0.13</v>
      </c>
    </row>
    <row r="40" spans="1:43" x14ac:dyDescent="0.35">
      <c r="A40" s="19"/>
      <c r="B40" s="11" t="s">
        <v>607</v>
      </c>
      <c r="C40" s="12">
        <v>1793</v>
      </c>
      <c r="D40" s="12">
        <v>56</v>
      </c>
      <c r="E40" s="12">
        <v>42</v>
      </c>
      <c r="F40" s="12">
        <v>57</v>
      </c>
      <c r="G40" s="12">
        <v>128</v>
      </c>
      <c r="H40" s="12">
        <v>108</v>
      </c>
      <c r="I40" s="12">
        <v>129</v>
      </c>
      <c r="J40" s="12">
        <v>22</v>
      </c>
      <c r="K40" s="12">
        <v>99</v>
      </c>
      <c r="L40" s="12">
        <v>22</v>
      </c>
      <c r="M40" s="12">
        <v>26</v>
      </c>
      <c r="N40" s="12">
        <v>24</v>
      </c>
      <c r="O40" s="12">
        <v>29</v>
      </c>
      <c r="P40" s="12">
        <v>39</v>
      </c>
      <c r="Q40" s="12">
        <v>89</v>
      </c>
      <c r="R40" s="12">
        <v>25</v>
      </c>
      <c r="S40" s="12">
        <v>61</v>
      </c>
      <c r="T40" s="12">
        <v>104</v>
      </c>
      <c r="U40" s="12">
        <v>24</v>
      </c>
      <c r="V40" s="12">
        <v>58</v>
      </c>
      <c r="W40" s="12">
        <v>11</v>
      </c>
      <c r="X40" s="12">
        <v>93</v>
      </c>
      <c r="Y40" s="12">
        <v>49</v>
      </c>
      <c r="Z40" s="12">
        <v>126</v>
      </c>
      <c r="AA40" s="12">
        <v>48</v>
      </c>
      <c r="AB40" s="12">
        <v>81</v>
      </c>
      <c r="AC40" s="12">
        <v>31</v>
      </c>
      <c r="AD40" s="12">
        <v>45</v>
      </c>
      <c r="AE40" s="12">
        <v>156</v>
      </c>
      <c r="AF40" s="12">
        <v>138</v>
      </c>
      <c r="AG40" s="12">
        <v>89</v>
      </c>
      <c r="AH40" s="12">
        <v>44</v>
      </c>
      <c r="AI40" s="12">
        <v>5</v>
      </c>
      <c r="AJ40" s="12">
        <v>42</v>
      </c>
      <c r="AK40" s="12">
        <v>102</v>
      </c>
      <c r="AL40" s="12">
        <v>42</v>
      </c>
      <c r="AM40" s="12">
        <v>31</v>
      </c>
      <c r="AN40" s="12">
        <v>32</v>
      </c>
      <c r="AO40" s="12">
        <v>73</v>
      </c>
      <c r="AP40" s="12">
        <v>15</v>
      </c>
      <c r="AQ40" s="12">
        <v>19</v>
      </c>
    </row>
    <row r="41" spans="1:43" x14ac:dyDescent="0.35">
      <c r="A41" s="19"/>
      <c r="B41" s="13" t="s">
        <v>608</v>
      </c>
      <c r="C41" s="15">
        <v>7.0000000000000007E-2</v>
      </c>
      <c r="D41" s="15">
        <v>0.06</v>
      </c>
      <c r="E41" s="15">
        <v>0.04</v>
      </c>
      <c r="F41" s="15">
        <v>0.05</v>
      </c>
      <c r="G41" s="15">
        <v>0.13</v>
      </c>
      <c r="H41" s="15">
        <v>0.09</v>
      </c>
      <c r="I41" s="15">
        <v>0.09</v>
      </c>
      <c r="J41" s="15">
        <v>7.0000000000000007E-2</v>
      </c>
      <c r="K41" s="15">
        <v>0.1</v>
      </c>
      <c r="L41" s="15">
        <v>0.02</v>
      </c>
      <c r="M41" s="15">
        <v>0.03</v>
      </c>
      <c r="N41" s="15">
        <v>0.02</v>
      </c>
      <c r="O41" s="15">
        <v>0.03</v>
      </c>
      <c r="P41" s="15">
        <v>0.04</v>
      </c>
      <c r="Q41" s="15">
        <v>0.09</v>
      </c>
      <c r="R41" s="15">
        <v>0.05</v>
      </c>
      <c r="S41" s="15">
        <v>0.06</v>
      </c>
      <c r="T41" s="15">
        <v>0.1</v>
      </c>
      <c r="U41" s="15">
        <v>0.05</v>
      </c>
      <c r="V41" s="15">
        <v>0.06</v>
      </c>
      <c r="W41" s="15">
        <v>0.02</v>
      </c>
      <c r="X41" s="15">
        <v>0.09</v>
      </c>
      <c r="Y41" s="15">
        <v>0.05</v>
      </c>
      <c r="Z41" s="15">
        <v>0.12</v>
      </c>
      <c r="AA41" s="15">
        <v>0.05</v>
      </c>
      <c r="AB41" s="15">
        <v>0.08</v>
      </c>
      <c r="AC41" s="15">
        <v>0.03</v>
      </c>
      <c r="AD41" s="15">
        <v>0.04</v>
      </c>
      <c r="AE41" s="15">
        <v>0.15</v>
      </c>
      <c r="AF41" s="15">
        <v>0.13</v>
      </c>
      <c r="AG41" s="15">
        <v>0.09</v>
      </c>
      <c r="AH41" s="15">
        <v>0.04</v>
      </c>
      <c r="AI41" s="15">
        <v>0.01</v>
      </c>
      <c r="AJ41" s="15">
        <v>0.04</v>
      </c>
      <c r="AK41" s="15">
        <v>0.1</v>
      </c>
      <c r="AL41" s="15">
        <v>0.04</v>
      </c>
      <c r="AM41" s="15">
        <v>0.03</v>
      </c>
      <c r="AN41" s="15">
        <v>0.03</v>
      </c>
      <c r="AO41" s="15">
        <v>7.0000000000000007E-2</v>
      </c>
      <c r="AP41" s="15">
        <v>0.03</v>
      </c>
      <c r="AQ41" s="15">
        <v>0.02</v>
      </c>
    </row>
    <row r="42" spans="1:43" x14ac:dyDescent="0.35">
      <c r="A42" s="19"/>
      <c r="B42" s="11" t="s">
        <v>623</v>
      </c>
      <c r="C42" s="12">
        <v>2606</v>
      </c>
      <c r="D42" s="12">
        <v>90</v>
      </c>
      <c r="E42" s="12">
        <v>165</v>
      </c>
      <c r="F42" s="12">
        <v>115</v>
      </c>
      <c r="G42" s="12">
        <v>65</v>
      </c>
      <c r="H42" s="12">
        <v>98</v>
      </c>
      <c r="I42" s="12">
        <v>122</v>
      </c>
      <c r="J42" s="12">
        <v>23</v>
      </c>
      <c r="K42" s="12">
        <v>89</v>
      </c>
      <c r="L42" s="12">
        <v>37</v>
      </c>
      <c r="M42" s="12">
        <v>137</v>
      </c>
      <c r="N42" s="12">
        <v>74</v>
      </c>
      <c r="O42" s="12">
        <v>93</v>
      </c>
      <c r="P42" s="12">
        <v>117</v>
      </c>
      <c r="Q42" s="12">
        <v>101</v>
      </c>
      <c r="R42" s="12">
        <v>38</v>
      </c>
      <c r="S42" s="12">
        <v>43</v>
      </c>
      <c r="T42" s="12">
        <v>51</v>
      </c>
      <c r="U42" s="12">
        <v>82</v>
      </c>
      <c r="V42" s="12">
        <v>109</v>
      </c>
      <c r="W42" s="12">
        <v>66</v>
      </c>
      <c r="X42" s="12">
        <v>67</v>
      </c>
      <c r="Y42" s="12">
        <v>178</v>
      </c>
      <c r="Z42" s="12">
        <v>165</v>
      </c>
      <c r="AA42" s="12">
        <v>100</v>
      </c>
      <c r="AB42" s="12">
        <v>122</v>
      </c>
      <c r="AC42" s="12">
        <v>127</v>
      </c>
      <c r="AD42" s="12">
        <v>73</v>
      </c>
      <c r="AE42" s="12">
        <v>156</v>
      </c>
      <c r="AF42" s="12">
        <v>104</v>
      </c>
      <c r="AG42" s="12">
        <v>295</v>
      </c>
      <c r="AH42" s="12">
        <v>203</v>
      </c>
      <c r="AI42" s="12">
        <v>21</v>
      </c>
      <c r="AJ42" s="12">
        <v>199</v>
      </c>
      <c r="AK42" s="12">
        <v>197</v>
      </c>
      <c r="AL42" s="12">
        <v>155</v>
      </c>
      <c r="AM42" s="12">
        <v>67</v>
      </c>
      <c r="AN42" s="12">
        <v>132</v>
      </c>
      <c r="AO42" s="12">
        <v>119</v>
      </c>
      <c r="AP42" s="12">
        <v>102</v>
      </c>
      <c r="AQ42" s="12">
        <v>85</v>
      </c>
    </row>
    <row r="43" spans="1:43" x14ac:dyDescent="0.35">
      <c r="A43" s="19"/>
      <c r="B43" s="13" t="s">
        <v>624</v>
      </c>
      <c r="C43" s="15">
        <v>0.1</v>
      </c>
      <c r="D43" s="15">
        <v>0.09</v>
      </c>
      <c r="E43" s="15">
        <v>0.16</v>
      </c>
      <c r="F43" s="15">
        <v>0.1</v>
      </c>
      <c r="G43" s="15">
        <v>0.06</v>
      </c>
      <c r="H43" s="15">
        <v>0.08</v>
      </c>
      <c r="I43" s="15">
        <v>0.08</v>
      </c>
      <c r="J43" s="15">
        <v>0.08</v>
      </c>
      <c r="K43" s="15">
        <v>0.09</v>
      </c>
      <c r="L43" s="15">
        <v>0.04</v>
      </c>
      <c r="M43" s="15">
        <v>0.14000000000000001</v>
      </c>
      <c r="N43" s="15">
        <v>7.0000000000000007E-2</v>
      </c>
      <c r="O43" s="15">
        <v>0.09</v>
      </c>
      <c r="P43" s="15">
        <v>0.12</v>
      </c>
      <c r="Q43" s="15">
        <v>0.1</v>
      </c>
      <c r="R43" s="15">
        <v>0.08</v>
      </c>
      <c r="S43" s="15">
        <v>0.04</v>
      </c>
      <c r="T43" s="15">
        <v>0.05</v>
      </c>
      <c r="U43" s="15">
        <v>0.16</v>
      </c>
      <c r="V43" s="15">
        <v>0.11</v>
      </c>
      <c r="W43" s="15">
        <v>0.13</v>
      </c>
      <c r="X43" s="15">
        <v>7.0000000000000007E-2</v>
      </c>
      <c r="Y43" s="15">
        <v>0.18</v>
      </c>
      <c r="Z43" s="15">
        <v>0.16</v>
      </c>
      <c r="AA43" s="15">
        <v>0.1</v>
      </c>
      <c r="AB43" s="15">
        <v>0.12</v>
      </c>
      <c r="AC43" s="15">
        <v>0.13</v>
      </c>
      <c r="AD43" s="15">
        <v>7.0000000000000007E-2</v>
      </c>
      <c r="AE43" s="15">
        <v>0.15</v>
      </c>
      <c r="AF43" s="15">
        <v>0.1</v>
      </c>
      <c r="AG43" s="15">
        <v>0.28000000000000003</v>
      </c>
      <c r="AH43" s="15">
        <v>0.2</v>
      </c>
      <c r="AI43" s="15">
        <v>0.04</v>
      </c>
      <c r="AJ43" s="15">
        <v>0.19</v>
      </c>
      <c r="AK43" s="15">
        <v>0.2</v>
      </c>
      <c r="AL43" s="15">
        <v>0.15</v>
      </c>
      <c r="AM43" s="15">
        <v>0.06</v>
      </c>
      <c r="AN43" s="15">
        <v>0.13</v>
      </c>
      <c r="AO43" s="15">
        <v>0.12</v>
      </c>
      <c r="AP43" s="15">
        <v>0.19</v>
      </c>
      <c r="AQ43" s="15">
        <v>0.08</v>
      </c>
    </row>
    <row r="44" spans="1:43" x14ac:dyDescent="0.35">
      <c r="A44" s="19"/>
      <c r="B44" s="11" t="s">
        <v>611</v>
      </c>
      <c r="C44" s="12">
        <v>141</v>
      </c>
      <c r="D44" s="12">
        <v>3</v>
      </c>
      <c r="E44" s="12">
        <v>2</v>
      </c>
      <c r="F44" s="12">
        <v>8</v>
      </c>
      <c r="G44" s="12">
        <v>6</v>
      </c>
      <c r="H44" s="12">
        <v>20</v>
      </c>
      <c r="I44" s="12">
        <v>20</v>
      </c>
      <c r="J44" s="12">
        <v>0</v>
      </c>
      <c r="K44" s="12">
        <v>18</v>
      </c>
      <c r="L44" s="12">
        <v>2</v>
      </c>
      <c r="M44" s="12">
        <v>3</v>
      </c>
      <c r="N44" s="12">
        <v>4</v>
      </c>
      <c r="O44" s="12">
        <v>6</v>
      </c>
      <c r="P44" s="12">
        <v>0</v>
      </c>
      <c r="Q44" s="12">
        <v>1</v>
      </c>
      <c r="R44" s="12">
        <v>4</v>
      </c>
      <c r="S44" s="12">
        <v>8</v>
      </c>
      <c r="T44" s="12">
        <v>2</v>
      </c>
      <c r="U44" s="12">
        <v>4</v>
      </c>
      <c r="V44" s="12">
        <v>0</v>
      </c>
      <c r="W44" s="12">
        <v>4</v>
      </c>
      <c r="X44" s="12">
        <v>4</v>
      </c>
      <c r="Y44" s="12">
        <v>6</v>
      </c>
      <c r="Z44" s="12">
        <v>2</v>
      </c>
      <c r="AA44" s="12">
        <v>5</v>
      </c>
      <c r="AB44" s="12">
        <v>2</v>
      </c>
      <c r="AC44" s="12">
        <v>8</v>
      </c>
      <c r="AD44" s="12">
        <v>2</v>
      </c>
      <c r="AE44" s="12">
        <v>3</v>
      </c>
      <c r="AF44" s="12">
        <v>4</v>
      </c>
      <c r="AG44" s="12">
        <v>7</v>
      </c>
      <c r="AH44" s="12">
        <v>5</v>
      </c>
      <c r="AI44" s="12">
        <v>0</v>
      </c>
      <c r="AJ44" s="12">
        <v>9</v>
      </c>
      <c r="AK44" s="12">
        <v>0</v>
      </c>
      <c r="AL44" s="12">
        <v>2</v>
      </c>
      <c r="AM44" s="12">
        <v>0</v>
      </c>
      <c r="AN44" s="12">
        <v>26</v>
      </c>
      <c r="AO44" s="12">
        <v>1</v>
      </c>
      <c r="AP44" s="12">
        <v>0</v>
      </c>
      <c r="AQ44" s="12">
        <v>13</v>
      </c>
    </row>
    <row r="45" spans="1:43" x14ac:dyDescent="0.35">
      <c r="A45" s="19"/>
      <c r="B45" s="13" t="s">
        <v>612</v>
      </c>
      <c r="C45" s="15">
        <v>0.01</v>
      </c>
      <c r="D45" s="14" t="s">
        <v>475</v>
      </c>
      <c r="E45" s="14" t="s">
        <v>475</v>
      </c>
      <c r="F45" s="15">
        <v>0.01</v>
      </c>
      <c r="G45" s="15">
        <v>0.01</v>
      </c>
      <c r="H45" s="15">
        <v>0.02</v>
      </c>
      <c r="I45" s="15">
        <v>0.01</v>
      </c>
      <c r="J45" s="14" t="s">
        <v>475</v>
      </c>
      <c r="K45" s="15">
        <v>0.02</v>
      </c>
      <c r="L45" s="14" t="s">
        <v>475</v>
      </c>
      <c r="M45" s="14" t="s">
        <v>475</v>
      </c>
      <c r="N45" s="14" t="s">
        <v>475</v>
      </c>
      <c r="O45" s="15">
        <v>0.01</v>
      </c>
      <c r="P45" s="14" t="s">
        <v>475</v>
      </c>
      <c r="Q45" s="14" t="s">
        <v>475</v>
      </c>
      <c r="R45" s="15">
        <v>0.01</v>
      </c>
      <c r="S45" s="15">
        <v>0.01</v>
      </c>
      <c r="T45" s="14" t="s">
        <v>475</v>
      </c>
      <c r="U45" s="15">
        <v>0.01</v>
      </c>
      <c r="V45" s="14" t="s">
        <v>475</v>
      </c>
      <c r="W45" s="15">
        <v>0.01</v>
      </c>
      <c r="X45" s="14" t="s">
        <v>475</v>
      </c>
      <c r="Y45" s="15">
        <v>0.01</v>
      </c>
      <c r="Z45" s="14" t="s">
        <v>475</v>
      </c>
      <c r="AA45" s="14" t="s">
        <v>475</v>
      </c>
      <c r="AB45" s="14" t="s">
        <v>475</v>
      </c>
      <c r="AC45" s="15">
        <v>0.01</v>
      </c>
      <c r="AD45" s="14" t="s">
        <v>475</v>
      </c>
      <c r="AE45" s="14" t="s">
        <v>475</v>
      </c>
      <c r="AF45" s="14" t="s">
        <v>475</v>
      </c>
      <c r="AG45" s="15">
        <v>0.01</v>
      </c>
      <c r="AH45" s="14" t="s">
        <v>475</v>
      </c>
      <c r="AI45" s="14" t="s">
        <v>475</v>
      </c>
      <c r="AJ45" s="15">
        <v>0.01</v>
      </c>
      <c r="AK45" s="14" t="s">
        <v>475</v>
      </c>
      <c r="AL45" s="14" t="s">
        <v>475</v>
      </c>
      <c r="AM45" s="14" t="s">
        <v>475</v>
      </c>
      <c r="AN45" s="15">
        <v>0.03</v>
      </c>
      <c r="AO45" s="14" t="s">
        <v>475</v>
      </c>
      <c r="AP45" s="14" t="s">
        <v>475</v>
      </c>
      <c r="AQ45" s="15">
        <v>0.01</v>
      </c>
    </row>
    <row r="46" spans="1:43" x14ac:dyDescent="0.35">
      <c r="A46" s="19"/>
      <c r="B46" s="11" t="s">
        <v>613</v>
      </c>
      <c r="C46" s="12">
        <v>636</v>
      </c>
      <c r="D46" s="12">
        <v>24</v>
      </c>
      <c r="E46" s="12">
        <v>13</v>
      </c>
      <c r="F46" s="12">
        <v>22</v>
      </c>
      <c r="G46" s="12">
        <v>118</v>
      </c>
      <c r="H46" s="12">
        <v>28</v>
      </c>
      <c r="I46" s="12">
        <v>31</v>
      </c>
      <c r="J46" s="12">
        <v>2</v>
      </c>
      <c r="K46" s="12">
        <v>25</v>
      </c>
      <c r="L46" s="12">
        <v>23</v>
      </c>
      <c r="M46" s="12">
        <v>11</v>
      </c>
      <c r="N46" s="12">
        <v>42</v>
      </c>
      <c r="O46" s="12">
        <v>25</v>
      </c>
      <c r="P46" s="12">
        <v>3</v>
      </c>
      <c r="Q46" s="12">
        <v>30</v>
      </c>
      <c r="R46" s="12">
        <v>5</v>
      </c>
      <c r="S46" s="12">
        <v>33</v>
      </c>
      <c r="T46" s="12">
        <v>62</v>
      </c>
      <c r="U46" s="12">
        <v>35</v>
      </c>
      <c r="V46" s="12">
        <v>0</v>
      </c>
      <c r="W46" s="12">
        <v>8</v>
      </c>
      <c r="X46" s="12">
        <v>32</v>
      </c>
      <c r="Y46" s="12">
        <v>18</v>
      </c>
      <c r="Z46" s="12">
        <v>8</v>
      </c>
      <c r="AA46" s="12">
        <v>34</v>
      </c>
      <c r="AB46" s="12">
        <v>4</v>
      </c>
      <c r="AC46" s="12">
        <v>119</v>
      </c>
      <c r="AD46" s="12">
        <v>7</v>
      </c>
      <c r="AE46" s="12">
        <v>4</v>
      </c>
      <c r="AF46" s="12">
        <v>1</v>
      </c>
      <c r="AG46" s="12">
        <v>10</v>
      </c>
      <c r="AH46" s="12">
        <v>19</v>
      </c>
      <c r="AI46" s="12">
        <v>0</v>
      </c>
      <c r="AJ46" s="12">
        <v>18</v>
      </c>
      <c r="AK46" s="12">
        <v>9</v>
      </c>
      <c r="AL46" s="12">
        <v>32</v>
      </c>
      <c r="AM46" s="12">
        <v>44</v>
      </c>
      <c r="AN46" s="12">
        <v>4</v>
      </c>
      <c r="AO46" s="12">
        <v>8</v>
      </c>
      <c r="AP46" s="12">
        <v>0</v>
      </c>
      <c r="AQ46" s="12">
        <v>64</v>
      </c>
    </row>
    <row r="47" spans="1:43" x14ac:dyDescent="0.35">
      <c r="A47" s="19"/>
      <c r="B47" s="13" t="s">
        <v>614</v>
      </c>
      <c r="C47" s="15">
        <v>0.02</v>
      </c>
      <c r="D47" s="15">
        <v>0.02</v>
      </c>
      <c r="E47" s="15">
        <v>0.01</v>
      </c>
      <c r="F47" s="15">
        <v>0.02</v>
      </c>
      <c r="G47" s="15">
        <v>0.12</v>
      </c>
      <c r="H47" s="15">
        <v>0.02</v>
      </c>
      <c r="I47" s="15">
        <v>0.02</v>
      </c>
      <c r="J47" s="15">
        <v>0.01</v>
      </c>
      <c r="K47" s="15">
        <v>0.02</v>
      </c>
      <c r="L47" s="15">
        <v>0.02</v>
      </c>
      <c r="M47" s="15">
        <v>0.01</v>
      </c>
      <c r="N47" s="15">
        <v>0.04</v>
      </c>
      <c r="O47" s="15">
        <v>0.02</v>
      </c>
      <c r="P47" s="14" t="s">
        <v>475</v>
      </c>
      <c r="Q47" s="15">
        <v>0.03</v>
      </c>
      <c r="R47" s="15">
        <v>0.01</v>
      </c>
      <c r="S47" s="15">
        <v>0.03</v>
      </c>
      <c r="T47" s="15">
        <v>0.06</v>
      </c>
      <c r="U47" s="15">
        <v>7.0000000000000007E-2</v>
      </c>
      <c r="V47" s="14" t="s">
        <v>475</v>
      </c>
      <c r="W47" s="15">
        <v>0.02</v>
      </c>
      <c r="X47" s="15">
        <v>0.03</v>
      </c>
      <c r="Y47" s="15">
        <v>0.02</v>
      </c>
      <c r="Z47" s="15">
        <v>0.01</v>
      </c>
      <c r="AA47" s="15">
        <v>0.03</v>
      </c>
      <c r="AB47" s="14" t="s">
        <v>475</v>
      </c>
      <c r="AC47" s="15">
        <v>0.12</v>
      </c>
      <c r="AD47" s="15">
        <v>0.01</v>
      </c>
      <c r="AE47" s="14" t="s">
        <v>475</v>
      </c>
      <c r="AF47" s="14" t="s">
        <v>475</v>
      </c>
      <c r="AG47" s="15">
        <v>0.01</v>
      </c>
      <c r="AH47" s="15">
        <v>0.02</v>
      </c>
      <c r="AI47" s="14" t="s">
        <v>475</v>
      </c>
      <c r="AJ47" s="15">
        <v>0.02</v>
      </c>
      <c r="AK47" s="15">
        <v>0.01</v>
      </c>
      <c r="AL47" s="15">
        <v>0.03</v>
      </c>
      <c r="AM47" s="15">
        <v>0.04</v>
      </c>
      <c r="AN47" s="14" t="s">
        <v>475</v>
      </c>
      <c r="AO47" s="15">
        <v>0.01</v>
      </c>
      <c r="AP47" s="14" t="s">
        <v>475</v>
      </c>
      <c r="AQ47" s="15">
        <v>0.06</v>
      </c>
    </row>
    <row r="48" spans="1:43" x14ac:dyDescent="0.35">
      <c r="A48" s="19"/>
      <c r="B48" s="11" t="s">
        <v>485</v>
      </c>
      <c r="C48" s="12">
        <v>115</v>
      </c>
      <c r="D48" s="12">
        <v>2</v>
      </c>
      <c r="E48" s="12">
        <v>6</v>
      </c>
      <c r="F48" s="12">
        <v>10</v>
      </c>
      <c r="G48" s="12">
        <v>23</v>
      </c>
      <c r="H48" s="12">
        <v>1</v>
      </c>
      <c r="I48" s="12">
        <v>1</v>
      </c>
      <c r="J48" s="12">
        <v>0</v>
      </c>
      <c r="K48" s="12">
        <v>5</v>
      </c>
      <c r="L48" s="12">
        <v>1</v>
      </c>
      <c r="M48" s="12">
        <v>0</v>
      </c>
      <c r="N48" s="12">
        <v>5</v>
      </c>
      <c r="O48" s="12">
        <v>10</v>
      </c>
      <c r="P48" s="12">
        <v>0</v>
      </c>
      <c r="Q48" s="12">
        <v>5</v>
      </c>
      <c r="R48" s="12">
        <v>15</v>
      </c>
      <c r="S48" s="12">
        <v>7</v>
      </c>
      <c r="T48" s="12">
        <v>2</v>
      </c>
      <c r="U48" s="12">
        <v>5</v>
      </c>
      <c r="V48" s="12">
        <v>1</v>
      </c>
      <c r="W48" s="12">
        <v>0</v>
      </c>
      <c r="X48" s="12">
        <v>3</v>
      </c>
      <c r="Y48" s="12">
        <v>4</v>
      </c>
      <c r="Z48" s="12">
        <v>4</v>
      </c>
      <c r="AA48" s="12">
        <v>2</v>
      </c>
      <c r="AB48" s="12">
        <v>0</v>
      </c>
      <c r="AC48" s="12">
        <v>1</v>
      </c>
      <c r="AD48" s="12">
        <v>0</v>
      </c>
      <c r="AE48" s="12">
        <v>5</v>
      </c>
      <c r="AF48" s="12">
        <v>0</v>
      </c>
      <c r="AG48" s="12">
        <v>2</v>
      </c>
      <c r="AH48" s="12">
        <v>0</v>
      </c>
      <c r="AI48" s="12">
        <v>0</v>
      </c>
      <c r="AJ48" s="12">
        <v>0</v>
      </c>
      <c r="AK48" s="12">
        <v>1</v>
      </c>
      <c r="AL48" s="12">
        <v>19</v>
      </c>
      <c r="AM48" s="12">
        <v>12</v>
      </c>
      <c r="AN48" s="12">
        <v>1</v>
      </c>
      <c r="AO48" s="12">
        <v>11</v>
      </c>
      <c r="AP48" s="12">
        <v>0</v>
      </c>
      <c r="AQ48" s="12">
        <v>17</v>
      </c>
    </row>
    <row r="49" spans="1:43" x14ac:dyDescent="0.35">
      <c r="A49" s="19"/>
      <c r="B49" s="13" t="s">
        <v>486</v>
      </c>
      <c r="C49" s="14" t="s">
        <v>475</v>
      </c>
      <c r="D49" s="14" t="s">
        <v>475</v>
      </c>
      <c r="E49" s="15">
        <v>0.01</v>
      </c>
      <c r="F49" s="15">
        <v>0.01</v>
      </c>
      <c r="G49" s="15">
        <v>0.02</v>
      </c>
      <c r="H49" s="14" t="s">
        <v>475</v>
      </c>
      <c r="I49" s="14" t="s">
        <v>475</v>
      </c>
      <c r="J49" s="14" t="s">
        <v>475</v>
      </c>
      <c r="K49" s="14" t="s">
        <v>475</v>
      </c>
      <c r="L49" s="14" t="s">
        <v>475</v>
      </c>
      <c r="M49" s="14" t="s">
        <v>475</v>
      </c>
      <c r="N49" s="15">
        <v>0.01</v>
      </c>
      <c r="O49" s="15">
        <v>0.01</v>
      </c>
      <c r="P49" s="14" t="s">
        <v>475</v>
      </c>
      <c r="Q49" s="14" t="s">
        <v>475</v>
      </c>
      <c r="R49" s="15">
        <v>0.03</v>
      </c>
      <c r="S49" s="15">
        <v>0.01</v>
      </c>
      <c r="T49" s="14" t="s">
        <v>475</v>
      </c>
      <c r="U49" s="15">
        <v>0.01</v>
      </c>
      <c r="V49" s="14" t="s">
        <v>475</v>
      </c>
      <c r="W49" s="14" t="s">
        <v>475</v>
      </c>
      <c r="X49" s="14" t="s">
        <v>475</v>
      </c>
      <c r="Y49" s="14" t="s">
        <v>475</v>
      </c>
      <c r="Z49" s="14" t="s">
        <v>475</v>
      </c>
      <c r="AA49" s="14" t="s">
        <v>475</v>
      </c>
      <c r="AB49" s="14" t="s">
        <v>475</v>
      </c>
      <c r="AC49" s="14" t="s">
        <v>475</v>
      </c>
      <c r="AD49" s="14" t="s">
        <v>475</v>
      </c>
      <c r="AE49" s="15">
        <v>0.01</v>
      </c>
      <c r="AF49" s="14" t="s">
        <v>475</v>
      </c>
      <c r="AG49" s="14" t="s">
        <v>475</v>
      </c>
      <c r="AH49" s="14" t="s">
        <v>475</v>
      </c>
      <c r="AI49" s="14" t="s">
        <v>475</v>
      </c>
      <c r="AJ49" s="14" t="s">
        <v>475</v>
      </c>
      <c r="AK49" s="14" t="s">
        <v>475</v>
      </c>
      <c r="AL49" s="15">
        <v>0.02</v>
      </c>
      <c r="AM49" s="15">
        <v>0.01</v>
      </c>
      <c r="AN49" s="14" t="s">
        <v>475</v>
      </c>
      <c r="AO49" s="15">
        <v>0.01</v>
      </c>
      <c r="AP49" s="14" t="s">
        <v>475</v>
      </c>
      <c r="AQ49" s="15">
        <v>0.02</v>
      </c>
    </row>
  </sheetData>
  <mergeCells count="9">
    <mergeCell ref="A10:A49"/>
    <mergeCell ref="H4:L4"/>
    <mergeCell ref="B4:F4"/>
    <mergeCell ref="H3:L3"/>
    <mergeCell ref="B3:F3"/>
    <mergeCell ref="B5:F5"/>
    <mergeCell ref="C8:AQ8"/>
    <mergeCell ref="B10:B11"/>
    <mergeCell ref="H5:L5"/>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55</v>
      </c>
      <c r="C3" s="18"/>
      <c r="D3" s="18"/>
      <c r="E3" s="18"/>
      <c r="F3" s="18"/>
      <c r="H3" s="18" t="s">
        <v>56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579</v>
      </c>
      <c r="C12" s="12">
        <v>1822</v>
      </c>
      <c r="D12" s="12">
        <v>107</v>
      </c>
      <c r="E12" s="12">
        <v>63</v>
      </c>
      <c r="F12" s="12">
        <v>59</v>
      </c>
      <c r="G12" s="12">
        <v>23</v>
      </c>
      <c r="H12" s="12">
        <v>53</v>
      </c>
      <c r="I12" s="12">
        <v>70</v>
      </c>
      <c r="J12" s="12">
        <v>17</v>
      </c>
      <c r="K12" s="12">
        <v>26</v>
      </c>
      <c r="L12" s="12">
        <v>43</v>
      </c>
      <c r="M12" s="12">
        <v>67</v>
      </c>
      <c r="N12" s="12">
        <v>49</v>
      </c>
      <c r="O12" s="12">
        <v>127</v>
      </c>
      <c r="P12" s="12">
        <v>69</v>
      </c>
      <c r="Q12" s="12">
        <v>90</v>
      </c>
      <c r="R12" s="12">
        <v>43</v>
      </c>
      <c r="S12" s="12">
        <v>37</v>
      </c>
      <c r="T12" s="12">
        <v>33</v>
      </c>
      <c r="U12" s="12">
        <v>40</v>
      </c>
      <c r="V12" s="12">
        <v>57</v>
      </c>
      <c r="W12" s="12">
        <v>25</v>
      </c>
      <c r="X12" s="12">
        <v>27</v>
      </c>
      <c r="Y12" s="12">
        <v>56</v>
      </c>
      <c r="Z12" s="12">
        <v>58</v>
      </c>
      <c r="AA12" s="12">
        <v>45</v>
      </c>
      <c r="AB12" s="12">
        <v>103</v>
      </c>
      <c r="AC12" s="12">
        <v>69</v>
      </c>
      <c r="AD12" s="12">
        <v>54</v>
      </c>
      <c r="AE12" s="12">
        <v>46</v>
      </c>
      <c r="AF12" s="12">
        <v>40</v>
      </c>
      <c r="AG12" s="12">
        <v>95</v>
      </c>
      <c r="AH12" s="12">
        <v>97</v>
      </c>
      <c r="AI12" s="12">
        <v>32</v>
      </c>
      <c r="AJ12" s="12">
        <v>65</v>
      </c>
      <c r="AK12" s="12">
        <v>78</v>
      </c>
      <c r="AL12" s="12">
        <v>29</v>
      </c>
      <c r="AM12" s="12">
        <v>53</v>
      </c>
      <c r="AN12" s="12">
        <v>81</v>
      </c>
      <c r="AO12" s="12">
        <v>44</v>
      </c>
      <c r="AP12" s="12">
        <v>51</v>
      </c>
      <c r="AQ12" s="12">
        <v>66</v>
      </c>
    </row>
    <row r="13" spans="1:43" x14ac:dyDescent="0.35">
      <c r="A13" s="19"/>
      <c r="B13" s="13" t="s">
        <v>580</v>
      </c>
      <c r="C13" s="15">
        <v>7.0000000000000007E-2</v>
      </c>
      <c r="D13" s="15">
        <v>0.11</v>
      </c>
      <c r="E13" s="15">
        <v>0.06</v>
      </c>
      <c r="F13" s="15">
        <v>0.05</v>
      </c>
      <c r="G13" s="15">
        <v>0.02</v>
      </c>
      <c r="H13" s="15">
        <v>0.04</v>
      </c>
      <c r="I13" s="15">
        <v>0.05</v>
      </c>
      <c r="J13" s="15">
        <v>0.06</v>
      </c>
      <c r="K13" s="15">
        <v>0.03</v>
      </c>
      <c r="L13" s="15">
        <v>0.04</v>
      </c>
      <c r="M13" s="15">
        <v>7.0000000000000007E-2</v>
      </c>
      <c r="N13" s="15">
        <v>0.05</v>
      </c>
      <c r="O13" s="15">
        <v>0.13</v>
      </c>
      <c r="P13" s="15">
        <v>7.0000000000000007E-2</v>
      </c>
      <c r="Q13" s="15">
        <v>0.09</v>
      </c>
      <c r="R13" s="15">
        <v>0.09</v>
      </c>
      <c r="S13" s="15">
        <v>0.04</v>
      </c>
      <c r="T13" s="15">
        <v>0.03</v>
      </c>
      <c r="U13" s="15">
        <v>0.08</v>
      </c>
      <c r="V13" s="15">
        <v>0.06</v>
      </c>
      <c r="W13" s="15">
        <v>0.05</v>
      </c>
      <c r="X13" s="15">
        <v>0.03</v>
      </c>
      <c r="Y13" s="15">
        <v>0.06</v>
      </c>
      <c r="Z13" s="15">
        <v>0.06</v>
      </c>
      <c r="AA13" s="15">
        <v>0.04</v>
      </c>
      <c r="AB13" s="15">
        <v>0.1</v>
      </c>
      <c r="AC13" s="15">
        <v>7.0000000000000007E-2</v>
      </c>
      <c r="AD13" s="15">
        <v>0.05</v>
      </c>
      <c r="AE13" s="15">
        <v>0.05</v>
      </c>
      <c r="AF13" s="15">
        <v>0.04</v>
      </c>
      <c r="AG13" s="15">
        <v>0.09</v>
      </c>
      <c r="AH13" s="15">
        <v>0.1</v>
      </c>
      <c r="AI13" s="15">
        <v>0.06</v>
      </c>
      <c r="AJ13" s="15">
        <v>0.06</v>
      </c>
      <c r="AK13" s="15">
        <v>0.08</v>
      </c>
      <c r="AL13" s="15">
        <v>0.03</v>
      </c>
      <c r="AM13" s="15">
        <v>0.05</v>
      </c>
      <c r="AN13" s="15">
        <v>0.08</v>
      </c>
      <c r="AO13" s="15">
        <v>0.04</v>
      </c>
      <c r="AP13" s="15">
        <v>0.1</v>
      </c>
      <c r="AQ13" s="15">
        <v>7.0000000000000007E-2</v>
      </c>
    </row>
    <row r="14" spans="1:43" x14ac:dyDescent="0.35">
      <c r="A14" s="19"/>
      <c r="B14" s="11" t="s">
        <v>581</v>
      </c>
      <c r="C14" s="12">
        <v>4001</v>
      </c>
      <c r="D14" s="12">
        <v>157</v>
      </c>
      <c r="E14" s="12">
        <v>140</v>
      </c>
      <c r="F14" s="12">
        <v>126</v>
      </c>
      <c r="G14" s="12">
        <v>76</v>
      </c>
      <c r="H14" s="12">
        <v>183</v>
      </c>
      <c r="I14" s="12">
        <v>243</v>
      </c>
      <c r="J14" s="12">
        <v>60</v>
      </c>
      <c r="K14" s="12">
        <v>143</v>
      </c>
      <c r="L14" s="12">
        <v>76</v>
      </c>
      <c r="M14" s="12">
        <v>216</v>
      </c>
      <c r="N14" s="12">
        <v>161</v>
      </c>
      <c r="O14" s="12">
        <v>191</v>
      </c>
      <c r="P14" s="12">
        <v>123</v>
      </c>
      <c r="Q14" s="12">
        <v>177</v>
      </c>
      <c r="R14" s="12">
        <v>82</v>
      </c>
      <c r="S14" s="12">
        <v>147</v>
      </c>
      <c r="T14" s="12">
        <v>97</v>
      </c>
      <c r="U14" s="12">
        <v>90</v>
      </c>
      <c r="V14" s="12">
        <v>182</v>
      </c>
      <c r="W14" s="12">
        <v>52</v>
      </c>
      <c r="X14" s="12">
        <v>75</v>
      </c>
      <c r="Y14" s="12">
        <v>225</v>
      </c>
      <c r="Z14" s="12">
        <v>78</v>
      </c>
      <c r="AA14" s="12">
        <v>128</v>
      </c>
      <c r="AB14" s="12">
        <v>179</v>
      </c>
      <c r="AC14" s="12">
        <v>135</v>
      </c>
      <c r="AD14" s="12">
        <v>136</v>
      </c>
      <c r="AE14" s="12">
        <v>116</v>
      </c>
      <c r="AF14" s="12">
        <v>85</v>
      </c>
      <c r="AG14" s="12">
        <v>125</v>
      </c>
      <c r="AH14" s="12">
        <v>119</v>
      </c>
      <c r="AI14" s="12">
        <v>96</v>
      </c>
      <c r="AJ14" s="12">
        <v>104</v>
      </c>
      <c r="AK14" s="12">
        <v>79</v>
      </c>
      <c r="AL14" s="12">
        <v>135</v>
      </c>
      <c r="AM14" s="12">
        <v>147</v>
      </c>
      <c r="AN14" s="12">
        <v>136</v>
      </c>
      <c r="AO14" s="12">
        <v>111</v>
      </c>
      <c r="AP14" s="12">
        <v>53</v>
      </c>
      <c r="AQ14" s="12">
        <v>83</v>
      </c>
    </row>
    <row r="15" spans="1:43" x14ac:dyDescent="0.35">
      <c r="A15" s="19"/>
      <c r="B15" s="13" t="s">
        <v>582</v>
      </c>
      <c r="C15" s="15">
        <v>0.15</v>
      </c>
      <c r="D15" s="15">
        <v>0.15</v>
      </c>
      <c r="E15" s="15">
        <v>0.14000000000000001</v>
      </c>
      <c r="F15" s="15">
        <v>0.11</v>
      </c>
      <c r="G15" s="15">
        <v>0.08</v>
      </c>
      <c r="H15" s="15">
        <v>0.15</v>
      </c>
      <c r="I15" s="15">
        <v>0.16</v>
      </c>
      <c r="J15" s="15">
        <v>0.2</v>
      </c>
      <c r="K15" s="15">
        <v>0.14000000000000001</v>
      </c>
      <c r="L15" s="15">
        <v>0.08</v>
      </c>
      <c r="M15" s="15">
        <v>0.21</v>
      </c>
      <c r="N15" s="15">
        <v>0.16</v>
      </c>
      <c r="O15" s="15">
        <v>0.19</v>
      </c>
      <c r="P15" s="15">
        <v>0.12</v>
      </c>
      <c r="Q15" s="15">
        <v>0.17</v>
      </c>
      <c r="R15" s="15">
        <v>0.16</v>
      </c>
      <c r="S15" s="15">
        <v>0.15</v>
      </c>
      <c r="T15" s="15">
        <v>0.1</v>
      </c>
      <c r="U15" s="15">
        <v>0.18</v>
      </c>
      <c r="V15" s="15">
        <v>0.18</v>
      </c>
      <c r="W15" s="15">
        <v>0.1</v>
      </c>
      <c r="X15" s="15">
        <v>7.0000000000000007E-2</v>
      </c>
      <c r="Y15" s="15">
        <v>0.22</v>
      </c>
      <c r="Z15" s="15">
        <v>0.08</v>
      </c>
      <c r="AA15" s="15">
        <v>0.12</v>
      </c>
      <c r="AB15" s="15">
        <v>0.17</v>
      </c>
      <c r="AC15" s="15">
        <v>0.13</v>
      </c>
      <c r="AD15" s="15">
        <v>0.14000000000000001</v>
      </c>
      <c r="AE15" s="15">
        <v>0.11</v>
      </c>
      <c r="AF15" s="15">
        <v>0.08</v>
      </c>
      <c r="AG15" s="15">
        <v>0.12</v>
      </c>
      <c r="AH15" s="15">
        <v>0.12</v>
      </c>
      <c r="AI15" s="15">
        <v>0.18</v>
      </c>
      <c r="AJ15" s="15">
        <v>0.1</v>
      </c>
      <c r="AK15" s="15">
        <v>0.08</v>
      </c>
      <c r="AL15" s="15">
        <v>0.13</v>
      </c>
      <c r="AM15" s="15">
        <v>0.14000000000000001</v>
      </c>
      <c r="AN15" s="15">
        <v>0.14000000000000001</v>
      </c>
      <c r="AO15" s="15">
        <v>0.11</v>
      </c>
      <c r="AP15" s="15">
        <v>0.1</v>
      </c>
      <c r="AQ15" s="15">
        <v>0.08</v>
      </c>
    </row>
    <row r="16" spans="1:43" ht="21.5" x14ac:dyDescent="0.35">
      <c r="A16" s="19"/>
      <c r="B16" s="11" t="s">
        <v>583</v>
      </c>
      <c r="C16" s="12">
        <v>4226</v>
      </c>
      <c r="D16" s="12">
        <v>197</v>
      </c>
      <c r="E16" s="12">
        <v>147</v>
      </c>
      <c r="F16" s="12">
        <v>136</v>
      </c>
      <c r="G16" s="12">
        <v>81</v>
      </c>
      <c r="H16" s="12">
        <v>144</v>
      </c>
      <c r="I16" s="12">
        <v>202</v>
      </c>
      <c r="J16" s="12">
        <v>57</v>
      </c>
      <c r="K16" s="12">
        <v>86</v>
      </c>
      <c r="L16" s="12">
        <v>214</v>
      </c>
      <c r="M16" s="12">
        <v>100</v>
      </c>
      <c r="N16" s="12">
        <v>137</v>
      </c>
      <c r="O16" s="12">
        <v>212</v>
      </c>
      <c r="P16" s="12">
        <v>209</v>
      </c>
      <c r="Q16" s="12">
        <v>236</v>
      </c>
      <c r="R16" s="12">
        <v>98</v>
      </c>
      <c r="S16" s="12">
        <v>116</v>
      </c>
      <c r="T16" s="12">
        <v>76</v>
      </c>
      <c r="U16" s="12">
        <v>93</v>
      </c>
      <c r="V16" s="12">
        <v>169</v>
      </c>
      <c r="W16" s="12">
        <v>55</v>
      </c>
      <c r="X16" s="12">
        <v>85</v>
      </c>
      <c r="Y16" s="12">
        <v>186</v>
      </c>
      <c r="Z16" s="12">
        <v>171</v>
      </c>
      <c r="AA16" s="12">
        <v>149</v>
      </c>
      <c r="AB16" s="12">
        <v>163</v>
      </c>
      <c r="AC16" s="12">
        <v>126</v>
      </c>
      <c r="AD16" s="12">
        <v>119</v>
      </c>
      <c r="AE16" s="12">
        <v>60</v>
      </c>
      <c r="AF16" s="12">
        <v>41</v>
      </c>
      <c r="AG16" s="12">
        <v>121</v>
      </c>
      <c r="AH16" s="12">
        <v>103</v>
      </c>
      <c r="AI16" s="12">
        <v>190</v>
      </c>
      <c r="AJ16" s="12">
        <v>80</v>
      </c>
      <c r="AK16" s="12">
        <v>132</v>
      </c>
      <c r="AL16" s="12">
        <v>164</v>
      </c>
      <c r="AM16" s="12">
        <v>150</v>
      </c>
      <c r="AN16" s="12">
        <v>129</v>
      </c>
      <c r="AO16" s="12">
        <v>120</v>
      </c>
      <c r="AP16" s="12">
        <v>35</v>
      </c>
      <c r="AQ16" s="12">
        <v>122</v>
      </c>
    </row>
    <row r="17" spans="1:43" ht="21.5" x14ac:dyDescent="0.35">
      <c r="A17" s="19"/>
      <c r="B17" s="13" t="s">
        <v>615</v>
      </c>
      <c r="C17" s="15">
        <v>0.16</v>
      </c>
      <c r="D17" s="15">
        <v>0.19</v>
      </c>
      <c r="E17" s="15">
        <v>0.14000000000000001</v>
      </c>
      <c r="F17" s="15">
        <v>0.12</v>
      </c>
      <c r="G17" s="15">
        <v>0.08</v>
      </c>
      <c r="H17" s="15">
        <v>0.12</v>
      </c>
      <c r="I17" s="15">
        <v>0.13</v>
      </c>
      <c r="J17" s="15">
        <v>0.19</v>
      </c>
      <c r="K17" s="15">
        <v>0.09</v>
      </c>
      <c r="L17" s="15">
        <v>0.21</v>
      </c>
      <c r="M17" s="15">
        <v>0.1</v>
      </c>
      <c r="N17" s="15">
        <v>0.14000000000000001</v>
      </c>
      <c r="O17" s="15">
        <v>0.21</v>
      </c>
      <c r="P17" s="15">
        <v>0.21</v>
      </c>
      <c r="Q17" s="15">
        <v>0.23</v>
      </c>
      <c r="R17" s="15">
        <v>0.19</v>
      </c>
      <c r="S17" s="15">
        <v>0.12</v>
      </c>
      <c r="T17" s="15">
        <v>0.08</v>
      </c>
      <c r="U17" s="15">
        <v>0.18</v>
      </c>
      <c r="V17" s="15">
        <v>0.17</v>
      </c>
      <c r="W17" s="15">
        <v>0.11</v>
      </c>
      <c r="X17" s="15">
        <v>0.08</v>
      </c>
      <c r="Y17" s="15">
        <v>0.19</v>
      </c>
      <c r="Z17" s="15">
        <v>0.17</v>
      </c>
      <c r="AA17" s="15">
        <v>0.14000000000000001</v>
      </c>
      <c r="AB17" s="15">
        <v>0.16</v>
      </c>
      <c r="AC17" s="15">
        <v>0.13</v>
      </c>
      <c r="AD17" s="15">
        <v>0.12</v>
      </c>
      <c r="AE17" s="15">
        <v>0.06</v>
      </c>
      <c r="AF17" s="15">
        <v>0.04</v>
      </c>
      <c r="AG17" s="15">
        <v>0.12</v>
      </c>
      <c r="AH17" s="15">
        <v>0.1</v>
      </c>
      <c r="AI17" s="15">
        <v>0.36</v>
      </c>
      <c r="AJ17" s="15">
        <v>0.08</v>
      </c>
      <c r="AK17" s="15">
        <v>0.13</v>
      </c>
      <c r="AL17" s="15">
        <v>0.16</v>
      </c>
      <c r="AM17" s="15">
        <v>0.14000000000000001</v>
      </c>
      <c r="AN17" s="15">
        <v>0.13</v>
      </c>
      <c r="AO17" s="15">
        <v>0.12</v>
      </c>
      <c r="AP17" s="15">
        <v>7.0000000000000007E-2</v>
      </c>
      <c r="AQ17" s="15">
        <v>0.12</v>
      </c>
    </row>
    <row r="18" spans="1:43" x14ac:dyDescent="0.35">
      <c r="A18" s="19"/>
      <c r="B18" s="11" t="s">
        <v>585</v>
      </c>
      <c r="C18" s="12">
        <v>2405</v>
      </c>
      <c r="D18" s="12">
        <v>95</v>
      </c>
      <c r="E18" s="12">
        <v>81</v>
      </c>
      <c r="F18" s="12">
        <v>74</v>
      </c>
      <c r="G18" s="12">
        <v>45</v>
      </c>
      <c r="H18" s="12">
        <v>101</v>
      </c>
      <c r="I18" s="12">
        <v>124</v>
      </c>
      <c r="J18" s="12">
        <v>22</v>
      </c>
      <c r="K18" s="12">
        <v>84</v>
      </c>
      <c r="L18" s="12">
        <v>128</v>
      </c>
      <c r="M18" s="12">
        <v>117</v>
      </c>
      <c r="N18" s="12">
        <v>175</v>
      </c>
      <c r="O18" s="12">
        <v>60</v>
      </c>
      <c r="P18" s="12">
        <v>95</v>
      </c>
      <c r="Q18" s="12">
        <v>120</v>
      </c>
      <c r="R18" s="12">
        <v>43</v>
      </c>
      <c r="S18" s="12">
        <v>43</v>
      </c>
      <c r="T18" s="12">
        <v>45</v>
      </c>
      <c r="U18" s="12">
        <v>20</v>
      </c>
      <c r="V18" s="12">
        <v>40</v>
      </c>
      <c r="W18" s="12">
        <v>90</v>
      </c>
      <c r="X18" s="12">
        <v>102</v>
      </c>
      <c r="Y18" s="12">
        <v>62</v>
      </c>
      <c r="Z18" s="12">
        <v>78</v>
      </c>
      <c r="AA18" s="12">
        <v>96</v>
      </c>
      <c r="AB18" s="12">
        <v>52</v>
      </c>
      <c r="AC18" s="12">
        <v>120</v>
      </c>
      <c r="AD18" s="12">
        <v>59</v>
      </c>
      <c r="AE18" s="12">
        <v>45</v>
      </c>
      <c r="AF18" s="12">
        <v>68</v>
      </c>
      <c r="AG18" s="12">
        <v>181</v>
      </c>
      <c r="AH18" s="12">
        <v>121</v>
      </c>
      <c r="AI18" s="12">
        <v>14</v>
      </c>
      <c r="AJ18" s="12">
        <v>127</v>
      </c>
      <c r="AK18" s="12">
        <v>158</v>
      </c>
      <c r="AL18" s="12">
        <v>44</v>
      </c>
      <c r="AM18" s="12">
        <v>92</v>
      </c>
      <c r="AN18" s="12">
        <v>103</v>
      </c>
      <c r="AO18" s="12">
        <v>188</v>
      </c>
      <c r="AP18" s="12">
        <v>62</v>
      </c>
      <c r="AQ18" s="12">
        <v>78</v>
      </c>
    </row>
    <row r="19" spans="1:43" ht="21.5" x14ac:dyDescent="0.35">
      <c r="A19" s="19"/>
      <c r="B19" s="13" t="s">
        <v>586</v>
      </c>
      <c r="C19" s="15">
        <v>0.09</v>
      </c>
      <c r="D19" s="15">
        <v>0.09</v>
      </c>
      <c r="E19" s="15">
        <v>0.08</v>
      </c>
      <c r="F19" s="15">
        <v>7.0000000000000007E-2</v>
      </c>
      <c r="G19" s="15">
        <v>0.04</v>
      </c>
      <c r="H19" s="15">
        <v>0.08</v>
      </c>
      <c r="I19" s="15">
        <v>0.08</v>
      </c>
      <c r="J19" s="15">
        <v>0.08</v>
      </c>
      <c r="K19" s="15">
        <v>0.08</v>
      </c>
      <c r="L19" s="15">
        <v>0.13</v>
      </c>
      <c r="M19" s="15">
        <v>0.12</v>
      </c>
      <c r="N19" s="15">
        <v>0.17</v>
      </c>
      <c r="O19" s="15">
        <v>0.06</v>
      </c>
      <c r="P19" s="15">
        <v>0.09</v>
      </c>
      <c r="Q19" s="15">
        <v>0.12</v>
      </c>
      <c r="R19" s="15">
        <v>0.08</v>
      </c>
      <c r="S19" s="15">
        <v>0.04</v>
      </c>
      <c r="T19" s="15">
        <v>0.04</v>
      </c>
      <c r="U19" s="15">
        <v>0.04</v>
      </c>
      <c r="V19" s="15">
        <v>0.04</v>
      </c>
      <c r="W19" s="15">
        <v>0.18</v>
      </c>
      <c r="X19" s="15">
        <v>0.1</v>
      </c>
      <c r="Y19" s="15">
        <v>0.06</v>
      </c>
      <c r="Z19" s="15">
        <v>0.08</v>
      </c>
      <c r="AA19" s="15">
        <v>0.09</v>
      </c>
      <c r="AB19" s="15">
        <v>0.05</v>
      </c>
      <c r="AC19" s="15">
        <v>0.12</v>
      </c>
      <c r="AD19" s="15">
        <v>0.06</v>
      </c>
      <c r="AE19" s="15">
        <v>0.04</v>
      </c>
      <c r="AF19" s="15">
        <v>7.0000000000000007E-2</v>
      </c>
      <c r="AG19" s="15">
        <v>0.18</v>
      </c>
      <c r="AH19" s="15">
        <v>0.12</v>
      </c>
      <c r="AI19" s="15">
        <v>0.03</v>
      </c>
      <c r="AJ19" s="15">
        <v>0.12</v>
      </c>
      <c r="AK19" s="15">
        <v>0.16</v>
      </c>
      <c r="AL19" s="15">
        <v>0.04</v>
      </c>
      <c r="AM19" s="15">
        <v>0.09</v>
      </c>
      <c r="AN19" s="15">
        <v>0.1</v>
      </c>
      <c r="AO19" s="15">
        <v>0.19</v>
      </c>
      <c r="AP19" s="15">
        <v>0.12</v>
      </c>
      <c r="AQ19" s="15">
        <v>0.08</v>
      </c>
    </row>
    <row r="20" spans="1:43" x14ac:dyDescent="0.35">
      <c r="A20" s="19"/>
      <c r="B20" s="11" t="s">
        <v>618</v>
      </c>
      <c r="C20" s="12">
        <v>1238</v>
      </c>
      <c r="D20" s="12">
        <v>80</v>
      </c>
      <c r="E20" s="12">
        <v>60</v>
      </c>
      <c r="F20" s="12">
        <v>62</v>
      </c>
      <c r="G20" s="12">
        <v>36</v>
      </c>
      <c r="H20" s="12">
        <v>34</v>
      </c>
      <c r="I20" s="12">
        <v>51</v>
      </c>
      <c r="J20" s="12">
        <v>17</v>
      </c>
      <c r="K20" s="12">
        <v>44</v>
      </c>
      <c r="L20" s="12">
        <v>49</v>
      </c>
      <c r="M20" s="12">
        <v>61</v>
      </c>
      <c r="N20" s="12">
        <v>29</v>
      </c>
      <c r="O20" s="12">
        <v>48</v>
      </c>
      <c r="P20" s="12">
        <v>52</v>
      </c>
      <c r="Q20" s="12">
        <v>54</v>
      </c>
      <c r="R20" s="12">
        <v>34</v>
      </c>
      <c r="S20" s="12">
        <v>48</v>
      </c>
      <c r="T20" s="12">
        <v>47</v>
      </c>
      <c r="U20" s="12">
        <v>24</v>
      </c>
      <c r="V20" s="12">
        <v>63</v>
      </c>
      <c r="W20" s="12">
        <v>27</v>
      </c>
      <c r="X20" s="12">
        <v>41</v>
      </c>
      <c r="Y20" s="12">
        <v>43</v>
      </c>
      <c r="Z20" s="12">
        <v>69</v>
      </c>
      <c r="AA20" s="12">
        <v>59</v>
      </c>
      <c r="AB20" s="12">
        <v>57</v>
      </c>
      <c r="AC20" s="12">
        <v>34</v>
      </c>
      <c r="AD20" s="12">
        <v>40</v>
      </c>
      <c r="AE20" s="12">
        <v>39</v>
      </c>
      <c r="AF20" s="12">
        <v>52</v>
      </c>
      <c r="AG20" s="12">
        <v>106</v>
      </c>
      <c r="AH20" s="12">
        <v>91</v>
      </c>
      <c r="AI20" s="12">
        <v>1</v>
      </c>
      <c r="AJ20" s="12">
        <v>107</v>
      </c>
      <c r="AK20" s="12">
        <v>82</v>
      </c>
      <c r="AL20" s="12">
        <v>59</v>
      </c>
      <c r="AM20" s="12">
        <v>36</v>
      </c>
      <c r="AN20" s="12">
        <v>66</v>
      </c>
      <c r="AO20" s="12">
        <v>45</v>
      </c>
      <c r="AP20" s="12">
        <v>63</v>
      </c>
      <c r="AQ20" s="12">
        <v>63</v>
      </c>
    </row>
    <row r="21" spans="1:43" x14ac:dyDescent="0.35">
      <c r="A21" s="19"/>
      <c r="B21" s="13" t="s">
        <v>619</v>
      </c>
      <c r="C21" s="15">
        <v>0.05</v>
      </c>
      <c r="D21" s="15">
        <v>0.08</v>
      </c>
      <c r="E21" s="15">
        <v>0.06</v>
      </c>
      <c r="F21" s="15">
        <v>0.06</v>
      </c>
      <c r="G21" s="15">
        <v>0.04</v>
      </c>
      <c r="H21" s="15">
        <v>0.03</v>
      </c>
      <c r="I21" s="15">
        <v>0.03</v>
      </c>
      <c r="J21" s="15">
        <v>0.06</v>
      </c>
      <c r="K21" s="15">
        <v>0.04</v>
      </c>
      <c r="L21" s="15">
        <v>0.05</v>
      </c>
      <c r="M21" s="15">
        <v>0.06</v>
      </c>
      <c r="N21" s="15">
        <v>0.03</v>
      </c>
      <c r="O21" s="15">
        <v>0.05</v>
      </c>
      <c r="P21" s="15">
        <v>0.05</v>
      </c>
      <c r="Q21" s="15">
        <v>0.05</v>
      </c>
      <c r="R21" s="15">
        <v>7.0000000000000007E-2</v>
      </c>
      <c r="S21" s="15">
        <v>0.05</v>
      </c>
      <c r="T21" s="15">
        <v>0.05</v>
      </c>
      <c r="U21" s="15">
        <v>0.05</v>
      </c>
      <c r="V21" s="15">
        <v>0.06</v>
      </c>
      <c r="W21" s="15">
        <v>0.05</v>
      </c>
      <c r="X21" s="15">
        <v>0.04</v>
      </c>
      <c r="Y21" s="15">
        <v>0.04</v>
      </c>
      <c r="Z21" s="15">
        <v>7.0000000000000007E-2</v>
      </c>
      <c r="AA21" s="15">
        <v>0.06</v>
      </c>
      <c r="AB21" s="15">
        <v>0.05</v>
      </c>
      <c r="AC21" s="15">
        <v>0.03</v>
      </c>
      <c r="AD21" s="15">
        <v>0.04</v>
      </c>
      <c r="AE21" s="15">
        <v>0.04</v>
      </c>
      <c r="AF21" s="15">
        <v>0.05</v>
      </c>
      <c r="AG21" s="15">
        <v>0.1</v>
      </c>
      <c r="AH21" s="15">
        <v>0.09</v>
      </c>
      <c r="AI21" s="14" t="s">
        <v>475</v>
      </c>
      <c r="AJ21" s="15">
        <v>0.1</v>
      </c>
      <c r="AK21" s="15">
        <v>0.08</v>
      </c>
      <c r="AL21" s="15">
        <v>0.06</v>
      </c>
      <c r="AM21" s="15">
        <v>0.03</v>
      </c>
      <c r="AN21" s="15">
        <v>7.0000000000000007E-2</v>
      </c>
      <c r="AO21" s="15">
        <v>0.04</v>
      </c>
      <c r="AP21" s="15">
        <v>0.12</v>
      </c>
      <c r="AQ21" s="15">
        <v>0.06</v>
      </c>
    </row>
    <row r="22" spans="1:43" ht="21.5" x14ac:dyDescent="0.35">
      <c r="A22" s="19"/>
      <c r="B22" s="11" t="s">
        <v>625</v>
      </c>
      <c r="C22" s="12">
        <v>2339</v>
      </c>
      <c r="D22" s="12">
        <v>104</v>
      </c>
      <c r="E22" s="12">
        <v>95</v>
      </c>
      <c r="F22" s="12">
        <v>113</v>
      </c>
      <c r="G22" s="12">
        <v>139</v>
      </c>
      <c r="H22" s="12">
        <v>104</v>
      </c>
      <c r="I22" s="12">
        <v>128</v>
      </c>
      <c r="J22" s="12">
        <v>24</v>
      </c>
      <c r="K22" s="12">
        <v>94</v>
      </c>
      <c r="L22" s="12">
        <v>63</v>
      </c>
      <c r="M22" s="12">
        <v>127</v>
      </c>
      <c r="N22" s="12">
        <v>71</v>
      </c>
      <c r="O22" s="12">
        <v>91</v>
      </c>
      <c r="P22" s="12">
        <v>102</v>
      </c>
      <c r="Q22" s="12">
        <v>70</v>
      </c>
      <c r="R22" s="12">
        <v>15</v>
      </c>
      <c r="S22" s="12">
        <v>54</v>
      </c>
      <c r="T22" s="12">
        <v>106</v>
      </c>
      <c r="U22" s="12">
        <v>39</v>
      </c>
      <c r="V22" s="12">
        <v>108</v>
      </c>
      <c r="W22" s="12">
        <v>52</v>
      </c>
      <c r="X22" s="12">
        <v>143</v>
      </c>
      <c r="Y22" s="12">
        <v>156</v>
      </c>
      <c r="Z22" s="12">
        <v>67</v>
      </c>
      <c r="AA22" s="12">
        <v>92</v>
      </c>
      <c r="AB22" s="12">
        <v>72</v>
      </c>
      <c r="AC22" s="12">
        <v>98</v>
      </c>
      <c r="AD22" s="12">
        <v>126</v>
      </c>
      <c r="AE22" s="12">
        <v>149</v>
      </c>
      <c r="AF22" s="12">
        <v>128</v>
      </c>
      <c r="AG22" s="12">
        <v>241</v>
      </c>
      <c r="AH22" s="12">
        <v>214</v>
      </c>
      <c r="AI22" s="12">
        <v>18</v>
      </c>
      <c r="AJ22" s="12">
        <v>212</v>
      </c>
      <c r="AK22" s="12">
        <v>172</v>
      </c>
      <c r="AL22" s="12">
        <v>57</v>
      </c>
      <c r="AM22" s="12">
        <v>69</v>
      </c>
      <c r="AN22" s="12">
        <v>197</v>
      </c>
      <c r="AO22" s="12">
        <v>106</v>
      </c>
      <c r="AP22" s="12">
        <v>85</v>
      </c>
      <c r="AQ22" s="12">
        <v>67</v>
      </c>
    </row>
    <row r="23" spans="1:43" ht="21.5" x14ac:dyDescent="0.35">
      <c r="A23" s="19"/>
      <c r="B23" s="13" t="s">
        <v>626</v>
      </c>
      <c r="C23" s="15">
        <v>0.09</v>
      </c>
      <c r="D23" s="15">
        <v>0.1</v>
      </c>
      <c r="E23" s="15">
        <v>0.09</v>
      </c>
      <c r="F23" s="15">
        <v>0.1</v>
      </c>
      <c r="G23" s="15">
        <v>0.14000000000000001</v>
      </c>
      <c r="H23" s="15">
        <v>0.08</v>
      </c>
      <c r="I23" s="15">
        <v>0.08</v>
      </c>
      <c r="J23" s="15">
        <v>0.08</v>
      </c>
      <c r="K23" s="15">
        <v>0.09</v>
      </c>
      <c r="L23" s="15">
        <v>0.06</v>
      </c>
      <c r="M23" s="15">
        <v>0.13</v>
      </c>
      <c r="N23" s="15">
        <v>7.0000000000000007E-2</v>
      </c>
      <c r="O23" s="15">
        <v>0.09</v>
      </c>
      <c r="P23" s="15">
        <v>0.1</v>
      </c>
      <c r="Q23" s="15">
        <v>7.0000000000000007E-2</v>
      </c>
      <c r="R23" s="15">
        <v>0.03</v>
      </c>
      <c r="S23" s="15">
        <v>0.05</v>
      </c>
      <c r="T23" s="15">
        <v>0.1</v>
      </c>
      <c r="U23" s="15">
        <v>0.08</v>
      </c>
      <c r="V23" s="15">
        <v>0.11</v>
      </c>
      <c r="W23" s="15">
        <v>0.1</v>
      </c>
      <c r="X23" s="15">
        <v>0.14000000000000001</v>
      </c>
      <c r="Y23" s="15">
        <v>0.16</v>
      </c>
      <c r="Z23" s="15">
        <v>0.06</v>
      </c>
      <c r="AA23" s="15">
        <v>0.09</v>
      </c>
      <c r="AB23" s="15">
        <v>7.0000000000000007E-2</v>
      </c>
      <c r="AC23" s="15">
        <v>0.1</v>
      </c>
      <c r="AD23" s="15">
        <v>0.12</v>
      </c>
      <c r="AE23" s="15">
        <v>0.15</v>
      </c>
      <c r="AF23" s="15">
        <v>0.12</v>
      </c>
      <c r="AG23" s="15">
        <v>0.23</v>
      </c>
      <c r="AH23" s="15">
        <v>0.21</v>
      </c>
      <c r="AI23" s="15">
        <v>0.03</v>
      </c>
      <c r="AJ23" s="15">
        <v>0.2</v>
      </c>
      <c r="AK23" s="15">
        <v>0.17</v>
      </c>
      <c r="AL23" s="15">
        <v>0.06</v>
      </c>
      <c r="AM23" s="15">
        <v>7.0000000000000007E-2</v>
      </c>
      <c r="AN23" s="15">
        <v>0.2</v>
      </c>
      <c r="AO23" s="15">
        <v>0.11</v>
      </c>
      <c r="AP23" s="15">
        <v>0.16</v>
      </c>
      <c r="AQ23" s="15">
        <v>7.0000000000000007E-2</v>
      </c>
    </row>
    <row r="24" spans="1:43" x14ac:dyDescent="0.35">
      <c r="A24" s="19"/>
      <c r="B24" s="11" t="s">
        <v>627</v>
      </c>
      <c r="C24" s="12">
        <v>1491</v>
      </c>
      <c r="D24" s="12">
        <v>112</v>
      </c>
      <c r="E24" s="12">
        <v>72</v>
      </c>
      <c r="F24" s="12">
        <v>114</v>
      </c>
      <c r="G24" s="12">
        <v>40</v>
      </c>
      <c r="H24" s="12">
        <v>49</v>
      </c>
      <c r="I24" s="12">
        <v>72</v>
      </c>
      <c r="J24" s="12">
        <v>24</v>
      </c>
      <c r="K24" s="12">
        <v>73</v>
      </c>
      <c r="L24" s="12">
        <v>34</v>
      </c>
      <c r="M24" s="12">
        <v>81</v>
      </c>
      <c r="N24" s="12">
        <v>39</v>
      </c>
      <c r="O24" s="12">
        <v>79</v>
      </c>
      <c r="P24" s="12">
        <v>63</v>
      </c>
      <c r="Q24" s="12">
        <v>48</v>
      </c>
      <c r="R24" s="12">
        <v>17</v>
      </c>
      <c r="S24" s="12">
        <v>56</v>
      </c>
      <c r="T24" s="12">
        <v>47</v>
      </c>
      <c r="U24" s="12">
        <v>23</v>
      </c>
      <c r="V24" s="12">
        <v>99</v>
      </c>
      <c r="W24" s="12">
        <v>10</v>
      </c>
      <c r="X24" s="12">
        <v>59</v>
      </c>
      <c r="Y24" s="12">
        <v>52</v>
      </c>
      <c r="Z24" s="12">
        <v>41</v>
      </c>
      <c r="AA24" s="12">
        <v>26</v>
      </c>
      <c r="AB24" s="12">
        <v>56</v>
      </c>
      <c r="AC24" s="12">
        <v>47</v>
      </c>
      <c r="AD24" s="12">
        <v>90</v>
      </c>
      <c r="AE24" s="12">
        <v>58</v>
      </c>
      <c r="AF24" s="12">
        <v>46</v>
      </c>
      <c r="AG24" s="12">
        <v>158</v>
      </c>
      <c r="AH24" s="12">
        <v>96</v>
      </c>
      <c r="AI24" s="12">
        <v>23</v>
      </c>
      <c r="AJ24" s="12">
        <v>136</v>
      </c>
      <c r="AK24" s="12">
        <v>45</v>
      </c>
      <c r="AL24" s="12">
        <v>51</v>
      </c>
      <c r="AM24" s="12">
        <v>68</v>
      </c>
      <c r="AN24" s="12">
        <v>89</v>
      </c>
      <c r="AO24" s="12">
        <v>50</v>
      </c>
      <c r="AP24" s="12">
        <v>56</v>
      </c>
      <c r="AQ24" s="12">
        <v>17</v>
      </c>
    </row>
    <row r="25" spans="1:43" x14ac:dyDescent="0.35">
      <c r="A25" s="19"/>
      <c r="B25" s="13" t="s">
        <v>628</v>
      </c>
      <c r="C25" s="15">
        <v>0.06</v>
      </c>
      <c r="D25" s="15">
        <v>0.11</v>
      </c>
      <c r="E25" s="15">
        <v>7.0000000000000007E-2</v>
      </c>
      <c r="F25" s="15">
        <v>0.1</v>
      </c>
      <c r="G25" s="15">
        <v>0.04</v>
      </c>
      <c r="H25" s="15">
        <v>0.04</v>
      </c>
      <c r="I25" s="15">
        <v>0.05</v>
      </c>
      <c r="J25" s="15">
        <v>0.08</v>
      </c>
      <c r="K25" s="15">
        <v>7.0000000000000007E-2</v>
      </c>
      <c r="L25" s="15">
        <v>0.03</v>
      </c>
      <c r="M25" s="15">
        <v>0.08</v>
      </c>
      <c r="N25" s="15">
        <v>0.04</v>
      </c>
      <c r="O25" s="15">
        <v>0.08</v>
      </c>
      <c r="P25" s="15">
        <v>0.06</v>
      </c>
      <c r="Q25" s="15">
        <v>0.05</v>
      </c>
      <c r="R25" s="15">
        <v>0.03</v>
      </c>
      <c r="S25" s="15">
        <v>0.06</v>
      </c>
      <c r="T25" s="15">
        <v>0.05</v>
      </c>
      <c r="U25" s="15">
        <v>0.05</v>
      </c>
      <c r="V25" s="15">
        <v>0.1</v>
      </c>
      <c r="W25" s="15">
        <v>0.02</v>
      </c>
      <c r="X25" s="15">
        <v>0.06</v>
      </c>
      <c r="Y25" s="15">
        <v>0.05</v>
      </c>
      <c r="Z25" s="15">
        <v>0.04</v>
      </c>
      <c r="AA25" s="15">
        <v>0.03</v>
      </c>
      <c r="AB25" s="15">
        <v>0.05</v>
      </c>
      <c r="AC25" s="15">
        <v>0.05</v>
      </c>
      <c r="AD25" s="15">
        <v>0.09</v>
      </c>
      <c r="AE25" s="15">
        <v>0.06</v>
      </c>
      <c r="AF25" s="15">
        <v>0.04</v>
      </c>
      <c r="AG25" s="15">
        <v>0.15</v>
      </c>
      <c r="AH25" s="15">
        <v>0.09</v>
      </c>
      <c r="AI25" s="15">
        <v>0.04</v>
      </c>
      <c r="AJ25" s="15">
        <v>0.13</v>
      </c>
      <c r="AK25" s="15">
        <v>0.05</v>
      </c>
      <c r="AL25" s="15">
        <v>0.05</v>
      </c>
      <c r="AM25" s="15">
        <v>7.0000000000000007E-2</v>
      </c>
      <c r="AN25" s="15">
        <v>0.09</v>
      </c>
      <c r="AO25" s="15">
        <v>0.05</v>
      </c>
      <c r="AP25" s="15">
        <v>0.11</v>
      </c>
      <c r="AQ25" s="15">
        <v>0.02</v>
      </c>
    </row>
    <row r="26" spans="1:43" x14ac:dyDescent="0.35">
      <c r="A26" s="19"/>
      <c r="B26" s="11" t="s">
        <v>595</v>
      </c>
      <c r="C26" s="12">
        <v>5179</v>
      </c>
      <c r="D26" s="12">
        <v>218</v>
      </c>
      <c r="E26" s="12">
        <v>226</v>
      </c>
      <c r="F26" s="12">
        <v>256</v>
      </c>
      <c r="G26" s="12">
        <v>129</v>
      </c>
      <c r="H26" s="12">
        <v>242</v>
      </c>
      <c r="I26" s="12">
        <v>327</v>
      </c>
      <c r="J26" s="12">
        <v>85</v>
      </c>
      <c r="K26" s="12">
        <v>134</v>
      </c>
      <c r="L26" s="12">
        <v>349</v>
      </c>
      <c r="M26" s="12">
        <v>259</v>
      </c>
      <c r="N26" s="12">
        <v>214</v>
      </c>
      <c r="O26" s="12">
        <v>153</v>
      </c>
      <c r="P26" s="12">
        <v>161</v>
      </c>
      <c r="Q26" s="12">
        <v>162</v>
      </c>
      <c r="R26" s="12">
        <v>227</v>
      </c>
      <c r="S26" s="12">
        <v>275</v>
      </c>
      <c r="T26" s="12">
        <v>208</v>
      </c>
      <c r="U26" s="12">
        <v>120</v>
      </c>
      <c r="V26" s="12">
        <v>226</v>
      </c>
      <c r="W26" s="12">
        <v>128</v>
      </c>
      <c r="X26" s="12">
        <v>284</v>
      </c>
      <c r="Y26" s="12">
        <v>226</v>
      </c>
      <c r="Z26" s="12">
        <v>246</v>
      </c>
      <c r="AA26" s="12">
        <v>248</v>
      </c>
      <c r="AB26" s="12">
        <v>111</v>
      </c>
      <c r="AC26" s="12">
        <v>194</v>
      </c>
      <c r="AD26" s="12">
        <v>157</v>
      </c>
      <c r="AE26" s="12">
        <v>137</v>
      </c>
      <c r="AF26" s="12">
        <v>73</v>
      </c>
      <c r="AG26" s="12">
        <v>44</v>
      </c>
      <c r="AH26" s="12">
        <v>159</v>
      </c>
      <c r="AI26" s="12">
        <v>86</v>
      </c>
      <c r="AJ26" s="12">
        <v>161</v>
      </c>
      <c r="AK26" s="12">
        <v>152</v>
      </c>
      <c r="AL26" s="12">
        <v>225</v>
      </c>
      <c r="AM26" s="12">
        <v>258</v>
      </c>
      <c r="AN26" s="12">
        <v>107</v>
      </c>
      <c r="AO26" s="12">
        <v>42</v>
      </c>
      <c r="AP26" s="12">
        <v>144</v>
      </c>
      <c r="AQ26" s="12">
        <v>183</v>
      </c>
    </row>
    <row r="27" spans="1:43" x14ac:dyDescent="0.35">
      <c r="A27" s="19"/>
      <c r="B27" s="13" t="s">
        <v>596</v>
      </c>
      <c r="C27" s="15">
        <v>0.2</v>
      </c>
      <c r="D27" s="15">
        <v>0.22</v>
      </c>
      <c r="E27" s="15">
        <v>0.22</v>
      </c>
      <c r="F27" s="15">
        <v>0.23</v>
      </c>
      <c r="G27" s="15">
        <v>0.13</v>
      </c>
      <c r="H27" s="15">
        <v>0.2</v>
      </c>
      <c r="I27" s="15">
        <v>0.22</v>
      </c>
      <c r="J27" s="15">
        <v>0.28999999999999998</v>
      </c>
      <c r="K27" s="15">
        <v>0.13</v>
      </c>
      <c r="L27" s="15">
        <v>0.35</v>
      </c>
      <c r="M27" s="15">
        <v>0.26</v>
      </c>
      <c r="N27" s="15">
        <v>0.21</v>
      </c>
      <c r="O27" s="15">
        <v>0.15</v>
      </c>
      <c r="P27" s="15">
        <v>0.16</v>
      </c>
      <c r="Q27" s="15">
        <v>0.16</v>
      </c>
      <c r="R27" s="15">
        <v>0.45</v>
      </c>
      <c r="S27" s="15">
        <v>0.27</v>
      </c>
      <c r="T27" s="15">
        <v>0.21</v>
      </c>
      <c r="U27" s="15">
        <v>0.24</v>
      </c>
      <c r="V27" s="15">
        <v>0.22</v>
      </c>
      <c r="W27" s="15">
        <v>0.25</v>
      </c>
      <c r="X27" s="15">
        <v>0.28000000000000003</v>
      </c>
      <c r="Y27" s="15">
        <v>0.23</v>
      </c>
      <c r="Z27" s="15">
        <v>0.24</v>
      </c>
      <c r="AA27" s="15">
        <v>0.24</v>
      </c>
      <c r="AB27" s="15">
        <v>0.11</v>
      </c>
      <c r="AC27" s="15">
        <v>0.19</v>
      </c>
      <c r="AD27" s="15">
        <v>0.16</v>
      </c>
      <c r="AE27" s="15">
        <v>0.13</v>
      </c>
      <c r="AF27" s="15">
        <v>7.0000000000000007E-2</v>
      </c>
      <c r="AG27" s="15">
        <v>0.04</v>
      </c>
      <c r="AH27" s="15">
        <v>0.16</v>
      </c>
      <c r="AI27" s="15">
        <v>0.16</v>
      </c>
      <c r="AJ27" s="15">
        <v>0.16</v>
      </c>
      <c r="AK27" s="15">
        <v>0.15</v>
      </c>
      <c r="AL27" s="15">
        <v>0.22</v>
      </c>
      <c r="AM27" s="15">
        <v>0.25</v>
      </c>
      <c r="AN27" s="15">
        <v>0.11</v>
      </c>
      <c r="AO27" s="15">
        <v>0.04</v>
      </c>
      <c r="AP27" s="15">
        <v>0.28000000000000003</v>
      </c>
      <c r="AQ27" s="15">
        <v>0.18</v>
      </c>
    </row>
    <row r="28" spans="1:43" ht="51.5" x14ac:dyDescent="0.35">
      <c r="A28" s="19"/>
      <c r="B28" s="11" t="s">
        <v>603</v>
      </c>
      <c r="C28" s="12">
        <v>3036</v>
      </c>
      <c r="D28" s="12">
        <v>131</v>
      </c>
      <c r="E28" s="12">
        <v>110</v>
      </c>
      <c r="F28" s="12">
        <v>66</v>
      </c>
      <c r="G28" s="12">
        <v>191</v>
      </c>
      <c r="H28" s="12">
        <v>204</v>
      </c>
      <c r="I28" s="12">
        <v>229</v>
      </c>
      <c r="J28" s="12">
        <v>25</v>
      </c>
      <c r="K28" s="12">
        <v>85</v>
      </c>
      <c r="L28" s="12">
        <v>75</v>
      </c>
      <c r="M28" s="12">
        <v>42</v>
      </c>
      <c r="N28" s="12">
        <v>78</v>
      </c>
      <c r="O28" s="12">
        <v>113</v>
      </c>
      <c r="P28" s="12">
        <v>70</v>
      </c>
      <c r="Q28" s="12">
        <v>96</v>
      </c>
      <c r="R28" s="12">
        <v>22</v>
      </c>
      <c r="S28" s="12">
        <v>87</v>
      </c>
      <c r="T28" s="12">
        <v>105</v>
      </c>
      <c r="U28" s="12">
        <v>69</v>
      </c>
      <c r="V28" s="12">
        <v>76</v>
      </c>
      <c r="W28" s="12">
        <v>59</v>
      </c>
      <c r="X28" s="12">
        <v>198</v>
      </c>
      <c r="Y28" s="12">
        <v>121</v>
      </c>
      <c r="Z28" s="12">
        <v>88</v>
      </c>
      <c r="AA28" s="12">
        <v>40</v>
      </c>
      <c r="AB28" s="12">
        <v>108</v>
      </c>
      <c r="AC28" s="12">
        <v>74</v>
      </c>
      <c r="AD28" s="12">
        <v>120</v>
      </c>
      <c r="AE28" s="12">
        <v>199</v>
      </c>
      <c r="AF28" s="12">
        <v>340</v>
      </c>
      <c r="AG28" s="12">
        <v>41</v>
      </c>
      <c r="AH28" s="12">
        <v>74</v>
      </c>
      <c r="AI28" s="12">
        <v>50</v>
      </c>
      <c r="AJ28" s="12">
        <v>63</v>
      </c>
      <c r="AK28" s="12">
        <v>39</v>
      </c>
      <c r="AL28" s="12">
        <v>55</v>
      </c>
      <c r="AM28" s="12">
        <v>120</v>
      </c>
      <c r="AN28" s="12">
        <v>80</v>
      </c>
      <c r="AO28" s="12">
        <v>105</v>
      </c>
      <c r="AP28" s="12">
        <v>58</v>
      </c>
      <c r="AQ28" s="12">
        <v>98</v>
      </c>
    </row>
    <row r="29" spans="1:43" ht="31.5" x14ac:dyDescent="0.35">
      <c r="A29" s="19"/>
      <c r="B29" s="13" t="s">
        <v>604</v>
      </c>
      <c r="C29" s="15">
        <v>0.11</v>
      </c>
      <c r="D29" s="15">
        <v>0.13</v>
      </c>
      <c r="E29" s="15">
        <v>0.11</v>
      </c>
      <c r="F29" s="15">
        <v>0.06</v>
      </c>
      <c r="G29" s="15">
        <v>0.19</v>
      </c>
      <c r="H29" s="15">
        <v>0.17</v>
      </c>
      <c r="I29" s="15">
        <v>0.15</v>
      </c>
      <c r="J29" s="15">
        <v>0.09</v>
      </c>
      <c r="K29" s="15">
        <v>0.08</v>
      </c>
      <c r="L29" s="15">
        <v>7.0000000000000007E-2</v>
      </c>
      <c r="M29" s="15">
        <v>0.04</v>
      </c>
      <c r="N29" s="15">
        <v>0.08</v>
      </c>
      <c r="O29" s="15">
        <v>0.11</v>
      </c>
      <c r="P29" s="15">
        <v>7.0000000000000007E-2</v>
      </c>
      <c r="Q29" s="15">
        <v>0.09</v>
      </c>
      <c r="R29" s="15">
        <v>0.04</v>
      </c>
      <c r="S29" s="15">
        <v>0.09</v>
      </c>
      <c r="T29" s="15">
        <v>0.1</v>
      </c>
      <c r="U29" s="15">
        <v>0.14000000000000001</v>
      </c>
      <c r="V29" s="15">
        <v>7.0000000000000007E-2</v>
      </c>
      <c r="W29" s="15">
        <v>0.12</v>
      </c>
      <c r="X29" s="15">
        <v>0.2</v>
      </c>
      <c r="Y29" s="15">
        <v>0.12</v>
      </c>
      <c r="Z29" s="15">
        <v>0.09</v>
      </c>
      <c r="AA29" s="15">
        <v>0.04</v>
      </c>
      <c r="AB29" s="15">
        <v>0.1</v>
      </c>
      <c r="AC29" s="15">
        <v>7.0000000000000007E-2</v>
      </c>
      <c r="AD29" s="15">
        <v>0.12</v>
      </c>
      <c r="AE29" s="15">
        <v>0.2</v>
      </c>
      <c r="AF29" s="15">
        <v>0.33</v>
      </c>
      <c r="AG29" s="15">
        <v>0.04</v>
      </c>
      <c r="AH29" s="15">
        <v>7.0000000000000007E-2</v>
      </c>
      <c r="AI29" s="15">
        <v>0.1</v>
      </c>
      <c r="AJ29" s="15">
        <v>0.06</v>
      </c>
      <c r="AK29" s="15">
        <v>0.04</v>
      </c>
      <c r="AL29" s="15">
        <v>0.05</v>
      </c>
      <c r="AM29" s="15">
        <v>0.12</v>
      </c>
      <c r="AN29" s="15">
        <v>0.08</v>
      </c>
      <c r="AO29" s="15">
        <v>0.1</v>
      </c>
      <c r="AP29" s="15">
        <v>0.11</v>
      </c>
      <c r="AQ29" s="15">
        <v>0.1</v>
      </c>
    </row>
    <row r="30" spans="1:43" ht="31.5" x14ac:dyDescent="0.35">
      <c r="A30" s="19"/>
      <c r="B30" s="11" t="s">
        <v>605</v>
      </c>
      <c r="C30" s="12">
        <v>2487</v>
      </c>
      <c r="D30" s="12">
        <v>106</v>
      </c>
      <c r="E30" s="12">
        <v>75</v>
      </c>
      <c r="F30" s="12">
        <v>93</v>
      </c>
      <c r="G30" s="12">
        <v>178</v>
      </c>
      <c r="H30" s="12">
        <v>109</v>
      </c>
      <c r="I30" s="12">
        <v>137</v>
      </c>
      <c r="J30" s="12">
        <v>28</v>
      </c>
      <c r="K30" s="12">
        <v>53</v>
      </c>
      <c r="L30" s="12">
        <v>87</v>
      </c>
      <c r="M30" s="12">
        <v>87</v>
      </c>
      <c r="N30" s="12">
        <v>39</v>
      </c>
      <c r="O30" s="12">
        <v>106</v>
      </c>
      <c r="P30" s="12">
        <v>83</v>
      </c>
      <c r="Q30" s="12">
        <v>102</v>
      </c>
      <c r="R30" s="12">
        <v>20</v>
      </c>
      <c r="S30" s="12">
        <v>45</v>
      </c>
      <c r="T30" s="12">
        <v>49</v>
      </c>
      <c r="U30" s="12">
        <v>45</v>
      </c>
      <c r="V30" s="12">
        <v>110</v>
      </c>
      <c r="W30" s="12">
        <v>50</v>
      </c>
      <c r="X30" s="12">
        <v>161</v>
      </c>
      <c r="Y30" s="12">
        <v>145</v>
      </c>
      <c r="Z30" s="12">
        <v>68</v>
      </c>
      <c r="AA30" s="12">
        <v>75</v>
      </c>
      <c r="AB30" s="12">
        <v>84</v>
      </c>
      <c r="AC30" s="12">
        <v>46</v>
      </c>
      <c r="AD30" s="12">
        <v>84</v>
      </c>
      <c r="AE30" s="12">
        <v>144</v>
      </c>
      <c r="AF30" s="12">
        <v>276</v>
      </c>
      <c r="AG30" s="12">
        <v>61</v>
      </c>
      <c r="AH30" s="12">
        <v>63</v>
      </c>
      <c r="AI30" s="12">
        <v>18</v>
      </c>
      <c r="AJ30" s="12">
        <v>76</v>
      </c>
      <c r="AK30" s="12">
        <v>48</v>
      </c>
      <c r="AL30" s="12">
        <v>43</v>
      </c>
      <c r="AM30" s="12">
        <v>69</v>
      </c>
      <c r="AN30" s="12">
        <v>59</v>
      </c>
      <c r="AO30" s="12">
        <v>68</v>
      </c>
      <c r="AP30" s="12">
        <v>21</v>
      </c>
      <c r="AQ30" s="12">
        <v>60</v>
      </c>
    </row>
    <row r="31" spans="1:43" ht="21.5" x14ac:dyDescent="0.35">
      <c r="A31" s="19"/>
      <c r="B31" s="13" t="s">
        <v>606</v>
      </c>
      <c r="C31" s="15">
        <v>0.09</v>
      </c>
      <c r="D31" s="15">
        <v>0.1</v>
      </c>
      <c r="E31" s="15">
        <v>7.0000000000000007E-2</v>
      </c>
      <c r="F31" s="15">
        <v>0.08</v>
      </c>
      <c r="G31" s="15">
        <v>0.18</v>
      </c>
      <c r="H31" s="15">
        <v>0.09</v>
      </c>
      <c r="I31" s="15">
        <v>0.09</v>
      </c>
      <c r="J31" s="15">
        <v>0.1</v>
      </c>
      <c r="K31" s="15">
        <v>0.05</v>
      </c>
      <c r="L31" s="15">
        <v>0.09</v>
      </c>
      <c r="M31" s="15">
        <v>0.09</v>
      </c>
      <c r="N31" s="15">
        <v>0.04</v>
      </c>
      <c r="O31" s="15">
        <v>0.11</v>
      </c>
      <c r="P31" s="15">
        <v>0.08</v>
      </c>
      <c r="Q31" s="15">
        <v>0.1</v>
      </c>
      <c r="R31" s="15">
        <v>0.04</v>
      </c>
      <c r="S31" s="15">
        <v>0.05</v>
      </c>
      <c r="T31" s="15">
        <v>0.05</v>
      </c>
      <c r="U31" s="15">
        <v>0.09</v>
      </c>
      <c r="V31" s="15">
        <v>0.11</v>
      </c>
      <c r="W31" s="15">
        <v>0.1</v>
      </c>
      <c r="X31" s="15">
        <v>0.16</v>
      </c>
      <c r="Y31" s="15">
        <v>0.14000000000000001</v>
      </c>
      <c r="Z31" s="15">
        <v>7.0000000000000007E-2</v>
      </c>
      <c r="AA31" s="15">
        <v>7.0000000000000007E-2</v>
      </c>
      <c r="AB31" s="15">
        <v>0.08</v>
      </c>
      <c r="AC31" s="15">
        <v>0.05</v>
      </c>
      <c r="AD31" s="15">
        <v>0.08</v>
      </c>
      <c r="AE31" s="15">
        <v>0.14000000000000001</v>
      </c>
      <c r="AF31" s="15">
        <v>0.26</v>
      </c>
      <c r="AG31" s="15">
        <v>0.06</v>
      </c>
      <c r="AH31" s="15">
        <v>0.06</v>
      </c>
      <c r="AI31" s="15">
        <v>0.03</v>
      </c>
      <c r="AJ31" s="15">
        <v>7.0000000000000007E-2</v>
      </c>
      <c r="AK31" s="15">
        <v>0.05</v>
      </c>
      <c r="AL31" s="15">
        <v>0.04</v>
      </c>
      <c r="AM31" s="15">
        <v>7.0000000000000007E-2</v>
      </c>
      <c r="AN31" s="15">
        <v>0.06</v>
      </c>
      <c r="AO31" s="15">
        <v>7.0000000000000007E-2</v>
      </c>
      <c r="AP31" s="15">
        <v>0.04</v>
      </c>
      <c r="AQ31" s="15">
        <v>0.06</v>
      </c>
    </row>
    <row r="32" spans="1:43" ht="21.5" x14ac:dyDescent="0.35">
      <c r="A32" s="19"/>
      <c r="B32" s="11" t="s">
        <v>629</v>
      </c>
      <c r="C32" s="12">
        <v>2339</v>
      </c>
      <c r="D32" s="12">
        <v>78</v>
      </c>
      <c r="E32" s="12">
        <v>146</v>
      </c>
      <c r="F32" s="12">
        <v>137</v>
      </c>
      <c r="G32" s="12">
        <v>69</v>
      </c>
      <c r="H32" s="12">
        <v>90</v>
      </c>
      <c r="I32" s="12">
        <v>116</v>
      </c>
      <c r="J32" s="12">
        <v>27</v>
      </c>
      <c r="K32" s="12">
        <v>158</v>
      </c>
      <c r="L32" s="12">
        <v>101</v>
      </c>
      <c r="M32" s="12">
        <v>174</v>
      </c>
      <c r="N32" s="12">
        <v>57</v>
      </c>
      <c r="O32" s="12">
        <v>53</v>
      </c>
      <c r="P32" s="12">
        <v>116</v>
      </c>
      <c r="Q32" s="12">
        <v>129</v>
      </c>
      <c r="R32" s="12">
        <v>31</v>
      </c>
      <c r="S32" s="12">
        <v>42</v>
      </c>
      <c r="T32" s="12">
        <v>52</v>
      </c>
      <c r="U32" s="12">
        <v>42</v>
      </c>
      <c r="V32" s="12">
        <v>158</v>
      </c>
      <c r="W32" s="12">
        <v>41</v>
      </c>
      <c r="X32" s="12">
        <v>72</v>
      </c>
      <c r="Y32" s="12">
        <v>82</v>
      </c>
      <c r="Z32" s="12">
        <v>95</v>
      </c>
      <c r="AA32" s="12">
        <v>53</v>
      </c>
      <c r="AB32" s="12">
        <v>119</v>
      </c>
      <c r="AC32" s="12">
        <v>79</v>
      </c>
      <c r="AD32" s="12">
        <v>194</v>
      </c>
      <c r="AE32" s="12">
        <v>47</v>
      </c>
      <c r="AF32" s="12">
        <v>133</v>
      </c>
      <c r="AG32" s="12">
        <v>54</v>
      </c>
      <c r="AH32" s="12">
        <v>77</v>
      </c>
      <c r="AI32" s="12">
        <v>1</v>
      </c>
      <c r="AJ32" s="12">
        <v>182</v>
      </c>
      <c r="AK32" s="12">
        <v>19</v>
      </c>
      <c r="AL32" s="12">
        <v>89</v>
      </c>
      <c r="AM32" s="12">
        <v>82</v>
      </c>
      <c r="AN32" s="12">
        <v>157</v>
      </c>
      <c r="AO32" s="12">
        <v>27</v>
      </c>
      <c r="AP32" s="12">
        <v>33</v>
      </c>
      <c r="AQ32" s="12">
        <v>25</v>
      </c>
    </row>
    <row r="33" spans="1:43" x14ac:dyDescent="0.35">
      <c r="A33" s="19"/>
      <c r="B33" s="13" t="s">
        <v>630</v>
      </c>
      <c r="C33" s="15">
        <v>0.09</v>
      </c>
      <c r="D33" s="15">
        <v>0.08</v>
      </c>
      <c r="E33" s="15">
        <v>0.14000000000000001</v>
      </c>
      <c r="F33" s="15">
        <v>0.12</v>
      </c>
      <c r="G33" s="15">
        <v>7.0000000000000007E-2</v>
      </c>
      <c r="H33" s="15">
        <v>7.0000000000000007E-2</v>
      </c>
      <c r="I33" s="15">
        <v>0.08</v>
      </c>
      <c r="J33" s="15">
        <v>0.09</v>
      </c>
      <c r="K33" s="15">
        <v>0.16</v>
      </c>
      <c r="L33" s="15">
        <v>0.1</v>
      </c>
      <c r="M33" s="15">
        <v>0.17</v>
      </c>
      <c r="N33" s="15">
        <v>0.06</v>
      </c>
      <c r="O33" s="15">
        <v>0.05</v>
      </c>
      <c r="P33" s="15">
        <v>0.12</v>
      </c>
      <c r="Q33" s="15">
        <v>0.13</v>
      </c>
      <c r="R33" s="15">
        <v>0.06</v>
      </c>
      <c r="S33" s="15">
        <v>0.04</v>
      </c>
      <c r="T33" s="15">
        <v>0.05</v>
      </c>
      <c r="U33" s="15">
        <v>0.08</v>
      </c>
      <c r="V33" s="15">
        <v>0.16</v>
      </c>
      <c r="W33" s="15">
        <v>0.08</v>
      </c>
      <c r="X33" s="15">
        <v>7.0000000000000007E-2</v>
      </c>
      <c r="Y33" s="15">
        <v>0.08</v>
      </c>
      <c r="Z33" s="15">
        <v>0.09</v>
      </c>
      <c r="AA33" s="15">
        <v>0.05</v>
      </c>
      <c r="AB33" s="15">
        <v>0.11</v>
      </c>
      <c r="AC33" s="15">
        <v>0.08</v>
      </c>
      <c r="AD33" s="15">
        <v>0.19</v>
      </c>
      <c r="AE33" s="15">
        <v>0.05</v>
      </c>
      <c r="AF33" s="15">
        <v>0.13</v>
      </c>
      <c r="AG33" s="15">
        <v>0.05</v>
      </c>
      <c r="AH33" s="15">
        <v>0.08</v>
      </c>
      <c r="AI33" s="14" t="s">
        <v>475</v>
      </c>
      <c r="AJ33" s="15">
        <v>0.18</v>
      </c>
      <c r="AK33" s="15">
        <v>0.02</v>
      </c>
      <c r="AL33" s="15">
        <v>0.09</v>
      </c>
      <c r="AM33" s="15">
        <v>0.08</v>
      </c>
      <c r="AN33" s="15">
        <v>0.16</v>
      </c>
      <c r="AO33" s="15">
        <v>0.03</v>
      </c>
      <c r="AP33" s="15">
        <v>0.06</v>
      </c>
      <c r="AQ33" s="15">
        <v>0.02</v>
      </c>
    </row>
    <row r="34" spans="1:43" x14ac:dyDescent="0.35">
      <c r="A34" s="19"/>
      <c r="B34" s="11" t="s">
        <v>597</v>
      </c>
      <c r="C34" s="12">
        <v>1497</v>
      </c>
      <c r="D34" s="12">
        <v>50</v>
      </c>
      <c r="E34" s="12">
        <v>30</v>
      </c>
      <c r="F34" s="12">
        <v>29</v>
      </c>
      <c r="G34" s="12">
        <v>6</v>
      </c>
      <c r="H34" s="12">
        <v>23</v>
      </c>
      <c r="I34" s="12">
        <v>30</v>
      </c>
      <c r="J34" s="12">
        <v>7</v>
      </c>
      <c r="K34" s="12">
        <v>23</v>
      </c>
      <c r="L34" s="12">
        <v>77</v>
      </c>
      <c r="M34" s="12">
        <v>40</v>
      </c>
      <c r="N34" s="12">
        <v>82</v>
      </c>
      <c r="O34" s="12">
        <v>72</v>
      </c>
      <c r="P34" s="12">
        <v>51</v>
      </c>
      <c r="Q34" s="12">
        <v>89</v>
      </c>
      <c r="R34" s="12">
        <v>31</v>
      </c>
      <c r="S34" s="12">
        <v>51</v>
      </c>
      <c r="T34" s="12">
        <v>33</v>
      </c>
      <c r="U34" s="12">
        <v>14</v>
      </c>
      <c r="V34" s="12">
        <v>82</v>
      </c>
      <c r="W34" s="12">
        <v>23</v>
      </c>
      <c r="X34" s="12">
        <v>30</v>
      </c>
      <c r="Y34" s="12">
        <v>32</v>
      </c>
      <c r="Z34" s="12">
        <v>76</v>
      </c>
      <c r="AA34" s="12">
        <v>87</v>
      </c>
      <c r="AB34" s="12">
        <v>95</v>
      </c>
      <c r="AC34" s="12">
        <v>45</v>
      </c>
      <c r="AD34" s="12">
        <v>22</v>
      </c>
      <c r="AE34" s="12">
        <v>12</v>
      </c>
      <c r="AF34" s="12">
        <v>13</v>
      </c>
      <c r="AG34" s="12">
        <v>50</v>
      </c>
      <c r="AH34" s="12">
        <v>34</v>
      </c>
      <c r="AI34" s="12">
        <v>2</v>
      </c>
      <c r="AJ34" s="12">
        <v>31</v>
      </c>
      <c r="AK34" s="12">
        <v>15</v>
      </c>
      <c r="AL34" s="12">
        <v>59</v>
      </c>
      <c r="AM34" s="12">
        <v>46</v>
      </c>
      <c r="AN34" s="12">
        <v>48</v>
      </c>
      <c r="AO34" s="12">
        <v>53</v>
      </c>
      <c r="AP34" s="12">
        <v>47</v>
      </c>
      <c r="AQ34" s="12">
        <v>52</v>
      </c>
    </row>
    <row r="35" spans="1:43" x14ac:dyDescent="0.35">
      <c r="A35" s="19"/>
      <c r="B35" s="13" t="s">
        <v>598</v>
      </c>
      <c r="C35" s="15">
        <v>0.06</v>
      </c>
      <c r="D35" s="15">
        <v>0.05</v>
      </c>
      <c r="E35" s="15">
        <v>0.03</v>
      </c>
      <c r="F35" s="15">
        <v>0.03</v>
      </c>
      <c r="G35" s="15">
        <v>0.01</v>
      </c>
      <c r="H35" s="15">
        <v>0.02</v>
      </c>
      <c r="I35" s="15">
        <v>0.02</v>
      </c>
      <c r="J35" s="15">
        <v>0.02</v>
      </c>
      <c r="K35" s="15">
        <v>0.02</v>
      </c>
      <c r="L35" s="15">
        <v>0.08</v>
      </c>
      <c r="M35" s="15">
        <v>0.04</v>
      </c>
      <c r="N35" s="15">
        <v>0.08</v>
      </c>
      <c r="O35" s="15">
        <v>7.0000000000000007E-2</v>
      </c>
      <c r="P35" s="15">
        <v>0.05</v>
      </c>
      <c r="Q35" s="15">
        <v>0.09</v>
      </c>
      <c r="R35" s="15">
        <v>0.06</v>
      </c>
      <c r="S35" s="15">
        <v>0.05</v>
      </c>
      <c r="T35" s="15">
        <v>0.03</v>
      </c>
      <c r="U35" s="15">
        <v>0.03</v>
      </c>
      <c r="V35" s="15">
        <v>0.08</v>
      </c>
      <c r="W35" s="15">
        <v>0.05</v>
      </c>
      <c r="X35" s="15">
        <v>0.03</v>
      </c>
      <c r="Y35" s="15">
        <v>0.03</v>
      </c>
      <c r="Z35" s="15">
        <v>7.0000000000000007E-2</v>
      </c>
      <c r="AA35" s="15">
        <v>0.08</v>
      </c>
      <c r="AB35" s="15">
        <v>0.09</v>
      </c>
      <c r="AC35" s="15">
        <v>0.04</v>
      </c>
      <c r="AD35" s="15">
        <v>0.02</v>
      </c>
      <c r="AE35" s="15">
        <v>0.01</v>
      </c>
      <c r="AF35" s="15">
        <v>0.01</v>
      </c>
      <c r="AG35" s="15">
        <v>0.05</v>
      </c>
      <c r="AH35" s="15">
        <v>0.03</v>
      </c>
      <c r="AI35" s="14" t="s">
        <v>475</v>
      </c>
      <c r="AJ35" s="15">
        <v>0.03</v>
      </c>
      <c r="AK35" s="15">
        <v>0.01</v>
      </c>
      <c r="AL35" s="15">
        <v>0.06</v>
      </c>
      <c r="AM35" s="15">
        <v>0.04</v>
      </c>
      <c r="AN35" s="15">
        <v>0.05</v>
      </c>
      <c r="AO35" s="15">
        <v>0.05</v>
      </c>
      <c r="AP35" s="15">
        <v>0.09</v>
      </c>
      <c r="AQ35" s="15">
        <v>0.05</v>
      </c>
    </row>
    <row r="36" spans="1:43" x14ac:dyDescent="0.35">
      <c r="A36" s="19"/>
      <c r="B36" s="11" t="s">
        <v>601</v>
      </c>
      <c r="C36" s="12">
        <v>5123</v>
      </c>
      <c r="D36" s="12">
        <v>149</v>
      </c>
      <c r="E36" s="12">
        <v>222</v>
      </c>
      <c r="F36" s="12">
        <v>238</v>
      </c>
      <c r="G36" s="12">
        <v>236</v>
      </c>
      <c r="H36" s="12">
        <v>239</v>
      </c>
      <c r="I36" s="12">
        <v>293</v>
      </c>
      <c r="J36" s="12">
        <v>54</v>
      </c>
      <c r="K36" s="12">
        <v>244</v>
      </c>
      <c r="L36" s="12">
        <v>140</v>
      </c>
      <c r="M36" s="12">
        <v>263</v>
      </c>
      <c r="N36" s="12">
        <v>246</v>
      </c>
      <c r="O36" s="12">
        <v>188</v>
      </c>
      <c r="P36" s="12">
        <v>233</v>
      </c>
      <c r="Q36" s="12">
        <v>204</v>
      </c>
      <c r="R36" s="12">
        <v>66</v>
      </c>
      <c r="S36" s="12">
        <v>225</v>
      </c>
      <c r="T36" s="12">
        <v>278</v>
      </c>
      <c r="U36" s="12">
        <v>101</v>
      </c>
      <c r="V36" s="12">
        <v>155</v>
      </c>
      <c r="W36" s="12">
        <v>93</v>
      </c>
      <c r="X36" s="12">
        <v>172</v>
      </c>
      <c r="Y36" s="12">
        <v>190</v>
      </c>
      <c r="Z36" s="12">
        <v>144</v>
      </c>
      <c r="AA36" s="12">
        <v>161</v>
      </c>
      <c r="AB36" s="12">
        <v>206</v>
      </c>
      <c r="AC36" s="12">
        <v>223</v>
      </c>
      <c r="AD36" s="12">
        <v>207</v>
      </c>
      <c r="AE36" s="12">
        <v>194</v>
      </c>
      <c r="AF36" s="12">
        <v>172</v>
      </c>
      <c r="AG36" s="12">
        <v>135</v>
      </c>
      <c r="AH36" s="12">
        <v>129</v>
      </c>
      <c r="AI36" s="12">
        <v>30</v>
      </c>
      <c r="AJ36" s="12">
        <v>247</v>
      </c>
      <c r="AK36" s="12">
        <v>205</v>
      </c>
      <c r="AL36" s="12">
        <v>69</v>
      </c>
      <c r="AM36" s="12">
        <v>120</v>
      </c>
      <c r="AN36" s="12">
        <v>258</v>
      </c>
      <c r="AO36" s="12">
        <v>149</v>
      </c>
      <c r="AP36" s="12">
        <v>71</v>
      </c>
      <c r="AQ36" s="12">
        <v>101</v>
      </c>
    </row>
    <row r="37" spans="1:43" x14ac:dyDescent="0.35">
      <c r="A37" s="19"/>
      <c r="B37" s="13" t="s">
        <v>602</v>
      </c>
      <c r="C37" s="15">
        <v>0.19</v>
      </c>
      <c r="D37" s="15">
        <v>0.15</v>
      </c>
      <c r="E37" s="15">
        <v>0.22</v>
      </c>
      <c r="F37" s="15">
        <v>0.22</v>
      </c>
      <c r="G37" s="15">
        <v>0.23</v>
      </c>
      <c r="H37" s="15">
        <v>0.2</v>
      </c>
      <c r="I37" s="15">
        <v>0.19</v>
      </c>
      <c r="J37" s="15">
        <v>0.18</v>
      </c>
      <c r="K37" s="15">
        <v>0.24</v>
      </c>
      <c r="L37" s="15">
        <v>0.14000000000000001</v>
      </c>
      <c r="M37" s="15">
        <v>0.26</v>
      </c>
      <c r="N37" s="15">
        <v>0.25</v>
      </c>
      <c r="O37" s="15">
        <v>0.19</v>
      </c>
      <c r="P37" s="15">
        <v>0.23</v>
      </c>
      <c r="Q37" s="15">
        <v>0.2</v>
      </c>
      <c r="R37" s="15">
        <v>0.13</v>
      </c>
      <c r="S37" s="15">
        <v>0.22</v>
      </c>
      <c r="T37" s="15">
        <v>0.28000000000000003</v>
      </c>
      <c r="U37" s="15">
        <v>0.2</v>
      </c>
      <c r="V37" s="15">
        <v>0.15</v>
      </c>
      <c r="W37" s="15">
        <v>0.18</v>
      </c>
      <c r="X37" s="15">
        <v>0.17</v>
      </c>
      <c r="Y37" s="15">
        <v>0.19</v>
      </c>
      <c r="Z37" s="15">
        <v>0.14000000000000001</v>
      </c>
      <c r="AA37" s="15">
        <v>0.16</v>
      </c>
      <c r="AB37" s="15">
        <v>0.2</v>
      </c>
      <c r="AC37" s="15">
        <v>0.22</v>
      </c>
      <c r="AD37" s="15">
        <v>0.21</v>
      </c>
      <c r="AE37" s="15">
        <v>0.19</v>
      </c>
      <c r="AF37" s="15">
        <v>0.17</v>
      </c>
      <c r="AG37" s="15">
        <v>0.13</v>
      </c>
      <c r="AH37" s="15">
        <v>0.13</v>
      </c>
      <c r="AI37" s="15">
        <v>0.06</v>
      </c>
      <c r="AJ37" s="15">
        <v>0.24</v>
      </c>
      <c r="AK37" s="15">
        <v>0.2</v>
      </c>
      <c r="AL37" s="15">
        <v>7.0000000000000007E-2</v>
      </c>
      <c r="AM37" s="15">
        <v>0.12</v>
      </c>
      <c r="AN37" s="15">
        <v>0.26</v>
      </c>
      <c r="AO37" s="15">
        <v>0.15</v>
      </c>
      <c r="AP37" s="15">
        <v>0.13</v>
      </c>
      <c r="AQ37" s="15">
        <v>0.1</v>
      </c>
    </row>
    <row r="38" spans="1:43" ht="21.5" x14ac:dyDescent="0.35">
      <c r="A38" s="19"/>
      <c r="B38" s="11" t="s">
        <v>609</v>
      </c>
      <c r="C38" s="12">
        <v>6852</v>
      </c>
      <c r="D38" s="12">
        <v>209</v>
      </c>
      <c r="E38" s="12">
        <v>241</v>
      </c>
      <c r="F38" s="12">
        <v>310</v>
      </c>
      <c r="G38" s="12">
        <v>406</v>
      </c>
      <c r="H38" s="12">
        <v>369</v>
      </c>
      <c r="I38" s="12">
        <v>447</v>
      </c>
      <c r="J38" s="12">
        <v>78</v>
      </c>
      <c r="K38" s="12">
        <v>302</v>
      </c>
      <c r="L38" s="12">
        <v>350</v>
      </c>
      <c r="M38" s="12">
        <v>208</v>
      </c>
      <c r="N38" s="12">
        <v>249</v>
      </c>
      <c r="O38" s="12">
        <v>220</v>
      </c>
      <c r="P38" s="12">
        <v>299</v>
      </c>
      <c r="Q38" s="12">
        <v>217</v>
      </c>
      <c r="R38" s="12">
        <v>120</v>
      </c>
      <c r="S38" s="12">
        <v>322</v>
      </c>
      <c r="T38" s="12">
        <v>317</v>
      </c>
      <c r="U38" s="12">
        <v>132</v>
      </c>
      <c r="V38" s="12">
        <v>269</v>
      </c>
      <c r="W38" s="12">
        <v>169</v>
      </c>
      <c r="X38" s="12">
        <v>288</v>
      </c>
      <c r="Y38" s="12">
        <v>208</v>
      </c>
      <c r="Z38" s="12">
        <v>234</v>
      </c>
      <c r="AA38" s="12">
        <v>463</v>
      </c>
      <c r="AB38" s="12">
        <v>222</v>
      </c>
      <c r="AC38" s="12">
        <v>324</v>
      </c>
      <c r="AD38" s="12">
        <v>298</v>
      </c>
      <c r="AE38" s="12">
        <v>406</v>
      </c>
      <c r="AF38" s="12">
        <v>393</v>
      </c>
      <c r="AG38" s="12">
        <v>57</v>
      </c>
      <c r="AH38" s="12">
        <v>314</v>
      </c>
      <c r="AI38" s="12">
        <v>18</v>
      </c>
      <c r="AJ38" s="12">
        <v>308</v>
      </c>
      <c r="AK38" s="12">
        <v>395</v>
      </c>
      <c r="AL38" s="12">
        <v>214</v>
      </c>
      <c r="AM38" s="12">
        <v>278</v>
      </c>
      <c r="AN38" s="12">
        <v>266</v>
      </c>
      <c r="AO38" s="12">
        <v>237</v>
      </c>
      <c r="AP38" s="12">
        <v>104</v>
      </c>
      <c r="AQ38" s="12">
        <v>245</v>
      </c>
    </row>
    <row r="39" spans="1:43" x14ac:dyDescent="0.35">
      <c r="A39" s="19"/>
      <c r="B39" s="13" t="s">
        <v>610</v>
      </c>
      <c r="C39" s="15">
        <v>0.26</v>
      </c>
      <c r="D39" s="15">
        <v>0.21</v>
      </c>
      <c r="E39" s="15">
        <v>0.23</v>
      </c>
      <c r="F39" s="15">
        <v>0.28000000000000003</v>
      </c>
      <c r="G39" s="15">
        <v>0.4</v>
      </c>
      <c r="H39" s="15">
        <v>0.3</v>
      </c>
      <c r="I39" s="15">
        <v>0.28999999999999998</v>
      </c>
      <c r="J39" s="15">
        <v>0.26</v>
      </c>
      <c r="K39" s="15">
        <v>0.3</v>
      </c>
      <c r="L39" s="15">
        <v>0.35</v>
      </c>
      <c r="M39" s="15">
        <v>0.21</v>
      </c>
      <c r="N39" s="15">
        <v>0.25</v>
      </c>
      <c r="O39" s="15">
        <v>0.22</v>
      </c>
      <c r="P39" s="15">
        <v>0.3</v>
      </c>
      <c r="Q39" s="15">
        <v>0.21</v>
      </c>
      <c r="R39" s="15">
        <v>0.24</v>
      </c>
      <c r="S39" s="15">
        <v>0.32</v>
      </c>
      <c r="T39" s="15">
        <v>0.32</v>
      </c>
      <c r="U39" s="15">
        <v>0.26</v>
      </c>
      <c r="V39" s="15">
        <v>0.26</v>
      </c>
      <c r="W39" s="15">
        <v>0.33</v>
      </c>
      <c r="X39" s="15">
        <v>0.28999999999999998</v>
      </c>
      <c r="Y39" s="15">
        <v>0.21</v>
      </c>
      <c r="Z39" s="15">
        <v>0.23</v>
      </c>
      <c r="AA39" s="15">
        <v>0.45</v>
      </c>
      <c r="AB39" s="15">
        <v>0.21</v>
      </c>
      <c r="AC39" s="15">
        <v>0.32</v>
      </c>
      <c r="AD39" s="15">
        <v>0.3</v>
      </c>
      <c r="AE39" s="15">
        <v>0.4</v>
      </c>
      <c r="AF39" s="15">
        <v>0.38</v>
      </c>
      <c r="AG39" s="15">
        <v>0.05</v>
      </c>
      <c r="AH39" s="15">
        <v>0.31</v>
      </c>
      <c r="AI39" s="15">
        <v>0.04</v>
      </c>
      <c r="AJ39" s="15">
        <v>0.3</v>
      </c>
      <c r="AK39" s="15">
        <v>0.39</v>
      </c>
      <c r="AL39" s="15">
        <v>0.21</v>
      </c>
      <c r="AM39" s="15">
        <v>0.27</v>
      </c>
      <c r="AN39" s="15">
        <v>0.27</v>
      </c>
      <c r="AO39" s="15">
        <v>0.24</v>
      </c>
      <c r="AP39" s="15">
        <v>0.2</v>
      </c>
      <c r="AQ39" s="15">
        <v>0.24</v>
      </c>
    </row>
    <row r="40" spans="1:43" x14ac:dyDescent="0.35">
      <c r="A40" s="19"/>
      <c r="B40" s="11" t="s">
        <v>607</v>
      </c>
      <c r="C40" s="12">
        <v>4729</v>
      </c>
      <c r="D40" s="12">
        <v>158</v>
      </c>
      <c r="E40" s="12">
        <v>107</v>
      </c>
      <c r="F40" s="12">
        <v>172</v>
      </c>
      <c r="G40" s="12">
        <v>290</v>
      </c>
      <c r="H40" s="12">
        <v>342</v>
      </c>
      <c r="I40" s="12">
        <v>393</v>
      </c>
      <c r="J40" s="12">
        <v>51</v>
      </c>
      <c r="K40" s="12">
        <v>218</v>
      </c>
      <c r="L40" s="12">
        <v>104</v>
      </c>
      <c r="M40" s="12">
        <v>115</v>
      </c>
      <c r="N40" s="12">
        <v>120</v>
      </c>
      <c r="O40" s="12">
        <v>164</v>
      </c>
      <c r="P40" s="12">
        <v>170</v>
      </c>
      <c r="Q40" s="12">
        <v>156</v>
      </c>
      <c r="R40" s="12">
        <v>52</v>
      </c>
      <c r="S40" s="12">
        <v>200</v>
      </c>
      <c r="T40" s="12">
        <v>315</v>
      </c>
      <c r="U40" s="12">
        <v>83</v>
      </c>
      <c r="V40" s="12">
        <v>113</v>
      </c>
      <c r="W40" s="12">
        <v>107</v>
      </c>
      <c r="X40" s="12">
        <v>235</v>
      </c>
      <c r="Y40" s="12">
        <v>139</v>
      </c>
      <c r="Z40" s="12">
        <v>210</v>
      </c>
      <c r="AA40" s="12">
        <v>112</v>
      </c>
      <c r="AB40" s="12">
        <v>161</v>
      </c>
      <c r="AC40" s="12">
        <v>151</v>
      </c>
      <c r="AD40" s="12">
        <v>125</v>
      </c>
      <c r="AE40" s="12">
        <v>255</v>
      </c>
      <c r="AF40" s="12">
        <v>205</v>
      </c>
      <c r="AG40" s="12">
        <v>61</v>
      </c>
      <c r="AH40" s="12">
        <v>74</v>
      </c>
      <c r="AI40" s="12">
        <v>26</v>
      </c>
      <c r="AJ40" s="12">
        <v>80</v>
      </c>
      <c r="AK40" s="12">
        <v>129</v>
      </c>
      <c r="AL40" s="12">
        <v>61</v>
      </c>
      <c r="AM40" s="12">
        <v>107</v>
      </c>
      <c r="AN40" s="12">
        <v>124</v>
      </c>
      <c r="AO40" s="12">
        <v>84</v>
      </c>
      <c r="AP40" s="12">
        <v>50</v>
      </c>
      <c r="AQ40" s="12">
        <v>38</v>
      </c>
    </row>
    <row r="41" spans="1:43" x14ac:dyDescent="0.35">
      <c r="A41" s="19"/>
      <c r="B41" s="13" t="s">
        <v>608</v>
      </c>
      <c r="C41" s="15">
        <v>0.18</v>
      </c>
      <c r="D41" s="15">
        <v>0.16</v>
      </c>
      <c r="E41" s="15">
        <v>0.1</v>
      </c>
      <c r="F41" s="15">
        <v>0.16</v>
      </c>
      <c r="G41" s="15">
        <v>0.28999999999999998</v>
      </c>
      <c r="H41" s="15">
        <v>0.28000000000000003</v>
      </c>
      <c r="I41" s="15">
        <v>0.26</v>
      </c>
      <c r="J41" s="15">
        <v>0.17</v>
      </c>
      <c r="K41" s="15">
        <v>0.22</v>
      </c>
      <c r="L41" s="15">
        <v>0.1</v>
      </c>
      <c r="M41" s="15">
        <v>0.11</v>
      </c>
      <c r="N41" s="15">
        <v>0.12</v>
      </c>
      <c r="O41" s="15">
        <v>0.16</v>
      </c>
      <c r="P41" s="15">
        <v>0.17</v>
      </c>
      <c r="Q41" s="15">
        <v>0.15</v>
      </c>
      <c r="R41" s="15">
        <v>0.1</v>
      </c>
      <c r="S41" s="15">
        <v>0.2</v>
      </c>
      <c r="T41" s="15">
        <v>0.31</v>
      </c>
      <c r="U41" s="15">
        <v>0.17</v>
      </c>
      <c r="V41" s="15">
        <v>0.11</v>
      </c>
      <c r="W41" s="15">
        <v>0.21</v>
      </c>
      <c r="X41" s="15">
        <v>0.23</v>
      </c>
      <c r="Y41" s="15">
        <v>0.14000000000000001</v>
      </c>
      <c r="Z41" s="15">
        <v>0.2</v>
      </c>
      <c r="AA41" s="15">
        <v>0.11</v>
      </c>
      <c r="AB41" s="15">
        <v>0.15</v>
      </c>
      <c r="AC41" s="15">
        <v>0.15</v>
      </c>
      <c r="AD41" s="15">
        <v>0.12</v>
      </c>
      <c r="AE41" s="15">
        <v>0.25</v>
      </c>
      <c r="AF41" s="15">
        <v>0.2</v>
      </c>
      <c r="AG41" s="15">
        <v>0.06</v>
      </c>
      <c r="AH41" s="15">
        <v>7.0000000000000007E-2</v>
      </c>
      <c r="AI41" s="15">
        <v>0.05</v>
      </c>
      <c r="AJ41" s="15">
        <v>0.08</v>
      </c>
      <c r="AK41" s="15">
        <v>0.13</v>
      </c>
      <c r="AL41" s="15">
        <v>0.06</v>
      </c>
      <c r="AM41" s="15">
        <v>0.1</v>
      </c>
      <c r="AN41" s="15">
        <v>0.12</v>
      </c>
      <c r="AO41" s="15">
        <v>0.08</v>
      </c>
      <c r="AP41" s="15">
        <v>0.1</v>
      </c>
      <c r="AQ41" s="15">
        <v>0.04</v>
      </c>
    </row>
    <row r="42" spans="1:43" x14ac:dyDescent="0.35">
      <c r="A42" s="19"/>
      <c r="B42" s="11" t="s">
        <v>611</v>
      </c>
      <c r="C42" s="12">
        <v>101</v>
      </c>
      <c r="D42" s="12">
        <v>1</v>
      </c>
      <c r="E42" s="12">
        <v>1</v>
      </c>
      <c r="F42" s="12">
        <v>2</v>
      </c>
      <c r="G42" s="12">
        <v>1</v>
      </c>
      <c r="H42" s="12">
        <v>14</v>
      </c>
      <c r="I42" s="12">
        <v>14</v>
      </c>
      <c r="J42" s="12">
        <v>0</v>
      </c>
      <c r="K42" s="12">
        <v>14</v>
      </c>
      <c r="L42" s="12">
        <v>2</v>
      </c>
      <c r="M42" s="12">
        <v>4</v>
      </c>
      <c r="N42" s="12">
        <v>3</v>
      </c>
      <c r="O42" s="12">
        <v>6</v>
      </c>
      <c r="P42" s="12">
        <v>0</v>
      </c>
      <c r="Q42" s="12">
        <v>1</v>
      </c>
      <c r="R42" s="12">
        <v>0</v>
      </c>
      <c r="S42" s="12">
        <v>5</v>
      </c>
      <c r="T42" s="12">
        <v>2</v>
      </c>
      <c r="U42" s="12">
        <v>6</v>
      </c>
      <c r="V42" s="12">
        <v>0</v>
      </c>
      <c r="W42" s="12">
        <v>0</v>
      </c>
      <c r="X42" s="12">
        <v>1</v>
      </c>
      <c r="Y42" s="12">
        <v>2</v>
      </c>
      <c r="Z42" s="12">
        <v>2</v>
      </c>
      <c r="AA42" s="12">
        <v>2</v>
      </c>
      <c r="AB42" s="12">
        <v>1</v>
      </c>
      <c r="AC42" s="12">
        <v>6</v>
      </c>
      <c r="AD42" s="12">
        <v>1</v>
      </c>
      <c r="AE42" s="12">
        <v>8</v>
      </c>
      <c r="AF42" s="12">
        <v>1</v>
      </c>
      <c r="AG42" s="12">
        <v>7</v>
      </c>
      <c r="AH42" s="12">
        <v>4</v>
      </c>
      <c r="AI42" s="12">
        <v>3</v>
      </c>
      <c r="AJ42" s="12">
        <v>1</v>
      </c>
      <c r="AK42" s="12">
        <v>1</v>
      </c>
      <c r="AL42" s="12">
        <v>3</v>
      </c>
      <c r="AM42" s="12">
        <v>3</v>
      </c>
      <c r="AN42" s="12">
        <v>3</v>
      </c>
      <c r="AO42" s="12">
        <v>0</v>
      </c>
      <c r="AP42" s="12">
        <v>0</v>
      </c>
      <c r="AQ42" s="12">
        <v>18</v>
      </c>
    </row>
    <row r="43" spans="1:43" x14ac:dyDescent="0.35">
      <c r="A43" s="19"/>
      <c r="B43" s="13" t="s">
        <v>612</v>
      </c>
      <c r="C43" s="14" t="s">
        <v>475</v>
      </c>
      <c r="D43" s="14" t="s">
        <v>475</v>
      </c>
      <c r="E43" s="14" t="s">
        <v>475</v>
      </c>
      <c r="F43" s="14" t="s">
        <v>475</v>
      </c>
      <c r="G43" s="14" t="s">
        <v>475</v>
      </c>
      <c r="H43" s="15">
        <v>0.01</v>
      </c>
      <c r="I43" s="15">
        <v>0.01</v>
      </c>
      <c r="J43" s="14" t="s">
        <v>475</v>
      </c>
      <c r="K43" s="15">
        <v>0.01</v>
      </c>
      <c r="L43" s="14" t="s">
        <v>475</v>
      </c>
      <c r="M43" s="14" t="s">
        <v>475</v>
      </c>
      <c r="N43" s="14" t="s">
        <v>475</v>
      </c>
      <c r="O43" s="15">
        <v>0.01</v>
      </c>
      <c r="P43" s="14" t="s">
        <v>475</v>
      </c>
      <c r="Q43" s="14" t="s">
        <v>475</v>
      </c>
      <c r="R43" s="14" t="s">
        <v>475</v>
      </c>
      <c r="S43" s="15">
        <v>0.01</v>
      </c>
      <c r="T43" s="14" t="s">
        <v>475</v>
      </c>
      <c r="U43" s="15">
        <v>0.01</v>
      </c>
      <c r="V43" s="14" t="s">
        <v>475</v>
      </c>
      <c r="W43" s="14" t="s">
        <v>475</v>
      </c>
      <c r="X43" s="14" t="s">
        <v>475</v>
      </c>
      <c r="Y43" s="14" t="s">
        <v>475</v>
      </c>
      <c r="Z43" s="14" t="s">
        <v>475</v>
      </c>
      <c r="AA43" s="14" t="s">
        <v>475</v>
      </c>
      <c r="AB43" s="14" t="s">
        <v>475</v>
      </c>
      <c r="AC43" s="15">
        <v>0.01</v>
      </c>
      <c r="AD43" s="14" t="s">
        <v>475</v>
      </c>
      <c r="AE43" s="15">
        <v>0.01</v>
      </c>
      <c r="AF43" s="14" t="s">
        <v>475</v>
      </c>
      <c r="AG43" s="15">
        <v>0.01</v>
      </c>
      <c r="AH43" s="14" t="s">
        <v>475</v>
      </c>
      <c r="AI43" s="15">
        <v>0.01</v>
      </c>
      <c r="AJ43" s="14" t="s">
        <v>475</v>
      </c>
      <c r="AK43" s="14" t="s">
        <v>475</v>
      </c>
      <c r="AL43" s="14" t="s">
        <v>475</v>
      </c>
      <c r="AM43" s="14" t="s">
        <v>475</v>
      </c>
      <c r="AN43" s="14" t="s">
        <v>475</v>
      </c>
      <c r="AO43" s="14" t="s">
        <v>475</v>
      </c>
      <c r="AP43" s="14" t="s">
        <v>475</v>
      </c>
      <c r="AQ43" s="15">
        <v>0.02</v>
      </c>
    </row>
    <row r="44" spans="1:43" x14ac:dyDescent="0.35">
      <c r="A44" s="19"/>
      <c r="B44" s="11" t="s">
        <v>613</v>
      </c>
      <c r="C44" s="12">
        <v>45</v>
      </c>
      <c r="D44" s="12">
        <v>1</v>
      </c>
      <c r="E44" s="12">
        <v>3</v>
      </c>
      <c r="F44" s="12">
        <v>2</v>
      </c>
      <c r="G44" s="12">
        <v>4</v>
      </c>
      <c r="H44" s="12">
        <v>3</v>
      </c>
      <c r="I44" s="12">
        <v>3</v>
      </c>
      <c r="J44" s="12">
        <v>0</v>
      </c>
      <c r="K44" s="12">
        <v>0</v>
      </c>
      <c r="L44" s="12">
        <v>0</v>
      </c>
      <c r="M44" s="12">
        <v>3</v>
      </c>
      <c r="N44" s="12">
        <v>3</v>
      </c>
      <c r="O44" s="12">
        <v>1</v>
      </c>
      <c r="P44" s="12">
        <v>0</v>
      </c>
      <c r="Q44" s="12">
        <v>4</v>
      </c>
      <c r="R44" s="12">
        <v>3</v>
      </c>
      <c r="S44" s="12">
        <v>2</v>
      </c>
      <c r="T44" s="12">
        <v>3</v>
      </c>
      <c r="U44" s="12">
        <v>3</v>
      </c>
      <c r="V44" s="12">
        <v>0</v>
      </c>
      <c r="W44" s="12">
        <v>1</v>
      </c>
      <c r="X44" s="12">
        <v>0</v>
      </c>
      <c r="Y44" s="12">
        <v>1</v>
      </c>
      <c r="Z44" s="12">
        <v>1</v>
      </c>
      <c r="AA44" s="12">
        <v>1</v>
      </c>
      <c r="AB44" s="12">
        <v>0</v>
      </c>
      <c r="AC44" s="12">
        <v>3</v>
      </c>
      <c r="AD44" s="12">
        <v>0</v>
      </c>
      <c r="AE44" s="12">
        <v>0</v>
      </c>
      <c r="AF44" s="12">
        <v>3</v>
      </c>
      <c r="AG44" s="12">
        <v>5</v>
      </c>
      <c r="AH44" s="12">
        <v>4</v>
      </c>
      <c r="AI44" s="12">
        <v>21</v>
      </c>
      <c r="AJ44" s="12">
        <v>2</v>
      </c>
      <c r="AK44" s="12">
        <v>3</v>
      </c>
      <c r="AL44" s="12">
        <v>7</v>
      </c>
      <c r="AM44" s="12">
        <v>5</v>
      </c>
      <c r="AN44" s="12">
        <v>2</v>
      </c>
      <c r="AO44" s="12">
        <v>26</v>
      </c>
      <c r="AP44" s="12">
        <v>0</v>
      </c>
      <c r="AQ44" s="12">
        <v>16</v>
      </c>
    </row>
    <row r="45" spans="1:43" x14ac:dyDescent="0.35">
      <c r="A45" s="19"/>
      <c r="B45" s="13" t="s">
        <v>614</v>
      </c>
      <c r="C45" s="14" t="s">
        <v>475</v>
      </c>
      <c r="D45" s="14" t="s">
        <v>475</v>
      </c>
      <c r="E45" s="14" t="s">
        <v>475</v>
      </c>
      <c r="F45" s="14" t="s">
        <v>475</v>
      </c>
      <c r="G45" s="14" t="s">
        <v>475</v>
      </c>
      <c r="H45" s="14" t="s">
        <v>475</v>
      </c>
      <c r="I45" s="14" t="s">
        <v>475</v>
      </c>
      <c r="J45" s="14" t="s">
        <v>475</v>
      </c>
      <c r="K45" s="14" t="s">
        <v>475</v>
      </c>
      <c r="L45" s="14" t="s">
        <v>475</v>
      </c>
      <c r="M45" s="14" t="s">
        <v>475</v>
      </c>
      <c r="N45" s="14" t="s">
        <v>475</v>
      </c>
      <c r="O45" s="14" t="s">
        <v>475</v>
      </c>
      <c r="P45" s="14" t="s">
        <v>475</v>
      </c>
      <c r="Q45" s="14" t="s">
        <v>475</v>
      </c>
      <c r="R45" s="15">
        <v>0.01</v>
      </c>
      <c r="S45" s="14" t="s">
        <v>475</v>
      </c>
      <c r="T45" s="14" t="s">
        <v>475</v>
      </c>
      <c r="U45" s="15">
        <v>0.01</v>
      </c>
      <c r="V45" s="14" t="s">
        <v>475</v>
      </c>
      <c r="W45" s="14" t="s">
        <v>475</v>
      </c>
      <c r="X45" s="14" t="s">
        <v>475</v>
      </c>
      <c r="Y45" s="14" t="s">
        <v>475</v>
      </c>
      <c r="Z45" s="14" t="s">
        <v>475</v>
      </c>
      <c r="AA45" s="14" t="s">
        <v>475</v>
      </c>
      <c r="AB45" s="14" t="s">
        <v>475</v>
      </c>
      <c r="AC45" s="14" t="s">
        <v>475</v>
      </c>
      <c r="AD45" s="14" t="s">
        <v>475</v>
      </c>
      <c r="AE45" s="14" t="s">
        <v>475</v>
      </c>
      <c r="AF45" s="14" t="s">
        <v>475</v>
      </c>
      <c r="AG45" s="14" t="s">
        <v>475</v>
      </c>
      <c r="AH45" s="14" t="s">
        <v>475</v>
      </c>
      <c r="AI45" s="15">
        <v>0.04</v>
      </c>
      <c r="AJ45" s="14" t="s">
        <v>475</v>
      </c>
      <c r="AK45" s="14" t="s">
        <v>475</v>
      </c>
      <c r="AL45" s="15">
        <v>0.01</v>
      </c>
      <c r="AM45" s="14" t="s">
        <v>475</v>
      </c>
      <c r="AN45" s="14" t="s">
        <v>475</v>
      </c>
      <c r="AO45" s="15">
        <v>0.03</v>
      </c>
      <c r="AP45" s="14" t="s">
        <v>475</v>
      </c>
      <c r="AQ45" s="15">
        <v>0.02</v>
      </c>
    </row>
    <row r="46" spans="1:43" x14ac:dyDescent="0.35">
      <c r="A46" s="19"/>
      <c r="B46" s="11" t="s">
        <v>485</v>
      </c>
      <c r="C46" s="12">
        <v>424</v>
      </c>
      <c r="D46" s="12">
        <v>5</v>
      </c>
      <c r="E46" s="12">
        <v>50</v>
      </c>
      <c r="F46" s="12">
        <v>20</v>
      </c>
      <c r="G46" s="12">
        <v>15</v>
      </c>
      <c r="H46" s="12">
        <v>4</v>
      </c>
      <c r="I46" s="12">
        <v>4</v>
      </c>
      <c r="J46" s="12">
        <v>0</v>
      </c>
      <c r="K46" s="12">
        <v>22</v>
      </c>
      <c r="L46" s="12">
        <v>16</v>
      </c>
      <c r="M46" s="12">
        <v>16</v>
      </c>
      <c r="N46" s="12">
        <v>49</v>
      </c>
      <c r="O46" s="12">
        <v>24</v>
      </c>
      <c r="P46" s="12">
        <v>3</v>
      </c>
      <c r="Q46" s="12">
        <v>6</v>
      </c>
      <c r="R46" s="12">
        <v>19</v>
      </c>
      <c r="S46" s="12">
        <v>55</v>
      </c>
      <c r="T46" s="12">
        <v>33</v>
      </c>
      <c r="U46" s="12">
        <v>1</v>
      </c>
      <c r="V46" s="12">
        <v>1</v>
      </c>
      <c r="W46" s="12">
        <v>6</v>
      </c>
      <c r="X46" s="12">
        <v>0</v>
      </c>
      <c r="Y46" s="12">
        <v>11</v>
      </c>
      <c r="Z46" s="12">
        <v>6</v>
      </c>
      <c r="AA46" s="12">
        <v>31</v>
      </c>
      <c r="AB46" s="12">
        <v>31</v>
      </c>
      <c r="AC46" s="12">
        <v>13</v>
      </c>
      <c r="AD46" s="12">
        <v>2</v>
      </c>
      <c r="AE46" s="12">
        <v>31</v>
      </c>
      <c r="AF46" s="12">
        <v>1</v>
      </c>
      <c r="AG46" s="12">
        <v>83</v>
      </c>
      <c r="AH46" s="12">
        <v>39</v>
      </c>
      <c r="AI46" s="12">
        <v>103</v>
      </c>
      <c r="AJ46" s="12">
        <v>20</v>
      </c>
      <c r="AK46" s="12">
        <v>73</v>
      </c>
      <c r="AL46" s="12">
        <v>260</v>
      </c>
      <c r="AM46" s="12">
        <v>138</v>
      </c>
      <c r="AN46" s="12">
        <v>3</v>
      </c>
      <c r="AO46" s="12">
        <v>183</v>
      </c>
      <c r="AP46" s="12">
        <v>4</v>
      </c>
      <c r="AQ46" s="12">
        <v>258</v>
      </c>
    </row>
    <row r="47" spans="1:43" x14ac:dyDescent="0.35">
      <c r="A47" s="19"/>
      <c r="B47" s="13" t="s">
        <v>486</v>
      </c>
      <c r="C47" s="15">
        <v>0.02</v>
      </c>
      <c r="D47" s="15">
        <v>0.01</v>
      </c>
      <c r="E47" s="15">
        <v>0.05</v>
      </c>
      <c r="F47" s="15">
        <v>0.02</v>
      </c>
      <c r="G47" s="15">
        <v>0.01</v>
      </c>
      <c r="H47" s="14" t="s">
        <v>475</v>
      </c>
      <c r="I47" s="14" t="s">
        <v>475</v>
      </c>
      <c r="J47" s="14" t="s">
        <v>475</v>
      </c>
      <c r="K47" s="15">
        <v>0.02</v>
      </c>
      <c r="L47" s="15">
        <v>0.02</v>
      </c>
      <c r="M47" s="15">
        <v>0.02</v>
      </c>
      <c r="N47" s="15">
        <v>0.05</v>
      </c>
      <c r="O47" s="15">
        <v>0.02</v>
      </c>
      <c r="P47" s="14" t="s">
        <v>475</v>
      </c>
      <c r="Q47" s="15">
        <v>0.01</v>
      </c>
      <c r="R47" s="15">
        <v>0.04</v>
      </c>
      <c r="S47" s="15">
        <v>0.05</v>
      </c>
      <c r="T47" s="15">
        <v>0.03</v>
      </c>
      <c r="U47" s="14" t="s">
        <v>475</v>
      </c>
      <c r="V47" s="14" t="s">
        <v>475</v>
      </c>
      <c r="W47" s="15">
        <v>0.01</v>
      </c>
      <c r="X47" s="14" t="s">
        <v>475</v>
      </c>
      <c r="Y47" s="15">
        <v>0.01</v>
      </c>
      <c r="Z47" s="15">
        <v>0.01</v>
      </c>
      <c r="AA47" s="15">
        <v>0.03</v>
      </c>
      <c r="AB47" s="15">
        <v>0.03</v>
      </c>
      <c r="AC47" s="15">
        <v>0.01</v>
      </c>
      <c r="AD47" s="14" t="s">
        <v>475</v>
      </c>
      <c r="AE47" s="15">
        <v>0.03</v>
      </c>
      <c r="AF47" s="14" t="s">
        <v>475</v>
      </c>
      <c r="AG47" s="15">
        <v>0.08</v>
      </c>
      <c r="AH47" s="15">
        <v>0.04</v>
      </c>
      <c r="AI47" s="15">
        <v>0.2</v>
      </c>
      <c r="AJ47" s="15">
        <v>0.02</v>
      </c>
      <c r="AK47" s="15">
        <v>7.0000000000000007E-2</v>
      </c>
      <c r="AL47" s="15">
        <v>0.26</v>
      </c>
      <c r="AM47" s="15">
        <v>0.13</v>
      </c>
      <c r="AN47" s="14" t="s">
        <v>475</v>
      </c>
      <c r="AO47" s="15">
        <v>0.18</v>
      </c>
      <c r="AP47" s="15">
        <v>0.01</v>
      </c>
      <c r="AQ47" s="15">
        <v>0.26</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631</v>
      </c>
      <c r="C3" s="18"/>
      <c r="D3" s="18"/>
      <c r="E3" s="18"/>
      <c r="F3" s="18"/>
      <c r="H3" s="18" t="s">
        <v>632</v>
      </c>
      <c r="I3" s="18"/>
      <c r="J3" s="18"/>
      <c r="K3" s="18"/>
      <c r="L3" s="18"/>
    </row>
    <row r="4" spans="1:43" ht="27" customHeight="1" x14ac:dyDescent="0.35">
      <c r="B4" s="18" t="s">
        <v>633</v>
      </c>
      <c r="C4" s="18"/>
      <c r="D4" s="18"/>
      <c r="E4" s="18"/>
      <c r="F4" s="18"/>
      <c r="H4" s="18" t="s">
        <v>634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635</v>
      </c>
      <c r="C12" s="12">
        <v>8433</v>
      </c>
      <c r="D12" s="12">
        <v>279</v>
      </c>
      <c r="E12" s="12">
        <v>305</v>
      </c>
      <c r="F12" s="12">
        <v>526</v>
      </c>
      <c r="G12" s="12">
        <v>413</v>
      </c>
      <c r="H12" s="12">
        <v>370</v>
      </c>
      <c r="I12" s="12">
        <v>426</v>
      </c>
      <c r="J12" s="12">
        <v>56</v>
      </c>
      <c r="K12" s="12">
        <v>329</v>
      </c>
      <c r="L12" s="12">
        <v>457</v>
      </c>
      <c r="M12" s="12">
        <v>183</v>
      </c>
      <c r="N12" s="12">
        <v>336</v>
      </c>
      <c r="O12" s="12">
        <v>74</v>
      </c>
      <c r="P12" s="12">
        <v>396</v>
      </c>
      <c r="Q12" s="12">
        <v>434</v>
      </c>
      <c r="R12" s="12">
        <v>120</v>
      </c>
      <c r="S12" s="12">
        <v>339</v>
      </c>
      <c r="T12" s="12">
        <v>417</v>
      </c>
      <c r="U12" s="12">
        <v>279</v>
      </c>
      <c r="V12" s="12">
        <v>400</v>
      </c>
      <c r="W12" s="12">
        <v>215</v>
      </c>
      <c r="X12" s="12">
        <v>220</v>
      </c>
      <c r="Y12" s="12">
        <v>364</v>
      </c>
      <c r="Z12" s="12">
        <v>621</v>
      </c>
      <c r="AA12" s="12">
        <v>381</v>
      </c>
      <c r="AB12" s="12">
        <v>408</v>
      </c>
      <c r="AC12" s="12">
        <v>310</v>
      </c>
      <c r="AD12" s="12">
        <v>209</v>
      </c>
      <c r="AE12" s="12">
        <v>332</v>
      </c>
      <c r="AF12" s="12">
        <v>316</v>
      </c>
      <c r="AG12" s="12">
        <v>553</v>
      </c>
      <c r="AH12" s="12">
        <v>447</v>
      </c>
      <c r="AI12" s="12">
        <v>137</v>
      </c>
      <c r="AJ12" s="12">
        <v>447</v>
      </c>
      <c r="AK12" s="12">
        <v>446</v>
      </c>
      <c r="AL12" s="12">
        <v>532</v>
      </c>
      <c r="AM12" s="12">
        <v>214</v>
      </c>
      <c r="AN12" s="12">
        <v>301</v>
      </c>
      <c r="AO12" s="12">
        <v>611</v>
      </c>
      <c r="AP12" s="12">
        <v>385</v>
      </c>
      <c r="AQ12" s="12">
        <v>453</v>
      </c>
    </row>
    <row r="13" spans="1:43" ht="21.5" x14ac:dyDescent="0.35">
      <c r="A13" s="19"/>
      <c r="B13" s="13" t="s">
        <v>636</v>
      </c>
      <c r="C13" s="15">
        <v>0.32</v>
      </c>
      <c r="D13" s="15">
        <v>0.27</v>
      </c>
      <c r="E13" s="15">
        <v>0.3</v>
      </c>
      <c r="F13" s="15">
        <v>0.48</v>
      </c>
      <c r="G13" s="15">
        <v>0.41</v>
      </c>
      <c r="H13" s="15">
        <v>0.3</v>
      </c>
      <c r="I13" s="15">
        <v>0.28000000000000003</v>
      </c>
      <c r="J13" s="15">
        <v>0.19</v>
      </c>
      <c r="K13" s="15">
        <v>0.33</v>
      </c>
      <c r="L13" s="15">
        <v>0.46</v>
      </c>
      <c r="M13" s="15">
        <v>0.18</v>
      </c>
      <c r="N13" s="15">
        <v>0.33</v>
      </c>
      <c r="O13" s="15">
        <v>0.08</v>
      </c>
      <c r="P13" s="15">
        <v>0.39</v>
      </c>
      <c r="Q13" s="15">
        <v>0.42</v>
      </c>
      <c r="R13" s="15">
        <v>0.24</v>
      </c>
      <c r="S13" s="15">
        <v>0.34</v>
      </c>
      <c r="T13" s="15">
        <v>0.41</v>
      </c>
      <c r="U13" s="15">
        <v>0.56000000000000005</v>
      </c>
      <c r="V13" s="15">
        <v>0.39</v>
      </c>
      <c r="W13" s="15">
        <v>0.43</v>
      </c>
      <c r="X13" s="15">
        <v>0.22</v>
      </c>
      <c r="Y13" s="15">
        <v>0.36</v>
      </c>
      <c r="Z13" s="15">
        <v>0.6</v>
      </c>
      <c r="AA13" s="15">
        <v>0.37</v>
      </c>
      <c r="AB13" s="15">
        <v>0.39</v>
      </c>
      <c r="AC13" s="15">
        <v>0.31</v>
      </c>
      <c r="AD13" s="15">
        <v>0.21</v>
      </c>
      <c r="AE13" s="15">
        <v>0.33</v>
      </c>
      <c r="AF13" s="15">
        <v>0.3</v>
      </c>
      <c r="AG13" s="15">
        <v>0.54</v>
      </c>
      <c r="AH13" s="15">
        <v>0.44</v>
      </c>
      <c r="AI13" s="15">
        <v>0.26</v>
      </c>
      <c r="AJ13" s="15">
        <v>0.43</v>
      </c>
      <c r="AK13" s="15">
        <v>0.44</v>
      </c>
      <c r="AL13" s="15">
        <v>0.52</v>
      </c>
      <c r="AM13" s="15">
        <v>0.21</v>
      </c>
      <c r="AN13" s="15">
        <v>0.3</v>
      </c>
      <c r="AO13" s="15">
        <v>0.61</v>
      </c>
      <c r="AP13" s="15">
        <v>0.73</v>
      </c>
      <c r="AQ13" s="15">
        <v>0.45</v>
      </c>
    </row>
    <row r="14" spans="1:43" ht="21.5" x14ac:dyDescent="0.35">
      <c r="A14" s="19"/>
      <c r="B14" s="11" t="s">
        <v>637</v>
      </c>
      <c r="C14" s="12">
        <v>15801</v>
      </c>
      <c r="D14" s="12">
        <v>668</v>
      </c>
      <c r="E14" s="12">
        <v>570</v>
      </c>
      <c r="F14" s="12">
        <v>511</v>
      </c>
      <c r="G14" s="12">
        <v>433</v>
      </c>
      <c r="H14" s="12">
        <v>746</v>
      </c>
      <c r="I14" s="12">
        <v>966</v>
      </c>
      <c r="J14" s="12">
        <v>219</v>
      </c>
      <c r="K14" s="12">
        <v>478</v>
      </c>
      <c r="L14" s="12">
        <v>461</v>
      </c>
      <c r="M14" s="12">
        <v>760</v>
      </c>
      <c r="N14" s="12">
        <v>577</v>
      </c>
      <c r="O14" s="12">
        <v>844</v>
      </c>
      <c r="P14" s="12">
        <v>559</v>
      </c>
      <c r="Q14" s="12">
        <v>522</v>
      </c>
      <c r="R14" s="12">
        <v>342</v>
      </c>
      <c r="S14" s="12">
        <v>514</v>
      </c>
      <c r="T14" s="12">
        <v>397</v>
      </c>
      <c r="U14" s="12">
        <v>153</v>
      </c>
      <c r="V14" s="12">
        <v>546</v>
      </c>
      <c r="W14" s="12">
        <v>239</v>
      </c>
      <c r="X14" s="12">
        <v>742</v>
      </c>
      <c r="Y14" s="12">
        <v>505</v>
      </c>
      <c r="Z14" s="12">
        <v>335</v>
      </c>
      <c r="AA14" s="12">
        <v>409</v>
      </c>
      <c r="AB14" s="12">
        <v>586</v>
      </c>
      <c r="AC14" s="12">
        <v>571</v>
      </c>
      <c r="AD14" s="12">
        <v>731</v>
      </c>
      <c r="AE14" s="12">
        <v>588</v>
      </c>
      <c r="AF14" s="12">
        <v>670</v>
      </c>
      <c r="AG14" s="12">
        <v>478</v>
      </c>
      <c r="AH14" s="12">
        <v>512</v>
      </c>
      <c r="AI14" s="12">
        <v>354</v>
      </c>
      <c r="AJ14" s="12">
        <v>556</v>
      </c>
      <c r="AK14" s="12">
        <v>440</v>
      </c>
      <c r="AL14" s="12">
        <v>356</v>
      </c>
      <c r="AM14" s="12">
        <v>755</v>
      </c>
      <c r="AN14" s="12">
        <v>633</v>
      </c>
      <c r="AO14" s="12">
        <v>339</v>
      </c>
      <c r="AP14" s="12">
        <v>135</v>
      </c>
      <c r="AQ14" s="12">
        <v>445</v>
      </c>
    </row>
    <row r="15" spans="1:43" ht="21.5" x14ac:dyDescent="0.35">
      <c r="A15" s="19"/>
      <c r="B15" s="13" t="s">
        <v>638</v>
      </c>
      <c r="C15" s="15">
        <v>0.6</v>
      </c>
      <c r="D15" s="15">
        <v>0.66</v>
      </c>
      <c r="E15" s="15">
        <v>0.55000000000000004</v>
      </c>
      <c r="F15" s="15">
        <v>0.46</v>
      </c>
      <c r="G15" s="15">
        <v>0.43</v>
      </c>
      <c r="H15" s="15">
        <v>0.61</v>
      </c>
      <c r="I15" s="15">
        <v>0.64</v>
      </c>
      <c r="J15" s="15">
        <v>0.74</v>
      </c>
      <c r="K15" s="15">
        <v>0.48</v>
      </c>
      <c r="L15" s="15">
        <v>0.46</v>
      </c>
      <c r="M15" s="15">
        <v>0.75</v>
      </c>
      <c r="N15" s="15">
        <v>0.57999999999999996</v>
      </c>
      <c r="O15" s="15">
        <v>0.84</v>
      </c>
      <c r="P15" s="15">
        <v>0.56000000000000005</v>
      </c>
      <c r="Q15" s="15">
        <v>0.51</v>
      </c>
      <c r="R15" s="15">
        <v>0.68</v>
      </c>
      <c r="S15" s="15">
        <v>0.51</v>
      </c>
      <c r="T15" s="15">
        <v>0.39</v>
      </c>
      <c r="U15" s="15">
        <v>0.3</v>
      </c>
      <c r="V15" s="15">
        <v>0.54</v>
      </c>
      <c r="W15" s="15">
        <v>0.47</v>
      </c>
      <c r="X15" s="15">
        <v>0.73</v>
      </c>
      <c r="Y15" s="15">
        <v>0.5</v>
      </c>
      <c r="Z15" s="15">
        <v>0.33</v>
      </c>
      <c r="AA15" s="15">
        <v>0.4</v>
      </c>
      <c r="AB15" s="15">
        <v>0.56000000000000005</v>
      </c>
      <c r="AC15" s="15">
        <v>0.57000000000000006</v>
      </c>
      <c r="AD15" s="15">
        <v>0.73</v>
      </c>
      <c r="AE15" s="15">
        <v>0.57999999999999996</v>
      </c>
      <c r="AF15" s="15">
        <v>0.64</v>
      </c>
      <c r="AG15" s="15">
        <v>0.46</v>
      </c>
      <c r="AH15" s="15">
        <v>0.51</v>
      </c>
      <c r="AI15" s="15">
        <v>0.68</v>
      </c>
      <c r="AJ15" s="15">
        <v>0.53</v>
      </c>
      <c r="AK15" s="15">
        <v>0.44</v>
      </c>
      <c r="AL15" s="15">
        <v>0.35</v>
      </c>
      <c r="AM15" s="15">
        <v>0.73</v>
      </c>
      <c r="AN15" s="15">
        <v>0.63</v>
      </c>
      <c r="AO15" s="15">
        <v>0.34</v>
      </c>
      <c r="AP15" s="15">
        <v>0.26</v>
      </c>
      <c r="AQ15" s="15">
        <v>0.44</v>
      </c>
    </row>
    <row r="16" spans="1:43" ht="21.5" x14ac:dyDescent="0.35">
      <c r="A16" s="19"/>
      <c r="B16" s="11" t="s">
        <v>639</v>
      </c>
      <c r="C16" s="12">
        <v>1678</v>
      </c>
      <c r="D16" s="12">
        <v>60</v>
      </c>
      <c r="E16" s="12">
        <v>116</v>
      </c>
      <c r="F16" s="12">
        <v>48</v>
      </c>
      <c r="G16" s="12">
        <v>122</v>
      </c>
      <c r="H16" s="12">
        <v>92</v>
      </c>
      <c r="I16" s="12">
        <v>109</v>
      </c>
      <c r="J16" s="12">
        <v>17</v>
      </c>
      <c r="K16" s="12">
        <v>152</v>
      </c>
      <c r="L16" s="12">
        <v>57</v>
      </c>
      <c r="M16" s="12">
        <v>59</v>
      </c>
      <c r="N16" s="12">
        <v>72</v>
      </c>
      <c r="O16" s="12">
        <v>49</v>
      </c>
      <c r="P16" s="12">
        <v>41</v>
      </c>
      <c r="Q16" s="12">
        <v>55</v>
      </c>
      <c r="R16" s="12">
        <v>32</v>
      </c>
      <c r="S16" s="12">
        <v>96</v>
      </c>
      <c r="T16" s="12">
        <v>176</v>
      </c>
      <c r="U16" s="12">
        <v>51</v>
      </c>
      <c r="V16" s="12">
        <v>51</v>
      </c>
      <c r="W16" s="12">
        <v>47</v>
      </c>
      <c r="X16" s="12">
        <v>40</v>
      </c>
      <c r="Y16" s="12">
        <v>114</v>
      </c>
      <c r="Z16" s="12">
        <v>40</v>
      </c>
      <c r="AA16" s="12">
        <v>187</v>
      </c>
      <c r="AB16" s="12">
        <v>35</v>
      </c>
      <c r="AC16" s="12">
        <v>105</v>
      </c>
      <c r="AD16" s="12">
        <v>59</v>
      </c>
      <c r="AE16" s="12">
        <v>68</v>
      </c>
      <c r="AF16" s="12">
        <v>49</v>
      </c>
      <c r="AG16" s="12">
        <v>2</v>
      </c>
      <c r="AH16" s="12">
        <v>49</v>
      </c>
      <c r="AI16" s="12">
        <v>32</v>
      </c>
      <c r="AJ16" s="12">
        <v>27</v>
      </c>
      <c r="AK16" s="12">
        <v>120</v>
      </c>
      <c r="AL16" s="12">
        <v>27</v>
      </c>
      <c r="AM16" s="12">
        <v>35</v>
      </c>
      <c r="AN16" s="12">
        <v>61</v>
      </c>
      <c r="AO16" s="12">
        <v>35</v>
      </c>
      <c r="AP16" s="12">
        <v>4</v>
      </c>
      <c r="AQ16" s="12">
        <v>26</v>
      </c>
    </row>
    <row r="17" spans="1:43" ht="21.5" x14ac:dyDescent="0.35">
      <c r="A17" s="19"/>
      <c r="B17" s="13" t="s">
        <v>640</v>
      </c>
      <c r="C17" s="15">
        <v>0.06</v>
      </c>
      <c r="D17" s="15">
        <v>0.06</v>
      </c>
      <c r="E17" s="15">
        <v>0.11</v>
      </c>
      <c r="F17" s="15">
        <v>0.04</v>
      </c>
      <c r="G17" s="15">
        <v>0.12</v>
      </c>
      <c r="H17" s="15">
        <v>0.08</v>
      </c>
      <c r="I17" s="15">
        <v>7.0000000000000007E-2</v>
      </c>
      <c r="J17" s="15">
        <v>0.06</v>
      </c>
      <c r="K17" s="15">
        <v>0.15</v>
      </c>
      <c r="L17" s="15">
        <v>0.06</v>
      </c>
      <c r="M17" s="15">
        <v>0.06</v>
      </c>
      <c r="N17" s="15">
        <v>7.0000000000000007E-2</v>
      </c>
      <c r="O17" s="15">
        <v>0.05</v>
      </c>
      <c r="P17" s="15">
        <v>0.04</v>
      </c>
      <c r="Q17" s="15">
        <v>0.05</v>
      </c>
      <c r="R17" s="15">
        <v>0.06</v>
      </c>
      <c r="S17" s="15">
        <v>0.1</v>
      </c>
      <c r="T17" s="15">
        <v>0.18</v>
      </c>
      <c r="U17" s="15">
        <v>0.1</v>
      </c>
      <c r="V17" s="15">
        <v>0.05</v>
      </c>
      <c r="W17" s="15">
        <v>0.09</v>
      </c>
      <c r="X17" s="15">
        <v>0.04</v>
      </c>
      <c r="Y17" s="15">
        <v>0.12</v>
      </c>
      <c r="Z17" s="15">
        <v>0.04</v>
      </c>
      <c r="AA17" s="15">
        <v>0.18</v>
      </c>
      <c r="AB17" s="15">
        <v>0.03</v>
      </c>
      <c r="AC17" s="15">
        <v>0.1</v>
      </c>
      <c r="AD17" s="15">
        <v>0.06</v>
      </c>
      <c r="AE17" s="15">
        <v>7.0000000000000007E-2</v>
      </c>
      <c r="AF17" s="15">
        <v>0.05</v>
      </c>
      <c r="AG17" s="14" t="s">
        <v>475</v>
      </c>
      <c r="AH17" s="15">
        <v>0.05</v>
      </c>
      <c r="AI17" s="15">
        <v>0.06</v>
      </c>
      <c r="AJ17" s="15">
        <v>0.03</v>
      </c>
      <c r="AK17" s="15">
        <v>0.12</v>
      </c>
      <c r="AL17" s="15">
        <v>0.03</v>
      </c>
      <c r="AM17" s="15">
        <v>0.03</v>
      </c>
      <c r="AN17" s="15">
        <v>0.06</v>
      </c>
      <c r="AO17" s="15">
        <v>0.03</v>
      </c>
      <c r="AP17" s="15">
        <v>0.01</v>
      </c>
      <c r="AQ17" s="15">
        <v>0.03</v>
      </c>
    </row>
    <row r="18" spans="1:43" x14ac:dyDescent="0.35">
      <c r="A18" s="19"/>
      <c r="B18" s="11" t="s">
        <v>485</v>
      </c>
      <c r="C18" s="12">
        <v>533</v>
      </c>
      <c r="D18" s="12">
        <v>6</v>
      </c>
      <c r="E18" s="12">
        <v>38</v>
      </c>
      <c r="F18" s="12">
        <v>17</v>
      </c>
      <c r="G18" s="12">
        <v>38</v>
      </c>
      <c r="H18" s="12">
        <v>12</v>
      </c>
      <c r="I18" s="12">
        <v>15</v>
      </c>
      <c r="J18" s="12">
        <v>2</v>
      </c>
      <c r="K18" s="12">
        <v>43</v>
      </c>
      <c r="L18" s="12">
        <v>26</v>
      </c>
      <c r="M18" s="12">
        <v>8</v>
      </c>
      <c r="N18" s="12">
        <v>19</v>
      </c>
      <c r="O18" s="12">
        <v>33</v>
      </c>
      <c r="P18" s="12">
        <v>8</v>
      </c>
      <c r="Q18" s="12">
        <v>15</v>
      </c>
      <c r="R18" s="12">
        <v>9</v>
      </c>
      <c r="S18" s="12">
        <v>53</v>
      </c>
      <c r="T18" s="12">
        <v>17</v>
      </c>
      <c r="U18" s="12">
        <v>21</v>
      </c>
      <c r="V18" s="12">
        <v>18</v>
      </c>
      <c r="W18" s="12">
        <v>7</v>
      </c>
      <c r="X18" s="12">
        <v>7</v>
      </c>
      <c r="Y18" s="12">
        <v>20</v>
      </c>
      <c r="Z18" s="12">
        <v>35</v>
      </c>
      <c r="AA18" s="12">
        <v>55</v>
      </c>
      <c r="AB18" s="12">
        <v>22</v>
      </c>
      <c r="AC18" s="12">
        <v>17</v>
      </c>
      <c r="AD18" s="12">
        <v>6</v>
      </c>
      <c r="AE18" s="12">
        <v>24</v>
      </c>
      <c r="AF18" s="12">
        <v>9</v>
      </c>
      <c r="AG18" s="12">
        <v>2</v>
      </c>
      <c r="AH18" s="12">
        <v>5</v>
      </c>
      <c r="AI18" s="12">
        <v>0</v>
      </c>
      <c r="AJ18" s="12">
        <v>7</v>
      </c>
      <c r="AK18" s="12">
        <v>2</v>
      </c>
      <c r="AL18" s="12">
        <v>97</v>
      </c>
      <c r="AM18" s="12">
        <v>36</v>
      </c>
      <c r="AN18" s="12">
        <v>7</v>
      </c>
      <c r="AO18" s="12">
        <v>20</v>
      </c>
      <c r="AP18" s="12">
        <v>0</v>
      </c>
      <c r="AQ18" s="12">
        <v>78</v>
      </c>
    </row>
    <row r="19" spans="1:43" x14ac:dyDescent="0.35">
      <c r="A19" s="19"/>
      <c r="B19" s="13" t="s">
        <v>486</v>
      </c>
      <c r="C19" s="15">
        <v>0.02</v>
      </c>
      <c r="D19" s="15">
        <v>0.01</v>
      </c>
      <c r="E19" s="15">
        <v>0.04</v>
      </c>
      <c r="F19" s="15">
        <v>0.02</v>
      </c>
      <c r="G19" s="15">
        <v>0.04</v>
      </c>
      <c r="H19" s="15">
        <v>0.01</v>
      </c>
      <c r="I19" s="15">
        <v>0.01</v>
      </c>
      <c r="J19" s="15">
        <v>0.01</v>
      </c>
      <c r="K19" s="15">
        <v>0.04</v>
      </c>
      <c r="L19" s="15">
        <v>0.02</v>
      </c>
      <c r="M19" s="15">
        <v>0.01</v>
      </c>
      <c r="N19" s="15">
        <v>0.02</v>
      </c>
      <c r="O19" s="15">
        <v>0.03</v>
      </c>
      <c r="P19" s="15">
        <v>0.01</v>
      </c>
      <c r="Q19" s="15">
        <v>0.02</v>
      </c>
      <c r="R19" s="15">
        <v>0.02</v>
      </c>
      <c r="S19" s="15">
        <v>0.05</v>
      </c>
      <c r="T19" s="15">
        <v>0.02</v>
      </c>
      <c r="U19" s="15">
        <v>0.04</v>
      </c>
      <c r="V19" s="15">
        <v>0.02</v>
      </c>
      <c r="W19" s="15">
        <v>0.01</v>
      </c>
      <c r="X19" s="15">
        <v>0.01</v>
      </c>
      <c r="Y19" s="15">
        <v>0.02</v>
      </c>
      <c r="Z19" s="15">
        <v>0.03</v>
      </c>
      <c r="AA19" s="15">
        <v>0.05</v>
      </c>
      <c r="AB19" s="15">
        <v>0.02</v>
      </c>
      <c r="AC19" s="15">
        <v>0.02</v>
      </c>
      <c r="AD19" s="14" t="s">
        <v>475</v>
      </c>
      <c r="AE19" s="15">
        <v>0.02</v>
      </c>
      <c r="AF19" s="15">
        <v>0.01</v>
      </c>
      <c r="AG19" s="14" t="s">
        <v>475</v>
      </c>
      <c r="AH19" s="14" t="s">
        <v>475</v>
      </c>
      <c r="AI19" s="14" t="s">
        <v>475</v>
      </c>
      <c r="AJ19" s="15">
        <v>0.01</v>
      </c>
      <c r="AK19" s="14" t="s">
        <v>475</v>
      </c>
      <c r="AL19" s="15">
        <v>0.1</v>
      </c>
      <c r="AM19" s="15">
        <v>0.03</v>
      </c>
      <c r="AN19" s="15">
        <v>0.01</v>
      </c>
      <c r="AO19" s="15">
        <v>0.02</v>
      </c>
      <c r="AP19" s="14" t="s">
        <v>475</v>
      </c>
      <c r="AQ19" s="15">
        <v>0.08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641</v>
      </c>
      <c r="C3" s="18"/>
      <c r="D3" s="18"/>
      <c r="E3" s="18"/>
      <c r="F3" s="18"/>
      <c r="H3" s="18" t="s">
        <v>642</v>
      </c>
      <c r="I3" s="18"/>
      <c r="J3" s="18"/>
      <c r="K3" s="18"/>
      <c r="L3" s="18"/>
    </row>
    <row r="4" spans="1:43" ht="27" customHeight="1" x14ac:dyDescent="0.35">
      <c r="B4" s="18" t="s">
        <v>643</v>
      </c>
      <c r="C4" s="18"/>
      <c r="D4" s="18"/>
      <c r="E4" s="18"/>
      <c r="F4" s="18"/>
      <c r="H4" s="18" t="s">
        <v>644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635</v>
      </c>
      <c r="C12" s="12">
        <v>9017</v>
      </c>
      <c r="D12" s="12">
        <v>248</v>
      </c>
      <c r="E12" s="12">
        <v>428</v>
      </c>
      <c r="F12" s="12">
        <v>497</v>
      </c>
      <c r="G12" s="12">
        <v>374</v>
      </c>
      <c r="H12" s="12">
        <v>356</v>
      </c>
      <c r="I12" s="12">
        <v>410</v>
      </c>
      <c r="J12" s="12">
        <v>54</v>
      </c>
      <c r="K12" s="12">
        <v>362</v>
      </c>
      <c r="L12" s="12">
        <v>441</v>
      </c>
      <c r="M12" s="12">
        <v>263</v>
      </c>
      <c r="N12" s="12">
        <v>345</v>
      </c>
      <c r="O12" s="12">
        <v>132</v>
      </c>
      <c r="P12" s="12">
        <v>474</v>
      </c>
      <c r="Q12" s="12">
        <v>423</v>
      </c>
      <c r="R12" s="12">
        <v>131</v>
      </c>
      <c r="S12" s="12">
        <v>432</v>
      </c>
      <c r="T12" s="12">
        <v>480</v>
      </c>
      <c r="U12" s="12">
        <v>109</v>
      </c>
      <c r="V12" s="12">
        <v>453</v>
      </c>
      <c r="W12" s="12">
        <v>223</v>
      </c>
      <c r="X12" s="12">
        <v>323</v>
      </c>
      <c r="Y12" s="12">
        <v>332</v>
      </c>
      <c r="Z12" s="12">
        <v>606</v>
      </c>
      <c r="AA12" s="12">
        <v>429</v>
      </c>
      <c r="AB12" s="12">
        <v>587</v>
      </c>
      <c r="AC12" s="12">
        <v>269</v>
      </c>
      <c r="AD12" s="12">
        <v>424</v>
      </c>
      <c r="AE12" s="12">
        <v>297</v>
      </c>
      <c r="AF12" s="12">
        <v>312</v>
      </c>
      <c r="AG12" s="12">
        <v>403</v>
      </c>
      <c r="AH12" s="12">
        <v>568</v>
      </c>
      <c r="AI12" s="12">
        <v>153</v>
      </c>
      <c r="AJ12" s="12">
        <v>453</v>
      </c>
      <c r="AK12" s="12">
        <v>800</v>
      </c>
      <c r="AL12" s="12">
        <v>548</v>
      </c>
      <c r="AM12" s="12">
        <v>252</v>
      </c>
      <c r="AN12" s="12">
        <v>518</v>
      </c>
      <c r="AO12" s="12">
        <v>708</v>
      </c>
      <c r="AP12" s="12">
        <v>375</v>
      </c>
      <c r="AQ12" s="12">
        <v>388</v>
      </c>
    </row>
    <row r="13" spans="1:43" ht="21.5" x14ac:dyDescent="0.35">
      <c r="A13" s="19"/>
      <c r="B13" s="13" t="s">
        <v>636</v>
      </c>
      <c r="C13" s="15">
        <v>0.34</v>
      </c>
      <c r="D13" s="15">
        <v>0.24</v>
      </c>
      <c r="E13" s="15">
        <v>0.41</v>
      </c>
      <c r="F13" s="15">
        <v>0.45</v>
      </c>
      <c r="G13" s="15">
        <v>0.37</v>
      </c>
      <c r="H13" s="15">
        <v>0.28999999999999998</v>
      </c>
      <c r="I13" s="15">
        <v>0.27</v>
      </c>
      <c r="J13" s="15">
        <v>0.18</v>
      </c>
      <c r="K13" s="15">
        <v>0.36</v>
      </c>
      <c r="L13" s="15">
        <v>0.44</v>
      </c>
      <c r="M13" s="15">
        <v>0.26</v>
      </c>
      <c r="N13" s="15">
        <v>0.35</v>
      </c>
      <c r="O13" s="15">
        <v>0.13</v>
      </c>
      <c r="P13" s="15">
        <v>0.47</v>
      </c>
      <c r="Q13" s="15">
        <v>0.41</v>
      </c>
      <c r="R13" s="15">
        <v>0.26</v>
      </c>
      <c r="S13" s="15">
        <v>0.43</v>
      </c>
      <c r="T13" s="15">
        <v>0.48</v>
      </c>
      <c r="U13" s="15">
        <v>0.22</v>
      </c>
      <c r="V13" s="15">
        <v>0.45</v>
      </c>
      <c r="W13" s="15">
        <v>0.44</v>
      </c>
      <c r="X13" s="15">
        <v>0.32</v>
      </c>
      <c r="Y13" s="15">
        <v>0.33</v>
      </c>
      <c r="Z13" s="15">
        <v>0.59</v>
      </c>
      <c r="AA13" s="15">
        <v>0.42</v>
      </c>
      <c r="AB13" s="15">
        <v>0.56000000000000005</v>
      </c>
      <c r="AC13" s="15">
        <v>0.27</v>
      </c>
      <c r="AD13" s="15">
        <v>0.42</v>
      </c>
      <c r="AE13" s="15">
        <v>0.28999999999999998</v>
      </c>
      <c r="AF13" s="15">
        <v>0.3</v>
      </c>
      <c r="AG13" s="15">
        <v>0.39</v>
      </c>
      <c r="AH13" s="15">
        <v>0.56000000000000005</v>
      </c>
      <c r="AI13" s="15">
        <v>0.28999999999999998</v>
      </c>
      <c r="AJ13" s="15">
        <v>0.44</v>
      </c>
      <c r="AK13" s="15">
        <v>0.79</v>
      </c>
      <c r="AL13" s="15">
        <v>0.54</v>
      </c>
      <c r="AM13" s="15">
        <v>0.24</v>
      </c>
      <c r="AN13" s="15">
        <v>0.51</v>
      </c>
      <c r="AO13" s="15">
        <v>0.71</v>
      </c>
      <c r="AP13" s="15">
        <v>0.72</v>
      </c>
      <c r="AQ13" s="15">
        <v>0.39</v>
      </c>
    </row>
    <row r="14" spans="1:43" ht="21.5" x14ac:dyDescent="0.35">
      <c r="A14" s="19"/>
      <c r="B14" s="11" t="s">
        <v>637</v>
      </c>
      <c r="C14" s="12">
        <v>13855</v>
      </c>
      <c r="D14" s="12">
        <v>677</v>
      </c>
      <c r="E14" s="12">
        <v>374</v>
      </c>
      <c r="F14" s="12">
        <v>523</v>
      </c>
      <c r="G14" s="12">
        <v>465</v>
      </c>
      <c r="H14" s="12">
        <v>712</v>
      </c>
      <c r="I14" s="12">
        <v>922</v>
      </c>
      <c r="J14" s="12">
        <v>209</v>
      </c>
      <c r="K14" s="12">
        <v>403</v>
      </c>
      <c r="L14" s="12">
        <v>413</v>
      </c>
      <c r="M14" s="12">
        <v>619</v>
      </c>
      <c r="N14" s="12">
        <v>493</v>
      </c>
      <c r="O14" s="12">
        <v>683</v>
      </c>
      <c r="P14" s="12">
        <v>458</v>
      </c>
      <c r="Q14" s="12">
        <v>501</v>
      </c>
      <c r="R14" s="12">
        <v>299</v>
      </c>
      <c r="S14" s="12">
        <v>339</v>
      </c>
      <c r="T14" s="12">
        <v>280</v>
      </c>
      <c r="U14" s="12">
        <v>337</v>
      </c>
      <c r="V14" s="12">
        <v>472</v>
      </c>
      <c r="W14" s="12">
        <v>182</v>
      </c>
      <c r="X14" s="12">
        <v>606</v>
      </c>
      <c r="Y14" s="12">
        <v>515</v>
      </c>
      <c r="Z14" s="12">
        <v>328</v>
      </c>
      <c r="AA14" s="12">
        <v>274</v>
      </c>
      <c r="AB14" s="12">
        <v>364</v>
      </c>
      <c r="AC14" s="12">
        <v>581</v>
      </c>
      <c r="AD14" s="12">
        <v>483</v>
      </c>
      <c r="AE14" s="12">
        <v>542</v>
      </c>
      <c r="AF14" s="12">
        <v>597</v>
      </c>
      <c r="AG14" s="12">
        <v>592</v>
      </c>
      <c r="AH14" s="12">
        <v>360</v>
      </c>
      <c r="AI14" s="12">
        <v>274</v>
      </c>
      <c r="AJ14" s="12">
        <v>511</v>
      </c>
      <c r="AK14" s="12">
        <v>116</v>
      </c>
      <c r="AL14" s="12">
        <v>196</v>
      </c>
      <c r="AM14" s="12">
        <v>533</v>
      </c>
      <c r="AN14" s="12">
        <v>408</v>
      </c>
      <c r="AO14" s="12">
        <v>171</v>
      </c>
      <c r="AP14" s="12">
        <v>138</v>
      </c>
      <c r="AQ14" s="12">
        <v>310</v>
      </c>
    </row>
    <row r="15" spans="1:43" ht="21.5" x14ac:dyDescent="0.35">
      <c r="A15" s="19"/>
      <c r="B15" s="13" t="s">
        <v>638</v>
      </c>
      <c r="C15" s="15">
        <v>0.52</v>
      </c>
      <c r="D15" s="15">
        <v>0.67</v>
      </c>
      <c r="E15" s="15">
        <v>0.36</v>
      </c>
      <c r="F15" s="15">
        <v>0.47</v>
      </c>
      <c r="G15" s="15">
        <v>0.46</v>
      </c>
      <c r="H15" s="15">
        <v>0.57999999999999996</v>
      </c>
      <c r="I15" s="15">
        <v>0.61</v>
      </c>
      <c r="J15" s="15">
        <v>0.71</v>
      </c>
      <c r="K15" s="15">
        <v>0.4</v>
      </c>
      <c r="L15" s="15">
        <v>0.41</v>
      </c>
      <c r="M15" s="15">
        <v>0.61</v>
      </c>
      <c r="N15" s="15">
        <v>0.49</v>
      </c>
      <c r="O15" s="15">
        <v>0.68</v>
      </c>
      <c r="P15" s="15">
        <v>0.46</v>
      </c>
      <c r="Q15" s="15">
        <v>0.49</v>
      </c>
      <c r="R15" s="15">
        <v>0.59</v>
      </c>
      <c r="S15" s="15">
        <v>0.34</v>
      </c>
      <c r="T15" s="15">
        <v>0.28000000000000003</v>
      </c>
      <c r="U15" s="15">
        <v>0.67</v>
      </c>
      <c r="V15" s="15">
        <v>0.46</v>
      </c>
      <c r="W15" s="15">
        <v>0.36</v>
      </c>
      <c r="X15" s="15">
        <v>0.6</v>
      </c>
      <c r="Y15" s="15">
        <v>0.52</v>
      </c>
      <c r="Z15" s="15">
        <v>0.32</v>
      </c>
      <c r="AA15" s="15">
        <v>0.26</v>
      </c>
      <c r="AB15" s="15">
        <v>0.35</v>
      </c>
      <c r="AC15" s="15">
        <v>0.57999999999999996</v>
      </c>
      <c r="AD15" s="15">
        <v>0.48</v>
      </c>
      <c r="AE15" s="15">
        <v>0.54</v>
      </c>
      <c r="AF15" s="15">
        <v>0.57000000000000006</v>
      </c>
      <c r="AG15" s="15">
        <v>0.57000000000000006</v>
      </c>
      <c r="AH15" s="15">
        <v>0.35</v>
      </c>
      <c r="AI15" s="15">
        <v>0.53</v>
      </c>
      <c r="AJ15" s="15">
        <v>0.49</v>
      </c>
      <c r="AK15" s="15">
        <v>0.12</v>
      </c>
      <c r="AL15" s="15">
        <v>0.19</v>
      </c>
      <c r="AM15" s="15">
        <v>0.51</v>
      </c>
      <c r="AN15" s="15">
        <v>0.41</v>
      </c>
      <c r="AO15" s="15">
        <v>0.17</v>
      </c>
      <c r="AP15" s="15">
        <v>0.26</v>
      </c>
      <c r="AQ15" s="15">
        <v>0.31</v>
      </c>
    </row>
    <row r="16" spans="1:43" ht="21.5" x14ac:dyDescent="0.35">
      <c r="A16" s="19"/>
      <c r="B16" s="11" t="s">
        <v>639</v>
      </c>
      <c r="C16" s="12">
        <v>2112</v>
      </c>
      <c r="D16" s="12">
        <v>68</v>
      </c>
      <c r="E16" s="12">
        <v>119</v>
      </c>
      <c r="F16" s="12">
        <v>39</v>
      </c>
      <c r="G16" s="12">
        <v>107</v>
      </c>
      <c r="H16" s="12">
        <v>114</v>
      </c>
      <c r="I16" s="12">
        <v>140</v>
      </c>
      <c r="J16" s="12">
        <v>26</v>
      </c>
      <c r="K16" s="12">
        <v>129</v>
      </c>
      <c r="L16" s="12">
        <v>70</v>
      </c>
      <c r="M16" s="12">
        <v>98</v>
      </c>
      <c r="N16" s="12">
        <v>93</v>
      </c>
      <c r="O16" s="12">
        <v>82</v>
      </c>
      <c r="P16" s="12">
        <v>57</v>
      </c>
      <c r="Q16" s="12">
        <v>56</v>
      </c>
      <c r="R16" s="12">
        <v>35</v>
      </c>
      <c r="S16" s="12">
        <v>108</v>
      </c>
      <c r="T16" s="12">
        <v>195</v>
      </c>
      <c r="U16" s="12">
        <v>38</v>
      </c>
      <c r="V16" s="12">
        <v>67</v>
      </c>
      <c r="W16" s="12">
        <v>69</v>
      </c>
      <c r="X16" s="12">
        <v>60</v>
      </c>
      <c r="Y16" s="12">
        <v>122</v>
      </c>
      <c r="Z16" s="12">
        <v>49</v>
      </c>
      <c r="AA16" s="12">
        <v>241</v>
      </c>
      <c r="AB16" s="12">
        <v>46</v>
      </c>
      <c r="AC16" s="12">
        <v>127</v>
      </c>
      <c r="AD16" s="12">
        <v>55</v>
      </c>
      <c r="AE16" s="12">
        <v>64</v>
      </c>
      <c r="AF16" s="12">
        <v>64</v>
      </c>
      <c r="AG16" s="12">
        <v>19</v>
      </c>
      <c r="AH16" s="12">
        <v>46</v>
      </c>
      <c r="AI16" s="12">
        <v>74</v>
      </c>
      <c r="AJ16" s="12">
        <v>39</v>
      </c>
      <c r="AK16" s="12">
        <v>55</v>
      </c>
      <c r="AL16" s="12">
        <v>19</v>
      </c>
      <c r="AM16" s="12">
        <v>47</v>
      </c>
      <c r="AN16" s="12">
        <v>57</v>
      </c>
      <c r="AO16" s="12">
        <v>34</v>
      </c>
      <c r="AP16" s="12">
        <v>6</v>
      </c>
      <c r="AQ16" s="12">
        <v>11</v>
      </c>
    </row>
    <row r="17" spans="1:43" ht="21.5" x14ac:dyDescent="0.35">
      <c r="A17" s="19"/>
      <c r="B17" s="13" t="s">
        <v>640</v>
      </c>
      <c r="C17" s="15">
        <v>0.08</v>
      </c>
      <c r="D17" s="15">
        <v>7.0000000000000007E-2</v>
      </c>
      <c r="E17" s="15">
        <v>0.12</v>
      </c>
      <c r="F17" s="15">
        <v>0.04</v>
      </c>
      <c r="G17" s="15">
        <v>0.11</v>
      </c>
      <c r="H17" s="15">
        <v>0.1</v>
      </c>
      <c r="I17" s="15">
        <v>0.09</v>
      </c>
      <c r="J17" s="15">
        <v>0.09</v>
      </c>
      <c r="K17" s="15">
        <v>0.13</v>
      </c>
      <c r="L17" s="15">
        <v>7.0000000000000007E-2</v>
      </c>
      <c r="M17" s="15">
        <v>0.1</v>
      </c>
      <c r="N17" s="15">
        <v>0.09</v>
      </c>
      <c r="O17" s="15">
        <v>0.08</v>
      </c>
      <c r="P17" s="15">
        <v>0.06</v>
      </c>
      <c r="Q17" s="15">
        <v>0.05</v>
      </c>
      <c r="R17" s="15">
        <v>7.0000000000000007E-2</v>
      </c>
      <c r="S17" s="15">
        <v>0.11</v>
      </c>
      <c r="T17" s="15">
        <v>0.19</v>
      </c>
      <c r="U17" s="15">
        <v>7.0000000000000007E-2</v>
      </c>
      <c r="V17" s="15">
        <v>7.0000000000000007E-2</v>
      </c>
      <c r="W17" s="15">
        <v>0.13</v>
      </c>
      <c r="X17" s="15">
        <v>0.06</v>
      </c>
      <c r="Y17" s="15">
        <v>0.12</v>
      </c>
      <c r="Z17" s="15">
        <v>0.05</v>
      </c>
      <c r="AA17" s="15">
        <v>0.23</v>
      </c>
      <c r="AB17" s="15">
        <v>0.04</v>
      </c>
      <c r="AC17" s="15">
        <v>0.13</v>
      </c>
      <c r="AD17" s="15">
        <v>0.06</v>
      </c>
      <c r="AE17" s="15">
        <v>0.06</v>
      </c>
      <c r="AF17" s="15">
        <v>0.06</v>
      </c>
      <c r="AG17" s="15">
        <v>0.02</v>
      </c>
      <c r="AH17" s="15">
        <v>0.05</v>
      </c>
      <c r="AI17" s="15">
        <v>0.14000000000000001</v>
      </c>
      <c r="AJ17" s="15">
        <v>0.04</v>
      </c>
      <c r="AK17" s="15">
        <v>0.05</v>
      </c>
      <c r="AL17" s="15">
        <v>0.02</v>
      </c>
      <c r="AM17" s="15">
        <v>0.05</v>
      </c>
      <c r="AN17" s="15">
        <v>0.06</v>
      </c>
      <c r="AO17" s="15">
        <v>0.03</v>
      </c>
      <c r="AP17" s="15">
        <v>0.01</v>
      </c>
      <c r="AQ17" s="15">
        <v>0.01</v>
      </c>
    </row>
    <row r="18" spans="1:43" x14ac:dyDescent="0.35">
      <c r="A18" s="19"/>
      <c r="B18" s="11" t="s">
        <v>485</v>
      </c>
      <c r="C18" s="12">
        <v>1460</v>
      </c>
      <c r="D18" s="12">
        <v>20</v>
      </c>
      <c r="E18" s="12">
        <v>109</v>
      </c>
      <c r="F18" s="12">
        <v>43</v>
      </c>
      <c r="G18" s="12">
        <v>61</v>
      </c>
      <c r="H18" s="12">
        <v>39</v>
      </c>
      <c r="I18" s="12">
        <v>45</v>
      </c>
      <c r="J18" s="12">
        <v>6</v>
      </c>
      <c r="K18" s="12">
        <v>108</v>
      </c>
      <c r="L18" s="12">
        <v>78</v>
      </c>
      <c r="M18" s="12">
        <v>30</v>
      </c>
      <c r="N18" s="12">
        <v>72</v>
      </c>
      <c r="O18" s="12">
        <v>103</v>
      </c>
      <c r="P18" s="12">
        <v>15</v>
      </c>
      <c r="Q18" s="12">
        <v>47</v>
      </c>
      <c r="R18" s="12">
        <v>39</v>
      </c>
      <c r="S18" s="12">
        <v>123</v>
      </c>
      <c r="T18" s="12">
        <v>51</v>
      </c>
      <c r="U18" s="12">
        <v>20</v>
      </c>
      <c r="V18" s="12">
        <v>23</v>
      </c>
      <c r="W18" s="12">
        <v>34</v>
      </c>
      <c r="X18" s="12">
        <v>21</v>
      </c>
      <c r="Y18" s="12">
        <v>34</v>
      </c>
      <c r="Z18" s="12">
        <v>48</v>
      </c>
      <c r="AA18" s="12">
        <v>88</v>
      </c>
      <c r="AB18" s="12">
        <v>53</v>
      </c>
      <c r="AC18" s="12">
        <v>25</v>
      </c>
      <c r="AD18" s="12">
        <v>43</v>
      </c>
      <c r="AE18" s="12">
        <v>109</v>
      </c>
      <c r="AF18" s="12">
        <v>69</v>
      </c>
      <c r="AG18" s="12">
        <v>21</v>
      </c>
      <c r="AH18" s="12">
        <v>39</v>
      </c>
      <c r="AI18" s="12">
        <v>21</v>
      </c>
      <c r="AJ18" s="12">
        <v>34</v>
      </c>
      <c r="AK18" s="12">
        <v>35</v>
      </c>
      <c r="AL18" s="12">
        <v>249</v>
      </c>
      <c r="AM18" s="12">
        <v>208</v>
      </c>
      <c r="AN18" s="12">
        <v>20</v>
      </c>
      <c r="AO18" s="12">
        <v>92</v>
      </c>
      <c r="AP18" s="12">
        <v>5</v>
      </c>
      <c r="AQ18" s="12">
        <v>293</v>
      </c>
    </row>
    <row r="19" spans="1:43" x14ac:dyDescent="0.35">
      <c r="A19" s="19"/>
      <c r="B19" s="13" t="s">
        <v>486</v>
      </c>
      <c r="C19" s="15">
        <v>0.06</v>
      </c>
      <c r="D19" s="15">
        <v>0.02</v>
      </c>
      <c r="E19" s="15">
        <v>0.11</v>
      </c>
      <c r="F19" s="15">
        <v>0.04</v>
      </c>
      <c r="G19" s="15">
        <v>0.06</v>
      </c>
      <c r="H19" s="15">
        <v>0.03</v>
      </c>
      <c r="I19" s="15">
        <v>0.03</v>
      </c>
      <c r="J19" s="15">
        <v>0.02</v>
      </c>
      <c r="K19" s="15">
        <v>0.11</v>
      </c>
      <c r="L19" s="15">
        <v>0.08</v>
      </c>
      <c r="M19" s="15">
        <v>0.03</v>
      </c>
      <c r="N19" s="15">
        <v>7.0000000000000007E-2</v>
      </c>
      <c r="O19" s="15">
        <v>0.11</v>
      </c>
      <c r="P19" s="15">
        <v>0.01</v>
      </c>
      <c r="Q19" s="15">
        <v>0.05</v>
      </c>
      <c r="R19" s="15">
        <v>0.08</v>
      </c>
      <c r="S19" s="15">
        <v>0.12</v>
      </c>
      <c r="T19" s="15">
        <v>0.05</v>
      </c>
      <c r="U19" s="15">
        <v>0.04</v>
      </c>
      <c r="V19" s="15">
        <v>0.02</v>
      </c>
      <c r="W19" s="15">
        <v>7.0000000000000007E-2</v>
      </c>
      <c r="X19" s="15">
        <v>0.02</v>
      </c>
      <c r="Y19" s="15">
        <v>0.03</v>
      </c>
      <c r="Z19" s="15">
        <v>0.04</v>
      </c>
      <c r="AA19" s="15">
        <v>0.09</v>
      </c>
      <c r="AB19" s="15">
        <v>0.05</v>
      </c>
      <c r="AC19" s="15">
        <v>0.02</v>
      </c>
      <c r="AD19" s="15">
        <v>0.04</v>
      </c>
      <c r="AE19" s="15">
        <v>0.11</v>
      </c>
      <c r="AF19" s="15">
        <v>7.0000000000000007E-2</v>
      </c>
      <c r="AG19" s="15">
        <v>0.02</v>
      </c>
      <c r="AH19" s="15">
        <v>0.04</v>
      </c>
      <c r="AI19" s="15">
        <v>0.04</v>
      </c>
      <c r="AJ19" s="15">
        <v>0.03</v>
      </c>
      <c r="AK19" s="15">
        <v>0.04</v>
      </c>
      <c r="AL19" s="15">
        <v>0.25</v>
      </c>
      <c r="AM19" s="15">
        <v>0.2</v>
      </c>
      <c r="AN19" s="15">
        <v>0.02</v>
      </c>
      <c r="AO19" s="15">
        <v>0.09</v>
      </c>
      <c r="AP19" s="15">
        <v>0.01</v>
      </c>
      <c r="AQ19" s="15">
        <v>0.28999999999999998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645</v>
      </c>
      <c r="C3" s="18"/>
      <c r="D3" s="18"/>
      <c r="E3" s="18"/>
      <c r="F3" s="18"/>
      <c r="H3" s="18" t="s">
        <v>646</v>
      </c>
      <c r="I3" s="18"/>
      <c r="J3" s="18"/>
      <c r="K3" s="18"/>
      <c r="L3" s="18"/>
    </row>
    <row r="4" spans="1:43" ht="27" customHeight="1" x14ac:dyDescent="0.35">
      <c r="B4" s="18" t="s">
        <v>647</v>
      </c>
      <c r="C4" s="18"/>
      <c r="D4" s="18"/>
      <c r="E4" s="18"/>
      <c r="F4" s="18"/>
      <c r="H4" s="18" t="s">
        <v>648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635</v>
      </c>
      <c r="C12" s="12">
        <v>6614</v>
      </c>
      <c r="D12" s="12">
        <v>175</v>
      </c>
      <c r="E12" s="12">
        <v>346</v>
      </c>
      <c r="F12" s="12">
        <v>454</v>
      </c>
      <c r="G12" s="12">
        <v>38</v>
      </c>
      <c r="H12" s="12">
        <v>108</v>
      </c>
      <c r="I12" s="12">
        <v>165</v>
      </c>
      <c r="J12" s="12">
        <v>57</v>
      </c>
      <c r="K12" s="12">
        <v>297</v>
      </c>
      <c r="L12" s="12">
        <v>168</v>
      </c>
      <c r="M12" s="12">
        <v>274</v>
      </c>
      <c r="N12" s="12">
        <v>170</v>
      </c>
      <c r="O12" s="12">
        <v>178</v>
      </c>
      <c r="P12" s="12">
        <v>363</v>
      </c>
      <c r="Q12" s="12">
        <v>402</v>
      </c>
      <c r="R12" s="12">
        <v>167</v>
      </c>
      <c r="S12" s="12">
        <v>230</v>
      </c>
      <c r="T12" s="12">
        <v>358</v>
      </c>
      <c r="U12" s="12">
        <v>30</v>
      </c>
      <c r="V12" s="12">
        <v>478</v>
      </c>
      <c r="W12" s="12">
        <v>113</v>
      </c>
      <c r="X12" s="12">
        <v>71</v>
      </c>
      <c r="Y12" s="12">
        <v>218</v>
      </c>
      <c r="Z12" s="12">
        <v>552</v>
      </c>
      <c r="AA12" s="12">
        <v>227</v>
      </c>
      <c r="AB12" s="12">
        <v>553</v>
      </c>
      <c r="AC12" s="12">
        <v>177</v>
      </c>
      <c r="AD12" s="12">
        <v>318</v>
      </c>
      <c r="AE12" s="12">
        <v>108</v>
      </c>
      <c r="AF12" s="12">
        <v>72</v>
      </c>
      <c r="AG12" s="12">
        <v>351</v>
      </c>
      <c r="AH12" s="12">
        <v>601</v>
      </c>
      <c r="AI12" s="12">
        <v>147</v>
      </c>
      <c r="AJ12" s="12">
        <v>364</v>
      </c>
      <c r="AK12" s="12">
        <v>807</v>
      </c>
      <c r="AL12" s="12">
        <v>346</v>
      </c>
      <c r="AM12" s="12">
        <v>229</v>
      </c>
      <c r="AN12" s="12">
        <v>308</v>
      </c>
      <c r="AO12" s="12">
        <v>821</v>
      </c>
      <c r="AP12" s="12">
        <v>265</v>
      </c>
      <c r="AQ12" s="12">
        <v>455</v>
      </c>
    </row>
    <row r="13" spans="1:43" ht="21.5" x14ac:dyDescent="0.35">
      <c r="A13" s="19"/>
      <c r="B13" s="13" t="s">
        <v>636</v>
      </c>
      <c r="C13" s="15">
        <v>0.25</v>
      </c>
      <c r="D13" s="15">
        <v>0.17</v>
      </c>
      <c r="E13" s="15">
        <v>0.34</v>
      </c>
      <c r="F13" s="15">
        <v>0.41</v>
      </c>
      <c r="G13" s="15">
        <v>0.04</v>
      </c>
      <c r="H13" s="15">
        <v>0.09</v>
      </c>
      <c r="I13" s="15">
        <v>0.11</v>
      </c>
      <c r="J13" s="15">
        <v>0.19</v>
      </c>
      <c r="K13" s="15">
        <v>0.3</v>
      </c>
      <c r="L13" s="15">
        <v>0.17</v>
      </c>
      <c r="M13" s="15">
        <v>0.27</v>
      </c>
      <c r="N13" s="15">
        <v>0.17</v>
      </c>
      <c r="O13" s="15">
        <v>0.18</v>
      </c>
      <c r="P13" s="15">
        <v>0.36</v>
      </c>
      <c r="Q13" s="15">
        <v>0.39</v>
      </c>
      <c r="R13" s="15">
        <v>0.33</v>
      </c>
      <c r="S13" s="15">
        <v>0.23</v>
      </c>
      <c r="T13" s="15">
        <v>0.36</v>
      </c>
      <c r="U13" s="15">
        <v>0.06</v>
      </c>
      <c r="V13" s="15">
        <v>0.47</v>
      </c>
      <c r="W13" s="15">
        <v>0.22</v>
      </c>
      <c r="X13" s="15">
        <v>7.0000000000000007E-2</v>
      </c>
      <c r="Y13" s="15">
        <v>0.22</v>
      </c>
      <c r="Z13" s="15">
        <v>0.53</v>
      </c>
      <c r="AA13" s="15">
        <v>0.22</v>
      </c>
      <c r="AB13" s="15">
        <v>0.53</v>
      </c>
      <c r="AC13" s="15">
        <v>0.18</v>
      </c>
      <c r="AD13" s="15">
        <v>0.32</v>
      </c>
      <c r="AE13" s="15">
        <v>0.11</v>
      </c>
      <c r="AF13" s="15">
        <v>7.0000000000000007E-2</v>
      </c>
      <c r="AG13" s="15">
        <v>0.34</v>
      </c>
      <c r="AH13" s="15">
        <v>0.59</v>
      </c>
      <c r="AI13" s="15">
        <v>0.28000000000000003</v>
      </c>
      <c r="AJ13" s="15">
        <v>0.35</v>
      </c>
      <c r="AK13" s="15">
        <v>0.8</v>
      </c>
      <c r="AL13" s="15">
        <v>0.34</v>
      </c>
      <c r="AM13" s="15">
        <v>0.22</v>
      </c>
      <c r="AN13" s="15">
        <v>0.3</v>
      </c>
      <c r="AO13" s="15">
        <v>0.82000000000000006</v>
      </c>
      <c r="AP13" s="15">
        <v>0.51</v>
      </c>
      <c r="AQ13" s="15">
        <v>0.45</v>
      </c>
    </row>
    <row r="14" spans="1:43" ht="21.5" x14ac:dyDescent="0.35">
      <c r="A14" s="19"/>
      <c r="B14" s="11" t="s">
        <v>637</v>
      </c>
      <c r="C14" s="12">
        <v>16400</v>
      </c>
      <c r="D14" s="12">
        <v>769</v>
      </c>
      <c r="E14" s="12">
        <v>363</v>
      </c>
      <c r="F14" s="12">
        <v>532</v>
      </c>
      <c r="G14" s="12">
        <v>917</v>
      </c>
      <c r="H14" s="12">
        <v>996</v>
      </c>
      <c r="I14" s="12">
        <v>1208</v>
      </c>
      <c r="J14" s="12">
        <v>212</v>
      </c>
      <c r="K14" s="12">
        <v>404</v>
      </c>
      <c r="L14" s="12">
        <v>748</v>
      </c>
      <c r="M14" s="12">
        <v>594</v>
      </c>
      <c r="N14" s="12">
        <v>687</v>
      </c>
      <c r="O14" s="12">
        <v>651</v>
      </c>
      <c r="P14" s="12">
        <v>550</v>
      </c>
      <c r="Q14" s="12">
        <v>506</v>
      </c>
      <c r="R14" s="12">
        <v>213</v>
      </c>
      <c r="S14" s="12">
        <v>374</v>
      </c>
      <c r="T14" s="12">
        <v>347</v>
      </c>
      <c r="U14" s="12">
        <v>403</v>
      </c>
      <c r="V14" s="12">
        <v>426</v>
      </c>
      <c r="W14" s="12">
        <v>246</v>
      </c>
      <c r="X14" s="12">
        <v>904</v>
      </c>
      <c r="Y14" s="12">
        <v>649</v>
      </c>
      <c r="Z14" s="12">
        <v>352</v>
      </c>
      <c r="AA14" s="12">
        <v>443</v>
      </c>
      <c r="AB14" s="12">
        <v>362</v>
      </c>
      <c r="AC14" s="12">
        <v>667</v>
      </c>
      <c r="AD14" s="12">
        <v>514</v>
      </c>
      <c r="AE14" s="12">
        <v>788</v>
      </c>
      <c r="AF14" s="12">
        <v>948</v>
      </c>
      <c r="AG14" s="12">
        <v>637</v>
      </c>
      <c r="AH14" s="12">
        <v>280</v>
      </c>
      <c r="AI14" s="12">
        <v>269</v>
      </c>
      <c r="AJ14" s="12">
        <v>583</v>
      </c>
      <c r="AK14" s="12">
        <v>105</v>
      </c>
      <c r="AL14" s="12">
        <v>194</v>
      </c>
      <c r="AM14" s="12">
        <v>637</v>
      </c>
      <c r="AN14" s="12">
        <v>590</v>
      </c>
      <c r="AO14" s="12">
        <v>97</v>
      </c>
      <c r="AP14" s="12">
        <v>243</v>
      </c>
      <c r="AQ14" s="12">
        <v>210</v>
      </c>
    </row>
    <row r="15" spans="1:43" ht="21.5" x14ac:dyDescent="0.35">
      <c r="A15" s="19"/>
      <c r="B15" s="13" t="s">
        <v>638</v>
      </c>
      <c r="C15" s="15">
        <v>0.62</v>
      </c>
      <c r="D15" s="15">
        <v>0.76</v>
      </c>
      <c r="E15" s="15">
        <v>0.35</v>
      </c>
      <c r="F15" s="15">
        <v>0.48</v>
      </c>
      <c r="G15" s="15">
        <v>0.91</v>
      </c>
      <c r="H15" s="15">
        <v>0.82000000000000006</v>
      </c>
      <c r="I15" s="15">
        <v>0.8</v>
      </c>
      <c r="J15" s="15">
        <v>0.72</v>
      </c>
      <c r="K15" s="15">
        <v>0.4</v>
      </c>
      <c r="L15" s="15">
        <v>0.75</v>
      </c>
      <c r="M15" s="15">
        <v>0.59</v>
      </c>
      <c r="N15" s="15">
        <v>0.69000000000000006</v>
      </c>
      <c r="O15" s="15">
        <v>0.65</v>
      </c>
      <c r="P15" s="15">
        <v>0.55000000000000004</v>
      </c>
      <c r="Q15" s="15">
        <v>0.49</v>
      </c>
      <c r="R15" s="15">
        <v>0.42</v>
      </c>
      <c r="S15" s="15">
        <v>0.37</v>
      </c>
      <c r="T15" s="15">
        <v>0.34</v>
      </c>
      <c r="U15" s="15">
        <v>0.8</v>
      </c>
      <c r="V15" s="15">
        <v>0.42</v>
      </c>
      <c r="W15" s="15">
        <v>0.49</v>
      </c>
      <c r="X15" s="15">
        <v>0.89</v>
      </c>
      <c r="Y15" s="15">
        <v>0.65</v>
      </c>
      <c r="Z15" s="15">
        <v>0.34</v>
      </c>
      <c r="AA15" s="15">
        <v>0.43</v>
      </c>
      <c r="AB15" s="15">
        <v>0.34</v>
      </c>
      <c r="AC15" s="15">
        <v>0.67</v>
      </c>
      <c r="AD15" s="15">
        <v>0.51</v>
      </c>
      <c r="AE15" s="15">
        <v>0.78</v>
      </c>
      <c r="AF15" s="15">
        <v>0.91</v>
      </c>
      <c r="AG15" s="15">
        <v>0.62</v>
      </c>
      <c r="AH15" s="15">
        <v>0.28000000000000003</v>
      </c>
      <c r="AI15" s="15">
        <v>0.52</v>
      </c>
      <c r="AJ15" s="15">
        <v>0.56000000000000005</v>
      </c>
      <c r="AK15" s="15">
        <v>0.11</v>
      </c>
      <c r="AL15" s="15">
        <v>0.19</v>
      </c>
      <c r="AM15" s="15">
        <v>0.61</v>
      </c>
      <c r="AN15" s="15">
        <v>0.59</v>
      </c>
      <c r="AO15" s="15">
        <v>0.1</v>
      </c>
      <c r="AP15" s="15">
        <v>0.46</v>
      </c>
      <c r="AQ15" s="15">
        <v>0.21</v>
      </c>
    </row>
    <row r="16" spans="1:43" ht="21.5" x14ac:dyDescent="0.35">
      <c r="A16" s="19"/>
      <c r="B16" s="11" t="s">
        <v>639</v>
      </c>
      <c r="C16" s="12">
        <v>1326</v>
      </c>
      <c r="D16" s="12">
        <v>43</v>
      </c>
      <c r="E16" s="12">
        <v>106</v>
      </c>
      <c r="F16" s="12">
        <v>39</v>
      </c>
      <c r="G16" s="12">
        <v>27</v>
      </c>
      <c r="H16" s="12">
        <v>54</v>
      </c>
      <c r="I16" s="12">
        <v>68</v>
      </c>
      <c r="J16" s="12">
        <v>14</v>
      </c>
      <c r="K16" s="12">
        <v>120</v>
      </c>
      <c r="L16" s="12">
        <v>33</v>
      </c>
      <c r="M16" s="12">
        <v>75</v>
      </c>
      <c r="N16" s="12">
        <v>41</v>
      </c>
      <c r="O16" s="12">
        <v>57</v>
      </c>
      <c r="P16" s="12">
        <v>43</v>
      </c>
      <c r="Q16" s="12">
        <v>40</v>
      </c>
      <c r="R16" s="12">
        <v>34</v>
      </c>
      <c r="S16" s="12">
        <v>132</v>
      </c>
      <c r="T16" s="12">
        <v>185</v>
      </c>
      <c r="U16" s="12">
        <v>20</v>
      </c>
      <c r="V16" s="12">
        <v>56</v>
      </c>
      <c r="W16" s="12">
        <v>53</v>
      </c>
      <c r="X16" s="12">
        <v>16</v>
      </c>
      <c r="Y16" s="12">
        <v>70</v>
      </c>
      <c r="Z16" s="12">
        <v>59</v>
      </c>
      <c r="AA16" s="12">
        <v>118</v>
      </c>
      <c r="AB16" s="12">
        <v>57</v>
      </c>
      <c r="AC16" s="12">
        <v>95</v>
      </c>
      <c r="AD16" s="12">
        <v>69</v>
      </c>
      <c r="AE16" s="12">
        <v>24</v>
      </c>
      <c r="AF16" s="12">
        <v>15</v>
      </c>
      <c r="AG16" s="12">
        <v>23</v>
      </c>
      <c r="AH16" s="12">
        <v>53</v>
      </c>
      <c r="AI16" s="12">
        <v>84</v>
      </c>
      <c r="AJ16" s="12">
        <v>43</v>
      </c>
      <c r="AK16" s="12">
        <v>23</v>
      </c>
      <c r="AL16" s="12">
        <v>15</v>
      </c>
      <c r="AM16" s="12">
        <v>35</v>
      </c>
      <c r="AN16" s="12">
        <v>48</v>
      </c>
      <c r="AO16" s="12">
        <v>12</v>
      </c>
      <c r="AP16" s="12">
        <v>9</v>
      </c>
      <c r="AQ16" s="12">
        <v>18</v>
      </c>
    </row>
    <row r="17" spans="1:43" ht="21.5" x14ac:dyDescent="0.35">
      <c r="A17" s="19"/>
      <c r="B17" s="13" t="s">
        <v>640</v>
      </c>
      <c r="C17" s="15">
        <v>0.05</v>
      </c>
      <c r="D17" s="15">
        <v>0.04</v>
      </c>
      <c r="E17" s="15">
        <v>0.1</v>
      </c>
      <c r="F17" s="15">
        <v>0.04</v>
      </c>
      <c r="G17" s="15">
        <v>0.03</v>
      </c>
      <c r="H17" s="15">
        <v>0.04</v>
      </c>
      <c r="I17" s="15">
        <v>0.04</v>
      </c>
      <c r="J17" s="15">
        <v>0.05</v>
      </c>
      <c r="K17" s="15">
        <v>0.12</v>
      </c>
      <c r="L17" s="15">
        <v>0.03</v>
      </c>
      <c r="M17" s="15">
        <v>7.0000000000000007E-2</v>
      </c>
      <c r="N17" s="15">
        <v>0.04</v>
      </c>
      <c r="O17" s="15">
        <v>0.06</v>
      </c>
      <c r="P17" s="15">
        <v>0.04</v>
      </c>
      <c r="Q17" s="15">
        <v>0.04</v>
      </c>
      <c r="R17" s="15">
        <v>7.0000000000000007E-2</v>
      </c>
      <c r="S17" s="15">
        <v>0.13</v>
      </c>
      <c r="T17" s="15">
        <v>0.18</v>
      </c>
      <c r="U17" s="15">
        <v>0.04</v>
      </c>
      <c r="V17" s="15">
        <v>0.06</v>
      </c>
      <c r="W17" s="15">
        <v>0.1</v>
      </c>
      <c r="X17" s="15">
        <v>0.02</v>
      </c>
      <c r="Y17" s="15">
        <v>7.0000000000000007E-2</v>
      </c>
      <c r="Z17" s="15">
        <v>0.06</v>
      </c>
      <c r="AA17" s="15">
        <v>0.11</v>
      </c>
      <c r="AB17" s="15">
        <v>0.05</v>
      </c>
      <c r="AC17" s="15">
        <v>0.09</v>
      </c>
      <c r="AD17" s="15">
        <v>7.0000000000000007E-2</v>
      </c>
      <c r="AE17" s="15">
        <v>0.02</v>
      </c>
      <c r="AF17" s="15">
        <v>0.01</v>
      </c>
      <c r="AG17" s="15">
        <v>0.02</v>
      </c>
      <c r="AH17" s="15">
        <v>0.05</v>
      </c>
      <c r="AI17" s="15">
        <v>0.16</v>
      </c>
      <c r="AJ17" s="15">
        <v>0.04</v>
      </c>
      <c r="AK17" s="15">
        <v>0.02</v>
      </c>
      <c r="AL17" s="15">
        <v>0.02</v>
      </c>
      <c r="AM17" s="15">
        <v>0.03</v>
      </c>
      <c r="AN17" s="15">
        <v>0.05</v>
      </c>
      <c r="AO17" s="15">
        <v>0.01</v>
      </c>
      <c r="AP17" s="15">
        <v>0.02</v>
      </c>
      <c r="AQ17" s="15">
        <v>0.02</v>
      </c>
    </row>
    <row r="18" spans="1:43" x14ac:dyDescent="0.35">
      <c r="A18" s="19"/>
      <c r="B18" s="11" t="s">
        <v>485</v>
      </c>
      <c r="C18" s="12">
        <v>2106</v>
      </c>
      <c r="D18" s="12">
        <v>26</v>
      </c>
      <c r="E18" s="12">
        <v>215</v>
      </c>
      <c r="F18" s="12">
        <v>77</v>
      </c>
      <c r="G18" s="12">
        <v>24</v>
      </c>
      <c r="H18" s="12">
        <v>64</v>
      </c>
      <c r="I18" s="12">
        <v>75</v>
      </c>
      <c r="J18" s="12">
        <v>11</v>
      </c>
      <c r="K18" s="12">
        <v>180</v>
      </c>
      <c r="L18" s="12">
        <v>53</v>
      </c>
      <c r="M18" s="12">
        <v>66</v>
      </c>
      <c r="N18" s="12">
        <v>104</v>
      </c>
      <c r="O18" s="12">
        <v>115</v>
      </c>
      <c r="P18" s="12">
        <v>49</v>
      </c>
      <c r="Q18" s="12">
        <v>79</v>
      </c>
      <c r="R18" s="12">
        <v>90</v>
      </c>
      <c r="S18" s="12">
        <v>265</v>
      </c>
      <c r="T18" s="12">
        <v>117</v>
      </c>
      <c r="U18" s="12">
        <v>51</v>
      </c>
      <c r="V18" s="12">
        <v>55</v>
      </c>
      <c r="W18" s="12">
        <v>95</v>
      </c>
      <c r="X18" s="12">
        <v>18</v>
      </c>
      <c r="Y18" s="12">
        <v>66</v>
      </c>
      <c r="Z18" s="12">
        <v>68</v>
      </c>
      <c r="AA18" s="12">
        <v>246</v>
      </c>
      <c r="AB18" s="12">
        <v>79</v>
      </c>
      <c r="AC18" s="12">
        <v>65</v>
      </c>
      <c r="AD18" s="12">
        <v>104</v>
      </c>
      <c r="AE18" s="12">
        <v>93</v>
      </c>
      <c r="AF18" s="12">
        <v>8</v>
      </c>
      <c r="AG18" s="12">
        <v>24</v>
      </c>
      <c r="AH18" s="12">
        <v>79</v>
      </c>
      <c r="AI18" s="12">
        <v>22</v>
      </c>
      <c r="AJ18" s="12">
        <v>47</v>
      </c>
      <c r="AK18" s="12">
        <v>72</v>
      </c>
      <c r="AL18" s="12">
        <v>457</v>
      </c>
      <c r="AM18" s="12">
        <v>139</v>
      </c>
      <c r="AN18" s="12">
        <v>57</v>
      </c>
      <c r="AO18" s="12">
        <v>75</v>
      </c>
      <c r="AP18" s="12">
        <v>7</v>
      </c>
      <c r="AQ18" s="12">
        <v>319</v>
      </c>
    </row>
    <row r="19" spans="1:43" x14ac:dyDescent="0.35">
      <c r="A19" s="19"/>
      <c r="B19" s="13" t="s">
        <v>486</v>
      </c>
      <c r="C19" s="15">
        <v>0.08</v>
      </c>
      <c r="D19" s="15">
        <v>0.03</v>
      </c>
      <c r="E19" s="15">
        <v>0.21</v>
      </c>
      <c r="F19" s="15">
        <v>7.0000000000000007E-2</v>
      </c>
      <c r="G19" s="15">
        <v>0.02</v>
      </c>
      <c r="H19" s="15">
        <v>0.05</v>
      </c>
      <c r="I19" s="15">
        <v>0.05</v>
      </c>
      <c r="J19" s="15">
        <v>0.04</v>
      </c>
      <c r="K19" s="15">
        <v>0.18</v>
      </c>
      <c r="L19" s="15">
        <v>0.05</v>
      </c>
      <c r="M19" s="15">
        <v>7.0000000000000007E-2</v>
      </c>
      <c r="N19" s="15">
        <v>0.1</v>
      </c>
      <c r="O19" s="15">
        <v>0.11</v>
      </c>
      <c r="P19" s="15">
        <v>0.05</v>
      </c>
      <c r="Q19" s="15">
        <v>0.08</v>
      </c>
      <c r="R19" s="15">
        <v>0.18</v>
      </c>
      <c r="S19" s="15">
        <v>0.27</v>
      </c>
      <c r="T19" s="15">
        <v>0.12</v>
      </c>
      <c r="U19" s="15">
        <v>0.1</v>
      </c>
      <c r="V19" s="15">
        <v>0.05</v>
      </c>
      <c r="W19" s="15">
        <v>0.19</v>
      </c>
      <c r="X19" s="15">
        <v>0.02</v>
      </c>
      <c r="Y19" s="15">
        <v>0.06</v>
      </c>
      <c r="Z19" s="15">
        <v>7.0000000000000007E-2</v>
      </c>
      <c r="AA19" s="15">
        <v>0.24</v>
      </c>
      <c r="AB19" s="15">
        <v>0.08</v>
      </c>
      <c r="AC19" s="15">
        <v>0.06</v>
      </c>
      <c r="AD19" s="15">
        <v>0.1</v>
      </c>
      <c r="AE19" s="15">
        <v>0.09</v>
      </c>
      <c r="AF19" s="15">
        <v>0.01</v>
      </c>
      <c r="AG19" s="15">
        <v>0.02</v>
      </c>
      <c r="AH19" s="15">
        <v>0.08</v>
      </c>
      <c r="AI19" s="15">
        <v>0.04</v>
      </c>
      <c r="AJ19" s="15">
        <v>0.05</v>
      </c>
      <c r="AK19" s="15">
        <v>7.0000000000000007E-2</v>
      </c>
      <c r="AL19" s="15">
        <v>0.45</v>
      </c>
      <c r="AM19" s="15">
        <v>0.14000000000000001</v>
      </c>
      <c r="AN19" s="15">
        <v>0.06</v>
      </c>
      <c r="AO19" s="15">
        <v>7.0000000000000007E-2</v>
      </c>
      <c r="AP19" s="15">
        <v>0.01</v>
      </c>
      <c r="AQ19" s="15">
        <v>0.32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649</v>
      </c>
      <c r="C3" s="18"/>
      <c r="D3" s="18"/>
      <c r="E3" s="18"/>
      <c r="F3" s="18"/>
      <c r="H3" s="18" t="s">
        <v>650</v>
      </c>
      <c r="I3" s="18"/>
      <c r="J3" s="18"/>
      <c r="K3" s="18"/>
      <c r="L3" s="18"/>
    </row>
    <row r="4" spans="1:43" ht="27" customHeight="1" x14ac:dyDescent="0.35">
      <c r="B4" s="18" t="s">
        <v>651</v>
      </c>
      <c r="C4" s="18"/>
      <c r="D4" s="18"/>
      <c r="E4" s="18"/>
      <c r="F4" s="18"/>
      <c r="H4" s="18" t="s">
        <v>652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635</v>
      </c>
      <c r="C12" s="12">
        <v>19267</v>
      </c>
      <c r="D12" s="12">
        <v>720</v>
      </c>
      <c r="E12" s="12">
        <v>630</v>
      </c>
      <c r="F12" s="12">
        <v>893</v>
      </c>
      <c r="G12" s="12">
        <v>812</v>
      </c>
      <c r="H12" s="12">
        <v>928</v>
      </c>
      <c r="I12" s="12">
        <v>1128</v>
      </c>
      <c r="J12" s="12">
        <v>200</v>
      </c>
      <c r="K12" s="12">
        <v>727</v>
      </c>
      <c r="L12" s="12">
        <v>844</v>
      </c>
      <c r="M12" s="12">
        <v>731</v>
      </c>
      <c r="N12" s="12">
        <v>838</v>
      </c>
      <c r="O12" s="12">
        <v>654</v>
      </c>
      <c r="P12" s="12">
        <v>649</v>
      </c>
      <c r="Q12" s="12">
        <v>718</v>
      </c>
      <c r="R12" s="12">
        <v>392</v>
      </c>
      <c r="S12" s="12">
        <v>816</v>
      </c>
      <c r="T12" s="12">
        <v>815</v>
      </c>
      <c r="U12" s="12">
        <v>414</v>
      </c>
      <c r="V12" s="12">
        <v>687</v>
      </c>
      <c r="W12" s="12">
        <v>417</v>
      </c>
      <c r="X12" s="12">
        <v>848</v>
      </c>
      <c r="Y12" s="12">
        <v>648</v>
      </c>
      <c r="Z12" s="12">
        <v>751</v>
      </c>
      <c r="AA12" s="12">
        <v>587</v>
      </c>
      <c r="AB12" s="12">
        <v>685</v>
      </c>
      <c r="AC12" s="12">
        <v>869</v>
      </c>
      <c r="AD12" s="12">
        <v>727</v>
      </c>
      <c r="AE12" s="12">
        <v>778</v>
      </c>
      <c r="AF12" s="12">
        <v>868</v>
      </c>
      <c r="AG12" s="12">
        <v>548</v>
      </c>
      <c r="AH12" s="12">
        <v>803</v>
      </c>
      <c r="AI12" s="12">
        <v>228</v>
      </c>
      <c r="AJ12" s="12">
        <v>735</v>
      </c>
      <c r="AK12" s="12">
        <v>811</v>
      </c>
      <c r="AL12" s="12">
        <v>811</v>
      </c>
      <c r="AM12" s="12">
        <v>801</v>
      </c>
      <c r="AN12" s="12">
        <v>746</v>
      </c>
      <c r="AO12" s="12">
        <v>836</v>
      </c>
      <c r="AP12" s="12">
        <v>420</v>
      </c>
      <c r="AQ12" s="12">
        <v>742</v>
      </c>
    </row>
    <row r="13" spans="1:43" ht="21.5" x14ac:dyDescent="0.35">
      <c r="A13" s="19"/>
      <c r="B13" s="13" t="s">
        <v>636</v>
      </c>
      <c r="C13" s="15">
        <v>0.73</v>
      </c>
      <c r="D13" s="15">
        <v>0.71</v>
      </c>
      <c r="E13" s="15">
        <v>0.61</v>
      </c>
      <c r="F13" s="15">
        <v>0.81</v>
      </c>
      <c r="G13" s="15">
        <v>0.81</v>
      </c>
      <c r="H13" s="15">
        <v>0.76</v>
      </c>
      <c r="I13" s="15">
        <v>0.74</v>
      </c>
      <c r="J13" s="15">
        <v>0.68</v>
      </c>
      <c r="K13" s="15">
        <v>0.73</v>
      </c>
      <c r="L13" s="15">
        <v>0.84</v>
      </c>
      <c r="M13" s="15">
        <v>0.72</v>
      </c>
      <c r="N13" s="15">
        <v>0.84</v>
      </c>
      <c r="O13" s="15">
        <v>0.65</v>
      </c>
      <c r="P13" s="15">
        <v>0.65</v>
      </c>
      <c r="Q13" s="15">
        <v>0.70000000000000007</v>
      </c>
      <c r="R13" s="15">
        <v>0.78</v>
      </c>
      <c r="S13" s="15">
        <v>0.81</v>
      </c>
      <c r="T13" s="15">
        <v>0.81</v>
      </c>
      <c r="U13" s="15">
        <v>0.82000000000000006</v>
      </c>
      <c r="V13" s="15">
        <v>0.68</v>
      </c>
      <c r="W13" s="15">
        <v>0.82000000000000006</v>
      </c>
      <c r="X13" s="15">
        <v>0.84</v>
      </c>
      <c r="Y13" s="15">
        <v>0.65</v>
      </c>
      <c r="Z13" s="15">
        <v>0.73</v>
      </c>
      <c r="AA13" s="15">
        <v>0.57000000000000006</v>
      </c>
      <c r="AB13" s="15">
        <v>0.65</v>
      </c>
      <c r="AC13" s="15">
        <v>0.87</v>
      </c>
      <c r="AD13" s="15">
        <v>0.72</v>
      </c>
      <c r="AE13" s="15">
        <v>0.77</v>
      </c>
      <c r="AF13" s="15">
        <v>0.83000000000000007</v>
      </c>
      <c r="AG13" s="15">
        <v>0.53</v>
      </c>
      <c r="AH13" s="15">
        <v>0.79</v>
      </c>
      <c r="AI13" s="15">
        <v>0.44</v>
      </c>
      <c r="AJ13" s="15">
        <v>0.71</v>
      </c>
      <c r="AK13" s="15">
        <v>0.8</v>
      </c>
      <c r="AL13" s="15">
        <v>0.8</v>
      </c>
      <c r="AM13" s="15">
        <v>0.77</v>
      </c>
      <c r="AN13" s="15">
        <v>0.74</v>
      </c>
      <c r="AO13" s="15">
        <v>0.83000000000000007</v>
      </c>
      <c r="AP13" s="15">
        <v>0.8</v>
      </c>
      <c r="AQ13" s="15">
        <v>0.74</v>
      </c>
    </row>
    <row r="14" spans="1:43" ht="21.5" x14ac:dyDescent="0.35">
      <c r="A14" s="19"/>
      <c r="B14" s="11" t="s">
        <v>637</v>
      </c>
      <c r="C14" s="12">
        <v>4021</v>
      </c>
      <c r="D14" s="12">
        <v>206</v>
      </c>
      <c r="E14" s="12">
        <v>178</v>
      </c>
      <c r="F14" s="12">
        <v>161</v>
      </c>
      <c r="G14" s="12">
        <v>86</v>
      </c>
      <c r="H14" s="12">
        <v>126</v>
      </c>
      <c r="I14" s="12">
        <v>180</v>
      </c>
      <c r="J14" s="12">
        <v>54</v>
      </c>
      <c r="K14" s="12">
        <v>113</v>
      </c>
      <c r="L14" s="12">
        <v>75</v>
      </c>
      <c r="M14" s="12">
        <v>187</v>
      </c>
      <c r="N14" s="12">
        <v>91</v>
      </c>
      <c r="O14" s="12">
        <v>188</v>
      </c>
      <c r="P14" s="12">
        <v>242</v>
      </c>
      <c r="Q14" s="12">
        <v>214</v>
      </c>
      <c r="R14" s="12">
        <v>56</v>
      </c>
      <c r="S14" s="12">
        <v>59</v>
      </c>
      <c r="T14" s="12">
        <v>48</v>
      </c>
      <c r="U14" s="12">
        <v>29</v>
      </c>
      <c r="V14" s="12">
        <v>195</v>
      </c>
      <c r="W14" s="12">
        <v>35</v>
      </c>
      <c r="X14" s="12">
        <v>61</v>
      </c>
      <c r="Y14" s="12">
        <v>212</v>
      </c>
      <c r="Z14" s="12">
        <v>172</v>
      </c>
      <c r="AA14" s="12">
        <v>141</v>
      </c>
      <c r="AB14" s="12">
        <v>268</v>
      </c>
      <c r="AC14" s="12">
        <v>61</v>
      </c>
      <c r="AD14" s="12">
        <v>197</v>
      </c>
      <c r="AE14" s="12">
        <v>55</v>
      </c>
      <c r="AF14" s="12">
        <v>61</v>
      </c>
      <c r="AG14" s="12">
        <v>460</v>
      </c>
      <c r="AH14" s="12">
        <v>138</v>
      </c>
      <c r="AI14" s="12">
        <v>221</v>
      </c>
      <c r="AJ14" s="12">
        <v>235</v>
      </c>
      <c r="AK14" s="12">
        <v>107</v>
      </c>
      <c r="AL14" s="12">
        <v>105</v>
      </c>
      <c r="AM14" s="12">
        <v>112</v>
      </c>
      <c r="AN14" s="12">
        <v>169</v>
      </c>
      <c r="AO14" s="12">
        <v>104</v>
      </c>
      <c r="AP14" s="12">
        <v>93</v>
      </c>
      <c r="AQ14" s="12">
        <v>187</v>
      </c>
    </row>
    <row r="15" spans="1:43" ht="21.5" x14ac:dyDescent="0.35">
      <c r="A15" s="19"/>
      <c r="B15" s="13" t="s">
        <v>638</v>
      </c>
      <c r="C15" s="15">
        <v>0.15</v>
      </c>
      <c r="D15" s="15">
        <v>0.2</v>
      </c>
      <c r="E15" s="15">
        <v>0.17</v>
      </c>
      <c r="F15" s="15">
        <v>0.15</v>
      </c>
      <c r="G15" s="15">
        <v>0.09</v>
      </c>
      <c r="H15" s="15">
        <v>0.1</v>
      </c>
      <c r="I15" s="15">
        <v>0.12</v>
      </c>
      <c r="J15" s="15">
        <v>0.18</v>
      </c>
      <c r="K15" s="15">
        <v>0.11</v>
      </c>
      <c r="L15" s="15">
        <v>0.08</v>
      </c>
      <c r="M15" s="15">
        <v>0.19</v>
      </c>
      <c r="N15" s="15">
        <v>0.09</v>
      </c>
      <c r="O15" s="15">
        <v>0.19</v>
      </c>
      <c r="P15" s="15">
        <v>0.24</v>
      </c>
      <c r="Q15" s="15">
        <v>0.21</v>
      </c>
      <c r="R15" s="15">
        <v>0.11</v>
      </c>
      <c r="S15" s="15">
        <v>0.06</v>
      </c>
      <c r="T15" s="15">
        <v>0.05</v>
      </c>
      <c r="U15" s="15">
        <v>0.06</v>
      </c>
      <c r="V15" s="15">
        <v>0.19</v>
      </c>
      <c r="W15" s="15">
        <v>7.0000000000000007E-2</v>
      </c>
      <c r="X15" s="15">
        <v>0.06</v>
      </c>
      <c r="Y15" s="15">
        <v>0.21</v>
      </c>
      <c r="Z15" s="15">
        <v>0.17</v>
      </c>
      <c r="AA15" s="15">
        <v>0.14000000000000001</v>
      </c>
      <c r="AB15" s="15">
        <v>0.26</v>
      </c>
      <c r="AC15" s="15">
        <v>0.06</v>
      </c>
      <c r="AD15" s="15">
        <v>0.2</v>
      </c>
      <c r="AE15" s="15">
        <v>0.05</v>
      </c>
      <c r="AF15" s="15">
        <v>0.06</v>
      </c>
      <c r="AG15" s="15">
        <v>0.45</v>
      </c>
      <c r="AH15" s="15">
        <v>0.14000000000000001</v>
      </c>
      <c r="AI15" s="15">
        <v>0.42</v>
      </c>
      <c r="AJ15" s="15">
        <v>0.23</v>
      </c>
      <c r="AK15" s="15">
        <v>0.11</v>
      </c>
      <c r="AL15" s="15">
        <v>0.1</v>
      </c>
      <c r="AM15" s="15">
        <v>0.11</v>
      </c>
      <c r="AN15" s="15">
        <v>0.17</v>
      </c>
      <c r="AO15" s="15">
        <v>0.1</v>
      </c>
      <c r="AP15" s="15">
        <v>0.18</v>
      </c>
      <c r="AQ15" s="15">
        <v>0.19</v>
      </c>
    </row>
    <row r="16" spans="1:43" ht="21.5" x14ac:dyDescent="0.35">
      <c r="A16" s="19"/>
      <c r="B16" s="11" t="s">
        <v>639</v>
      </c>
      <c r="C16" s="12">
        <v>2850</v>
      </c>
      <c r="D16" s="12">
        <v>78</v>
      </c>
      <c r="E16" s="12">
        <v>181</v>
      </c>
      <c r="F16" s="12">
        <v>38</v>
      </c>
      <c r="G16" s="12">
        <v>103</v>
      </c>
      <c r="H16" s="12">
        <v>159</v>
      </c>
      <c r="I16" s="12">
        <v>195</v>
      </c>
      <c r="J16" s="12">
        <v>36</v>
      </c>
      <c r="K16" s="12">
        <v>121</v>
      </c>
      <c r="L16" s="12">
        <v>74</v>
      </c>
      <c r="M16" s="12">
        <v>82</v>
      </c>
      <c r="N16" s="12">
        <v>61</v>
      </c>
      <c r="O16" s="12">
        <v>144</v>
      </c>
      <c r="P16" s="12">
        <v>100</v>
      </c>
      <c r="Q16" s="12">
        <v>85</v>
      </c>
      <c r="R16" s="12">
        <v>52</v>
      </c>
      <c r="S16" s="12">
        <v>105</v>
      </c>
      <c r="T16" s="12">
        <v>139</v>
      </c>
      <c r="U16" s="12">
        <v>59</v>
      </c>
      <c r="V16" s="12">
        <v>130</v>
      </c>
      <c r="W16" s="12">
        <v>49</v>
      </c>
      <c r="X16" s="12">
        <v>94</v>
      </c>
      <c r="Y16" s="12">
        <v>129</v>
      </c>
      <c r="Z16" s="12">
        <v>98</v>
      </c>
      <c r="AA16" s="12">
        <v>281</v>
      </c>
      <c r="AB16" s="12">
        <v>78</v>
      </c>
      <c r="AC16" s="12">
        <v>68</v>
      </c>
      <c r="AD16" s="12">
        <v>74</v>
      </c>
      <c r="AE16" s="12">
        <v>166</v>
      </c>
      <c r="AF16" s="12">
        <v>108</v>
      </c>
      <c r="AG16" s="12">
        <v>24</v>
      </c>
      <c r="AH16" s="12">
        <v>66</v>
      </c>
      <c r="AI16" s="12">
        <v>64</v>
      </c>
      <c r="AJ16" s="12">
        <v>60</v>
      </c>
      <c r="AK16" s="12">
        <v>89</v>
      </c>
      <c r="AL16" s="12">
        <v>69</v>
      </c>
      <c r="AM16" s="12">
        <v>113</v>
      </c>
      <c r="AN16" s="12">
        <v>80</v>
      </c>
      <c r="AO16" s="12">
        <v>58</v>
      </c>
      <c r="AP16" s="12">
        <v>8</v>
      </c>
      <c r="AQ16" s="12">
        <v>51</v>
      </c>
    </row>
    <row r="17" spans="1:43" ht="21.5" x14ac:dyDescent="0.35">
      <c r="A17" s="19"/>
      <c r="B17" s="13" t="s">
        <v>640</v>
      </c>
      <c r="C17" s="15">
        <v>0.11</v>
      </c>
      <c r="D17" s="15">
        <v>0.08</v>
      </c>
      <c r="E17" s="15">
        <v>0.18</v>
      </c>
      <c r="F17" s="15">
        <v>0.03</v>
      </c>
      <c r="G17" s="15">
        <v>0.1</v>
      </c>
      <c r="H17" s="15">
        <v>0.13</v>
      </c>
      <c r="I17" s="15">
        <v>0.13</v>
      </c>
      <c r="J17" s="15">
        <v>0.12</v>
      </c>
      <c r="K17" s="15">
        <v>0.12</v>
      </c>
      <c r="L17" s="15">
        <v>7.0000000000000007E-2</v>
      </c>
      <c r="M17" s="15">
        <v>0.08</v>
      </c>
      <c r="N17" s="15">
        <v>0.06</v>
      </c>
      <c r="O17" s="15">
        <v>0.14000000000000001</v>
      </c>
      <c r="P17" s="15">
        <v>0.1</v>
      </c>
      <c r="Q17" s="15">
        <v>0.08</v>
      </c>
      <c r="R17" s="15">
        <v>0.1</v>
      </c>
      <c r="S17" s="15">
        <v>0.11</v>
      </c>
      <c r="T17" s="15">
        <v>0.14000000000000001</v>
      </c>
      <c r="U17" s="15">
        <v>0.12</v>
      </c>
      <c r="V17" s="15">
        <v>0.13</v>
      </c>
      <c r="W17" s="15">
        <v>0.1</v>
      </c>
      <c r="X17" s="15">
        <v>0.09</v>
      </c>
      <c r="Y17" s="15">
        <v>0.13</v>
      </c>
      <c r="Z17" s="15">
        <v>0.09</v>
      </c>
      <c r="AA17" s="15">
        <v>0.27</v>
      </c>
      <c r="AB17" s="15">
        <v>7.0000000000000007E-2</v>
      </c>
      <c r="AC17" s="15">
        <v>7.0000000000000007E-2</v>
      </c>
      <c r="AD17" s="15">
        <v>7.0000000000000007E-2</v>
      </c>
      <c r="AE17" s="15">
        <v>0.17</v>
      </c>
      <c r="AF17" s="15">
        <v>0.1</v>
      </c>
      <c r="AG17" s="15">
        <v>0.02</v>
      </c>
      <c r="AH17" s="15">
        <v>0.06</v>
      </c>
      <c r="AI17" s="15">
        <v>0.12</v>
      </c>
      <c r="AJ17" s="15">
        <v>0.06</v>
      </c>
      <c r="AK17" s="15">
        <v>0.09</v>
      </c>
      <c r="AL17" s="15">
        <v>7.0000000000000007E-2</v>
      </c>
      <c r="AM17" s="15">
        <v>0.11</v>
      </c>
      <c r="AN17" s="15">
        <v>0.08</v>
      </c>
      <c r="AO17" s="15">
        <v>0.06</v>
      </c>
      <c r="AP17" s="15">
        <v>0.01</v>
      </c>
      <c r="AQ17" s="15">
        <v>0.05</v>
      </c>
    </row>
    <row r="18" spans="1:43" x14ac:dyDescent="0.35">
      <c r="A18" s="19"/>
      <c r="B18" s="11" t="s">
        <v>485</v>
      </c>
      <c r="C18" s="12">
        <v>307</v>
      </c>
      <c r="D18" s="12">
        <v>9</v>
      </c>
      <c r="E18" s="12">
        <v>41</v>
      </c>
      <c r="F18" s="12">
        <v>9</v>
      </c>
      <c r="G18" s="12">
        <v>5</v>
      </c>
      <c r="H18" s="12">
        <v>9</v>
      </c>
      <c r="I18" s="12">
        <v>13</v>
      </c>
      <c r="J18" s="12">
        <v>5</v>
      </c>
      <c r="K18" s="12">
        <v>41</v>
      </c>
      <c r="L18" s="12">
        <v>9</v>
      </c>
      <c r="M18" s="12">
        <v>10</v>
      </c>
      <c r="N18" s="12">
        <v>13</v>
      </c>
      <c r="O18" s="12">
        <v>16</v>
      </c>
      <c r="P18" s="12">
        <v>13</v>
      </c>
      <c r="Q18" s="12">
        <v>9</v>
      </c>
      <c r="R18" s="12">
        <v>5</v>
      </c>
      <c r="S18" s="12">
        <v>21</v>
      </c>
      <c r="T18" s="12">
        <v>4</v>
      </c>
      <c r="U18" s="12">
        <v>3</v>
      </c>
      <c r="V18" s="12">
        <v>4</v>
      </c>
      <c r="W18" s="12">
        <v>7</v>
      </c>
      <c r="X18" s="12">
        <v>7</v>
      </c>
      <c r="Y18" s="12">
        <v>14</v>
      </c>
      <c r="Z18" s="12">
        <v>10</v>
      </c>
      <c r="AA18" s="12">
        <v>25</v>
      </c>
      <c r="AB18" s="12">
        <v>20</v>
      </c>
      <c r="AC18" s="12">
        <v>6</v>
      </c>
      <c r="AD18" s="12">
        <v>7</v>
      </c>
      <c r="AE18" s="12">
        <v>13</v>
      </c>
      <c r="AF18" s="12">
        <v>6</v>
      </c>
      <c r="AG18" s="12">
        <v>4</v>
      </c>
      <c r="AH18" s="12">
        <v>6</v>
      </c>
      <c r="AI18" s="12">
        <v>9</v>
      </c>
      <c r="AJ18" s="12">
        <v>6</v>
      </c>
      <c r="AK18" s="12">
        <v>0</v>
      </c>
      <c r="AL18" s="12">
        <v>26</v>
      </c>
      <c r="AM18" s="12">
        <v>13</v>
      </c>
      <c r="AN18" s="12">
        <v>9</v>
      </c>
      <c r="AO18" s="12">
        <v>7</v>
      </c>
      <c r="AP18" s="12">
        <v>3</v>
      </c>
      <c r="AQ18" s="12">
        <v>22</v>
      </c>
    </row>
    <row r="19" spans="1:43" x14ac:dyDescent="0.35">
      <c r="A19" s="19"/>
      <c r="B19" s="13" t="s">
        <v>486</v>
      </c>
      <c r="C19" s="15">
        <v>0.01</v>
      </c>
      <c r="D19" s="15">
        <v>0.01</v>
      </c>
      <c r="E19" s="15">
        <v>0.04</v>
      </c>
      <c r="F19" s="15">
        <v>0.01</v>
      </c>
      <c r="G19" s="14" t="s">
        <v>475</v>
      </c>
      <c r="H19" s="15">
        <v>0.01</v>
      </c>
      <c r="I19" s="15">
        <v>0.01</v>
      </c>
      <c r="J19" s="15">
        <v>0.02</v>
      </c>
      <c r="K19" s="15">
        <v>0.04</v>
      </c>
      <c r="L19" s="15">
        <v>0.01</v>
      </c>
      <c r="M19" s="15">
        <v>0.01</v>
      </c>
      <c r="N19" s="15">
        <v>0.01</v>
      </c>
      <c r="O19" s="15">
        <v>0.02</v>
      </c>
      <c r="P19" s="15">
        <v>0.01</v>
      </c>
      <c r="Q19" s="15">
        <v>0.01</v>
      </c>
      <c r="R19" s="15">
        <v>0.01</v>
      </c>
      <c r="S19" s="15">
        <v>0.02</v>
      </c>
      <c r="T19" s="14" t="s">
        <v>475</v>
      </c>
      <c r="U19" s="14" t="s">
        <v>475</v>
      </c>
      <c r="V19" s="14" t="s">
        <v>475</v>
      </c>
      <c r="W19" s="15">
        <v>0.01</v>
      </c>
      <c r="X19" s="15">
        <v>0.01</v>
      </c>
      <c r="Y19" s="15">
        <v>0.01</v>
      </c>
      <c r="Z19" s="15">
        <v>0.01</v>
      </c>
      <c r="AA19" s="15">
        <v>0.02</v>
      </c>
      <c r="AB19" s="15">
        <v>0.02</v>
      </c>
      <c r="AC19" s="14" t="s">
        <v>475</v>
      </c>
      <c r="AD19" s="15">
        <v>0.01</v>
      </c>
      <c r="AE19" s="15">
        <v>0.01</v>
      </c>
      <c r="AF19" s="15">
        <v>0.01</v>
      </c>
      <c r="AG19" s="14" t="s">
        <v>475</v>
      </c>
      <c r="AH19" s="15">
        <v>0.01</v>
      </c>
      <c r="AI19" s="15">
        <v>0.02</v>
      </c>
      <c r="AJ19" s="14" t="s">
        <v>475</v>
      </c>
      <c r="AK19" s="14" t="s">
        <v>475</v>
      </c>
      <c r="AL19" s="15">
        <v>0.03</v>
      </c>
      <c r="AM19" s="15">
        <v>0.01</v>
      </c>
      <c r="AN19" s="15">
        <v>0.01</v>
      </c>
      <c r="AO19" s="15">
        <v>0.01</v>
      </c>
      <c r="AP19" s="15">
        <v>0.01</v>
      </c>
      <c r="AQ19" s="15">
        <v>0.02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5" width="12.453125" customWidth="1"/>
  </cols>
  <sheetData>
    <row r="1" spans="1:35" x14ac:dyDescent="0.35">
      <c r="I1" s="7" t="s">
        <v>428</v>
      </c>
    </row>
    <row r="2" spans="1:35" x14ac:dyDescent="0.35">
      <c r="C2" s="7" t="s">
        <v>429</v>
      </c>
      <c r="H2" s="7" t="s">
        <v>430</v>
      </c>
    </row>
    <row r="3" spans="1:35" ht="36" customHeight="1" x14ac:dyDescent="0.35">
      <c r="B3" s="18" t="s">
        <v>653</v>
      </c>
      <c r="C3" s="18"/>
      <c r="D3" s="18"/>
      <c r="E3" s="18"/>
      <c r="F3" s="18"/>
      <c r="H3" s="18" t="s">
        <v>654</v>
      </c>
      <c r="I3" s="18"/>
      <c r="J3" s="18"/>
      <c r="K3" s="18"/>
      <c r="L3" s="18"/>
    </row>
    <row r="4" spans="1:35" ht="27" customHeight="1" x14ac:dyDescent="0.35">
      <c r="B4" s="18" t="s">
        <v>655</v>
      </c>
      <c r="C4" s="18"/>
      <c r="D4" s="18"/>
      <c r="E4" s="18"/>
      <c r="F4" s="18"/>
      <c r="H4" s="18" t="s">
        <v>656</v>
      </c>
      <c r="I4" s="18"/>
      <c r="J4" s="18"/>
      <c r="K4" s="18"/>
      <c r="L4" s="18"/>
    </row>
    <row r="5" spans="1:35" ht="12" customHeight="1" x14ac:dyDescent="0.35">
      <c r="B5" s="18" t="s">
        <v>431</v>
      </c>
      <c r="C5" s="18"/>
      <c r="D5" s="18"/>
      <c r="E5" s="18"/>
      <c r="F5" s="18"/>
      <c r="H5" s="18" t="s">
        <v>432</v>
      </c>
      <c r="I5" s="18"/>
      <c r="J5" s="18"/>
      <c r="K5" s="18"/>
      <c r="L5" s="18"/>
    </row>
    <row r="6" spans="1:35" ht="1" customHeight="1" x14ac:dyDescent="0.35"/>
    <row r="7" spans="1:35" ht="1" customHeight="1" x14ac:dyDescent="0.35"/>
    <row r="8" spans="1:35"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row>
    <row r="9" spans="1:35" ht="18" x14ac:dyDescent="0.35">
      <c r="A9" s="5" t="str">
        <f>HYPERLINK("#Content!A34","&lt;&lt;Back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469</v>
      </c>
      <c r="AH9" s="8" t="s">
        <v>471</v>
      </c>
      <c r="AI9" s="8" t="s">
        <v>472</v>
      </c>
    </row>
    <row r="10" spans="1:35"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1040</v>
      </c>
      <c r="AH10" s="10">
        <v>1005</v>
      </c>
      <c r="AI10" s="10">
        <v>524</v>
      </c>
    </row>
    <row r="11" spans="1:35"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x14ac:dyDescent="0.35">
      <c r="A12" s="19"/>
      <c r="B12" s="11" t="s">
        <v>657</v>
      </c>
      <c r="C12" s="12">
        <v>6887</v>
      </c>
      <c r="D12" s="12">
        <v>276</v>
      </c>
      <c r="E12" s="12">
        <v>208</v>
      </c>
      <c r="F12" s="12">
        <v>286</v>
      </c>
      <c r="G12" s="12">
        <v>534</v>
      </c>
      <c r="H12" s="12">
        <v>470</v>
      </c>
      <c r="I12" s="12">
        <v>509</v>
      </c>
      <c r="J12" s="12">
        <v>39</v>
      </c>
      <c r="K12" s="12">
        <v>266</v>
      </c>
      <c r="L12" s="12">
        <v>327</v>
      </c>
      <c r="M12" s="12">
        <v>106</v>
      </c>
      <c r="N12" s="12">
        <v>174</v>
      </c>
      <c r="O12" s="12">
        <v>72</v>
      </c>
      <c r="P12" s="12">
        <v>270</v>
      </c>
      <c r="Q12" s="12">
        <v>287</v>
      </c>
      <c r="R12" s="12">
        <v>54</v>
      </c>
      <c r="S12" s="12">
        <v>174</v>
      </c>
      <c r="T12" s="12">
        <v>209</v>
      </c>
      <c r="U12" s="12">
        <v>202</v>
      </c>
      <c r="V12" s="12">
        <v>369</v>
      </c>
      <c r="W12" s="12">
        <v>121</v>
      </c>
      <c r="X12" s="12">
        <v>353</v>
      </c>
      <c r="Y12" s="12">
        <v>398</v>
      </c>
      <c r="Z12" s="12">
        <v>399</v>
      </c>
      <c r="AA12" s="12">
        <v>250</v>
      </c>
      <c r="AB12" s="12">
        <v>265</v>
      </c>
      <c r="AC12" s="12">
        <v>129</v>
      </c>
      <c r="AD12" s="12">
        <v>213</v>
      </c>
      <c r="AE12" s="12">
        <v>426</v>
      </c>
      <c r="AF12" s="12">
        <v>390</v>
      </c>
      <c r="AG12" s="12">
        <v>139</v>
      </c>
      <c r="AH12" s="12">
        <v>347</v>
      </c>
      <c r="AI12" s="12">
        <v>273</v>
      </c>
    </row>
    <row r="13" spans="1:35" x14ac:dyDescent="0.35">
      <c r="A13" s="19"/>
      <c r="B13" s="13" t="s">
        <v>658</v>
      </c>
      <c r="C13" s="15">
        <v>0.26</v>
      </c>
      <c r="D13" s="15">
        <v>0.27</v>
      </c>
      <c r="E13" s="15">
        <v>0.2</v>
      </c>
      <c r="F13" s="15">
        <v>0.26</v>
      </c>
      <c r="G13" s="15">
        <v>0.53</v>
      </c>
      <c r="H13" s="15">
        <v>0.38</v>
      </c>
      <c r="I13" s="15">
        <v>0.34</v>
      </c>
      <c r="J13" s="15">
        <v>0.13</v>
      </c>
      <c r="K13" s="15">
        <v>0.27</v>
      </c>
      <c r="L13" s="15">
        <v>0.32</v>
      </c>
      <c r="M13" s="15">
        <v>0.11</v>
      </c>
      <c r="N13" s="15">
        <v>0.17</v>
      </c>
      <c r="O13" s="15">
        <v>7.0000000000000007E-2</v>
      </c>
      <c r="P13" s="15">
        <v>0.27</v>
      </c>
      <c r="Q13" s="15">
        <v>0.28000000000000003</v>
      </c>
      <c r="R13" s="15">
        <v>0.11</v>
      </c>
      <c r="S13" s="15">
        <v>0.18</v>
      </c>
      <c r="T13" s="15">
        <v>0.21</v>
      </c>
      <c r="U13" s="15">
        <v>0.4</v>
      </c>
      <c r="V13" s="15">
        <v>0.36</v>
      </c>
      <c r="W13" s="15">
        <v>0.24</v>
      </c>
      <c r="X13" s="15">
        <v>0.35</v>
      </c>
      <c r="Y13" s="15">
        <v>0.4</v>
      </c>
      <c r="Z13" s="15">
        <v>0.39</v>
      </c>
      <c r="AA13" s="15">
        <v>0.24</v>
      </c>
      <c r="AB13" s="15">
        <v>0.25</v>
      </c>
      <c r="AC13" s="15">
        <v>0.13</v>
      </c>
      <c r="AD13" s="15">
        <v>0.21</v>
      </c>
      <c r="AE13" s="15">
        <v>0.42</v>
      </c>
      <c r="AF13" s="15">
        <v>0.37</v>
      </c>
      <c r="AG13" s="15">
        <v>0.13</v>
      </c>
      <c r="AH13" s="15">
        <v>0.34</v>
      </c>
      <c r="AI13" s="15">
        <v>0.52</v>
      </c>
    </row>
    <row r="14" spans="1:35" x14ac:dyDescent="0.35">
      <c r="A14" s="19"/>
      <c r="B14" s="11" t="s">
        <v>659</v>
      </c>
      <c r="C14" s="12">
        <v>18863</v>
      </c>
      <c r="D14" s="12">
        <v>721</v>
      </c>
      <c r="E14" s="12">
        <v>781</v>
      </c>
      <c r="F14" s="12">
        <v>790</v>
      </c>
      <c r="G14" s="12">
        <v>426</v>
      </c>
      <c r="H14" s="12">
        <v>706</v>
      </c>
      <c r="I14" s="12">
        <v>959</v>
      </c>
      <c r="J14" s="12">
        <v>253</v>
      </c>
      <c r="K14" s="12">
        <v>673</v>
      </c>
      <c r="L14" s="12">
        <v>628</v>
      </c>
      <c r="M14" s="12">
        <v>893</v>
      </c>
      <c r="N14" s="12">
        <v>808</v>
      </c>
      <c r="O14" s="12">
        <v>894</v>
      </c>
      <c r="P14" s="12">
        <v>732</v>
      </c>
      <c r="Q14" s="12">
        <v>725</v>
      </c>
      <c r="R14" s="12">
        <v>440</v>
      </c>
      <c r="S14" s="12">
        <v>795</v>
      </c>
      <c r="T14" s="12">
        <v>728</v>
      </c>
      <c r="U14" s="12">
        <v>269</v>
      </c>
      <c r="V14" s="12">
        <v>615</v>
      </c>
      <c r="W14" s="12">
        <v>353</v>
      </c>
      <c r="X14" s="12">
        <v>638</v>
      </c>
      <c r="Y14" s="12">
        <v>580</v>
      </c>
      <c r="Z14" s="12">
        <v>595</v>
      </c>
      <c r="AA14" s="12">
        <v>764</v>
      </c>
      <c r="AB14" s="12">
        <v>759</v>
      </c>
      <c r="AC14" s="12">
        <v>853</v>
      </c>
      <c r="AD14" s="12">
        <v>783</v>
      </c>
      <c r="AE14" s="12">
        <v>552</v>
      </c>
      <c r="AF14" s="12">
        <v>645</v>
      </c>
      <c r="AG14" s="12">
        <v>862</v>
      </c>
      <c r="AH14" s="12">
        <v>633</v>
      </c>
      <c r="AI14" s="12">
        <v>249</v>
      </c>
    </row>
    <row r="15" spans="1:35" x14ac:dyDescent="0.35">
      <c r="A15" s="19"/>
      <c r="B15" s="13" t="s">
        <v>660</v>
      </c>
      <c r="C15" s="15">
        <v>0.71</v>
      </c>
      <c r="D15" s="15">
        <v>0.71</v>
      </c>
      <c r="E15" s="15">
        <v>0.76</v>
      </c>
      <c r="F15" s="15">
        <v>0.72</v>
      </c>
      <c r="G15" s="15">
        <v>0.42</v>
      </c>
      <c r="H15" s="15">
        <v>0.57999999999999996</v>
      </c>
      <c r="I15" s="15">
        <v>0.63</v>
      </c>
      <c r="J15" s="15">
        <v>0.86</v>
      </c>
      <c r="K15" s="15">
        <v>0.67</v>
      </c>
      <c r="L15" s="15">
        <v>0.63</v>
      </c>
      <c r="M15" s="15">
        <v>0.88</v>
      </c>
      <c r="N15" s="15">
        <v>0.81</v>
      </c>
      <c r="O15" s="15">
        <v>0.89</v>
      </c>
      <c r="P15" s="15">
        <v>0.73</v>
      </c>
      <c r="Q15" s="15">
        <v>0.71</v>
      </c>
      <c r="R15" s="15">
        <v>0.87</v>
      </c>
      <c r="S15" s="15">
        <v>0.79</v>
      </c>
      <c r="T15" s="15">
        <v>0.72</v>
      </c>
      <c r="U15" s="15">
        <v>0.53</v>
      </c>
      <c r="V15" s="15">
        <v>0.61</v>
      </c>
      <c r="W15" s="15">
        <v>0.69000000000000006</v>
      </c>
      <c r="X15" s="15">
        <v>0.63</v>
      </c>
      <c r="Y15" s="15">
        <v>0.57999999999999996</v>
      </c>
      <c r="Z15" s="15">
        <v>0.57999999999999996</v>
      </c>
      <c r="AA15" s="15">
        <v>0.74</v>
      </c>
      <c r="AB15" s="15">
        <v>0.72</v>
      </c>
      <c r="AC15" s="15">
        <v>0.85</v>
      </c>
      <c r="AD15" s="15">
        <v>0.78</v>
      </c>
      <c r="AE15" s="15">
        <v>0.55000000000000004</v>
      </c>
      <c r="AF15" s="15">
        <v>0.62</v>
      </c>
      <c r="AG15" s="15">
        <v>0.83000000000000007</v>
      </c>
      <c r="AH15" s="15">
        <v>0.63</v>
      </c>
      <c r="AI15" s="15">
        <v>0.48</v>
      </c>
    </row>
    <row r="16" spans="1:35" x14ac:dyDescent="0.35">
      <c r="A16" s="19"/>
      <c r="B16" s="11" t="s">
        <v>485</v>
      </c>
      <c r="C16" s="12">
        <v>695</v>
      </c>
      <c r="D16" s="12">
        <v>17</v>
      </c>
      <c r="E16" s="12">
        <v>42</v>
      </c>
      <c r="F16" s="12">
        <v>26</v>
      </c>
      <c r="G16" s="12">
        <v>46</v>
      </c>
      <c r="H16" s="12">
        <v>45</v>
      </c>
      <c r="I16" s="12">
        <v>48</v>
      </c>
      <c r="J16" s="12">
        <v>3</v>
      </c>
      <c r="K16" s="12">
        <v>63</v>
      </c>
      <c r="L16" s="12">
        <v>47</v>
      </c>
      <c r="M16" s="12">
        <v>11</v>
      </c>
      <c r="N16" s="12">
        <v>21</v>
      </c>
      <c r="O16" s="12">
        <v>35</v>
      </c>
      <c r="P16" s="12">
        <v>2</v>
      </c>
      <c r="Q16" s="12">
        <v>14</v>
      </c>
      <c r="R16" s="12">
        <v>10</v>
      </c>
      <c r="S16" s="12">
        <v>33</v>
      </c>
      <c r="T16" s="12">
        <v>69</v>
      </c>
      <c r="U16" s="12">
        <v>34</v>
      </c>
      <c r="V16" s="12">
        <v>31</v>
      </c>
      <c r="W16" s="12">
        <v>34</v>
      </c>
      <c r="X16" s="12">
        <v>18</v>
      </c>
      <c r="Y16" s="12">
        <v>24</v>
      </c>
      <c r="Z16" s="12">
        <v>36</v>
      </c>
      <c r="AA16" s="12">
        <v>19</v>
      </c>
      <c r="AB16" s="12">
        <v>28</v>
      </c>
      <c r="AC16" s="12">
        <v>21</v>
      </c>
      <c r="AD16" s="12">
        <v>9</v>
      </c>
      <c r="AE16" s="12">
        <v>34</v>
      </c>
      <c r="AF16" s="12">
        <v>8</v>
      </c>
      <c r="AG16" s="12">
        <v>39</v>
      </c>
      <c r="AH16" s="12">
        <v>25</v>
      </c>
      <c r="AI16" s="12">
        <v>2</v>
      </c>
    </row>
    <row r="17" spans="1:35" x14ac:dyDescent="0.35">
      <c r="A17" s="19"/>
      <c r="B17" s="13" t="s">
        <v>486</v>
      </c>
      <c r="C17" s="15">
        <v>0.03</v>
      </c>
      <c r="D17" s="15">
        <v>0.02</v>
      </c>
      <c r="E17" s="15">
        <v>0.04</v>
      </c>
      <c r="F17" s="15">
        <v>0.02</v>
      </c>
      <c r="G17" s="15">
        <v>0.05</v>
      </c>
      <c r="H17" s="15">
        <v>0.04</v>
      </c>
      <c r="I17" s="15">
        <v>0.03</v>
      </c>
      <c r="J17" s="15">
        <v>0.01</v>
      </c>
      <c r="K17" s="15">
        <v>0.06</v>
      </c>
      <c r="L17" s="15">
        <v>0.05</v>
      </c>
      <c r="M17" s="15">
        <v>0.01</v>
      </c>
      <c r="N17" s="15">
        <v>0.02</v>
      </c>
      <c r="O17" s="15">
        <v>0.04</v>
      </c>
      <c r="P17" s="14" t="s">
        <v>475</v>
      </c>
      <c r="Q17" s="15">
        <v>0.01</v>
      </c>
      <c r="R17" s="15">
        <v>0.02</v>
      </c>
      <c r="S17" s="15">
        <v>0.03</v>
      </c>
      <c r="T17" s="15">
        <v>7.0000000000000007E-2</v>
      </c>
      <c r="U17" s="15">
        <v>7.0000000000000007E-2</v>
      </c>
      <c r="V17" s="15">
        <v>0.03</v>
      </c>
      <c r="W17" s="15">
        <v>7.0000000000000007E-2</v>
      </c>
      <c r="X17" s="15">
        <v>0.02</v>
      </c>
      <c r="Y17" s="15">
        <v>0.02</v>
      </c>
      <c r="Z17" s="15">
        <v>0.03</v>
      </c>
      <c r="AA17" s="15">
        <v>0.02</v>
      </c>
      <c r="AB17" s="15">
        <v>0.03</v>
      </c>
      <c r="AC17" s="15">
        <v>0.02</v>
      </c>
      <c r="AD17" s="15">
        <v>0.01</v>
      </c>
      <c r="AE17" s="15">
        <v>0.03</v>
      </c>
      <c r="AF17" s="15">
        <v>0.01</v>
      </c>
      <c r="AG17" s="15">
        <v>0.04</v>
      </c>
      <c r="AH17" s="15">
        <v>0.03</v>
      </c>
      <c r="AI17" s="14" t="s">
        <v>475</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661</v>
      </c>
      <c r="C3" s="18"/>
      <c r="D3" s="18"/>
      <c r="E3" s="18"/>
      <c r="F3" s="18"/>
      <c r="H3" s="18" t="s">
        <v>662</v>
      </c>
      <c r="I3" s="18"/>
      <c r="J3" s="18"/>
      <c r="K3" s="18"/>
      <c r="L3" s="18"/>
    </row>
    <row r="4" spans="1:43" ht="27" customHeight="1" x14ac:dyDescent="0.35">
      <c r="B4" s="18" t="s">
        <v>663</v>
      </c>
      <c r="C4" s="18"/>
      <c r="D4" s="18"/>
      <c r="E4" s="18"/>
      <c r="F4" s="18"/>
      <c r="H4" s="18" t="s">
        <v>664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14693</v>
      </c>
      <c r="D12" s="12">
        <v>507</v>
      </c>
      <c r="E12" s="12">
        <v>254</v>
      </c>
      <c r="F12" s="12">
        <v>657</v>
      </c>
      <c r="G12" s="12">
        <v>844</v>
      </c>
      <c r="H12" s="12">
        <v>928</v>
      </c>
      <c r="I12" s="12">
        <v>1088</v>
      </c>
      <c r="J12" s="12">
        <v>160</v>
      </c>
      <c r="K12" s="12">
        <v>626</v>
      </c>
      <c r="L12" s="12">
        <v>660</v>
      </c>
      <c r="M12" s="12">
        <v>392</v>
      </c>
      <c r="N12" s="12">
        <v>471</v>
      </c>
      <c r="O12" s="12">
        <v>420</v>
      </c>
      <c r="P12" s="12">
        <v>402</v>
      </c>
      <c r="Q12" s="12">
        <v>509</v>
      </c>
      <c r="R12" s="12">
        <v>133</v>
      </c>
      <c r="S12" s="12">
        <v>531</v>
      </c>
      <c r="T12" s="12">
        <v>577</v>
      </c>
      <c r="U12" s="12">
        <v>373</v>
      </c>
      <c r="V12" s="12">
        <v>568</v>
      </c>
      <c r="W12" s="12">
        <v>180</v>
      </c>
      <c r="X12" s="12">
        <v>772</v>
      </c>
      <c r="Y12" s="12">
        <v>723</v>
      </c>
      <c r="Z12" s="12">
        <v>608</v>
      </c>
      <c r="AA12" s="12">
        <v>474</v>
      </c>
      <c r="AB12" s="12">
        <v>426</v>
      </c>
      <c r="AC12" s="12">
        <v>364</v>
      </c>
      <c r="AD12" s="12">
        <v>386</v>
      </c>
      <c r="AE12" s="12">
        <v>870</v>
      </c>
      <c r="AF12" s="12">
        <v>865</v>
      </c>
      <c r="AG12" s="12">
        <v>594</v>
      </c>
      <c r="AH12" s="12">
        <v>233</v>
      </c>
      <c r="AI12" s="12">
        <v>106</v>
      </c>
      <c r="AJ12" s="12">
        <v>561</v>
      </c>
      <c r="AK12" s="12">
        <v>316</v>
      </c>
      <c r="AL12" s="12">
        <v>309</v>
      </c>
      <c r="AM12" s="12">
        <v>533</v>
      </c>
      <c r="AN12" s="12">
        <v>431</v>
      </c>
      <c r="AO12" s="12">
        <v>583</v>
      </c>
      <c r="AP12" s="12">
        <v>303</v>
      </c>
      <c r="AQ12" s="12">
        <v>455</v>
      </c>
    </row>
    <row r="13" spans="1:43" x14ac:dyDescent="0.35">
      <c r="A13" s="19"/>
      <c r="B13" s="13" t="s">
        <v>658</v>
      </c>
      <c r="C13" s="15">
        <v>0.56000000000000005</v>
      </c>
      <c r="D13" s="15">
        <v>0.5</v>
      </c>
      <c r="E13" s="15">
        <v>0.25</v>
      </c>
      <c r="F13" s="15">
        <v>0.6</v>
      </c>
      <c r="G13" s="15">
        <v>0.84</v>
      </c>
      <c r="H13" s="15">
        <v>0.76</v>
      </c>
      <c r="I13" s="15">
        <v>0.72</v>
      </c>
      <c r="J13" s="15">
        <v>0.54</v>
      </c>
      <c r="K13" s="15">
        <v>0.62</v>
      </c>
      <c r="L13" s="15">
        <v>0.66</v>
      </c>
      <c r="M13" s="15">
        <v>0.39</v>
      </c>
      <c r="N13" s="15">
        <v>0.47</v>
      </c>
      <c r="O13" s="15">
        <v>0.42</v>
      </c>
      <c r="P13" s="15">
        <v>0.4</v>
      </c>
      <c r="Q13" s="15">
        <v>0.49</v>
      </c>
      <c r="R13" s="15">
        <v>0.27</v>
      </c>
      <c r="S13" s="15">
        <v>0.53</v>
      </c>
      <c r="T13" s="15">
        <v>0.57000000000000006</v>
      </c>
      <c r="U13" s="15">
        <v>0.74</v>
      </c>
      <c r="V13" s="15">
        <v>0.56000000000000005</v>
      </c>
      <c r="W13" s="15">
        <v>0.36</v>
      </c>
      <c r="X13" s="15">
        <v>0.77</v>
      </c>
      <c r="Y13" s="15">
        <v>0.72</v>
      </c>
      <c r="Z13" s="15">
        <v>0.59</v>
      </c>
      <c r="AA13" s="15">
        <v>0.46</v>
      </c>
      <c r="AB13" s="15">
        <v>0.4</v>
      </c>
      <c r="AC13" s="15">
        <v>0.36</v>
      </c>
      <c r="AD13" s="15">
        <v>0.39</v>
      </c>
      <c r="AE13" s="15">
        <v>0.86</v>
      </c>
      <c r="AF13" s="15">
        <v>0.83000000000000007</v>
      </c>
      <c r="AG13" s="15">
        <v>0.57000000000000006</v>
      </c>
      <c r="AH13" s="15">
        <v>0.23</v>
      </c>
      <c r="AI13" s="15">
        <v>0.2</v>
      </c>
      <c r="AJ13" s="15">
        <v>0.54</v>
      </c>
      <c r="AK13" s="15">
        <v>0.31</v>
      </c>
      <c r="AL13" s="15">
        <v>0.31</v>
      </c>
      <c r="AM13" s="15">
        <v>0.51</v>
      </c>
      <c r="AN13" s="15">
        <v>0.43</v>
      </c>
      <c r="AO13" s="15">
        <v>0.57999999999999996</v>
      </c>
      <c r="AP13" s="15">
        <v>0.57999999999999996</v>
      </c>
      <c r="AQ13" s="15">
        <v>0.45</v>
      </c>
    </row>
    <row r="14" spans="1:43" x14ac:dyDescent="0.35">
      <c r="A14" s="19"/>
      <c r="B14" s="11" t="s">
        <v>659</v>
      </c>
      <c r="C14" s="12">
        <v>11089</v>
      </c>
      <c r="D14" s="12">
        <v>492</v>
      </c>
      <c r="E14" s="12">
        <v>713</v>
      </c>
      <c r="F14" s="12">
        <v>417</v>
      </c>
      <c r="G14" s="12">
        <v>130</v>
      </c>
      <c r="H14" s="12">
        <v>266</v>
      </c>
      <c r="I14" s="12">
        <v>398</v>
      </c>
      <c r="J14" s="12">
        <v>131</v>
      </c>
      <c r="K14" s="12">
        <v>316</v>
      </c>
      <c r="L14" s="12">
        <v>300</v>
      </c>
      <c r="M14" s="12">
        <v>611</v>
      </c>
      <c r="N14" s="12">
        <v>510</v>
      </c>
      <c r="O14" s="12">
        <v>546</v>
      </c>
      <c r="P14" s="12">
        <v>591</v>
      </c>
      <c r="Q14" s="12">
        <v>501</v>
      </c>
      <c r="R14" s="12">
        <v>354</v>
      </c>
      <c r="S14" s="12">
        <v>365</v>
      </c>
      <c r="T14" s="12">
        <v>353</v>
      </c>
      <c r="U14" s="12">
        <v>87</v>
      </c>
      <c r="V14" s="12">
        <v>427</v>
      </c>
      <c r="W14" s="12">
        <v>301</v>
      </c>
      <c r="X14" s="12">
        <v>223</v>
      </c>
      <c r="Y14" s="12">
        <v>259</v>
      </c>
      <c r="Z14" s="12">
        <v>389</v>
      </c>
      <c r="AA14" s="12">
        <v>530</v>
      </c>
      <c r="AB14" s="12">
        <v>587</v>
      </c>
      <c r="AC14" s="12">
        <v>596</v>
      </c>
      <c r="AD14" s="12">
        <v>596</v>
      </c>
      <c r="AE14" s="12">
        <v>124</v>
      </c>
      <c r="AF14" s="12">
        <v>167</v>
      </c>
      <c r="AG14" s="12">
        <v>432</v>
      </c>
      <c r="AH14" s="12">
        <v>768</v>
      </c>
      <c r="AI14" s="12">
        <v>396</v>
      </c>
      <c r="AJ14" s="12">
        <v>466</v>
      </c>
      <c r="AK14" s="12">
        <v>654</v>
      </c>
      <c r="AL14" s="12">
        <v>629</v>
      </c>
      <c r="AM14" s="12">
        <v>454</v>
      </c>
      <c r="AN14" s="12">
        <v>550</v>
      </c>
      <c r="AO14" s="12">
        <v>392</v>
      </c>
      <c r="AP14" s="12">
        <v>215</v>
      </c>
      <c r="AQ14" s="12">
        <v>472</v>
      </c>
    </row>
    <row r="15" spans="1:43" x14ac:dyDescent="0.35">
      <c r="A15" s="19"/>
      <c r="B15" s="13" t="s">
        <v>660</v>
      </c>
      <c r="C15" s="15">
        <v>0.42</v>
      </c>
      <c r="D15" s="15">
        <v>0.49</v>
      </c>
      <c r="E15" s="15">
        <v>0.69000000000000006</v>
      </c>
      <c r="F15" s="15">
        <v>0.38</v>
      </c>
      <c r="G15" s="15">
        <v>0.13</v>
      </c>
      <c r="H15" s="15">
        <v>0.22</v>
      </c>
      <c r="I15" s="15">
        <v>0.26</v>
      </c>
      <c r="J15" s="15">
        <v>0.45</v>
      </c>
      <c r="K15" s="15">
        <v>0.32</v>
      </c>
      <c r="L15" s="15">
        <v>0.3</v>
      </c>
      <c r="M15" s="15">
        <v>0.6</v>
      </c>
      <c r="N15" s="15">
        <v>0.51</v>
      </c>
      <c r="O15" s="15">
        <v>0.55000000000000004</v>
      </c>
      <c r="P15" s="15">
        <v>0.59</v>
      </c>
      <c r="Q15" s="15">
        <v>0.49</v>
      </c>
      <c r="R15" s="15">
        <v>0.70000000000000007</v>
      </c>
      <c r="S15" s="15">
        <v>0.36</v>
      </c>
      <c r="T15" s="15">
        <v>0.35</v>
      </c>
      <c r="U15" s="15">
        <v>0.17</v>
      </c>
      <c r="V15" s="15">
        <v>0.42</v>
      </c>
      <c r="W15" s="15">
        <v>0.59</v>
      </c>
      <c r="X15" s="15">
        <v>0.22</v>
      </c>
      <c r="Y15" s="15">
        <v>0.26</v>
      </c>
      <c r="Z15" s="15">
        <v>0.38</v>
      </c>
      <c r="AA15" s="15">
        <v>0.51</v>
      </c>
      <c r="AB15" s="15">
        <v>0.56000000000000005</v>
      </c>
      <c r="AC15" s="15">
        <v>0.6</v>
      </c>
      <c r="AD15" s="15">
        <v>0.59</v>
      </c>
      <c r="AE15" s="15">
        <v>0.12</v>
      </c>
      <c r="AF15" s="15">
        <v>0.16</v>
      </c>
      <c r="AG15" s="15">
        <v>0.42</v>
      </c>
      <c r="AH15" s="15">
        <v>0.76</v>
      </c>
      <c r="AI15" s="15">
        <v>0.76</v>
      </c>
      <c r="AJ15" s="15">
        <v>0.45</v>
      </c>
      <c r="AK15" s="15">
        <v>0.65</v>
      </c>
      <c r="AL15" s="15">
        <v>0.62</v>
      </c>
      <c r="AM15" s="15">
        <v>0.44</v>
      </c>
      <c r="AN15" s="15">
        <v>0.55000000000000004</v>
      </c>
      <c r="AO15" s="15">
        <v>0.39</v>
      </c>
      <c r="AP15" s="15">
        <v>0.41</v>
      </c>
      <c r="AQ15" s="15">
        <v>0.47</v>
      </c>
    </row>
    <row r="16" spans="1:43" x14ac:dyDescent="0.35">
      <c r="A16" s="19"/>
      <c r="B16" s="11" t="s">
        <v>485</v>
      </c>
      <c r="C16" s="12">
        <v>663</v>
      </c>
      <c r="D16" s="12">
        <v>14</v>
      </c>
      <c r="E16" s="12">
        <v>63</v>
      </c>
      <c r="F16" s="12">
        <v>28</v>
      </c>
      <c r="G16" s="12">
        <v>31</v>
      </c>
      <c r="H16" s="12">
        <v>27</v>
      </c>
      <c r="I16" s="12">
        <v>30</v>
      </c>
      <c r="J16" s="12">
        <v>4</v>
      </c>
      <c r="K16" s="12">
        <v>60</v>
      </c>
      <c r="L16" s="12">
        <v>42</v>
      </c>
      <c r="M16" s="12">
        <v>7</v>
      </c>
      <c r="N16" s="12">
        <v>22</v>
      </c>
      <c r="O16" s="12">
        <v>35</v>
      </c>
      <c r="P16" s="12">
        <v>11</v>
      </c>
      <c r="Q16" s="12">
        <v>17</v>
      </c>
      <c r="R16" s="12">
        <v>17</v>
      </c>
      <c r="S16" s="12">
        <v>105</v>
      </c>
      <c r="T16" s="12">
        <v>77</v>
      </c>
      <c r="U16" s="12">
        <v>43</v>
      </c>
      <c r="V16" s="12">
        <v>19</v>
      </c>
      <c r="W16" s="12">
        <v>27</v>
      </c>
      <c r="X16" s="12">
        <v>14</v>
      </c>
      <c r="Y16" s="12">
        <v>21</v>
      </c>
      <c r="Z16" s="12">
        <v>35</v>
      </c>
      <c r="AA16" s="12">
        <v>28</v>
      </c>
      <c r="AB16" s="12">
        <v>38</v>
      </c>
      <c r="AC16" s="12">
        <v>43</v>
      </c>
      <c r="AD16" s="12">
        <v>23</v>
      </c>
      <c r="AE16" s="12">
        <v>18</v>
      </c>
      <c r="AF16" s="12">
        <v>11</v>
      </c>
      <c r="AG16" s="12">
        <v>9</v>
      </c>
      <c r="AH16" s="12">
        <v>12</v>
      </c>
      <c r="AI16" s="12">
        <v>21</v>
      </c>
      <c r="AJ16" s="12">
        <v>10</v>
      </c>
      <c r="AK16" s="12">
        <v>37</v>
      </c>
      <c r="AL16" s="12">
        <v>74</v>
      </c>
      <c r="AM16" s="12">
        <v>52</v>
      </c>
      <c r="AN16" s="12">
        <v>22</v>
      </c>
      <c r="AO16" s="12">
        <v>29</v>
      </c>
      <c r="AP16" s="12">
        <v>6</v>
      </c>
      <c r="AQ16" s="12">
        <v>75</v>
      </c>
    </row>
    <row r="17" spans="1:43" x14ac:dyDescent="0.35">
      <c r="A17" s="19"/>
      <c r="B17" s="13" t="s">
        <v>486</v>
      </c>
      <c r="C17" s="15">
        <v>0.02</v>
      </c>
      <c r="D17" s="15">
        <v>0.01</v>
      </c>
      <c r="E17" s="15">
        <v>0.06</v>
      </c>
      <c r="F17" s="15">
        <v>0.02</v>
      </c>
      <c r="G17" s="15">
        <v>0.03</v>
      </c>
      <c r="H17" s="15">
        <v>0.02</v>
      </c>
      <c r="I17" s="15">
        <v>0.02</v>
      </c>
      <c r="J17" s="15">
        <v>0.01</v>
      </c>
      <c r="K17" s="15">
        <v>0.06</v>
      </c>
      <c r="L17" s="15">
        <v>0.04</v>
      </c>
      <c r="M17" s="15">
        <v>0.01</v>
      </c>
      <c r="N17" s="15">
        <v>0.02</v>
      </c>
      <c r="O17" s="15">
        <v>0.03</v>
      </c>
      <c r="P17" s="15">
        <v>0.01</v>
      </c>
      <c r="Q17" s="15">
        <v>0.02</v>
      </c>
      <c r="R17" s="15">
        <v>0.03</v>
      </c>
      <c r="S17" s="15">
        <v>0.11</v>
      </c>
      <c r="T17" s="15">
        <v>0.08</v>
      </c>
      <c r="U17" s="15">
        <v>0.09</v>
      </c>
      <c r="V17" s="15">
        <v>0.02</v>
      </c>
      <c r="W17" s="15">
        <v>0.05</v>
      </c>
      <c r="X17" s="15">
        <v>0.01</v>
      </c>
      <c r="Y17" s="15">
        <v>0.02</v>
      </c>
      <c r="Z17" s="15">
        <v>0.03</v>
      </c>
      <c r="AA17" s="15">
        <v>0.03</v>
      </c>
      <c r="AB17" s="15">
        <v>0.04</v>
      </c>
      <c r="AC17" s="15">
        <v>0.04</v>
      </c>
      <c r="AD17" s="15">
        <v>0.02</v>
      </c>
      <c r="AE17" s="15">
        <v>0.02</v>
      </c>
      <c r="AF17" s="15">
        <v>0.01</v>
      </c>
      <c r="AG17" s="15">
        <v>0.01</v>
      </c>
      <c r="AH17" s="15">
        <v>0.01</v>
      </c>
      <c r="AI17" s="15">
        <v>0.04</v>
      </c>
      <c r="AJ17" s="15">
        <v>0.01</v>
      </c>
      <c r="AK17" s="15">
        <v>0.04</v>
      </c>
      <c r="AL17" s="15">
        <v>7.0000000000000007E-2</v>
      </c>
      <c r="AM17" s="15">
        <v>0.05</v>
      </c>
      <c r="AN17" s="15">
        <v>0.02</v>
      </c>
      <c r="AO17" s="15">
        <v>0.03</v>
      </c>
      <c r="AP17" s="15">
        <v>0.01</v>
      </c>
      <c r="AQ17" s="15">
        <v>0.08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665</v>
      </c>
      <c r="C3" s="18"/>
      <c r="D3" s="18"/>
      <c r="E3" s="18"/>
      <c r="F3" s="18"/>
      <c r="H3" s="18" t="s">
        <v>666</v>
      </c>
      <c r="I3" s="18"/>
      <c r="J3" s="18"/>
      <c r="K3" s="18"/>
      <c r="L3" s="18"/>
    </row>
    <row r="4" spans="1:43" ht="27" customHeight="1" x14ac:dyDescent="0.35">
      <c r="B4" s="18" t="s">
        <v>667</v>
      </c>
      <c r="C4" s="18"/>
      <c r="D4" s="18"/>
      <c r="E4" s="18"/>
      <c r="F4" s="18"/>
      <c r="H4" s="18" t="s">
        <v>668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19081</v>
      </c>
      <c r="D12" s="12">
        <v>733</v>
      </c>
      <c r="E12" s="12">
        <v>515</v>
      </c>
      <c r="F12" s="12">
        <v>852</v>
      </c>
      <c r="G12" s="12">
        <v>875</v>
      </c>
      <c r="H12" s="12">
        <v>1053</v>
      </c>
      <c r="I12" s="12">
        <v>1263</v>
      </c>
      <c r="J12" s="12">
        <v>210</v>
      </c>
      <c r="K12" s="12">
        <v>775</v>
      </c>
      <c r="L12" s="12">
        <v>774</v>
      </c>
      <c r="M12" s="12">
        <v>523</v>
      </c>
      <c r="N12" s="12">
        <v>728</v>
      </c>
      <c r="O12" s="12">
        <v>684</v>
      </c>
      <c r="P12" s="12">
        <v>608</v>
      </c>
      <c r="Q12" s="12">
        <v>699</v>
      </c>
      <c r="R12" s="12">
        <v>203</v>
      </c>
      <c r="S12" s="12">
        <v>696</v>
      </c>
      <c r="T12" s="12">
        <v>795</v>
      </c>
      <c r="U12" s="12">
        <v>425</v>
      </c>
      <c r="V12" s="12">
        <v>644</v>
      </c>
      <c r="W12" s="12">
        <v>276</v>
      </c>
      <c r="X12" s="12">
        <v>817</v>
      </c>
      <c r="Y12" s="12">
        <v>803</v>
      </c>
      <c r="Z12" s="12">
        <v>674</v>
      </c>
      <c r="AA12" s="12">
        <v>845</v>
      </c>
      <c r="AB12" s="12">
        <v>518</v>
      </c>
      <c r="AC12" s="12">
        <v>669</v>
      </c>
      <c r="AD12" s="12">
        <v>579</v>
      </c>
      <c r="AE12" s="12">
        <v>943</v>
      </c>
      <c r="AF12" s="12">
        <v>933</v>
      </c>
      <c r="AG12" s="12">
        <v>677</v>
      </c>
      <c r="AH12" s="12">
        <v>483</v>
      </c>
      <c r="AI12" s="12">
        <v>175</v>
      </c>
      <c r="AJ12" s="12">
        <v>577</v>
      </c>
      <c r="AK12" s="12">
        <v>553</v>
      </c>
      <c r="AL12" s="12">
        <v>414</v>
      </c>
      <c r="AM12" s="12">
        <v>655</v>
      </c>
      <c r="AN12" s="12">
        <v>586</v>
      </c>
      <c r="AO12" s="12">
        <v>879</v>
      </c>
      <c r="AP12" s="12">
        <v>356</v>
      </c>
      <c r="AQ12" s="12">
        <v>597</v>
      </c>
    </row>
    <row r="13" spans="1:43" x14ac:dyDescent="0.35">
      <c r="A13" s="19"/>
      <c r="B13" s="13" t="s">
        <v>658</v>
      </c>
      <c r="C13" s="15">
        <v>0.72</v>
      </c>
      <c r="D13" s="15">
        <v>0.72</v>
      </c>
      <c r="E13" s="15">
        <v>0.5</v>
      </c>
      <c r="F13" s="15">
        <v>0.77</v>
      </c>
      <c r="G13" s="15">
        <v>0.87</v>
      </c>
      <c r="H13" s="15">
        <v>0.86</v>
      </c>
      <c r="I13" s="15">
        <v>0.83000000000000007</v>
      </c>
      <c r="J13" s="15">
        <v>0.71</v>
      </c>
      <c r="K13" s="15">
        <v>0.77</v>
      </c>
      <c r="L13" s="15">
        <v>0.77</v>
      </c>
      <c r="M13" s="15">
        <v>0.52</v>
      </c>
      <c r="N13" s="15">
        <v>0.73</v>
      </c>
      <c r="O13" s="15">
        <v>0.68</v>
      </c>
      <c r="P13" s="15">
        <v>0.61</v>
      </c>
      <c r="Q13" s="15">
        <v>0.68</v>
      </c>
      <c r="R13" s="15">
        <v>0.4</v>
      </c>
      <c r="S13" s="15">
        <v>0.69000000000000006</v>
      </c>
      <c r="T13" s="15">
        <v>0.79</v>
      </c>
      <c r="U13" s="15">
        <v>0.84</v>
      </c>
      <c r="V13" s="15">
        <v>0.63</v>
      </c>
      <c r="W13" s="15">
        <v>0.54</v>
      </c>
      <c r="X13" s="15">
        <v>0.81</v>
      </c>
      <c r="Y13" s="15">
        <v>0.8</v>
      </c>
      <c r="Z13" s="15">
        <v>0.65</v>
      </c>
      <c r="AA13" s="15">
        <v>0.82000000000000006</v>
      </c>
      <c r="AB13" s="15">
        <v>0.49</v>
      </c>
      <c r="AC13" s="15">
        <v>0.67</v>
      </c>
      <c r="AD13" s="15">
        <v>0.57000000000000006</v>
      </c>
      <c r="AE13" s="15">
        <v>0.93</v>
      </c>
      <c r="AF13" s="15">
        <v>0.9</v>
      </c>
      <c r="AG13" s="15">
        <v>0.66</v>
      </c>
      <c r="AH13" s="15">
        <v>0.48</v>
      </c>
      <c r="AI13" s="15">
        <v>0.33</v>
      </c>
      <c r="AJ13" s="15">
        <v>0.56000000000000005</v>
      </c>
      <c r="AK13" s="15">
        <v>0.55000000000000004</v>
      </c>
      <c r="AL13" s="15">
        <v>0.41</v>
      </c>
      <c r="AM13" s="15">
        <v>0.63</v>
      </c>
      <c r="AN13" s="15">
        <v>0.57999999999999996</v>
      </c>
      <c r="AO13" s="15">
        <v>0.87</v>
      </c>
      <c r="AP13" s="15">
        <v>0.68</v>
      </c>
      <c r="AQ13" s="15">
        <v>0.6</v>
      </c>
    </row>
    <row r="14" spans="1:43" x14ac:dyDescent="0.35">
      <c r="A14" s="19"/>
      <c r="B14" s="11" t="s">
        <v>659</v>
      </c>
      <c r="C14" s="12">
        <v>6800</v>
      </c>
      <c r="D14" s="12">
        <v>264</v>
      </c>
      <c r="E14" s="12">
        <v>455</v>
      </c>
      <c r="F14" s="12">
        <v>230</v>
      </c>
      <c r="G14" s="12">
        <v>116</v>
      </c>
      <c r="H14" s="12">
        <v>141</v>
      </c>
      <c r="I14" s="12">
        <v>220</v>
      </c>
      <c r="J14" s="12">
        <v>79</v>
      </c>
      <c r="K14" s="12">
        <v>198</v>
      </c>
      <c r="L14" s="12">
        <v>201</v>
      </c>
      <c r="M14" s="12">
        <v>483</v>
      </c>
      <c r="N14" s="12">
        <v>256</v>
      </c>
      <c r="O14" s="12">
        <v>285</v>
      </c>
      <c r="P14" s="12">
        <v>366</v>
      </c>
      <c r="Q14" s="12">
        <v>316</v>
      </c>
      <c r="R14" s="12">
        <v>291</v>
      </c>
      <c r="S14" s="12">
        <v>245</v>
      </c>
      <c r="T14" s="12">
        <v>170</v>
      </c>
      <c r="U14" s="12">
        <v>70</v>
      </c>
      <c r="V14" s="12">
        <v>353</v>
      </c>
      <c r="W14" s="12">
        <v>211</v>
      </c>
      <c r="X14" s="12">
        <v>172</v>
      </c>
      <c r="Y14" s="12">
        <v>171</v>
      </c>
      <c r="Z14" s="12">
        <v>335</v>
      </c>
      <c r="AA14" s="12">
        <v>175</v>
      </c>
      <c r="AB14" s="12">
        <v>493</v>
      </c>
      <c r="AC14" s="12">
        <v>320</v>
      </c>
      <c r="AD14" s="12">
        <v>410</v>
      </c>
      <c r="AE14" s="12">
        <v>63</v>
      </c>
      <c r="AF14" s="12">
        <v>107</v>
      </c>
      <c r="AG14" s="12">
        <v>354</v>
      </c>
      <c r="AH14" s="12">
        <v>517</v>
      </c>
      <c r="AI14" s="12">
        <v>329</v>
      </c>
      <c r="AJ14" s="12">
        <v>454</v>
      </c>
      <c r="AK14" s="12">
        <v>448</v>
      </c>
      <c r="AL14" s="12">
        <v>549</v>
      </c>
      <c r="AM14" s="12">
        <v>333</v>
      </c>
      <c r="AN14" s="12">
        <v>402</v>
      </c>
      <c r="AO14" s="12">
        <v>122</v>
      </c>
      <c r="AP14" s="12">
        <v>165</v>
      </c>
      <c r="AQ14" s="12">
        <v>375</v>
      </c>
    </row>
    <row r="15" spans="1:43" x14ac:dyDescent="0.35">
      <c r="A15" s="19"/>
      <c r="B15" s="13" t="s">
        <v>660</v>
      </c>
      <c r="C15" s="15">
        <v>0.26</v>
      </c>
      <c r="D15" s="15">
        <v>0.26</v>
      </c>
      <c r="E15" s="15">
        <v>0.44</v>
      </c>
      <c r="F15" s="15">
        <v>0.21</v>
      </c>
      <c r="G15" s="15">
        <v>0.11</v>
      </c>
      <c r="H15" s="15">
        <v>0.12</v>
      </c>
      <c r="I15" s="15">
        <v>0.15</v>
      </c>
      <c r="J15" s="15">
        <v>0.27</v>
      </c>
      <c r="K15" s="15">
        <v>0.2</v>
      </c>
      <c r="L15" s="15">
        <v>0.2</v>
      </c>
      <c r="M15" s="15">
        <v>0.48</v>
      </c>
      <c r="N15" s="15">
        <v>0.25</v>
      </c>
      <c r="O15" s="15">
        <v>0.28999999999999998</v>
      </c>
      <c r="P15" s="15">
        <v>0.36</v>
      </c>
      <c r="Q15" s="15">
        <v>0.31</v>
      </c>
      <c r="R15" s="15">
        <v>0.57999999999999996</v>
      </c>
      <c r="S15" s="15">
        <v>0.25</v>
      </c>
      <c r="T15" s="15">
        <v>0.17</v>
      </c>
      <c r="U15" s="15">
        <v>0.14000000000000001</v>
      </c>
      <c r="V15" s="15">
        <v>0.35</v>
      </c>
      <c r="W15" s="15">
        <v>0.42</v>
      </c>
      <c r="X15" s="15">
        <v>0.17</v>
      </c>
      <c r="Y15" s="15">
        <v>0.17</v>
      </c>
      <c r="Z15" s="15">
        <v>0.33</v>
      </c>
      <c r="AA15" s="15">
        <v>0.17</v>
      </c>
      <c r="AB15" s="15">
        <v>0.47</v>
      </c>
      <c r="AC15" s="15">
        <v>0.32</v>
      </c>
      <c r="AD15" s="15">
        <v>0.41</v>
      </c>
      <c r="AE15" s="15">
        <v>0.06</v>
      </c>
      <c r="AF15" s="15">
        <v>0.1</v>
      </c>
      <c r="AG15" s="15">
        <v>0.34</v>
      </c>
      <c r="AH15" s="15">
        <v>0.51</v>
      </c>
      <c r="AI15" s="15">
        <v>0.63</v>
      </c>
      <c r="AJ15" s="15">
        <v>0.44</v>
      </c>
      <c r="AK15" s="15">
        <v>0.44</v>
      </c>
      <c r="AL15" s="15">
        <v>0.54</v>
      </c>
      <c r="AM15" s="15">
        <v>0.32</v>
      </c>
      <c r="AN15" s="15">
        <v>0.4</v>
      </c>
      <c r="AO15" s="15">
        <v>0.12</v>
      </c>
      <c r="AP15" s="15">
        <v>0.31</v>
      </c>
      <c r="AQ15" s="15">
        <v>0.37</v>
      </c>
    </row>
    <row r="16" spans="1:43" x14ac:dyDescent="0.35">
      <c r="A16" s="19"/>
      <c r="B16" s="11" t="s">
        <v>485</v>
      </c>
      <c r="C16" s="12">
        <v>564</v>
      </c>
      <c r="D16" s="12">
        <v>16</v>
      </c>
      <c r="E16" s="12">
        <v>60</v>
      </c>
      <c r="F16" s="12">
        <v>20</v>
      </c>
      <c r="G16" s="12">
        <v>16</v>
      </c>
      <c r="H16" s="12">
        <v>27</v>
      </c>
      <c r="I16" s="12">
        <v>33</v>
      </c>
      <c r="J16" s="12">
        <v>6</v>
      </c>
      <c r="K16" s="12">
        <v>28</v>
      </c>
      <c r="L16" s="12">
        <v>26</v>
      </c>
      <c r="M16" s="12">
        <v>4</v>
      </c>
      <c r="N16" s="12">
        <v>19</v>
      </c>
      <c r="O16" s="12">
        <v>31</v>
      </c>
      <c r="P16" s="12">
        <v>30</v>
      </c>
      <c r="Q16" s="12">
        <v>11</v>
      </c>
      <c r="R16" s="12">
        <v>10</v>
      </c>
      <c r="S16" s="12">
        <v>61</v>
      </c>
      <c r="T16" s="12">
        <v>41</v>
      </c>
      <c r="U16" s="12">
        <v>10</v>
      </c>
      <c r="V16" s="12">
        <v>17</v>
      </c>
      <c r="W16" s="12">
        <v>21</v>
      </c>
      <c r="X16" s="12">
        <v>20</v>
      </c>
      <c r="Y16" s="12">
        <v>29</v>
      </c>
      <c r="Z16" s="12">
        <v>22</v>
      </c>
      <c r="AA16" s="12">
        <v>13</v>
      </c>
      <c r="AB16" s="12">
        <v>40</v>
      </c>
      <c r="AC16" s="12">
        <v>15</v>
      </c>
      <c r="AD16" s="12">
        <v>16</v>
      </c>
      <c r="AE16" s="12">
        <v>6</v>
      </c>
      <c r="AF16" s="12">
        <v>3</v>
      </c>
      <c r="AG16" s="12">
        <v>4</v>
      </c>
      <c r="AH16" s="12">
        <v>13</v>
      </c>
      <c r="AI16" s="12">
        <v>19</v>
      </c>
      <c r="AJ16" s="12">
        <v>6</v>
      </c>
      <c r="AK16" s="12">
        <v>7</v>
      </c>
      <c r="AL16" s="12">
        <v>48</v>
      </c>
      <c r="AM16" s="12">
        <v>52</v>
      </c>
      <c r="AN16" s="12">
        <v>15</v>
      </c>
      <c r="AO16" s="12">
        <v>5</v>
      </c>
      <c r="AP16" s="12">
        <v>3</v>
      </c>
      <c r="AQ16" s="12">
        <v>31</v>
      </c>
    </row>
    <row r="17" spans="1:43" x14ac:dyDescent="0.35">
      <c r="A17" s="19"/>
      <c r="B17" s="13" t="s">
        <v>486</v>
      </c>
      <c r="C17" s="15">
        <v>0.02</v>
      </c>
      <c r="D17" s="15">
        <v>0.02</v>
      </c>
      <c r="E17" s="15">
        <v>0.06</v>
      </c>
      <c r="F17" s="15">
        <v>0.02</v>
      </c>
      <c r="G17" s="15">
        <v>0.02</v>
      </c>
      <c r="H17" s="15">
        <v>0.02</v>
      </c>
      <c r="I17" s="15">
        <v>0.02</v>
      </c>
      <c r="J17" s="15">
        <v>0.02</v>
      </c>
      <c r="K17" s="15">
        <v>0.03</v>
      </c>
      <c r="L17" s="15">
        <v>0.03</v>
      </c>
      <c r="M17" s="14" t="s">
        <v>475</v>
      </c>
      <c r="N17" s="15">
        <v>0.02</v>
      </c>
      <c r="O17" s="15">
        <v>0.03</v>
      </c>
      <c r="P17" s="15">
        <v>0.03</v>
      </c>
      <c r="Q17" s="15">
        <v>0.01</v>
      </c>
      <c r="R17" s="15">
        <v>0.02</v>
      </c>
      <c r="S17" s="15">
        <v>0.06</v>
      </c>
      <c r="T17" s="15">
        <v>0.04</v>
      </c>
      <c r="U17" s="15">
        <v>0.02</v>
      </c>
      <c r="V17" s="15">
        <v>0.02</v>
      </c>
      <c r="W17" s="15">
        <v>0.04</v>
      </c>
      <c r="X17" s="15">
        <v>0.02</v>
      </c>
      <c r="Y17" s="15">
        <v>0.03</v>
      </c>
      <c r="Z17" s="15">
        <v>0.02</v>
      </c>
      <c r="AA17" s="15">
        <v>0.01</v>
      </c>
      <c r="AB17" s="15">
        <v>0.04</v>
      </c>
      <c r="AC17" s="15">
        <v>0.01</v>
      </c>
      <c r="AD17" s="15">
        <v>0.02</v>
      </c>
      <c r="AE17" s="15">
        <v>0.01</v>
      </c>
      <c r="AF17" s="14" t="s">
        <v>475</v>
      </c>
      <c r="AG17" s="14" t="s">
        <v>475</v>
      </c>
      <c r="AH17" s="15">
        <v>0.01</v>
      </c>
      <c r="AI17" s="15">
        <v>0.04</v>
      </c>
      <c r="AJ17" s="14" t="s">
        <v>475</v>
      </c>
      <c r="AK17" s="15">
        <v>0.01</v>
      </c>
      <c r="AL17" s="15">
        <v>0.05</v>
      </c>
      <c r="AM17" s="15">
        <v>0.05</v>
      </c>
      <c r="AN17" s="15">
        <v>0.02</v>
      </c>
      <c r="AO17" s="15">
        <v>0.01</v>
      </c>
      <c r="AP17" s="15">
        <v>0.01</v>
      </c>
      <c r="AQ17" s="15">
        <v>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669</v>
      </c>
      <c r="C3" s="18"/>
      <c r="D3" s="18"/>
      <c r="E3" s="18"/>
      <c r="F3" s="18"/>
      <c r="H3" s="18" t="s">
        <v>670</v>
      </c>
      <c r="I3" s="18"/>
      <c r="J3" s="18"/>
      <c r="K3" s="18"/>
      <c r="L3" s="18"/>
    </row>
    <row r="4" spans="1:43" ht="27" customHeight="1" x14ac:dyDescent="0.35">
      <c r="B4" s="18" t="s">
        <v>671</v>
      </c>
      <c r="C4" s="18"/>
      <c r="D4" s="18"/>
      <c r="E4" s="18"/>
      <c r="F4" s="18"/>
      <c r="H4" s="18" t="s">
        <v>672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19777</v>
      </c>
      <c r="D12" s="12">
        <v>780</v>
      </c>
      <c r="E12" s="12">
        <v>549</v>
      </c>
      <c r="F12" s="12">
        <v>864</v>
      </c>
      <c r="G12" s="12">
        <v>818</v>
      </c>
      <c r="H12" s="12">
        <v>939</v>
      </c>
      <c r="I12" s="12">
        <v>1119</v>
      </c>
      <c r="J12" s="12">
        <v>181</v>
      </c>
      <c r="K12" s="12">
        <v>754</v>
      </c>
      <c r="L12" s="12">
        <v>834</v>
      </c>
      <c r="M12" s="12">
        <v>744</v>
      </c>
      <c r="N12" s="12">
        <v>763</v>
      </c>
      <c r="O12" s="12">
        <v>783</v>
      </c>
      <c r="P12" s="12">
        <v>706</v>
      </c>
      <c r="Q12" s="12">
        <v>728</v>
      </c>
      <c r="R12" s="12">
        <v>301</v>
      </c>
      <c r="S12" s="12">
        <v>747</v>
      </c>
      <c r="T12" s="12">
        <v>767</v>
      </c>
      <c r="U12" s="12">
        <v>394</v>
      </c>
      <c r="V12" s="12">
        <v>611</v>
      </c>
      <c r="W12" s="12">
        <v>327</v>
      </c>
      <c r="X12" s="12">
        <v>787</v>
      </c>
      <c r="Y12" s="12">
        <v>752</v>
      </c>
      <c r="Z12" s="12">
        <v>832</v>
      </c>
      <c r="AA12" s="12">
        <v>713</v>
      </c>
      <c r="AB12" s="12">
        <v>683</v>
      </c>
      <c r="AC12" s="12">
        <v>698</v>
      </c>
      <c r="AD12" s="12">
        <v>665</v>
      </c>
      <c r="AE12" s="12">
        <v>978</v>
      </c>
      <c r="AF12" s="12">
        <v>895</v>
      </c>
      <c r="AG12" s="12">
        <v>710</v>
      </c>
      <c r="AH12" s="12">
        <v>667</v>
      </c>
      <c r="AI12" s="12">
        <v>220</v>
      </c>
      <c r="AJ12" s="12">
        <v>744</v>
      </c>
      <c r="AK12" s="12">
        <v>515</v>
      </c>
      <c r="AL12" s="12">
        <v>483</v>
      </c>
      <c r="AM12" s="12">
        <v>838</v>
      </c>
      <c r="AN12" s="12">
        <v>550</v>
      </c>
      <c r="AO12" s="12">
        <v>951</v>
      </c>
      <c r="AP12" s="12">
        <v>412</v>
      </c>
      <c r="AQ12" s="12">
        <v>859</v>
      </c>
    </row>
    <row r="13" spans="1:43" x14ac:dyDescent="0.35">
      <c r="A13" s="19"/>
      <c r="B13" s="13" t="s">
        <v>658</v>
      </c>
      <c r="C13" s="15">
        <v>0.75</v>
      </c>
      <c r="D13" s="15">
        <v>0.77</v>
      </c>
      <c r="E13" s="15">
        <v>0.53</v>
      </c>
      <c r="F13" s="15">
        <v>0.78</v>
      </c>
      <c r="G13" s="15">
        <v>0.81</v>
      </c>
      <c r="H13" s="15">
        <v>0.77</v>
      </c>
      <c r="I13" s="15">
        <v>0.74</v>
      </c>
      <c r="J13" s="15">
        <v>0.61</v>
      </c>
      <c r="K13" s="15">
        <v>0.75</v>
      </c>
      <c r="L13" s="15">
        <v>0.83000000000000007</v>
      </c>
      <c r="M13" s="15">
        <v>0.74</v>
      </c>
      <c r="N13" s="15">
        <v>0.76</v>
      </c>
      <c r="O13" s="15">
        <v>0.78</v>
      </c>
      <c r="P13" s="15">
        <v>0.70000000000000007</v>
      </c>
      <c r="Q13" s="15">
        <v>0.71</v>
      </c>
      <c r="R13" s="15">
        <v>0.6</v>
      </c>
      <c r="S13" s="15">
        <v>0.75</v>
      </c>
      <c r="T13" s="15">
        <v>0.76</v>
      </c>
      <c r="U13" s="15">
        <v>0.78</v>
      </c>
      <c r="V13" s="15">
        <v>0.6</v>
      </c>
      <c r="W13" s="15">
        <v>0.65</v>
      </c>
      <c r="X13" s="15">
        <v>0.78</v>
      </c>
      <c r="Y13" s="15">
        <v>0.75</v>
      </c>
      <c r="Z13" s="15">
        <v>0.81</v>
      </c>
      <c r="AA13" s="15">
        <v>0.69000000000000006</v>
      </c>
      <c r="AB13" s="15">
        <v>0.65</v>
      </c>
      <c r="AC13" s="15">
        <v>0.70000000000000007</v>
      </c>
      <c r="AD13" s="15">
        <v>0.66</v>
      </c>
      <c r="AE13" s="15">
        <v>0.97</v>
      </c>
      <c r="AF13" s="15">
        <v>0.86</v>
      </c>
      <c r="AG13" s="15">
        <v>0.69000000000000006</v>
      </c>
      <c r="AH13" s="15">
        <v>0.66</v>
      </c>
      <c r="AI13" s="15">
        <v>0.42</v>
      </c>
      <c r="AJ13" s="15">
        <v>0.72</v>
      </c>
      <c r="AK13" s="15">
        <v>0.51</v>
      </c>
      <c r="AL13" s="15">
        <v>0.48</v>
      </c>
      <c r="AM13" s="15">
        <v>0.8</v>
      </c>
      <c r="AN13" s="15">
        <v>0.55000000000000004</v>
      </c>
      <c r="AO13" s="15">
        <v>0.95000000000000007</v>
      </c>
      <c r="AP13" s="15">
        <v>0.79</v>
      </c>
      <c r="AQ13" s="15">
        <v>0.86</v>
      </c>
    </row>
    <row r="14" spans="1:43" x14ac:dyDescent="0.35">
      <c r="A14" s="19"/>
      <c r="B14" s="11" t="s">
        <v>659</v>
      </c>
      <c r="C14" s="12">
        <v>5583</v>
      </c>
      <c r="D14" s="12">
        <v>198</v>
      </c>
      <c r="E14" s="12">
        <v>395</v>
      </c>
      <c r="F14" s="12">
        <v>212</v>
      </c>
      <c r="G14" s="12">
        <v>141</v>
      </c>
      <c r="H14" s="12">
        <v>221</v>
      </c>
      <c r="I14" s="12">
        <v>324</v>
      </c>
      <c r="J14" s="12">
        <v>103</v>
      </c>
      <c r="K14" s="12">
        <v>181</v>
      </c>
      <c r="L14" s="12">
        <v>118</v>
      </c>
      <c r="M14" s="12">
        <v>257</v>
      </c>
      <c r="N14" s="12">
        <v>196</v>
      </c>
      <c r="O14" s="12">
        <v>154</v>
      </c>
      <c r="P14" s="12">
        <v>284</v>
      </c>
      <c r="Q14" s="12">
        <v>277</v>
      </c>
      <c r="R14" s="12">
        <v>182</v>
      </c>
      <c r="S14" s="12">
        <v>169</v>
      </c>
      <c r="T14" s="12">
        <v>173</v>
      </c>
      <c r="U14" s="12">
        <v>52</v>
      </c>
      <c r="V14" s="12">
        <v>367</v>
      </c>
      <c r="W14" s="12">
        <v>154</v>
      </c>
      <c r="X14" s="12">
        <v>197</v>
      </c>
      <c r="Y14" s="12">
        <v>187</v>
      </c>
      <c r="Z14" s="12">
        <v>167</v>
      </c>
      <c r="AA14" s="12">
        <v>297</v>
      </c>
      <c r="AB14" s="12">
        <v>325</v>
      </c>
      <c r="AC14" s="12">
        <v>276</v>
      </c>
      <c r="AD14" s="12">
        <v>294</v>
      </c>
      <c r="AE14" s="12">
        <v>21</v>
      </c>
      <c r="AF14" s="12">
        <v>126</v>
      </c>
      <c r="AG14" s="12">
        <v>323</v>
      </c>
      <c r="AH14" s="12">
        <v>320</v>
      </c>
      <c r="AI14" s="12">
        <v>285</v>
      </c>
      <c r="AJ14" s="12">
        <v>278</v>
      </c>
      <c r="AK14" s="12">
        <v>396</v>
      </c>
      <c r="AL14" s="12">
        <v>422</v>
      </c>
      <c r="AM14" s="12">
        <v>142</v>
      </c>
      <c r="AN14" s="12">
        <v>414</v>
      </c>
      <c r="AO14" s="12">
        <v>44</v>
      </c>
      <c r="AP14" s="12">
        <v>111</v>
      </c>
      <c r="AQ14" s="12">
        <v>116</v>
      </c>
    </row>
    <row r="15" spans="1:43" x14ac:dyDescent="0.35">
      <c r="A15" s="19"/>
      <c r="B15" s="13" t="s">
        <v>660</v>
      </c>
      <c r="C15" s="15">
        <v>0.21</v>
      </c>
      <c r="D15" s="15">
        <v>0.2</v>
      </c>
      <c r="E15" s="15">
        <v>0.38</v>
      </c>
      <c r="F15" s="15">
        <v>0.19</v>
      </c>
      <c r="G15" s="15">
        <v>0.14000000000000001</v>
      </c>
      <c r="H15" s="15">
        <v>0.18</v>
      </c>
      <c r="I15" s="15">
        <v>0.21</v>
      </c>
      <c r="J15" s="15">
        <v>0.35</v>
      </c>
      <c r="K15" s="15">
        <v>0.18</v>
      </c>
      <c r="L15" s="15">
        <v>0.12</v>
      </c>
      <c r="M15" s="15">
        <v>0.25</v>
      </c>
      <c r="N15" s="15">
        <v>0.2</v>
      </c>
      <c r="O15" s="15">
        <v>0.15</v>
      </c>
      <c r="P15" s="15">
        <v>0.28000000000000003</v>
      </c>
      <c r="Q15" s="15">
        <v>0.27</v>
      </c>
      <c r="R15" s="15">
        <v>0.36</v>
      </c>
      <c r="S15" s="15">
        <v>0.17</v>
      </c>
      <c r="T15" s="15">
        <v>0.17</v>
      </c>
      <c r="U15" s="15">
        <v>0.1</v>
      </c>
      <c r="V15" s="15">
        <v>0.36</v>
      </c>
      <c r="W15" s="15">
        <v>0.3</v>
      </c>
      <c r="X15" s="15">
        <v>0.2</v>
      </c>
      <c r="Y15" s="15">
        <v>0.19</v>
      </c>
      <c r="Z15" s="15">
        <v>0.16</v>
      </c>
      <c r="AA15" s="15">
        <v>0.28999999999999998</v>
      </c>
      <c r="AB15" s="15">
        <v>0.31</v>
      </c>
      <c r="AC15" s="15">
        <v>0.27</v>
      </c>
      <c r="AD15" s="15">
        <v>0.28999999999999998</v>
      </c>
      <c r="AE15" s="15">
        <v>0.02</v>
      </c>
      <c r="AF15" s="15">
        <v>0.12</v>
      </c>
      <c r="AG15" s="15">
        <v>0.31</v>
      </c>
      <c r="AH15" s="15">
        <v>0.32</v>
      </c>
      <c r="AI15" s="15">
        <v>0.55000000000000004</v>
      </c>
      <c r="AJ15" s="15">
        <v>0.27</v>
      </c>
      <c r="AK15" s="15">
        <v>0.39</v>
      </c>
      <c r="AL15" s="15">
        <v>0.42</v>
      </c>
      <c r="AM15" s="15">
        <v>0.14000000000000001</v>
      </c>
      <c r="AN15" s="15">
        <v>0.41</v>
      </c>
      <c r="AO15" s="15">
        <v>0.04</v>
      </c>
      <c r="AP15" s="15">
        <v>0.21</v>
      </c>
      <c r="AQ15" s="15">
        <v>0.11</v>
      </c>
    </row>
    <row r="16" spans="1:43" x14ac:dyDescent="0.35">
      <c r="A16" s="19"/>
      <c r="B16" s="11" t="s">
        <v>485</v>
      </c>
      <c r="C16" s="12">
        <v>1085</v>
      </c>
      <c r="D16" s="12">
        <v>35</v>
      </c>
      <c r="E16" s="12">
        <v>86</v>
      </c>
      <c r="F16" s="12">
        <v>27</v>
      </c>
      <c r="G16" s="12">
        <v>46</v>
      </c>
      <c r="H16" s="12">
        <v>62</v>
      </c>
      <c r="I16" s="12">
        <v>73</v>
      </c>
      <c r="J16" s="12">
        <v>11</v>
      </c>
      <c r="K16" s="12">
        <v>67</v>
      </c>
      <c r="L16" s="12">
        <v>50</v>
      </c>
      <c r="M16" s="12">
        <v>9</v>
      </c>
      <c r="N16" s="12">
        <v>44</v>
      </c>
      <c r="O16" s="12">
        <v>65</v>
      </c>
      <c r="P16" s="12">
        <v>14</v>
      </c>
      <c r="Q16" s="12">
        <v>23</v>
      </c>
      <c r="R16" s="12">
        <v>21</v>
      </c>
      <c r="S16" s="12">
        <v>85</v>
      </c>
      <c r="T16" s="12">
        <v>66</v>
      </c>
      <c r="U16" s="12">
        <v>58</v>
      </c>
      <c r="V16" s="12">
        <v>38</v>
      </c>
      <c r="W16" s="12">
        <v>27</v>
      </c>
      <c r="X16" s="12">
        <v>25</v>
      </c>
      <c r="Y16" s="12">
        <v>63</v>
      </c>
      <c r="Z16" s="12">
        <v>32</v>
      </c>
      <c r="AA16" s="12">
        <v>23</v>
      </c>
      <c r="AB16" s="12">
        <v>43</v>
      </c>
      <c r="AC16" s="12">
        <v>29</v>
      </c>
      <c r="AD16" s="12">
        <v>45</v>
      </c>
      <c r="AE16" s="12">
        <v>14</v>
      </c>
      <c r="AF16" s="12">
        <v>23</v>
      </c>
      <c r="AG16" s="12">
        <v>2</v>
      </c>
      <c r="AH16" s="12">
        <v>26</v>
      </c>
      <c r="AI16" s="12">
        <v>17</v>
      </c>
      <c r="AJ16" s="12">
        <v>16</v>
      </c>
      <c r="AK16" s="12">
        <v>96</v>
      </c>
      <c r="AL16" s="12">
        <v>107</v>
      </c>
      <c r="AM16" s="12">
        <v>61</v>
      </c>
      <c r="AN16" s="12">
        <v>38</v>
      </c>
      <c r="AO16" s="12">
        <v>10</v>
      </c>
      <c r="AP16" s="12">
        <v>1</v>
      </c>
      <c r="AQ16" s="12">
        <v>27</v>
      </c>
    </row>
    <row r="17" spans="1:43" x14ac:dyDescent="0.35">
      <c r="A17" s="19"/>
      <c r="B17" s="13" t="s">
        <v>486</v>
      </c>
      <c r="C17" s="15">
        <v>0.04</v>
      </c>
      <c r="D17" s="15">
        <v>0.03</v>
      </c>
      <c r="E17" s="15">
        <v>0.09</v>
      </c>
      <c r="F17" s="15">
        <v>0.03</v>
      </c>
      <c r="G17" s="15">
        <v>0.05</v>
      </c>
      <c r="H17" s="15">
        <v>0.05</v>
      </c>
      <c r="I17" s="15">
        <v>0.05</v>
      </c>
      <c r="J17" s="15">
        <v>0.04</v>
      </c>
      <c r="K17" s="15">
        <v>7.0000000000000007E-2</v>
      </c>
      <c r="L17" s="15">
        <v>0.05</v>
      </c>
      <c r="M17" s="15">
        <v>0.01</v>
      </c>
      <c r="N17" s="15">
        <v>0.04</v>
      </c>
      <c r="O17" s="15">
        <v>7.0000000000000007E-2</v>
      </c>
      <c r="P17" s="15">
        <v>0.02</v>
      </c>
      <c r="Q17" s="15">
        <v>0.02</v>
      </c>
      <c r="R17" s="15">
        <v>0.04</v>
      </c>
      <c r="S17" s="15">
        <v>0.08</v>
      </c>
      <c r="T17" s="15">
        <v>7.0000000000000007E-2</v>
      </c>
      <c r="U17" s="15">
        <v>0.12</v>
      </c>
      <c r="V17" s="15">
        <v>0.04</v>
      </c>
      <c r="W17" s="15">
        <v>0.05</v>
      </c>
      <c r="X17" s="15">
        <v>0.02</v>
      </c>
      <c r="Y17" s="15">
        <v>0.06</v>
      </c>
      <c r="Z17" s="15">
        <v>0.03</v>
      </c>
      <c r="AA17" s="15">
        <v>0.02</v>
      </c>
      <c r="AB17" s="15">
        <v>0.04</v>
      </c>
      <c r="AC17" s="15">
        <v>0.03</v>
      </c>
      <c r="AD17" s="15">
        <v>0.05</v>
      </c>
      <c r="AE17" s="15">
        <v>0.01</v>
      </c>
      <c r="AF17" s="15">
        <v>0.02</v>
      </c>
      <c r="AG17" s="14" t="s">
        <v>475</v>
      </c>
      <c r="AH17" s="15">
        <v>0.02</v>
      </c>
      <c r="AI17" s="15">
        <v>0.03</v>
      </c>
      <c r="AJ17" s="15">
        <v>0.01</v>
      </c>
      <c r="AK17" s="15">
        <v>0.1</v>
      </c>
      <c r="AL17" s="15">
        <v>0.1</v>
      </c>
      <c r="AM17" s="15">
        <v>0.06</v>
      </c>
      <c r="AN17" s="15">
        <v>0.04</v>
      </c>
      <c r="AO17" s="15">
        <v>0.01</v>
      </c>
      <c r="AP17" s="14" t="s">
        <v>475</v>
      </c>
      <c r="AQ17" s="15">
        <v>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673</v>
      </c>
      <c r="C3" s="18"/>
      <c r="D3" s="18"/>
      <c r="E3" s="18"/>
      <c r="F3" s="18"/>
      <c r="H3" s="18" t="s">
        <v>674</v>
      </c>
      <c r="I3" s="18"/>
      <c r="J3" s="18"/>
      <c r="K3" s="18"/>
      <c r="L3" s="18"/>
    </row>
    <row r="4" spans="1:43" ht="27" customHeight="1" x14ac:dyDescent="0.35">
      <c r="B4" s="18" t="s">
        <v>675</v>
      </c>
      <c r="C4" s="18"/>
      <c r="D4" s="18"/>
      <c r="E4" s="18"/>
      <c r="F4" s="18"/>
      <c r="H4" s="18" t="s">
        <v>676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HYPERLINK("#Content!A38","&lt;&lt;Back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16067</v>
      </c>
      <c r="D12" s="12">
        <v>575</v>
      </c>
      <c r="E12" s="12">
        <v>503</v>
      </c>
      <c r="F12" s="12">
        <v>710</v>
      </c>
      <c r="G12" s="12">
        <v>733</v>
      </c>
      <c r="H12" s="12">
        <v>976</v>
      </c>
      <c r="I12" s="12">
        <v>1149</v>
      </c>
      <c r="J12" s="12">
        <v>173</v>
      </c>
      <c r="K12" s="12">
        <v>510</v>
      </c>
      <c r="L12" s="12">
        <v>644</v>
      </c>
      <c r="M12" s="12">
        <v>278</v>
      </c>
      <c r="N12" s="12">
        <v>485</v>
      </c>
      <c r="O12" s="12">
        <v>563</v>
      </c>
      <c r="P12" s="12">
        <v>403</v>
      </c>
      <c r="Q12" s="12">
        <v>536</v>
      </c>
      <c r="R12" s="12">
        <v>261</v>
      </c>
      <c r="S12" s="12">
        <v>611</v>
      </c>
      <c r="T12" s="12">
        <v>608</v>
      </c>
      <c r="U12" s="12">
        <v>390</v>
      </c>
      <c r="V12" s="12">
        <v>658</v>
      </c>
      <c r="W12" s="12">
        <v>297</v>
      </c>
      <c r="X12" s="12">
        <v>676</v>
      </c>
      <c r="Y12" s="12">
        <v>763</v>
      </c>
      <c r="Z12" s="12">
        <v>724</v>
      </c>
      <c r="AA12" s="12">
        <v>627</v>
      </c>
      <c r="AB12" s="12">
        <v>541</v>
      </c>
      <c r="AC12" s="12">
        <v>589</v>
      </c>
      <c r="AD12" s="12">
        <v>651</v>
      </c>
      <c r="AE12" s="12">
        <v>668</v>
      </c>
      <c r="AF12" s="12">
        <v>734</v>
      </c>
      <c r="AG12" s="12">
        <v>631</v>
      </c>
      <c r="AH12" s="12">
        <v>498</v>
      </c>
      <c r="AI12" s="12">
        <v>153</v>
      </c>
      <c r="AJ12" s="12">
        <v>459</v>
      </c>
      <c r="AK12" s="12">
        <v>423</v>
      </c>
      <c r="AL12" s="12">
        <v>602</v>
      </c>
      <c r="AM12" s="12">
        <v>528</v>
      </c>
      <c r="AN12" s="12">
        <v>376</v>
      </c>
      <c r="AO12" s="12">
        <v>712</v>
      </c>
      <c r="AP12" s="12">
        <v>264</v>
      </c>
      <c r="AQ12" s="12">
        <v>605</v>
      </c>
    </row>
    <row r="13" spans="1:43" x14ac:dyDescent="0.35">
      <c r="A13" s="19"/>
      <c r="B13" s="13" t="s">
        <v>658</v>
      </c>
      <c r="C13" s="15">
        <v>0.61</v>
      </c>
      <c r="D13" s="15">
        <v>0.57000000000000006</v>
      </c>
      <c r="E13" s="15">
        <v>0.49</v>
      </c>
      <c r="F13" s="15">
        <v>0.64</v>
      </c>
      <c r="G13" s="15">
        <v>0.73</v>
      </c>
      <c r="H13" s="15">
        <v>0.8</v>
      </c>
      <c r="I13" s="15">
        <v>0.76</v>
      </c>
      <c r="J13" s="15">
        <v>0.59</v>
      </c>
      <c r="K13" s="15">
        <v>0.51</v>
      </c>
      <c r="L13" s="15">
        <v>0.64</v>
      </c>
      <c r="M13" s="15">
        <v>0.28000000000000003</v>
      </c>
      <c r="N13" s="15">
        <v>0.48</v>
      </c>
      <c r="O13" s="15">
        <v>0.56000000000000005</v>
      </c>
      <c r="P13" s="15">
        <v>0.4</v>
      </c>
      <c r="Q13" s="15">
        <v>0.52</v>
      </c>
      <c r="R13" s="15">
        <v>0.52</v>
      </c>
      <c r="S13" s="15">
        <v>0.61</v>
      </c>
      <c r="T13" s="15">
        <v>0.61</v>
      </c>
      <c r="U13" s="15">
        <v>0.78</v>
      </c>
      <c r="V13" s="15">
        <v>0.65</v>
      </c>
      <c r="W13" s="15">
        <v>0.57999999999999996</v>
      </c>
      <c r="X13" s="15">
        <v>0.67</v>
      </c>
      <c r="Y13" s="15">
        <v>0.76</v>
      </c>
      <c r="Z13" s="15">
        <v>0.70000000000000007</v>
      </c>
      <c r="AA13" s="15">
        <v>0.61</v>
      </c>
      <c r="AB13" s="15">
        <v>0.51</v>
      </c>
      <c r="AC13" s="15">
        <v>0.59</v>
      </c>
      <c r="AD13" s="15">
        <v>0.65</v>
      </c>
      <c r="AE13" s="15">
        <v>0.66</v>
      </c>
      <c r="AF13" s="15">
        <v>0.70000000000000007</v>
      </c>
      <c r="AG13" s="15">
        <v>0.61</v>
      </c>
      <c r="AH13" s="15">
        <v>0.49</v>
      </c>
      <c r="AI13" s="15">
        <v>0.28999999999999998</v>
      </c>
      <c r="AJ13" s="15">
        <v>0.44</v>
      </c>
      <c r="AK13" s="15">
        <v>0.42</v>
      </c>
      <c r="AL13" s="15">
        <v>0.59</v>
      </c>
      <c r="AM13" s="15">
        <v>0.51</v>
      </c>
      <c r="AN13" s="15">
        <v>0.38</v>
      </c>
      <c r="AO13" s="15">
        <v>0.71</v>
      </c>
      <c r="AP13" s="15">
        <v>0.5</v>
      </c>
      <c r="AQ13" s="15">
        <v>0.6</v>
      </c>
    </row>
    <row r="14" spans="1:43" x14ac:dyDescent="0.35">
      <c r="A14" s="19"/>
      <c r="B14" s="11" t="s">
        <v>659</v>
      </c>
      <c r="C14" s="12">
        <v>9376</v>
      </c>
      <c r="D14" s="12">
        <v>416</v>
      </c>
      <c r="E14" s="12">
        <v>459</v>
      </c>
      <c r="F14" s="12">
        <v>368</v>
      </c>
      <c r="G14" s="12">
        <v>231</v>
      </c>
      <c r="H14" s="12">
        <v>215</v>
      </c>
      <c r="I14" s="12">
        <v>329</v>
      </c>
      <c r="J14" s="12">
        <v>115</v>
      </c>
      <c r="K14" s="12">
        <v>376</v>
      </c>
      <c r="L14" s="12">
        <v>306</v>
      </c>
      <c r="M14" s="12">
        <v>719</v>
      </c>
      <c r="N14" s="12">
        <v>470</v>
      </c>
      <c r="O14" s="12">
        <v>363</v>
      </c>
      <c r="P14" s="12">
        <v>590</v>
      </c>
      <c r="Q14" s="12">
        <v>463</v>
      </c>
      <c r="R14" s="12">
        <v>227</v>
      </c>
      <c r="S14" s="12">
        <v>317</v>
      </c>
      <c r="T14" s="12">
        <v>344</v>
      </c>
      <c r="U14" s="12">
        <v>82</v>
      </c>
      <c r="V14" s="12">
        <v>342</v>
      </c>
      <c r="W14" s="12">
        <v>191</v>
      </c>
      <c r="X14" s="12">
        <v>291</v>
      </c>
      <c r="Y14" s="12">
        <v>215</v>
      </c>
      <c r="Z14" s="12">
        <v>277</v>
      </c>
      <c r="AA14" s="12">
        <v>385</v>
      </c>
      <c r="AB14" s="12">
        <v>460</v>
      </c>
      <c r="AC14" s="12">
        <v>392</v>
      </c>
      <c r="AD14" s="12">
        <v>341</v>
      </c>
      <c r="AE14" s="12">
        <v>292</v>
      </c>
      <c r="AF14" s="12">
        <v>299</v>
      </c>
      <c r="AG14" s="12">
        <v>398</v>
      </c>
      <c r="AH14" s="12">
        <v>497</v>
      </c>
      <c r="AI14" s="12">
        <v>328</v>
      </c>
      <c r="AJ14" s="12">
        <v>559</v>
      </c>
      <c r="AK14" s="12">
        <v>553</v>
      </c>
      <c r="AL14" s="12">
        <v>353</v>
      </c>
      <c r="AM14" s="12">
        <v>450</v>
      </c>
      <c r="AN14" s="12">
        <v>596</v>
      </c>
      <c r="AO14" s="12">
        <v>258</v>
      </c>
      <c r="AP14" s="12">
        <v>249</v>
      </c>
      <c r="AQ14" s="12">
        <v>346</v>
      </c>
    </row>
    <row r="15" spans="1:43" x14ac:dyDescent="0.35">
      <c r="A15" s="19"/>
      <c r="B15" s="13" t="s">
        <v>660</v>
      </c>
      <c r="C15" s="15">
        <v>0.35</v>
      </c>
      <c r="D15" s="15">
        <v>0.41</v>
      </c>
      <c r="E15" s="15">
        <v>0.45</v>
      </c>
      <c r="F15" s="15">
        <v>0.34</v>
      </c>
      <c r="G15" s="15">
        <v>0.23</v>
      </c>
      <c r="H15" s="15">
        <v>0.18</v>
      </c>
      <c r="I15" s="15">
        <v>0.22</v>
      </c>
      <c r="J15" s="15">
        <v>0.39</v>
      </c>
      <c r="K15" s="15">
        <v>0.37</v>
      </c>
      <c r="L15" s="15">
        <v>0.31</v>
      </c>
      <c r="M15" s="15">
        <v>0.71</v>
      </c>
      <c r="N15" s="15">
        <v>0.47</v>
      </c>
      <c r="O15" s="15">
        <v>0.36</v>
      </c>
      <c r="P15" s="15">
        <v>0.59</v>
      </c>
      <c r="Q15" s="15">
        <v>0.45</v>
      </c>
      <c r="R15" s="15">
        <v>0.45</v>
      </c>
      <c r="S15" s="15">
        <v>0.32</v>
      </c>
      <c r="T15" s="15">
        <v>0.34</v>
      </c>
      <c r="U15" s="15">
        <v>0.16</v>
      </c>
      <c r="V15" s="15">
        <v>0.34</v>
      </c>
      <c r="W15" s="15">
        <v>0.38</v>
      </c>
      <c r="X15" s="15">
        <v>0.28999999999999998</v>
      </c>
      <c r="Y15" s="15">
        <v>0.22</v>
      </c>
      <c r="Z15" s="15">
        <v>0.27</v>
      </c>
      <c r="AA15" s="15">
        <v>0.37</v>
      </c>
      <c r="AB15" s="15">
        <v>0.44</v>
      </c>
      <c r="AC15" s="15">
        <v>0.39</v>
      </c>
      <c r="AD15" s="15">
        <v>0.34</v>
      </c>
      <c r="AE15" s="15">
        <v>0.28999999999999998</v>
      </c>
      <c r="AF15" s="15">
        <v>0.28999999999999998</v>
      </c>
      <c r="AG15" s="15">
        <v>0.38</v>
      </c>
      <c r="AH15" s="15">
        <v>0.49</v>
      </c>
      <c r="AI15" s="15">
        <v>0.63</v>
      </c>
      <c r="AJ15" s="15">
        <v>0.54</v>
      </c>
      <c r="AK15" s="15">
        <v>0.55000000000000004</v>
      </c>
      <c r="AL15" s="15">
        <v>0.35</v>
      </c>
      <c r="AM15" s="15">
        <v>0.43</v>
      </c>
      <c r="AN15" s="15">
        <v>0.59</v>
      </c>
      <c r="AO15" s="15">
        <v>0.26</v>
      </c>
      <c r="AP15" s="15">
        <v>0.48</v>
      </c>
      <c r="AQ15" s="15">
        <v>0.35</v>
      </c>
    </row>
    <row r="16" spans="1:43" x14ac:dyDescent="0.35">
      <c r="A16" s="19"/>
      <c r="B16" s="11" t="s">
        <v>485</v>
      </c>
      <c r="C16" s="12">
        <v>1003</v>
      </c>
      <c r="D16" s="12">
        <v>22</v>
      </c>
      <c r="E16" s="12">
        <v>67</v>
      </c>
      <c r="F16" s="12">
        <v>24</v>
      </c>
      <c r="G16" s="12">
        <v>42</v>
      </c>
      <c r="H16" s="12">
        <v>30</v>
      </c>
      <c r="I16" s="12">
        <v>37</v>
      </c>
      <c r="J16" s="12">
        <v>7</v>
      </c>
      <c r="K16" s="12">
        <v>116</v>
      </c>
      <c r="L16" s="12">
        <v>52</v>
      </c>
      <c r="M16" s="12">
        <v>13</v>
      </c>
      <c r="N16" s="12">
        <v>48</v>
      </c>
      <c r="O16" s="12">
        <v>76</v>
      </c>
      <c r="P16" s="12">
        <v>11</v>
      </c>
      <c r="Q16" s="12">
        <v>28</v>
      </c>
      <c r="R16" s="12">
        <v>15</v>
      </c>
      <c r="S16" s="12">
        <v>74</v>
      </c>
      <c r="T16" s="12">
        <v>54</v>
      </c>
      <c r="U16" s="12">
        <v>32</v>
      </c>
      <c r="V16" s="12">
        <v>14</v>
      </c>
      <c r="W16" s="12">
        <v>20</v>
      </c>
      <c r="X16" s="12">
        <v>42</v>
      </c>
      <c r="Y16" s="12">
        <v>25</v>
      </c>
      <c r="Z16" s="12">
        <v>30</v>
      </c>
      <c r="AA16" s="12">
        <v>21</v>
      </c>
      <c r="AB16" s="12">
        <v>50</v>
      </c>
      <c r="AC16" s="12">
        <v>22</v>
      </c>
      <c r="AD16" s="12">
        <v>13</v>
      </c>
      <c r="AE16" s="12">
        <v>53</v>
      </c>
      <c r="AF16" s="12">
        <v>10</v>
      </c>
      <c r="AG16" s="12">
        <v>6</v>
      </c>
      <c r="AH16" s="12">
        <v>18</v>
      </c>
      <c r="AI16" s="12">
        <v>42</v>
      </c>
      <c r="AJ16" s="12">
        <v>20</v>
      </c>
      <c r="AK16" s="12">
        <v>31</v>
      </c>
      <c r="AL16" s="12">
        <v>57</v>
      </c>
      <c r="AM16" s="12">
        <v>62</v>
      </c>
      <c r="AN16" s="12">
        <v>30</v>
      </c>
      <c r="AO16" s="12">
        <v>35</v>
      </c>
      <c r="AP16" s="12">
        <v>11</v>
      </c>
      <c r="AQ16" s="12">
        <v>51</v>
      </c>
    </row>
    <row r="17" spans="1:43" x14ac:dyDescent="0.35">
      <c r="A17" s="19"/>
      <c r="B17" s="13" t="s">
        <v>486</v>
      </c>
      <c r="C17" s="15">
        <v>0.04</v>
      </c>
      <c r="D17" s="15">
        <v>0.02</v>
      </c>
      <c r="E17" s="15">
        <v>0.06</v>
      </c>
      <c r="F17" s="15">
        <v>0.02</v>
      </c>
      <c r="G17" s="15">
        <v>0.04</v>
      </c>
      <c r="H17" s="15">
        <v>0.02</v>
      </c>
      <c r="I17" s="15">
        <v>0.02</v>
      </c>
      <c r="J17" s="15">
        <v>0.02</v>
      </c>
      <c r="K17" s="15">
        <v>0.12</v>
      </c>
      <c r="L17" s="15">
        <v>0.05</v>
      </c>
      <c r="M17" s="15">
        <v>0.01</v>
      </c>
      <c r="N17" s="15">
        <v>0.05</v>
      </c>
      <c r="O17" s="15">
        <v>0.08</v>
      </c>
      <c r="P17" s="15">
        <v>0.01</v>
      </c>
      <c r="Q17" s="15">
        <v>0.03</v>
      </c>
      <c r="R17" s="15">
        <v>0.03</v>
      </c>
      <c r="S17" s="15">
        <v>7.0000000000000007E-2</v>
      </c>
      <c r="T17" s="15">
        <v>0.05</v>
      </c>
      <c r="U17" s="15">
        <v>0.06</v>
      </c>
      <c r="V17" s="15">
        <v>0.01</v>
      </c>
      <c r="W17" s="15">
        <v>0.04</v>
      </c>
      <c r="X17" s="15">
        <v>0.04</v>
      </c>
      <c r="Y17" s="15">
        <v>0.02</v>
      </c>
      <c r="Z17" s="15">
        <v>0.03</v>
      </c>
      <c r="AA17" s="15">
        <v>0.02</v>
      </c>
      <c r="AB17" s="15">
        <v>0.05</v>
      </c>
      <c r="AC17" s="15">
        <v>0.02</v>
      </c>
      <c r="AD17" s="15">
        <v>0.01</v>
      </c>
      <c r="AE17" s="15">
        <v>0.05</v>
      </c>
      <c r="AF17" s="15">
        <v>0.01</v>
      </c>
      <c r="AG17" s="15">
        <v>0.01</v>
      </c>
      <c r="AH17" s="15">
        <v>0.02</v>
      </c>
      <c r="AI17" s="15">
        <v>0.08</v>
      </c>
      <c r="AJ17" s="15">
        <v>0.02</v>
      </c>
      <c r="AK17" s="15">
        <v>0.03</v>
      </c>
      <c r="AL17" s="15">
        <v>0.06</v>
      </c>
      <c r="AM17" s="15">
        <v>0.06</v>
      </c>
      <c r="AN17" s="15">
        <v>0.03</v>
      </c>
      <c r="AO17" s="15">
        <v>0.03</v>
      </c>
      <c r="AP17" s="15">
        <v>0.02</v>
      </c>
      <c r="AQ17" s="15">
        <v>0.05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I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5" width="12.453125" customWidth="1"/>
  </cols>
  <sheetData>
    <row r="1" spans="1:35" x14ac:dyDescent="0.35">
      <c r="I1" s="7" t="s">
        <v>428</v>
      </c>
    </row>
    <row r="2" spans="1:35" x14ac:dyDescent="0.35">
      <c r="C2" s="7" t="s">
        <v>429</v>
      </c>
      <c r="H2" s="7" t="s">
        <v>430</v>
      </c>
    </row>
    <row r="3" spans="1:35" ht="36" customHeight="1" x14ac:dyDescent="0.35">
      <c r="B3" s="18" t="s">
        <v>677</v>
      </c>
      <c r="C3" s="18"/>
      <c r="D3" s="18"/>
      <c r="E3" s="18"/>
      <c r="F3" s="18"/>
      <c r="H3" s="18" t="s">
        <v>678</v>
      </c>
      <c r="I3" s="18"/>
      <c r="J3" s="18"/>
      <c r="K3" s="18"/>
      <c r="L3" s="18"/>
    </row>
    <row r="4" spans="1:35" ht="27" customHeight="1" x14ac:dyDescent="0.35">
      <c r="B4" s="18" t="s">
        <v>679</v>
      </c>
      <c r="C4" s="18"/>
      <c r="D4" s="18"/>
      <c r="E4" s="18"/>
      <c r="F4" s="18"/>
      <c r="H4" s="18" t="s">
        <v>680</v>
      </c>
      <c r="I4" s="18"/>
      <c r="J4" s="18"/>
      <c r="K4" s="18"/>
      <c r="L4" s="18"/>
    </row>
    <row r="5" spans="1:35" ht="12" customHeight="1" x14ac:dyDescent="0.35">
      <c r="B5" s="18" t="s">
        <v>431</v>
      </c>
      <c r="C5" s="18"/>
      <c r="D5" s="18"/>
      <c r="E5" s="18"/>
      <c r="F5" s="18"/>
      <c r="H5" s="18" t="s">
        <v>432</v>
      </c>
      <c r="I5" s="18"/>
      <c r="J5" s="18"/>
      <c r="K5" s="18"/>
      <c r="L5" s="18"/>
    </row>
    <row r="6" spans="1:35" ht="1" customHeight="1" x14ac:dyDescent="0.35"/>
    <row r="7" spans="1:35" ht="1" customHeight="1" x14ac:dyDescent="0.35"/>
    <row r="8" spans="1:35"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row>
    <row r="9" spans="1:35" ht="18" x14ac:dyDescent="0.35">
      <c r="A9" s="5" t="str">
        <f>HYPERLINK("#Content!A39","&lt;&lt;Back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469</v>
      </c>
      <c r="AH9" s="8" t="s">
        <v>471</v>
      </c>
      <c r="AI9" s="8" t="s">
        <v>472</v>
      </c>
    </row>
    <row r="10" spans="1:35"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1040</v>
      </c>
      <c r="AH10" s="10">
        <v>1005</v>
      </c>
      <c r="AI10" s="10">
        <v>524</v>
      </c>
    </row>
    <row r="11" spans="1:35"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x14ac:dyDescent="0.35">
      <c r="A12" s="19"/>
      <c r="B12" s="11" t="s">
        <v>657</v>
      </c>
      <c r="C12" s="12">
        <v>21296</v>
      </c>
      <c r="D12" s="12">
        <v>899</v>
      </c>
      <c r="E12" s="12">
        <v>622</v>
      </c>
      <c r="F12" s="12">
        <v>937</v>
      </c>
      <c r="G12" s="12">
        <v>908</v>
      </c>
      <c r="H12" s="12">
        <v>1010</v>
      </c>
      <c r="I12" s="12">
        <v>1238</v>
      </c>
      <c r="J12" s="12">
        <v>229</v>
      </c>
      <c r="K12" s="12">
        <v>754</v>
      </c>
      <c r="L12" s="12">
        <v>830</v>
      </c>
      <c r="M12" s="12">
        <v>553</v>
      </c>
      <c r="N12" s="12">
        <v>852</v>
      </c>
      <c r="O12" s="12">
        <v>878</v>
      </c>
      <c r="P12" s="12">
        <v>681</v>
      </c>
      <c r="Q12" s="12">
        <v>779</v>
      </c>
      <c r="R12" s="12">
        <v>313</v>
      </c>
      <c r="S12" s="12">
        <v>770</v>
      </c>
      <c r="T12" s="12">
        <v>750</v>
      </c>
      <c r="U12" s="12">
        <v>437</v>
      </c>
      <c r="V12" s="12">
        <v>632</v>
      </c>
      <c r="W12" s="12">
        <v>416</v>
      </c>
      <c r="X12" s="12">
        <v>923</v>
      </c>
      <c r="Y12" s="12">
        <v>844</v>
      </c>
      <c r="Z12" s="12">
        <v>796</v>
      </c>
      <c r="AA12" s="12">
        <v>944</v>
      </c>
      <c r="AB12" s="12">
        <v>641</v>
      </c>
      <c r="AC12" s="12">
        <v>742</v>
      </c>
      <c r="AD12" s="12">
        <v>724</v>
      </c>
      <c r="AE12" s="12">
        <v>941</v>
      </c>
      <c r="AF12" s="12">
        <v>927</v>
      </c>
      <c r="AG12" s="12">
        <v>835</v>
      </c>
      <c r="AH12" s="12">
        <v>754</v>
      </c>
      <c r="AI12" s="12">
        <v>256</v>
      </c>
    </row>
    <row r="13" spans="1:35" x14ac:dyDescent="0.35">
      <c r="A13" s="19"/>
      <c r="B13" s="13" t="s">
        <v>658</v>
      </c>
      <c r="C13" s="15">
        <v>0.8</v>
      </c>
      <c r="D13" s="15">
        <v>0.89</v>
      </c>
      <c r="E13" s="15">
        <v>0.6</v>
      </c>
      <c r="F13" s="15">
        <v>0.85</v>
      </c>
      <c r="G13" s="15">
        <v>0.9</v>
      </c>
      <c r="H13" s="15">
        <v>0.83000000000000007</v>
      </c>
      <c r="I13" s="15">
        <v>0.82000000000000006</v>
      </c>
      <c r="J13" s="15">
        <v>0.77</v>
      </c>
      <c r="K13" s="15">
        <v>0.75</v>
      </c>
      <c r="L13" s="15">
        <v>0.83000000000000007</v>
      </c>
      <c r="M13" s="15">
        <v>0.55000000000000004</v>
      </c>
      <c r="N13" s="15">
        <v>0.85</v>
      </c>
      <c r="O13" s="15">
        <v>0.88</v>
      </c>
      <c r="P13" s="15">
        <v>0.68</v>
      </c>
      <c r="Q13" s="15">
        <v>0.76</v>
      </c>
      <c r="R13" s="15">
        <v>0.62</v>
      </c>
      <c r="S13" s="15">
        <v>0.77</v>
      </c>
      <c r="T13" s="15">
        <v>0.75</v>
      </c>
      <c r="U13" s="15">
        <v>0.87</v>
      </c>
      <c r="V13" s="15">
        <v>0.62</v>
      </c>
      <c r="W13" s="15">
        <v>0.82000000000000006</v>
      </c>
      <c r="X13" s="15">
        <v>0.92</v>
      </c>
      <c r="Y13" s="15">
        <v>0.84</v>
      </c>
      <c r="Z13" s="15">
        <v>0.77</v>
      </c>
      <c r="AA13" s="15">
        <v>0.91</v>
      </c>
      <c r="AB13" s="15">
        <v>0.61</v>
      </c>
      <c r="AC13" s="15">
        <v>0.74</v>
      </c>
      <c r="AD13" s="15">
        <v>0.72</v>
      </c>
      <c r="AE13" s="15">
        <v>0.93</v>
      </c>
      <c r="AF13" s="15">
        <v>0.89</v>
      </c>
      <c r="AG13" s="15">
        <v>0.8</v>
      </c>
      <c r="AH13" s="15">
        <v>0.75</v>
      </c>
      <c r="AI13" s="15">
        <v>0.49</v>
      </c>
    </row>
    <row r="14" spans="1:35" x14ac:dyDescent="0.35">
      <c r="A14" s="19"/>
      <c r="B14" s="11" t="s">
        <v>659</v>
      </c>
      <c r="C14" s="12">
        <v>4684</v>
      </c>
      <c r="D14" s="12">
        <v>108</v>
      </c>
      <c r="E14" s="12">
        <v>341</v>
      </c>
      <c r="F14" s="12">
        <v>158</v>
      </c>
      <c r="G14" s="12">
        <v>88</v>
      </c>
      <c r="H14" s="12">
        <v>180</v>
      </c>
      <c r="I14" s="12">
        <v>245</v>
      </c>
      <c r="J14" s="12">
        <v>65</v>
      </c>
      <c r="K14" s="12">
        <v>208</v>
      </c>
      <c r="L14" s="12">
        <v>154</v>
      </c>
      <c r="M14" s="12">
        <v>452</v>
      </c>
      <c r="N14" s="12">
        <v>140</v>
      </c>
      <c r="O14" s="12">
        <v>107</v>
      </c>
      <c r="P14" s="12">
        <v>310</v>
      </c>
      <c r="Q14" s="12">
        <v>232</v>
      </c>
      <c r="R14" s="12">
        <v>177</v>
      </c>
      <c r="S14" s="12">
        <v>205</v>
      </c>
      <c r="T14" s="12">
        <v>226</v>
      </c>
      <c r="U14" s="12">
        <v>61</v>
      </c>
      <c r="V14" s="12">
        <v>365</v>
      </c>
      <c r="W14" s="12">
        <v>74</v>
      </c>
      <c r="X14" s="12">
        <v>81</v>
      </c>
      <c r="Y14" s="12">
        <v>148</v>
      </c>
      <c r="Z14" s="12">
        <v>207</v>
      </c>
      <c r="AA14" s="12">
        <v>79</v>
      </c>
      <c r="AB14" s="12">
        <v>371</v>
      </c>
      <c r="AC14" s="12">
        <v>253</v>
      </c>
      <c r="AD14" s="12">
        <v>271</v>
      </c>
      <c r="AE14" s="12">
        <v>61</v>
      </c>
      <c r="AF14" s="12">
        <v>102</v>
      </c>
      <c r="AG14" s="12">
        <v>180</v>
      </c>
      <c r="AH14" s="12">
        <v>249</v>
      </c>
      <c r="AI14" s="12">
        <v>267</v>
      </c>
    </row>
    <row r="15" spans="1:35" x14ac:dyDescent="0.35">
      <c r="A15" s="19"/>
      <c r="B15" s="13" t="s">
        <v>660</v>
      </c>
      <c r="C15" s="15">
        <v>0.18</v>
      </c>
      <c r="D15" s="15">
        <v>0.11</v>
      </c>
      <c r="E15" s="15">
        <v>0.33</v>
      </c>
      <c r="F15" s="15">
        <v>0.14000000000000001</v>
      </c>
      <c r="G15" s="15">
        <v>0.09</v>
      </c>
      <c r="H15" s="15">
        <v>0.15</v>
      </c>
      <c r="I15" s="15">
        <v>0.16</v>
      </c>
      <c r="J15" s="15">
        <v>0.22</v>
      </c>
      <c r="K15" s="15">
        <v>0.21</v>
      </c>
      <c r="L15" s="15">
        <v>0.15</v>
      </c>
      <c r="M15" s="15">
        <v>0.45</v>
      </c>
      <c r="N15" s="15">
        <v>0.14000000000000001</v>
      </c>
      <c r="O15" s="15">
        <v>0.1</v>
      </c>
      <c r="P15" s="15">
        <v>0.31</v>
      </c>
      <c r="Q15" s="15">
        <v>0.23</v>
      </c>
      <c r="R15" s="15">
        <v>0.35</v>
      </c>
      <c r="S15" s="15">
        <v>0.2</v>
      </c>
      <c r="T15" s="15">
        <v>0.22</v>
      </c>
      <c r="U15" s="15">
        <v>0.12</v>
      </c>
      <c r="V15" s="15">
        <v>0.36</v>
      </c>
      <c r="W15" s="15">
        <v>0.14000000000000001</v>
      </c>
      <c r="X15" s="15">
        <v>0.08</v>
      </c>
      <c r="Y15" s="15">
        <v>0.15</v>
      </c>
      <c r="Z15" s="15">
        <v>0.2</v>
      </c>
      <c r="AA15" s="15">
        <v>0.08</v>
      </c>
      <c r="AB15" s="15">
        <v>0.35</v>
      </c>
      <c r="AC15" s="15">
        <v>0.25</v>
      </c>
      <c r="AD15" s="15">
        <v>0.27</v>
      </c>
      <c r="AE15" s="15">
        <v>0.06</v>
      </c>
      <c r="AF15" s="15">
        <v>0.1</v>
      </c>
      <c r="AG15" s="15">
        <v>0.17</v>
      </c>
      <c r="AH15" s="15">
        <v>0.25</v>
      </c>
      <c r="AI15" s="15">
        <v>0.51</v>
      </c>
    </row>
    <row r="16" spans="1:35" x14ac:dyDescent="0.35">
      <c r="A16" s="19"/>
      <c r="B16" s="11" t="s">
        <v>485</v>
      </c>
      <c r="C16" s="12">
        <v>465</v>
      </c>
      <c r="D16" s="12">
        <v>6</v>
      </c>
      <c r="E16" s="12">
        <v>67</v>
      </c>
      <c r="F16" s="12">
        <v>7</v>
      </c>
      <c r="G16" s="12">
        <v>10</v>
      </c>
      <c r="H16" s="12">
        <v>31</v>
      </c>
      <c r="I16" s="12">
        <v>33</v>
      </c>
      <c r="J16" s="12">
        <v>2</v>
      </c>
      <c r="K16" s="12">
        <v>40</v>
      </c>
      <c r="L16" s="12">
        <v>18</v>
      </c>
      <c r="M16" s="12">
        <v>5</v>
      </c>
      <c r="N16" s="12">
        <v>11</v>
      </c>
      <c r="O16" s="12">
        <v>17</v>
      </c>
      <c r="P16" s="12">
        <v>13</v>
      </c>
      <c r="Q16" s="12">
        <v>16</v>
      </c>
      <c r="R16" s="12">
        <v>14</v>
      </c>
      <c r="S16" s="12">
        <v>27</v>
      </c>
      <c r="T16" s="12">
        <v>30</v>
      </c>
      <c r="U16" s="12">
        <v>7</v>
      </c>
      <c r="V16" s="12">
        <v>18</v>
      </c>
      <c r="W16" s="12">
        <v>18</v>
      </c>
      <c r="X16" s="12">
        <v>5</v>
      </c>
      <c r="Y16" s="12">
        <v>11</v>
      </c>
      <c r="Z16" s="12">
        <v>28</v>
      </c>
      <c r="AA16" s="12">
        <v>11</v>
      </c>
      <c r="AB16" s="12">
        <v>39</v>
      </c>
      <c r="AC16" s="12">
        <v>8</v>
      </c>
      <c r="AD16" s="12">
        <v>10</v>
      </c>
      <c r="AE16" s="12">
        <v>10</v>
      </c>
      <c r="AF16" s="12">
        <v>15</v>
      </c>
      <c r="AG16" s="12">
        <v>25</v>
      </c>
      <c r="AH16" s="12">
        <v>2</v>
      </c>
      <c r="AI16" s="12">
        <v>1</v>
      </c>
    </row>
    <row r="17" spans="1:35" x14ac:dyDescent="0.35">
      <c r="A17" s="19"/>
      <c r="B17" s="13" t="s">
        <v>486</v>
      </c>
      <c r="C17" s="15">
        <v>0.02</v>
      </c>
      <c r="D17" s="14" t="s">
        <v>475</v>
      </c>
      <c r="E17" s="15">
        <v>7.0000000000000007E-2</v>
      </c>
      <c r="F17" s="15">
        <v>0.01</v>
      </c>
      <c r="G17" s="15">
        <v>0.01</v>
      </c>
      <c r="H17" s="15">
        <v>0.02</v>
      </c>
      <c r="I17" s="15">
        <v>0.02</v>
      </c>
      <c r="J17" s="15">
        <v>0.01</v>
      </c>
      <c r="K17" s="15">
        <v>0.04</v>
      </c>
      <c r="L17" s="15">
        <v>0.02</v>
      </c>
      <c r="M17" s="14" t="s">
        <v>475</v>
      </c>
      <c r="N17" s="15">
        <v>0.01</v>
      </c>
      <c r="O17" s="15">
        <v>0.02</v>
      </c>
      <c r="P17" s="15">
        <v>0.01</v>
      </c>
      <c r="Q17" s="15">
        <v>0.01</v>
      </c>
      <c r="R17" s="15">
        <v>0.03</v>
      </c>
      <c r="S17" s="15">
        <v>0.03</v>
      </c>
      <c r="T17" s="15">
        <v>0.03</v>
      </c>
      <c r="U17" s="15">
        <v>0.01</v>
      </c>
      <c r="V17" s="15">
        <v>0.02</v>
      </c>
      <c r="W17" s="15">
        <v>0.04</v>
      </c>
      <c r="X17" s="14" t="s">
        <v>475</v>
      </c>
      <c r="Y17" s="15">
        <v>0.01</v>
      </c>
      <c r="Z17" s="15">
        <v>0.03</v>
      </c>
      <c r="AA17" s="15">
        <v>0.01</v>
      </c>
      <c r="AB17" s="15">
        <v>0.04</v>
      </c>
      <c r="AC17" s="15">
        <v>0.01</v>
      </c>
      <c r="AD17" s="15">
        <v>0.01</v>
      </c>
      <c r="AE17" s="15">
        <v>0.01</v>
      </c>
      <c r="AF17" s="15">
        <v>0.01</v>
      </c>
      <c r="AG17" s="15">
        <v>0.03</v>
      </c>
      <c r="AH17" s="14" t="s">
        <v>475</v>
      </c>
      <c r="AI17" s="14" t="s">
        <v>475</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O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1" width="12.453125" customWidth="1"/>
  </cols>
  <sheetData>
    <row r="1" spans="1:41" x14ac:dyDescent="0.35">
      <c r="I1" s="7" t="s">
        <v>428</v>
      </c>
    </row>
    <row r="2" spans="1:41" x14ac:dyDescent="0.35">
      <c r="C2" s="7" t="s">
        <v>429</v>
      </c>
      <c r="H2" s="7" t="s">
        <v>430</v>
      </c>
    </row>
    <row r="3" spans="1:41" ht="36" customHeight="1" x14ac:dyDescent="0.35">
      <c r="B3" s="18" t="s">
        <v>681</v>
      </c>
      <c r="C3" s="18"/>
      <c r="D3" s="18"/>
      <c r="E3" s="18"/>
      <c r="F3" s="18"/>
      <c r="H3" s="18" t="s">
        <v>682</v>
      </c>
      <c r="I3" s="18"/>
      <c r="J3" s="18"/>
      <c r="K3" s="18"/>
      <c r="L3" s="18"/>
    </row>
    <row r="4" spans="1:41" ht="27" customHeight="1" x14ac:dyDescent="0.35">
      <c r="B4" s="18" t="s">
        <v>683</v>
      </c>
      <c r="C4" s="18"/>
      <c r="D4" s="18"/>
      <c r="E4" s="18"/>
      <c r="F4" s="18"/>
      <c r="H4" s="18" t="s">
        <v>684</v>
      </c>
      <c r="I4" s="18"/>
      <c r="J4" s="18"/>
      <c r="K4" s="18"/>
      <c r="L4" s="18"/>
    </row>
    <row r="5" spans="1:41" ht="12" customHeight="1" x14ac:dyDescent="0.35">
      <c r="B5" s="18" t="s">
        <v>431</v>
      </c>
      <c r="C5" s="18"/>
      <c r="D5" s="18"/>
      <c r="E5" s="18"/>
      <c r="F5" s="18"/>
      <c r="H5" s="18" t="s">
        <v>432</v>
      </c>
      <c r="I5" s="18"/>
      <c r="J5" s="18"/>
      <c r="K5" s="18"/>
      <c r="L5" s="18"/>
    </row>
    <row r="6" spans="1:41" ht="1" customHeight="1" x14ac:dyDescent="0.35"/>
    <row r="7" spans="1:41" ht="1" customHeight="1" x14ac:dyDescent="0.35"/>
    <row r="8" spans="1:41"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8" x14ac:dyDescent="0.35">
      <c r="A9" s="5" t="str">
        <f>HYPERLINK("#Content!A40","&lt;&lt;Back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x14ac:dyDescent="0.35">
      <c r="A12" s="19"/>
      <c r="B12" s="11" t="s">
        <v>657</v>
      </c>
      <c r="C12" s="12">
        <v>8612</v>
      </c>
      <c r="D12" s="12">
        <v>348</v>
      </c>
      <c r="E12" s="12">
        <v>260</v>
      </c>
      <c r="F12" s="12">
        <v>321</v>
      </c>
      <c r="G12" s="12">
        <v>536</v>
      </c>
      <c r="H12" s="12">
        <v>549</v>
      </c>
      <c r="I12" s="12">
        <v>601</v>
      </c>
      <c r="J12" s="12">
        <v>52</v>
      </c>
      <c r="K12" s="12">
        <v>358</v>
      </c>
      <c r="L12" s="12">
        <v>435</v>
      </c>
      <c r="M12" s="12">
        <v>190</v>
      </c>
      <c r="N12" s="12">
        <v>295</v>
      </c>
      <c r="O12" s="12">
        <v>86</v>
      </c>
      <c r="P12" s="12">
        <v>350</v>
      </c>
      <c r="Q12" s="12">
        <v>386</v>
      </c>
      <c r="R12" s="12">
        <v>173</v>
      </c>
      <c r="S12" s="12">
        <v>311</v>
      </c>
      <c r="T12" s="12">
        <v>338</v>
      </c>
      <c r="U12" s="12">
        <v>360</v>
      </c>
      <c r="V12" s="12">
        <v>420</v>
      </c>
      <c r="W12" s="12">
        <v>205</v>
      </c>
      <c r="X12" s="12">
        <v>245</v>
      </c>
      <c r="Y12" s="12">
        <v>480</v>
      </c>
      <c r="Z12" s="12">
        <v>468</v>
      </c>
      <c r="AA12" s="12">
        <v>508</v>
      </c>
      <c r="AB12" s="12">
        <v>344</v>
      </c>
      <c r="AC12" s="12">
        <v>271</v>
      </c>
      <c r="AD12" s="12">
        <v>263</v>
      </c>
      <c r="AE12" s="12">
        <v>452</v>
      </c>
      <c r="AF12" s="12">
        <v>430</v>
      </c>
      <c r="AG12" s="12">
        <v>609</v>
      </c>
      <c r="AH12" s="12">
        <v>450</v>
      </c>
      <c r="AI12" s="12">
        <v>145</v>
      </c>
      <c r="AJ12" s="12">
        <v>470</v>
      </c>
      <c r="AK12" s="12">
        <v>414</v>
      </c>
      <c r="AL12" s="12">
        <v>418</v>
      </c>
      <c r="AM12" s="12">
        <v>258</v>
      </c>
      <c r="AN12" s="12">
        <v>286</v>
      </c>
      <c r="AO12" s="12">
        <v>544</v>
      </c>
    </row>
    <row r="13" spans="1:41" x14ac:dyDescent="0.35">
      <c r="A13" s="19"/>
      <c r="B13" s="13" t="s">
        <v>658</v>
      </c>
      <c r="C13" s="15">
        <v>0.33</v>
      </c>
      <c r="D13" s="15">
        <v>0.34</v>
      </c>
      <c r="E13" s="15">
        <v>0.25</v>
      </c>
      <c r="F13" s="15">
        <v>0.28999999999999998</v>
      </c>
      <c r="G13" s="15">
        <v>0.53</v>
      </c>
      <c r="H13" s="15">
        <v>0.45</v>
      </c>
      <c r="I13" s="15">
        <v>0.4</v>
      </c>
      <c r="J13" s="15">
        <v>0.18</v>
      </c>
      <c r="K13" s="15">
        <v>0.36</v>
      </c>
      <c r="L13" s="15">
        <v>0.43</v>
      </c>
      <c r="M13" s="15">
        <v>0.19</v>
      </c>
      <c r="N13" s="15">
        <v>0.28999999999999998</v>
      </c>
      <c r="O13" s="15">
        <v>0.09</v>
      </c>
      <c r="P13" s="15">
        <v>0.35</v>
      </c>
      <c r="Q13" s="15">
        <v>0.38</v>
      </c>
      <c r="R13" s="15">
        <v>0.35</v>
      </c>
      <c r="S13" s="15">
        <v>0.31</v>
      </c>
      <c r="T13" s="15">
        <v>0.34</v>
      </c>
      <c r="U13" s="15">
        <v>0.71</v>
      </c>
      <c r="V13" s="15">
        <v>0.41</v>
      </c>
      <c r="W13" s="15">
        <v>0.4</v>
      </c>
      <c r="X13" s="15">
        <v>0.24</v>
      </c>
      <c r="Y13" s="15">
        <v>0.48</v>
      </c>
      <c r="Z13" s="15">
        <v>0.45</v>
      </c>
      <c r="AA13" s="15">
        <v>0.49</v>
      </c>
      <c r="AB13" s="15">
        <v>0.33</v>
      </c>
      <c r="AC13" s="15">
        <v>0.27</v>
      </c>
      <c r="AD13" s="15">
        <v>0.26</v>
      </c>
      <c r="AE13" s="15">
        <v>0.45</v>
      </c>
      <c r="AF13" s="15">
        <v>0.41</v>
      </c>
      <c r="AG13" s="15">
        <v>0.59</v>
      </c>
      <c r="AH13" s="15">
        <v>0.45</v>
      </c>
      <c r="AI13" s="15">
        <v>0.28000000000000003</v>
      </c>
      <c r="AJ13" s="15">
        <v>0.45</v>
      </c>
      <c r="AK13" s="15">
        <v>0.41</v>
      </c>
      <c r="AL13" s="15">
        <v>0.41</v>
      </c>
      <c r="AM13" s="15">
        <v>0.25</v>
      </c>
      <c r="AN13" s="15">
        <v>0.28000000000000003</v>
      </c>
      <c r="AO13" s="15">
        <v>0.54</v>
      </c>
    </row>
    <row r="14" spans="1:41" x14ac:dyDescent="0.35">
      <c r="A14" s="19"/>
      <c r="B14" s="11" t="s">
        <v>659</v>
      </c>
      <c r="C14" s="12">
        <v>16732</v>
      </c>
      <c r="D14" s="12">
        <v>637</v>
      </c>
      <c r="E14" s="12">
        <v>681</v>
      </c>
      <c r="F14" s="12">
        <v>733</v>
      </c>
      <c r="G14" s="12">
        <v>425</v>
      </c>
      <c r="H14" s="12">
        <v>597</v>
      </c>
      <c r="I14" s="12">
        <v>833</v>
      </c>
      <c r="J14" s="12">
        <v>236</v>
      </c>
      <c r="K14" s="12">
        <v>547</v>
      </c>
      <c r="L14" s="12">
        <v>527</v>
      </c>
      <c r="M14" s="12">
        <v>801</v>
      </c>
      <c r="N14" s="12">
        <v>678</v>
      </c>
      <c r="O14" s="12">
        <v>866</v>
      </c>
      <c r="P14" s="12">
        <v>641</v>
      </c>
      <c r="Q14" s="12">
        <v>614</v>
      </c>
      <c r="R14" s="12">
        <v>319</v>
      </c>
      <c r="S14" s="12">
        <v>643</v>
      </c>
      <c r="T14" s="12">
        <v>599</v>
      </c>
      <c r="U14" s="12">
        <v>119</v>
      </c>
      <c r="V14" s="12">
        <v>562</v>
      </c>
      <c r="W14" s="12">
        <v>267</v>
      </c>
      <c r="X14" s="12">
        <v>738</v>
      </c>
      <c r="Y14" s="12">
        <v>465</v>
      </c>
      <c r="Z14" s="12">
        <v>503</v>
      </c>
      <c r="AA14" s="12">
        <v>484</v>
      </c>
      <c r="AB14" s="12">
        <v>669</v>
      </c>
      <c r="AC14" s="12">
        <v>689</v>
      </c>
      <c r="AD14" s="12">
        <v>725</v>
      </c>
      <c r="AE14" s="12">
        <v>508</v>
      </c>
      <c r="AF14" s="12">
        <v>589</v>
      </c>
      <c r="AG14" s="12">
        <v>417</v>
      </c>
      <c r="AH14" s="12">
        <v>539</v>
      </c>
      <c r="AI14" s="12">
        <v>350</v>
      </c>
      <c r="AJ14" s="12">
        <v>551</v>
      </c>
      <c r="AK14" s="12">
        <v>568</v>
      </c>
      <c r="AL14" s="12">
        <v>515</v>
      </c>
      <c r="AM14" s="12">
        <v>732</v>
      </c>
      <c r="AN14" s="12">
        <v>679</v>
      </c>
      <c r="AO14" s="12">
        <v>406</v>
      </c>
    </row>
    <row r="15" spans="1:41" x14ac:dyDescent="0.35">
      <c r="A15" s="19"/>
      <c r="B15" s="13" t="s">
        <v>660</v>
      </c>
      <c r="C15" s="15">
        <v>0.63</v>
      </c>
      <c r="D15" s="15">
        <v>0.63</v>
      </c>
      <c r="E15" s="15">
        <v>0.66</v>
      </c>
      <c r="F15" s="15">
        <v>0.67</v>
      </c>
      <c r="G15" s="15">
        <v>0.42</v>
      </c>
      <c r="H15" s="15">
        <v>0.49</v>
      </c>
      <c r="I15" s="15">
        <v>0.55000000000000004</v>
      </c>
      <c r="J15" s="15">
        <v>0.8</v>
      </c>
      <c r="K15" s="15">
        <v>0.54</v>
      </c>
      <c r="L15" s="15">
        <v>0.53</v>
      </c>
      <c r="M15" s="15">
        <v>0.79</v>
      </c>
      <c r="N15" s="15">
        <v>0.68</v>
      </c>
      <c r="O15" s="15">
        <v>0.86</v>
      </c>
      <c r="P15" s="15">
        <v>0.64</v>
      </c>
      <c r="Q15" s="15">
        <v>0.6</v>
      </c>
      <c r="R15" s="15">
        <v>0.63</v>
      </c>
      <c r="S15" s="15">
        <v>0.64</v>
      </c>
      <c r="T15" s="15">
        <v>0.59</v>
      </c>
      <c r="U15" s="15">
        <v>0.24</v>
      </c>
      <c r="V15" s="15">
        <v>0.55000000000000004</v>
      </c>
      <c r="W15" s="15">
        <v>0.53</v>
      </c>
      <c r="X15" s="15">
        <v>0.73</v>
      </c>
      <c r="Y15" s="15">
        <v>0.46</v>
      </c>
      <c r="Z15" s="15">
        <v>0.49</v>
      </c>
      <c r="AA15" s="15">
        <v>0.47</v>
      </c>
      <c r="AB15" s="15">
        <v>0.64</v>
      </c>
      <c r="AC15" s="15">
        <v>0.69000000000000006</v>
      </c>
      <c r="AD15" s="15">
        <v>0.72</v>
      </c>
      <c r="AE15" s="15">
        <v>0.5</v>
      </c>
      <c r="AF15" s="15">
        <v>0.57000000000000006</v>
      </c>
      <c r="AG15" s="15">
        <v>0.4</v>
      </c>
      <c r="AH15" s="15">
        <v>0.53</v>
      </c>
      <c r="AI15" s="15">
        <v>0.67</v>
      </c>
      <c r="AJ15" s="15">
        <v>0.53</v>
      </c>
      <c r="AK15" s="15">
        <v>0.56000000000000005</v>
      </c>
      <c r="AL15" s="15">
        <v>0.51</v>
      </c>
      <c r="AM15" s="15">
        <v>0.70000000000000007</v>
      </c>
      <c r="AN15" s="15">
        <v>0.68</v>
      </c>
      <c r="AO15" s="15">
        <v>0.41</v>
      </c>
    </row>
    <row r="16" spans="1:41" x14ac:dyDescent="0.35">
      <c r="A16" s="19"/>
      <c r="B16" s="11" t="s">
        <v>485</v>
      </c>
      <c r="C16" s="12">
        <v>1101</v>
      </c>
      <c r="D16" s="12">
        <v>28</v>
      </c>
      <c r="E16" s="12">
        <v>89</v>
      </c>
      <c r="F16" s="12">
        <v>48</v>
      </c>
      <c r="G16" s="12">
        <v>44</v>
      </c>
      <c r="H16" s="12">
        <v>75</v>
      </c>
      <c r="I16" s="12">
        <v>82</v>
      </c>
      <c r="J16" s="12">
        <v>7</v>
      </c>
      <c r="K16" s="12">
        <v>97</v>
      </c>
      <c r="L16" s="12">
        <v>39</v>
      </c>
      <c r="M16" s="12">
        <v>19</v>
      </c>
      <c r="N16" s="12">
        <v>30</v>
      </c>
      <c r="O16" s="12">
        <v>49</v>
      </c>
      <c r="P16" s="12">
        <v>13</v>
      </c>
      <c r="Q16" s="12">
        <v>26</v>
      </c>
      <c r="R16" s="12">
        <v>12</v>
      </c>
      <c r="S16" s="12">
        <v>48</v>
      </c>
      <c r="T16" s="12">
        <v>69</v>
      </c>
      <c r="U16" s="12">
        <v>25</v>
      </c>
      <c r="V16" s="12">
        <v>34</v>
      </c>
      <c r="W16" s="12">
        <v>36</v>
      </c>
      <c r="X16" s="12">
        <v>26</v>
      </c>
      <c r="Y16" s="12">
        <v>57</v>
      </c>
      <c r="Z16" s="12">
        <v>61</v>
      </c>
      <c r="AA16" s="12">
        <v>41</v>
      </c>
      <c r="AB16" s="12">
        <v>38</v>
      </c>
      <c r="AC16" s="12">
        <v>44</v>
      </c>
      <c r="AD16" s="12">
        <v>17</v>
      </c>
      <c r="AE16" s="12">
        <v>53</v>
      </c>
      <c r="AF16" s="12">
        <v>24</v>
      </c>
      <c r="AG16" s="12">
        <v>9</v>
      </c>
      <c r="AH16" s="12">
        <v>24</v>
      </c>
      <c r="AI16" s="12">
        <v>27</v>
      </c>
      <c r="AJ16" s="12">
        <v>17</v>
      </c>
      <c r="AK16" s="12">
        <v>25</v>
      </c>
      <c r="AL16" s="12">
        <v>79</v>
      </c>
      <c r="AM16" s="12">
        <v>49</v>
      </c>
      <c r="AN16" s="12">
        <v>38</v>
      </c>
      <c r="AO16" s="12">
        <v>52</v>
      </c>
    </row>
    <row r="17" spans="1:41" x14ac:dyDescent="0.35">
      <c r="A17" s="19"/>
      <c r="B17" s="13" t="s">
        <v>486</v>
      </c>
      <c r="C17" s="15">
        <v>0.04</v>
      </c>
      <c r="D17" s="15">
        <v>0.03</v>
      </c>
      <c r="E17" s="15">
        <v>0.09</v>
      </c>
      <c r="F17" s="15">
        <v>0.04</v>
      </c>
      <c r="G17" s="15">
        <v>0.05</v>
      </c>
      <c r="H17" s="15">
        <v>0.06</v>
      </c>
      <c r="I17" s="15">
        <v>0.05</v>
      </c>
      <c r="J17" s="15">
        <v>0.02</v>
      </c>
      <c r="K17" s="15">
        <v>0.1</v>
      </c>
      <c r="L17" s="15">
        <v>0.04</v>
      </c>
      <c r="M17" s="15">
        <v>0.02</v>
      </c>
      <c r="N17" s="15">
        <v>0.03</v>
      </c>
      <c r="O17" s="15">
        <v>0.05</v>
      </c>
      <c r="P17" s="15">
        <v>0.01</v>
      </c>
      <c r="Q17" s="15">
        <v>0.02</v>
      </c>
      <c r="R17" s="15">
        <v>0.02</v>
      </c>
      <c r="S17" s="15">
        <v>0.05</v>
      </c>
      <c r="T17" s="15">
        <v>7.0000000000000007E-2</v>
      </c>
      <c r="U17" s="15">
        <v>0.05</v>
      </c>
      <c r="V17" s="15">
        <v>0.04</v>
      </c>
      <c r="W17" s="15">
        <v>7.0000000000000007E-2</v>
      </c>
      <c r="X17" s="15">
        <v>0.03</v>
      </c>
      <c r="Y17" s="15">
        <v>0.06</v>
      </c>
      <c r="Z17" s="15">
        <v>0.06</v>
      </c>
      <c r="AA17" s="15">
        <v>0.04</v>
      </c>
      <c r="AB17" s="15">
        <v>0.03</v>
      </c>
      <c r="AC17" s="15">
        <v>0.04</v>
      </c>
      <c r="AD17" s="15">
        <v>0.02</v>
      </c>
      <c r="AE17" s="15">
        <v>0.05</v>
      </c>
      <c r="AF17" s="15">
        <v>0.02</v>
      </c>
      <c r="AG17" s="15">
        <v>0.01</v>
      </c>
      <c r="AH17" s="15">
        <v>0.02</v>
      </c>
      <c r="AI17" s="15">
        <v>0.05</v>
      </c>
      <c r="AJ17" s="15">
        <v>0.02</v>
      </c>
      <c r="AK17" s="15">
        <v>0.03</v>
      </c>
      <c r="AL17" s="15">
        <v>0.08</v>
      </c>
      <c r="AM17" s="15">
        <v>0.05</v>
      </c>
      <c r="AN17" s="15">
        <v>0.04</v>
      </c>
      <c r="AO17" s="15">
        <v>0.05</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O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1" width="12.453125" customWidth="1"/>
  </cols>
  <sheetData>
    <row r="1" spans="1:41" x14ac:dyDescent="0.35">
      <c r="I1" s="7" t="s">
        <v>428</v>
      </c>
    </row>
    <row r="2" spans="1:41" x14ac:dyDescent="0.35">
      <c r="C2" s="7" t="s">
        <v>429</v>
      </c>
      <c r="H2" s="7" t="s">
        <v>430</v>
      </c>
    </row>
    <row r="3" spans="1:41" ht="36" customHeight="1" x14ac:dyDescent="0.35">
      <c r="B3" s="18" t="s">
        <v>685</v>
      </c>
      <c r="C3" s="18"/>
      <c r="D3" s="18"/>
      <c r="E3" s="18"/>
      <c r="F3" s="18"/>
      <c r="H3" s="18" t="s">
        <v>686</v>
      </c>
      <c r="I3" s="18"/>
      <c r="J3" s="18"/>
      <c r="K3" s="18"/>
      <c r="L3" s="18"/>
    </row>
    <row r="4" spans="1:41" ht="27" customHeight="1" x14ac:dyDescent="0.35">
      <c r="B4" s="18" t="s">
        <v>687</v>
      </c>
      <c r="C4" s="18"/>
      <c r="D4" s="18"/>
      <c r="E4" s="18"/>
      <c r="F4" s="18"/>
      <c r="H4" s="18" t="s">
        <v>688</v>
      </c>
      <c r="I4" s="18"/>
      <c r="J4" s="18"/>
      <c r="K4" s="18"/>
      <c r="L4" s="18"/>
    </row>
    <row r="5" spans="1:41" ht="12" customHeight="1" x14ac:dyDescent="0.35">
      <c r="B5" s="18" t="s">
        <v>431</v>
      </c>
      <c r="C5" s="18"/>
      <c r="D5" s="18"/>
      <c r="E5" s="18"/>
      <c r="F5" s="18"/>
      <c r="H5" s="18" t="s">
        <v>432</v>
      </c>
      <c r="I5" s="18"/>
      <c r="J5" s="18"/>
      <c r="K5" s="18"/>
      <c r="L5" s="18"/>
    </row>
    <row r="6" spans="1:41" ht="1" customHeight="1" x14ac:dyDescent="0.35"/>
    <row r="7" spans="1:41" ht="1" customHeight="1" x14ac:dyDescent="0.35"/>
    <row r="8" spans="1:41"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8" x14ac:dyDescent="0.35">
      <c r="A9" s="5" t="str">
        <f>HYPERLINK("#Content!A41","&lt;&lt;Back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x14ac:dyDescent="0.35">
      <c r="A12" s="19"/>
      <c r="B12" s="11" t="s">
        <v>657</v>
      </c>
      <c r="C12" s="12">
        <v>9065</v>
      </c>
      <c r="D12" s="12">
        <v>355</v>
      </c>
      <c r="E12" s="12">
        <v>201</v>
      </c>
      <c r="F12" s="12">
        <v>309</v>
      </c>
      <c r="G12" s="12">
        <v>660</v>
      </c>
      <c r="H12" s="12">
        <v>611</v>
      </c>
      <c r="I12" s="12">
        <v>671</v>
      </c>
      <c r="J12" s="12">
        <v>60</v>
      </c>
      <c r="K12" s="12">
        <v>320</v>
      </c>
      <c r="L12" s="12">
        <v>462</v>
      </c>
      <c r="M12" s="12">
        <v>206</v>
      </c>
      <c r="N12" s="12">
        <v>228</v>
      </c>
      <c r="O12" s="12">
        <v>116</v>
      </c>
      <c r="P12" s="12">
        <v>338</v>
      </c>
      <c r="Q12" s="12">
        <v>421</v>
      </c>
      <c r="R12" s="12">
        <v>139</v>
      </c>
      <c r="S12" s="12">
        <v>283</v>
      </c>
      <c r="T12" s="12">
        <v>231</v>
      </c>
      <c r="U12" s="12">
        <v>303</v>
      </c>
      <c r="V12" s="12">
        <v>456</v>
      </c>
      <c r="W12" s="12">
        <v>186</v>
      </c>
      <c r="X12" s="12">
        <v>344</v>
      </c>
      <c r="Y12" s="12">
        <v>559</v>
      </c>
      <c r="Z12" s="12">
        <v>419</v>
      </c>
      <c r="AA12" s="12">
        <v>494</v>
      </c>
      <c r="AB12" s="12">
        <v>295</v>
      </c>
      <c r="AC12" s="12">
        <v>265</v>
      </c>
      <c r="AD12" s="12">
        <v>245</v>
      </c>
      <c r="AE12" s="12">
        <v>603</v>
      </c>
      <c r="AF12" s="12">
        <v>659</v>
      </c>
      <c r="AG12" s="12">
        <v>592</v>
      </c>
      <c r="AH12" s="12">
        <v>408</v>
      </c>
      <c r="AI12" s="12">
        <v>141</v>
      </c>
      <c r="AJ12" s="12">
        <v>410</v>
      </c>
      <c r="AK12" s="12">
        <v>277</v>
      </c>
      <c r="AL12" s="12">
        <v>378</v>
      </c>
      <c r="AM12" s="12">
        <v>277</v>
      </c>
      <c r="AN12" s="12">
        <v>261</v>
      </c>
      <c r="AO12" s="12">
        <v>484</v>
      </c>
    </row>
    <row r="13" spans="1:41" x14ac:dyDescent="0.35">
      <c r="A13" s="19"/>
      <c r="B13" s="13" t="s">
        <v>658</v>
      </c>
      <c r="C13" s="15">
        <v>0.34</v>
      </c>
      <c r="D13" s="15">
        <v>0.35</v>
      </c>
      <c r="E13" s="15">
        <v>0.19</v>
      </c>
      <c r="F13" s="15">
        <v>0.28000000000000003</v>
      </c>
      <c r="G13" s="15">
        <v>0.66</v>
      </c>
      <c r="H13" s="15">
        <v>0.5</v>
      </c>
      <c r="I13" s="15">
        <v>0.44</v>
      </c>
      <c r="J13" s="15">
        <v>0.2</v>
      </c>
      <c r="K13" s="15">
        <v>0.32</v>
      </c>
      <c r="L13" s="15">
        <v>0.46</v>
      </c>
      <c r="M13" s="15">
        <v>0.2</v>
      </c>
      <c r="N13" s="15">
        <v>0.23</v>
      </c>
      <c r="O13" s="15">
        <v>0.12</v>
      </c>
      <c r="P13" s="15">
        <v>0.33</v>
      </c>
      <c r="Q13" s="15">
        <v>0.41</v>
      </c>
      <c r="R13" s="15">
        <v>0.27</v>
      </c>
      <c r="S13" s="15">
        <v>0.28000000000000003</v>
      </c>
      <c r="T13" s="15">
        <v>0.23</v>
      </c>
      <c r="U13" s="15">
        <v>0.6</v>
      </c>
      <c r="V13" s="15">
        <v>0.45</v>
      </c>
      <c r="W13" s="15">
        <v>0.36</v>
      </c>
      <c r="X13" s="15">
        <v>0.34</v>
      </c>
      <c r="Y13" s="15">
        <v>0.56000000000000005</v>
      </c>
      <c r="Z13" s="15">
        <v>0.41</v>
      </c>
      <c r="AA13" s="15">
        <v>0.48</v>
      </c>
      <c r="AB13" s="15">
        <v>0.28000000000000003</v>
      </c>
      <c r="AC13" s="15">
        <v>0.26</v>
      </c>
      <c r="AD13" s="15">
        <v>0.24</v>
      </c>
      <c r="AE13" s="15">
        <v>0.6</v>
      </c>
      <c r="AF13" s="15">
        <v>0.63</v>
      </c>
      <c r="AG13" s="15">
        <v>0.57000000000000006</v>
      </c>
      <c r="AH13" s="15">
        <v>0.4</v>
      </c>
      <c r="AI13" s="15">
        <v>0.27</v>
      </c>
      <c r="AJ13" s="15">
        <v>0.39</v>
      </c>
      <c r="AK13" s="15">
        <v>0.27</v>
      </c>
      <c r="AL13" s="15">
        <v>0.37</v>
      </c>
      <c r="AM13" s="15">
        <v>0.27</v>
      </c>
      <c r="AN13" s="15">
        <v>0.26</v>
      </c>
      <c r="AO13" s="15">
        <v>0.48</v>
      </c>
    </row>
    <row r="14" spans="1:41" x14ac:dyDescent="0.35">
      <c r="A14" s="19"/>
      <c r="B14" s="11" t="s">
        <v>659</v>
      </c>
      <c r="C14" s="12">
        <v>15991</v>
      </c>
      <c r="D14" s="12">
        <v>621</v>
      </c>
      <c r="E14" s="12">
        <v>771</v>
      </c>
      <c r="F14" s="12">
        <v>757</v>
      </c>
      <c r="G14" s="12">
        <v>317</v>
      </c>
      <c r="H14" s="12">
        <v>527</v>
      </c>
      <c r="I14" s="12">
        <v>755</v>
      </c>
      <c r="J14" s="12">
        <v>228</v>
      </c>
      <c r="K14" s="12">
        <v>568</v>
      </c>
      <c r="L14" s="12">
        <v>482</v>
      </c>
      <c r="M14" s="12">
        <v>787</v>
      </c>
      <c r="N14" s="12">
        <v>712</v>
      </c>
      <c r="O14" s="12">
        <v>803</v>
      </c>
      <c r="P14" s="12">
        <v>650</v>
      </c>
      <c r="Q14" s="12">
        <v>575</v>
      </c>
      <c r="R14" s="12">
        <v>347</v>
      </c>
      <c r="S14" s="12">
        <v>663</v>
      </c>
      <c r="T14" s="12">
        <v>714</v>
      </c>
      <c r="U14" s="12">
        <v>133</v>
      </c>
      <c r="V14" s="12">
        <v>526</v>
      </c>
      <c r="W14" s="12">
        <v>268</v>
      </c>
      <c r="X14" s="12">
        <v>637</v>
      </c>
      <c r="Y14" s="12">
        <v>391</v>
      </c>
      <c r="Z14" s="12">
        <v>545</v>
      </c>
      <c r="AA14" s="12">
        <v>504</v>
      </c>
      <c r="AB14" s="12">
        <v>704</v>
      </c>
      <c r="AC14" s="12">
        <v>696</v>
      </c>
      <c r="AD14" s="12">
        <v>730</v>
      </c>
      <c r="AE14" s="12">
        <v>352</v>
      </c>
      <c r="AF14" s="12">
        <v>353</v>
      </c>
      <c r="AG14" s="12">
        <v>432</v>
      </c>
      <c r="AH14" s="12">
        <v>589</v>
      </c>
      <c r="AI14" s="12">
        <v>349</v>
      </c>
      <c r="AJ14" s="12">
        <v>618</v>
      </c>
      <c r="AK14" s="12">
        <v>701</v>
      </c>
      <c r="AL14" s="12">
        <v>564</v>
      </c>
      <c r="AM14" s="12">
        <v>683</v>
      </c>
      <c r="AN14" s="12">
        <v>698</v>
      </c>
      <c r="AO14" s="12">
        <v>451</v>
      </c>
    </row>
    <row r="15" spans="1:41" x14ac:dyDescent="0.35">
      <c r="A15" s="19"/>
      <c r="B15" s="13" t="s">
        <v>660</v>
      </c>
      <c r="C15" s="15">
        <v>0.61</v>
      </c>
      <c r="D15" s="15">
        <v>0.61</v>
      </c>
      <c r="E15" s="15">
        <v>0.75</v>
      </c>
      <c r="F15" s="15">
        <v>0.69000000000000006</v>
      </c>
      <c r="G15" s="15">
        <v>0.31</v>
      </c>
      <c r="H15" s="15">
        <v>0.43</v>
      </c>
      <c r="I15" s="15">
        <v>0.5</v>
      </c>
      <c r="J15" s="15">
        <v>0.78</v>
      </c>
      <c r="K15" s="15">
        <v>0.57000000000000006</v>
      </c>
      <c r="L15" s="15">
        <v>0.48</v>
      </c>
      <c r="M15" s="15">
        <v>0.78</v>
      </c>
      <c r="N15" s="15">
        <v>0.71</v>
      </c>
      <c r="O15" s="15">
        <v>0.8</v>
      </c>
      <c r="P15" s="15">
        <v>0.65</v>
      </c>
      <c r="Q15" s="15">
        <v>0.56000000000000005</v>
      </c>
      <c r="R15" s="15">
        <v>0.69000000000000006</v>
      </c>
      <c r="S15" s="15">
        <v>0.66</v>
      </c>
      <c r="T15" s="15">
        <v>0.71</v>
      </c>
      <c r="U15" s="15">
        <v>0.26</v>
      </c>
      <c r="V15" s="15">
        <v>0.52</v>
      </c>
      <c r="W15" s="15">
        <v>0.53</v>
      </c>
      <c r="X15" s="15">
        <v>0.63</v>
      </c>
      <c r="Y15" s="15">
        <v>0.39</v>
      </c>
      <c r="Z15" s="15">
        <v>0.53</v>
      </c>
      <c r="AA15" s="15">
        <v>0.49</v>
      </c>
      <c r="AB15" s="15">
        <v>0.67</v>
      </c>
      <c r="AC15" s="15">
        <v>0.70000000000000007</v>
      </c>
      <c r="AD15" s="15">
        <v>0.73</v>
      </c>
      <c r="AE15" s="15">
        <v>0.35</v>
      </c>
      <c r="AF15" s="15">
        <v>0.34</v>
      </c>
      <c r="AG15" s="15">
        <v>0.42</v>
      </c>
      <c r="AH15" s="15">
        <v>0.57999999999999996</v>
      </c>
      <c r="AI15" s="15">
        <v>0.67</v>
      </c>
      <c r="AJ15" s="15">
        <v>0.6</v>
      </c>
      <c r="AK15" s="15">
        <v>0.70000000000000007</v>
      </c>
      <c r="AL15" s="15">
        <v>0.56000000000000005</v>
      </c>
      <c r="AM15" s="15">
        <v>0.66</v>
      </c>
      <c r="AN15" s="15">
        <v>0.70000000000000007</v>
      </c>
      <c r="AO15" s="15">
        <v>0.45</v>
      </c>
    </row>
    <row r="16" spans="1:41" x14ac:dyDescent="0.35">
      <c r="A16" s="19"/>
      <c r="B16" s="11" t="s">
        <v>485</v>
      </c>
      <c r="C16" s="12">
        <v>1388</v>
      </c>
      <c r="D16" s="12">
        <v>38</v>
      </c>
      <c r="E16" s="12">
        <v>57</v>
      </c>
      <c r="F16" s="12">
        <v>36</v>
      </c>
      <c r="G16" s="12">
        <v>30</v>
      </c>
      <c r="H16" s="12">
        <v>83</v>
      </c>
      <c r="I16" s="12">
        <v>89</v>
      </c>
      <c r="J16" s="12">
        <v>7</v>
      </c>
      <c r="K16" s="12">
        <v>114</v>
      </c>
      <c r="L16" s="12">
        <v>58</v>
      </c>
      <c r="M16" s="12">
        <v>17</v>
      </c>
      <c r="N16" s="12">
        <v>63</v>
      </c>
      <c r="O16" s="12">
        <v>82</v>
      </c>
      <c r="P16" s="12">
        <v>17</v>
      </c>
      <c r="Q16" s="12">
        <v>31</v>
      </c>
      <c r="R16" s="12">
        <v>18</v>
      </c>
      <c r="S16" s="12">
        <v>56</v>
      </c>
      <c r="T16" s="12">
        <v>60</v>
      </c>
      <c r="U16" s="12">
        <v>69</v>
      </c>
      <c r="V16" s="12">
        <v>33</v>
      </c>
      <c r="W16" s="12">
        <v>54</v>
      </c>
      <c r="X16" s="12">
        <v>28</v>
      </c>
      <c r="Y16" s="12">
        <v>53</v>
      </c>
      <c r="Z16" s="12">
        <v>66</v>
      </c>
      <c r="AA16" s="12">
        <v>35</v>
      </c>
      <c r="AB16" s="12">
        <v>51</v>
      </c>
      <c r="AC16" s="12">
        <v>43</v>
      </c>
      <c r="AD16" s="12">
        <v>30</v>
      </c>
      <c r="AE16" s="12">
        <v>57</v>
      </c>
      <c r="AF16" s="12">
        <v>31</v>
      </c>
      <c r="AG16" s="12">
        <v>10</v>
      </c>
      <c r="AH16" s="12">
        <v>16</v>
      </c>
      <c r="AI16" s="12">
        <v>33</v>
      </c>
      <c r="AJ16" s="12">
        <v>9</v>
      </c>
      <c r="AK16" s="12">
        <v>29</v>
      </c>
      <c r="AL16" s="12">
        <v>70</v>
      </c>
      <c r="AM16" s="12">
        <v>79</v>
      </c>
      <c r="AN16" s="12">
        <v>44</v>
      </c>
      <c r="AO16" s="12">
        <v>67</v>
      </c>
    </row>
    <row r="17" spans="1:41" x14ac:dyDescent="0.35">
      <c r="A17" s="19"/>
      <c r="B17" s="13" t="s">
        <v>486</v>
      </c>
      <c r="C17" s="15">
        <v>0.05</v>
      </c>
      <c r="D17" s="15">
        <v>0.04</v>
      </c>
      <c r="E17" s="15">
        <v>0.06</v>
      </c>
      <c r="F17" s="15">
        <v>0.03</v>
      </c>
      <c r="G17" s="15">
        <v>0.03</v>
      </c>
      <c r="H17" s="15">
        <v>7.0000000000000007E-2</v>
      </c>
      <c r="I17" s="15">
        <v>0.06</v>
      </c>
      <c r="J17" s="15">
        <v>0.02</v>
      </c>
      <c r="K17" s="15">
        <v>0.11</v>
      </c>
      <c r="L17" s="15">
        <v>0.06</v>
      </c>
      <c r="M17" s="15">
        <v>0.02</v>
      </c>
      <c r="N17" s="15">
        <v>0.06</v>
      </c>
      <c r="O17" s="15">
        <v>0.08</v>
      </c>
      <c r="P17" s="15">
        <v>0.02</v>
      </c>
      <c r="Q17" s="15">
        <v>0.03</v>
      </c>
      <c r="R17" s="15">
        <v>0.04</v>
      </c>
      <c r="S17" s="15">
        <v>0.06</v>
      </c>
      <c r="T17" s="15">
        <v>0.06</v>
      </c>
      <c r="U17" s="15">
        <v>0.14000000000000001</v>
      </c>
      <c r="V17" s="15">
        <v>0.03</v>
      </c>
      <c r="W17" s="15">
        <v>0.11</v>
      </c>
      <c r="X17" s="15">
        <v>0.03</v>
      </c>
      <c r="Y17" s="15">
        <v>0.05</v>
      </c>
      <c r="Z17" s="15">
        <v>0.06</v>
      </c>
      <c r="AA17" s="15">
        <v>0.03</v>
      </c>
      <c r="AB17" s="15">
        <v>0.05</v>
      </c>
      <c r="AC17" s="15">
        <v>0.04</v>
      </c>
      <c r="AD17" s="15">
        <v>0.03</v>
      </c>
      <c r="AE17" s="15">
        <v>0.05</v>
      </c>
      <c r="AF17" s="15">
        <v>0.03</v>
      </c>
      <c r="AG17" s="15">
        <v>0.01</v>
      </c>
      <c r="AH17" s="15">
        <v>0.02</v>
      </c>
      <c r="AI17" s="15">
        <v>0.06</v>
      </c>
      <c r="AJ17" s="15">
        <v>0.01</v>
      </c>
      <c r="AK17" s="15">
        <v>0.03</v>
      </c>
      <c r="AL17" s="15">
        <v>7.0000000000000007E-2</v>
      </c>
      <c r="AM17" s="15">
        <v>7.0000000000000007E-2</v>
      </c>
      <c r="AN17" s="15">
        <v>0.04</v>
      </c>
      <c r="AO17" s="15">
        <v>7.0000000000000007E-2</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689</v>
      </c>
      <c r="C3" s="18"/>
      <c r="D3" s="18"/>
      <c r="E3" s="18"/>
      <c r="F3" s="18"/>
      <c r="H3" s="18" t="s">
        <v>690</v>
      </c>
      <c r="I3" s="18"/>
      <c r="J3" s="18"/>
      <c r="K3" s="18"/>
      <c r="L3" s="18"/>
    </row>
    <row r="4" spans="1:43" ht="27" customHeight="1" x14ac:dyDescent="0.35">
      <c r="B4" s="18" t="s">
        <v>691</v>
      </c>
      <c r="C4" s="18"/>
      <c r="D4" s="18"/>
      <c r="E4" s="18"/>
      <c r="F4" s="18"/>
      <c r="H4" s="18" t="s">
        <v>644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HYPERLINK("#Content!A42","&lt;&lt;Back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12816</v>
      </c>
      <c r="D12" s="12">
        <v>433</v>
      </c>
      <c r="E12" s="12">
        <v>468</v>
      </c>
      <c r="F12" s="12">
        <v>482</v>
      </c>
      <c r="G12" s="12">
        <v>641</v>
      </c>
      <c r="H12" s="12">
        <v>697</v>
      </c>
      <c r="I12" s="12">
        <v>778</v>
      </c>
      <c r="J12" s="12">
        <v>81</v>
      </c>
      <c r="K12" s="12">
        <v>518</v>
      </c>
      <c r="L12" s="12">
        <v>592</v>
      </c>
      <c r="M12" s="12">
        <v>389</v>
      </c>
      <c r="N12" s="12">
        <v>493</v>
      </c>
      <c r="O12" s="12">
        <v>268</v>
      </c>
      <c r="P12" s="12">
        <v>546</v>
      </c>
      <c r="Q12" s="12">
        <v>495</v>
      </c>
      <c r="R12" s="12">
        <v>177</v>
      </c>
      <c r="S12" s="12">
        <v>551</v>
      </c>
      <c r="T12" s="12">
        <v>666</v>
      </c>
      <c r="U12" s="12">
        <v>267</v>
      </c>
      <c r="V12" s="12">
        <v>577</v>
      </c>
      <c r="W12" s="12">
        <v>292</v>
      </c>
      <c r="X12" s="12">
        <v>584</v>
      </c>
      <c r="Y12" s="12">
        <v>508</v>
      </c>
      <c r="Z12" s="12">
        <v>605</v>
      </c>
      <c r="AA12" s="12">
        <v>732</v>
      </c>
      <c r="AB12" s="12">
        <v>571</v>
      </c>
      <c r="AC12" s="12">
        <v>401</v>
      </c>
      <c r="AD12" s="12">
        <v>539</v>
      </c>
      <c r="AE12" s="12">
        <v>583</v>
      </c>
      <c r="AF12" s="12">
        <v>653</v>
      </c>
      <c r="AG12" s="12">
        <v>497</v>
      </c>
      <c r="AH12" s="12">
        <v>578</v>
      </c>
      <c r="AI12" s="12">
        <v>163</v>
      </c>
      <c r="AJ12" s="12">
        <v>408</v>
      </c>
      <c r="AK12" s="12">
        <v>792</v>
      </c>
      <c r="AL12" s="12">
        <v>551</v>
      </c>
      <c r="AM12" s="12">
        <v>364</v>
      </c>
      <c r="AN12" s="12">
        <v>557</v>
      </c>
      <c r="AO12" s="12">
        <v>799</v>
      </c>
      <c r="AP12" s="12">
        <v>307</v>
      </c>
      <c r="AQ12" s="12">
        <v>456</v>
      </c>
    </row>
    <row r="13" spans="1:43" x14ac:dyDescent="0.35">
      <c r="A13" s="19"/>
      <c r="B13" s="13" t="s">
        <v>658</v>
      </c>
      <c r="C13" s="15">
        <v>0.48</v>
      </c>
      <c r="D13" s="15">
        <v>0.43</v>
      </c>
      <c r="E13" s="15">
        <v>0.46</v>
      </c>
      <c r="F13" s="15">
        <v>0.44</v>
      </c>
      <c r="G13" s="15">
        <v>0.64</v>
      </c>
      <c r="H13" s="15">
        <v>0.57000000000000006</v>
      </c>
      <c r="I13" s="15">
        <v>0.51</v>
      </c>
      <c r="J13" s="15">
        <v>0.28000000000000003</v>
      </c>
      <c r="K13" s="15">
        <v>0.52</v>
      </c>
      <c r="L13" s="15">
        <v>0.59</v>
      </c>
      <c r="M13" s="15">
        <v>0.38</v>
      </c>
      <c r="N13" s="15">
        <v>0.49</v>
      </c>
      <c r="O13" s="15">
        <v>0.27</v>
      </c>
      <c r="P13" s="15">
        <v>0.55000000000000004</v>
      </c>
      <c r="Q13" s="15">
        <v>0.48</v>
      </c>
      <c r="R13" s="15">
        <v>0.35</v>
      </c>
      <c r="S13" s="15">
        <v>0.55000000000000004</v>
      </c>
      <c r="T13" s="15">
        <v>0.66</v>
      </c>
      <c r="U13" s="15">
        <v>0.53</v>
      </c>
      <c r="V13" s="15">
        <v>0.57000000000000006</v>
      </c>
      <c r="W13" s="15">
        <v>0.57000000000000006</v>
      </c>
      <c r="X13" s="15">
        <v>0.57999999999999996</v>
      </c>
      <c r="Y13" s="15">
        <v>0.51</v>
      </c>
      <c r="Z13" s="15">
        <v>0.59</v>
      </c>
      <c r="AA13" s="15">
        <v>0.71</v>
      </c>
      <c r="AB13" s="15">
        <v>0.54</v>
      </c>
      <c r="AC13" s="15">
        <v>0.4</v>
      </c>
      <c r="AD13" s="15">
        <v>0.54</v>
      </c>
      <c r="AE13" s="15">
        <v>0.57999999999999996</v>
      </c>
      <c r="AF13" s="15">
        <v>0.63</v>
      </c>
      <c r="AG13" s="15">
        <v>0.48</v>
      </c>
      <c r="AH13" s="15">
        <v>0.57000000000000006</v>
      </c>
      <c r="AI13" s="15">
        <v>0.31</v>
      </c>
      <c r="AJ13" s="15">
        <v>0.4</v>
      </c>
      <c r="AK13" s="15">
        <v>0.79</v>
      </c>
      <c r="AL13" s="15">
        <v>0.55000000000000004</v>
      </c>
      <c r="AM13" s="15">
        <v>0.35</v>
      </c>
      <c r="AN13" s="15">
        <v>0.56000000000000005</v>
      </c>
      <c r="AO13" s="15">
        <v>0.8</v>
      </c>
      <c r="AP13" s="15">
        <v>0.59</v>
      </c>
      <c r="AQ13" s="15">
        <v>0.46</v>
      </c>
    </row>
    <row r="14" spans="1:43" x14ac:dyDescent="0.35">
      <c r="A14" s="19"/>
      <c r="B14" s="11" t="s">
        <v>659</v>
      </c>
      <c r="C14" s="12">
        <v>11829</v>
      </c>
      <c r="D14" s="12">
        <v>546</v>
      </c>
      <c r="E14" s="12">
        <v>437</v>
      </c>
      <c r="F14" s="12">
        <v>572</v>
      </c>
      <c r="G14" s="12">
        <v>292</v>
      </c>
      <c r="H14" s="12">
        <v>438</v>
      </c>
      <c r="I14" s="12">
        <v>641</v>
      </c>
      <c r="J14" s="12">
        <v>204</v>
      </c>
      <c r="K14" s="12">
        <v>333</v>
      </c>
      <c r="L14" s="12">
        <v>324</v>
      </c>
      <c r="M14" s="12">
        <v>583</v>
      </c>
      <c r="N14" s="12">
        <v>436</v>
      </c>
      <c r="O14" s="12">
        <v>610</v>
      </c>
      <c r="P14" s="12">
        <v>415</v>
      </c>
      <c r="Q14" s="12">
        <v>481</v>
      </c>
      <c r="R14" s="12">
        <v>288</v>
      </c>
      <c r="S14" s="12">
        <v>345</v>
      </c>
      <c r="T14" s="12">
        <v>235</v>
      </c>
      <c r="U14" s="12">
        <v>210</v>
      </c>
      <c r="V14" s="12">
        <v>409</v>
      </c>
      <c r="W14" s="12">
        <v>161</v>
      </c>
      <c r="X14" s="12">
        <v>397</v>
      </c>
      <c r="Y14" s="12">
        <v>439</v>
      </c>
      <c r="Z14" s="12">
        <v>364</v>
      </c>
      <c r="AA14" s="12">
        <v>241</v>
      </c>
      <c r="AB14" s="12">
        <v>420</v>
      </c>
      <c r="AC14" s="12">
        <v>551</v>
      </c>
      <c r="AD14" s="12">
        <v>433</v>
      </c>
      <c r="AE14" s="12">
        <v>333</v>
      </c>
      <c r="AF14" s="12">
        <v>344</v>
      </c>
      <c r="AG14" s="12">
        <v>523</v>
      </c>
      <c r="AH14" s="12">
        <v>400</v>
      </c>
      <c r="AI14" s="12">
        <v>304</v>
      </c>
      <c r="AJ14" s="12">
        <v>584</v>
      </c>
      <c r="AK14" s="12">
        <v>193</v>
      </c>
      <c r="AL14" s="12">
        <v>336</v>
      </c>
      <c r="AM14" s="12">
        <v>496</v>
      </c>
      <c r="AN14" s="12">
        <v>391</v>
      </c>
      <c r="AO14" s="12">
        <v>151</v>
      </c>
      <c r="AP14" s="12">
        <v>204</v>
      </c>
      <c r="AQ14" s="12">
        <v>402</v>
      </c>
    </row>
    <row r="15" spans="1:43" x14ac:dyDescent="0.35">
      <c r="A15" s="19"/>
      <c r="B15" s="13" t="s">
        <v>660</v>
      </c>
      <c r="C15" s="15">
        <v>0.45</v>
      </c>
      <c r="D15" s="15">
        <v>0.54</v>
      </c>
      <c r="E15" s="15">
        <v>0.42</v>
      </c>
      <c r="F15" s="15">
        <v>0.52</v>
      </c>
      <c r="G15" s="15">
        <v>0.28999999999999998</v>
      </c>
      <c r="H15" s="15">
        <v>0.36</v>
      </c>
      <c r="I15" s="15">
        <v>0.42</v>
      </c>
      <c r="J15" s="15">
        <v>0.69000000000000006</v>
      </c>
      <c r="K15" s="15">
        <v>0.33</v>
      </c>
      <c r="L15" s="15">
        <v>0.32</v>
      </c>
      <c r="M15" s="15">
        <v>0.57999999999999996</v>
      </c>
      <c r="N15" s="15">
        <v>0.44</v>
      </c>
      <c r="O15" s="15">
        <v>0.61</v>
      </c>
      <c r="P15" s="15">
        <v>0.41</v>
      </c>
      <c r="Q15" s="15">
        <v>0.47</v>
      </c>
      <c r="R15" s="15">
        <v>0.57000000000000006</v>
      </c>
      <c r="S15" s="15">
        <v>0.34</v>
      </c>
      <c r="T15" s="15">
        <v>0.24</v>
      </c>
      <c r="U15" s="15">
        <v>0.42</v>
      </c>
      <c r="V15" s="15">
        <v>0.4</v>
      </c>
      <c r="W15" s="15">
        <v>0.32</v>
      </c>
      <c r="X15" s="15">
        <v>0.39</v>
      </c>
      <c r="Y15" s="15">
        <v>0.44</v>
      </c>
      <c r="Z15" s="15">
        <v>0.35</v>
      </c>
      <c r="AA15" s="15">
        <v>0.23</v>
      </c>
      <c r="AB15" s="15">
        <v>0.4</v>
      </c>
      <c r="AC15" s="15">
        <v>0.55000000000000004</v>
      </c>
      <c r="AD15" s="15">
        <v>0.43</v>
      </c>
      <c r="AE15" s="15">
        <v>0.33</v>
      </c>
      <c r="AF15" s="15">
        <v>0.33</v>
      </c>
      <c r="AG15" s="15">
        <v>0.51</v>
      </c>
      <c r="AH15" s="15">
        <v>0.4</v>
      </c>
      <c r="AI15" s="15">
        <v>0.57999999999999996</v>
      </c>
      <c r="AJ15" s="15">
        <v>0.56000000000000005</v>
      </c>
      <c r="AK15" s="15">
        <v>0.19</v>
      </c>
      <c r="AL15" s="15">
        <v>0.33</v>
      </c>
      <c r="AM15" s="15">
        <v>0.48</v>
      </c>
      <c r="AN15" s="15">
        <v>0.39</v>
      </c>
      <c r="AO15" s="15">
        <v>0.15</v>
      </c>
      <c r="AP15" s="15">
        <v>0.39</v>
      </c>
      <c r="AQ15" s="15">
        <v>0.4</v>
      </c>
    </row>
    <row r="16" spans="1:43" x14ac:dyDescent="0.35">
      <c r="A16" s="19"/>
      <c r="B16" s="11" t="s">
        <v>485</v>
      </c>
      <c r="C16" s="12">
        <v>1800</v>
      </c>
      <c r="D16" s="12">
        <v>34</v>
      </c>
      <c r="E16" s="12">
        <v>125</v>
      </c>
      <c r="F16" s="12">
        <v>48</v>
      </c>
      <c r="G16" s="12">
        <v>73</v>
      </c>
      <c r="H16" s="12">
        <v>87</v>
      </c>
      <c r="I16" s="12">
        <v>97</v>
      </c>
      <c r="J16" s="12">
        <v>10</v>
      </c>
      <c r="K16" s="12">
        <v>151</v>
      </c>
      <c r="L16" s="12">
        <v>86</v>
      </c>
      <c r="M16" s="12">
        <v>38</v>
      </c>
      <c r="N16" s="12">
        <v>73</v>
      </c>
      <c r="O16" s="12">
        <v>123</v>
      </c>
      <c r="P16" s="12">
        <v>43</v>
      </c>
      <c r="Q16" s="12">
        <v>52</v>
      </c>
      <c r="R16" s="12">
        <v>38</v>
      </c>
      <c r="S16" s="12">
        <v>106</v>
      </c>
      <c r="T16" s="12">
        <v>104</v>
      </c>
      <c r="U16" s="12">
        <v>28</v>
      </c>
      <c r="V16" s="12">
        <v>30</v>
      </c>
      <c r="W16" s="12">
        <v>54</v>
      </c>
      <c r="X16" s="12">
        <v>28</v>
      </c>
      <c r="Y16" s="12">
        <v>56</v>
      </c>
      <c r="Z16" s="12">
        <v>62</v>
      </c>
      <c r="AA16" s="12">
        <v>60</v>
      </c>
      <c r="AB16" s="12">
        <v>59</v>
      </c>
      <c r="AC16" s="12">
        <v>51</v>
      </c>
      <c r="AD16" s="12">
        <v>33</v>
      </c>
      <c r="AE16" s="12">
        <v>95</v>
      </c>
      <c r="AF16" s="12">
        <v>45</v>
      </c>
      <c r="AG16" s="12">
        <v>15</v>
      </c>
      <c r="AH16" s="12">
        <v>35</v>
      </c>
      <c r="AI16" s="12">
        <v>56</v>
      </c>
      <c r="AJ16" s="12">
        <v>45</v>
      </c>
      <c r="AK16" s="12">
        <v>22</v>
      </c>
      <c r="AL16" s="12">
        <v>125</v>
      </c>
      <c r="AM16" s="12">
        <v>181</v>
      </c>
      <c r="AN16" s="12">
        <v>55</v>
      </c>
      <c r="AO16" s="12">
        <v>55</v>
      </c>
      <c r="AP16" s="12">
        <v>13</v>
      </c>
      <c r="AQ16" s="12">
        <v>143</v>
      </c>
    </row>
    <row r="17" spans="1:43" x14ac:dyDescent="0.35">
      <c r="A17" s="19"/>
      <c r="B17" s="13" t="s">
        <v>486</v>
      </c>
      <c r="C17" s="15">
        <v>7.0000000000000007E-2</v>
      </c>
      <c r="D17" s="15">
        <v>0.03</v>
      </c>
      <c r="E17" s="15">
        <v>0.12</v>
      </c>
      <c r="F17" s="15">
        <v>0.04</v>
      </c>
      <c r="G17" s="15">
        <v>7.0000000000000007E-2</v>
      </c>
      <c r="H17" s="15">
        <v>7.0000000000000007E-2</v>
      </c>
      <c r="I17" s="15">
        <v>7.0000000000000007E-2</v>
      </c>
      <c r="J17" s="15">
        <v>0.03</v>
      </c>
      <c r="K17" s="15">
        <v>0.15</v>
      </c>
      <c r="L17" s="15">
        <v>0.09</v>
      </c>
      <c r="M17" s="15">
        <v>0.04</v>
      </c>
      <c r="N17" s="15">
        <v>7.0000000000000007E-2</v>
      </c>
      <c r="O17" s="15">
        <v>0.12</v>
      </c>
      <c r="P17" s="15">
        <v>0.04</v>
      </c>
      <c r="Q17" s="15">
        <v>0.05</v>
      </c>
      <c r="R17" s="15">
        <v>0.08</v>
      </c>
      <c r="S17" s="15">
        <v>0.11</v>
      </c>
      <c r="T17" s="15">
        <v>0.1</v>
      </c>
      <c r="U17" s="15">
        <v>0.05</v>
      </c>
      <c r="V17" s="15">
        <v>0.03</v>
      </c>
      <c r="W17" s="15">
        <v>0.11</v>
      </c>
      <c r="X17" s="15">
        <v>0.03</v>
      </c>
      <c r="Y17" s="15">
        <v>0.05</v>
      </c>
      <c r="Z17" s="15">
        <v>0.06</v>
      </c>
      <c r="AA17" s="15">
        <v>0.06</v>
      </c>
      <c r="AB17" s="15">
        <v>0.06</v>
      </c>
      <c r="AC17" s="15">
        <v>0.05</v>
      </c>
      <c r="AD17" s="15">
        <v>0.03</v>
      </c>
      <c r="AE17" s="15">
        <v>0.09</v>
      </c>
      <c r="AF17" s="15">
        <v>0.04</v>
      </c>
      <c r="AG17" s="15">
        <v>0.01</v>
      </c>
      <c r="AH17" s="15">
        <v>0.03</v>
      </c>
      <c r="AI17" s="15">
        <v>0.11</v>
      </c>
      <c r="AJ17" s="15">
        <v>0.04</v>
      </c>
      <c r="AK17" s="15">
        <v>0.02</v>
      </c>
      <c r="AL17" s="15">
        <v>0.12</v>
      </c>
      <c r="AM17" s="15">
        <v>0.17</v>
      </c>
      <c r="AN17" s="15">
        <v>0.05</v>
      </c>
      <c r="AO17" s="15">
        <v>0.05</v>
      </c>
      <c r="AP17" s="15">
        <v>0.02</v>
      </c>
      <c r="AQ17" s="15">
        <v>0.14000000000000001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692</v>
      </c>
      <c r="C3" s="18"/>
      <c r="D3" s="18"/>
      <c r="E3" s="18"/>
      <c r="F3" s="18"/>
      <c r="H3" s="18" t="s">
        <v>693</v>
      </c>
      <c r="I3" s="18"/>
      <c r="J3" s="18"/>
      <c r="K3" s="18"/>
      <c r="L3" s="18"/>
    </row>
    <row r="4" spans="1:43" ht="27" customHeight="1" x14ac:dyDescent="0.35">
      <c r="B4" s="18" t="s">
        <v>694</v>
      </c>
      <c r="C4" s="18"/>
      <c r="D4" s="18"/>
      <c r="E4" s="18"/>
      <c r="F4" s="18"/>
      <c r="H4" s="18" t="s">
        <v>695</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HYPERLINK("#Content!A43","&lt;&lt;Back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13444</v>
      </c>
      <c r="D12" s="12">
        <v>506</v>
      </c>
      <c r="E12" s="12">
        <v>443</v>
      </c>
      <c r="F12" s="12">
        <v>584</v>
      </c>
      <c r="G12" s="12">
        <v>738</v>
      </c>
      <c r="H12" s="12">
        <v>624</v>
      </c>
      <c r="I12" s="12">
        <v>737</v>
      </c>
      <c r="J12" s="12">
        <v>113</v>
      </c>
      <c r="K12" s="12">
        <v>355</v>
      </c>
      <c r="L12" s="12">
        <v>557</v>
      </c>
      <c r="M12" s="12">
        <v>367</v>
      </c>
      <c r="N12" s="12">
        <v>497</v>
      </c>
      <c r="O12" s="12">
        <v>398</v>
      </c>
      <c r="P12" s="12">
        <v>539</v>
      </c>
      <c r="Q12" s="12">
        <v>491</v>
      </c>
      <c r="R12" s="12">
        <v>126</v>
      </c>
      <c r="S12" s="12">
        <v>386</v>
      </c>
      <c r="T12" s="12">
        <v>462</v>
      </c>
      <c r="U12" s="12">
        <v>237</v>
      </c>
      <c r="V12" s="12">
        <v>635</v>
      </c>
      <c r="W12" s="12">
        <v>303</v>
      </c>
      <c r="X12" s="12">
        <v>537</v>
      </c>
      <c r="Y12" s="12">
        <v>542</v>
      </c>
      <c r="Z12" s="12">
        <v>706</v>
      </c>
      <c r="AA12" s="12">
        <v>732</v>
      </c>
      <c r="AB12" s="12">
        <v>559</v>
      </c>
      <c r="AC12" s="12">
        <v>370</v>
      </c>
      <c r="AD12" s="12">
        <v>608</v>
      </c>
      <c r="AE12" s="12">
        <v>552</v>
      </c>
      <c r="AF12" s="12">
        <v>677</v>
      </c>
      <c r="AG12" s="12">
        <v>478</v>
      </c>
      <c r="AH12" s="12">
        <v>631</v>
      </c>
      <c r="AI12" s="12">
        <v>157</v>
      </c>
      <c r="AJ12" s="12">
        <v>478</v>
      </c>
      <c r="AK12" s="12">
        <v>773</v>
      </c>
      <c r="AL12" s="12">
        <v>430</v>
      </c>
      <c r="AM12" s="12">
        <v>498</v>
      </c>
      <c r="AN12" s="12">
        <v>455</v>
      </c>
      <c r="AO12" s="12">
        <v>864</v>
      </c>
      <c r="AP12" s="12">
        <v>268</v>
      </c>
      <c r="AQ12" s="12">
        <v>463</v>
      </c>
    </row>
    <row r="13" spans="1:43" x14ac:dyDescent="0.35">
      <c r="A13" s="19"/>
      <c r="B13" s="13" t="s">
        <v>658</v>
      </c>
      <c r="C13" s="15">
        <v>0.51</v>
      </c>
      <c r="D13" s="15">
        <v>0.5</v>
      </c>
      <c r="E13" s="15">
        <v>0.43</v>
      </c>
      <c r="F13" s="15">
        <v>0.53</v>
      </c>
      <c r="G13" s="15">
        <v>0.73</v>
      </c>
      <c r="H13" s="15">
        <v>0.51</v>
      </c>
      <c r="I13" s="15">
        <v>0.49</v>
      </c>
      <c r="J13" s="15">
        <v>0.38</v>
      </c>
      <c r="K13" s="15">
        <v>0.35</v>
      </c>
      <c r="L13" s="15">
        <v>0.56000000000000005</v>
      </c>
      <c r="M13" s="15">
        <v>0.36</v>
      </c>
      <c r="N13" s="15">
        <v>0.5</v>
      </c>
      <c r="O13" s="15">
        <v>0.4</v>
      </c>
      <c r="P13" s="15">
        <v>0.54</v>
      </c>
      <c r="Q13" s="15">
        <v>0.48</v>
      </c>
      <c r="R13" s="15">
        <v>0.25</v>
      </c>
      <c r="S13" s="15">
        <v>0.39</v>
      </c>
      <c r="T13" s="15">
        <v>0.46</v>
      </c>
      <c r="U13" s="15">
        <v>0.47</v>
      </c>
      <c r="V13" s="15">
        <v>0.63</v>
      </c>
      <c r="W13" s="15">
        <v>0.6</v>
      </c>
      <c r="X13" s="15">
        <v>0.53</v>
      </c>
      <c r="Y13" s="15">
        <v>0.54</v>
      </c>
      <c r="Z13" s="15">
        <v>0.69000000000000006</v>
      </c>
      <c r="AA13" s="15">
        <v>0.71</v>
      </c>
      <c r="AB13" s="15">
        <v>0.53</v>
      </c>
      <c r="AC13" s="15">
        <v>0.37</v>
      </c>
      <c r="AD13" s="15">
        <v>0.6</v>
      </c>
      <c r="AE13" s="15">
        <v>0.55000000000000004</v>
      </c>
      <c r="AF13" s="15">
        <v>0.65</v>
      </c>
      <c r="AG13" s="15">
        <v>0.46</v>
      </c>
      <c r="AH13" s="15">
        <v>0.62</v>
      </c>
      <c r="AI13" s="15">
        <v>0.3</v>
      </c>
      <c r="AJ13" s="15">
        <v>0.46</v>
      </c>
      <c r="AK13" s="15">
        <v>0.77</v>
      </c>
      <c r="AL13" s="15">
        <v>0.43</v>
      </c>
      <c r="AM13" s="15">
        <v>0.48</v>
      </c>
      <c r="AN13" s="15">
        <v>0.45</v>
      </c>
      <c r="AO13" s="15">
        <v>0.86</v>
      </c>
      <c r="AP13" s="15">
        <v>0.51</v>
      </c>
      <c r="AQ13" s="15">
        <v>0.46</v>
      </c>
    </row>
    <row r="14" spans="1:43" x14ac:dyDescent="0.35">
      <c r="A14" s="19"/>
      <c r="B14" s="11" t="s">
        <v>659</v>
      </c>
      <c r="C14" s="12">
        <v>10543</v>
      </c>
      <c r="D14" s="12">
        <v>464</v>
      </c>
      <c r="E14" s="12">
        <v>406</v>
      </c>
      <c r="F14" s="12">
        <v>441</v>
      </c>
      <c r="G14" s="12">
        <v>195</v>
      </c>
      <c r="H14" s="12">
        <v>463</v>
      </c>
      <c r="I14" s="12">
        <v>630</v>
      </c>
      <c r="J14" s="12">
        <v>167</v>
      </c>
      <c r="K14" s="12">
        <v>411</v>
      </c>
      <c r="L14" s="12">
        <v>336</v>
      </c>
      <c r="M14" s="12">
        <v>576</v>
      </c>
      <c r="N14" s="12">
        <v>406</v>
      </c>
      <c r="O14" s="12">
        <v>442</v>
      </c>
      <c r="P14" s="12">
        <v>409</v>
      </c>
      <c r="Q14" s="12">
        <v>475</v>
      </c>
      <c r="R14" s="12">
        <v>348</v>
      </c>
      <c r="S14" s="12">
        <v>433</v>
      </c>
      <c r="T14" s="12">
        <v>344</v>
      </c>
      <c r="U14" s="12">
        <v>219</v>
      </c>
      <c r="V14" s="12">
        <v>328</v>
      </c>
      <c r="W14" s="12">
        <v>131</v>
      </c>
      <c r="X14" s="12">
        <v>436</v>
      </c>
      <c r="Y14" s="12">
        <v>377</v>
      </c>
      <c r="Z14" s="12">
        <v>251</v>
      </c>
      <c r="AA14" s="12">
        <v>198</v>
      </c>
      <c r="AB14" s="12">
        <v>410</v>
      </c>
      <c r="AC14" s="12">
        <v>540</v>
      </c>
      <c r="AD14" s="12">
        <v>339</v>
      </c>
      <c r="AE14" s="12">
        <v>356</v>
      </c>
      <c r="AF14" s="12">
        <v>326</v>
      </c>
      <c r="AG14" s="12">
        <v>539</v>
      </c>
      <c r="AH14" s="12">
        <v>332</v>
      </c>
      <c r="AI14" s="12">
        <v>305</v>
      </c>
      <c r="AJ14" s="12">
        <v>525</v>
      </c>
      <c r="AK14" s="12">
        <v>201</v>
      </c>
      <c r="AL14" s="12">
        <v>385</v>
      </c>
      <c r="AM14" s="12">
        <v>389</v>
      </c>
      <c r="AN14" s="12">
        <v>502</v>
      </c>
      <c r="AO14" s="12">
        <v>105</v>
      </c>
      <c r="AP14" s="12">
        <v>244</v>
      </c>
      <c r="AQ14" s="12">
        <v>368</v>
      </c>
    </row>
    <row r="15" spans="1:43" x14ac:dyDescent="0.35">
      <c r="A15" s="19"/>
      <c r="B15" s="13" t="s">
        <v>660</v>
      </c>
      <c r="C15" s="15">
        <v>0.4</v>
      </c>
      <c r="D15" s="15">
        <v>0.46</v>
      </c>
      <c r="E15" s="15">
        <v>0.39</v>
      </c>
      <c r="F15" s="15">
        <v>0.4</v>
      </c>
      <c r="G15" s="15">
        <v>0.2</v>
      </c>
      <c r="H15" s="15">
        <v>0.38</v>
      </c>
      <c r="I15" s="15">
        <v>0.41</v>
      </c>
      <c r="J15" s="15">
        <v>0.57000000000000006</v>
      </c>
      <c r="K15" s="15">
        <v>0.41</v>
      </c>
      <c r="L15" s="15">
        <v>0.33</v>
      </c>
      <c r="M15" s="15">
        <v>0.57000000000000006</v>
      </c>
      <c r="N15" s="15">
        <v>0.4</v>
      </c>
      <c r="O15" s="15">
        <v>0.44</v>
      </c>
      <c r="P15" s="15">
        <v>0.41</v>
      </c>
      <c r="Q15" s="15">
        <v>0.46</v>
      </c>
      <c r="R15" s="15">
        <v>0.69000000000000006</v>
      </c>
      <c r="S15" s="15">
        <v>0.43</v>
      </c>
      <c r="T15" s="15">
        <v>0.34</v>
      </c>
      <c r="U15" s="15">
        <v>0.43</v>
      </c>
      <c r="V15" s="15">
        <v>0.32</v>
      </c>
      <c r="W15" s="15">
        <v>0.26</v>
      </c>
      <c r="X15" s="15">
        <v>0.43</v>
      </c>
      <c r="Y15" s="15">
        <v>0.38</v>
      </c>
      <c r="Z15" s="15">
        <v>0.24</v>
      </c>
      <c r="AA15" s="15">
        <v>0.19</v>
      </c>
      <c r="AB15" s="15">
        <v>0.39</v>
      </c>
      <c r="AC15" s="15">
        <v>0.54</v>
      </c>
      <c r="AD15" s="15">
        <v>0.34</v>
      </c>
      <c r="AE15" s="15">
        <v>0.35</v>
      </c>
      <c r="AF15" s="15">
        <v>0.31</v>
      </c>
      <c r="AG15" s="15">
        <v>0.52</v>
      </c>
      <c r="AH15" s="15">
        <v>0.33</v>
      </c>
      <c r="AI15" s="15">
        <v>0.57999999999999996</v>
      </c>
      <c r="AJ15" s="15">
        <v>0.51</v>
      </c>
      <c r="AK15" s="15">
        <v>0.2</v>
      </c>
      <c r="AL15" s="15">
        <v>0.38</v>
      </c>
      <c r="AM15" s="15">
        <v>0.37</v>
      </c>
      <c r="AN15" s="15">
        <v>0.5</v>
      </c>
      <c r="AO15" s="15">
        <v>0.1</v>
      </c>
      <c r="AP15" s="15">
        <v>0.47</v>
      </c>
      <c r="AQ15" s="15">
        <v>0.37</v>
      </c>
    </row>
    <row r="16" spans="1:43" x14ac:dyDescent="0.35">
      <c r="A16" s="19"/>
      <c r="B16" s="11" t="s">
        <v>485</v>
      </c>
      <c r="C16" s="12">
        <v>2458</v>
      </c>
      <c r="D16" s="12">
        <v>44</v>
      </c>
      <c r="E16" s="12">
        <v>181</v>
      </c>
      <c r="F16" s="12">
        <v>76</v>
      </c>
      <c r="G16" s="12">
        <v>73</v>
      </c>
      <c r="H16" s="12">
        <v>134</v>
      </c>
      <c r="I16" s="12">
        <v>149</v>
      </c>
      <c r="J16" s="12">
        <v>15</v>
      </c>
      <c r="K16" s="12">
        <v>236</v>
      </c>
      <c r="L16" s="12">
        <v>109</v>
      </c>
      <c r="M16" s="12">
        <v>67</v>
      </c>
      <c r="N16" s="12">
        <v>99</v>
      </c>
      <c r="O16" s="12">
        <v>161</v>
      </c>
      <c r="P16" s="12">
        <v>55</v>
      </c>
      <c r="Q16" s="12">
        <v>61</v>
      </c>
      <c r="R16" s="12">
        <v>30</v>
      </c>
      <c r="S16" s="12">
        <v>182</v>
      </c>
      <c r="T16" s="12">
        <v>200</v>
      </c>
      <c r="U16" s="12">
        <v>48</v>
      </c>
      <c r="V16" s="12">
        <v>52</v>
      </c>
      <c r="W16" s="12">
        <v>74</v>
      </c>
      <c r="X16" s="12">
        <v>37</v>
      </c>
      <c r="Y16" s="12">
        <v>84</v>
      </c>
      <c r="Z16" s="12">
        <v>74</v>
      </c>
      <c r="AA16" s="12">
        <v>103</v>
      </c>
      <c r="AB16" s="12">
        <v>83</v>
      </c>
      <c r="AC16" s="12">
        <v>93</v>
      </c>
      <c r="AD16" s="12">
        <v>58</v>
      </c>
      <c r="AE16" s="12">
        <v>104</v>
      </c>
      <c r="AF16" s="12">
        <v>40</v>
      </c>
      <c r="AG16" s="12">
        <v>19</v>
      </c>
      <c r="AH16" s="12">
        <v>50</v>
      </c>
      <c r="AI16" s="12">
        <v>61</v>
      </c>
      <c r="AJ16" s="12">
        <v>34</v>
      </c>
      <c r="AK16" s="12">
        <v>33</v>
      </c>
      <c r="AL16" s="12">
        <v>197</v>
      </c>
      <c r="AM16" s="12">
        <v>153</v>
      </c>
      <c r="AN16" s="12">
        <v>46</v>
      </c>
      <c r="AO16" s="12">
        <v>36</v>
      </c>
      <c r="AP16" s="12">
        <v>12</v>
      </c>
      <c r="AQ16" s="12">
        <v>170</v>
      </c>
    </row>
    <row r="17" spans="1:43" x14ac:dyDescent="0.35">
      <c r="A17" s="19"/>
      <c r="B17" s="13" t="s">
        <v>486</v>
      </c>
      <c r="C17" s="15">
        <v>0.09</v>
      </c>
      <c r="D17" s="15">
        <v>0.04</v>
      </c>
      <c r="E17" s="15">
        <v>0.18</v>
      </c>
      <c r="F17" s="15">
        <v>7.0000000000000007E-2</v>
      </c>
      <c r="G17" s="15">
        <v>7.0000000000000007E-2</v>
      </c>
      <c r="H17" s="15">
        <v>0.11</v>
      </c>
      <c r="I17" s="15">
        <v>0.1</v>
      </c>
      <c r="J17" s="15">
        <v>0.05</v>
      </c>
      <c r="K17" s="15">
        <v>0.24</v>
      </c>
      <c r="L17" s="15">
        <v>0.11</v>
      </c>
      <c r="M17" s="15">
        <v>7.0000000000000007E-2</v>
      </c>
      <c r="N17" s="15">
        <v>0.1</v>
      </c>
      <c r="O17" s="15">
        <v>0.16</v>
      </c>
      <c r="P17" s="15">
        <v>0.05</v>
      </c>
      <c r="Q17" s="15">
        <v>0.06</v>
      </c>
      <c r="R17" s="15">
        <v>0.06</v>
      </c>
      <c r="S17" s="15">
        <v>0.18</v>
      </c>
      <c r="T17" s="15">
        <v>0.2</v>
      </c>
      <c r="U17" s="15">
        <v>0.1</v>
      </c>
      <c r="V17" s="15">
        <v>0.05</v>
      </c>
      <c r="W17" s="15">
        <v>0.14000000000000001</v>
      </c>
      <c r="X17" s="15">
        <v>0.04</v>
      </c>
      <c r="Y17" s="15">
        <v>0.08</v>
      </c>
      <c r="Z17" s="15">
        <v>7.0000000000000007E-2</v>
      </c>
      <c r="AA17" s="15">
        <v>0.1</v>
      </c>
      <c r="AB17" s="15">
        <v>0.08</v>
      </c>
      <c r="AC17" s="15">
        <v>0.09</v>
      </c>
      <c r="AD17" s="15">
        <v>0.06</v>
      </c>
      <c r="AE17" s="15">
        <v>0.1</v>
      </c>
      <c r="AF17" s="15">
        <v>0.04</v>
      </c>
      <c r="AG17" s="15">
        <v>0.02</v>
      </c>
      <c r="AH17" s="15">
        <v>0.05</v>
      </c>
      <c r="AI17" s="15">
        <v>0.12</v>
      </c>
      <c r="AJ17" s="15">
        <v>0.03</v>
      </c>
      <c r="AK17" s="15">
        <v>0.03</v>
      </c>
      <c r="AL17" s="15">
        <v>0.19</v>
      </c>
      <c r="AM17" s="15">
        <v>0.15</v>
      </c>
      <c r="AN17" s="15">
        <v>0.05</v>
      </c>
      <c r="AO17" s="15">
        <v>0.04</v>
      </c>
      <c r="AP17" s="15">
        <v>0.02</v>
      </c>
      <c r="AQ17" s="15">
        <v>0.17</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696</v>
      </c>
      <c r="C3" s="18"/>
      <c r="D3" s="18"/>
      <c r="E3" s="18"/>
      <c r="F3" s="18"/>
      <c r="H3" s="18" t="s">
        <v>697</v>
      </c>
      <c r="I3" s="18"/>
      <c r="J3" s="18"/>
      <c r="K3" s="18"/>
      <c r="L3" s="18"/>
    </row>
    <row r="4" spans="1:43" ht="27" customHeight="1" x14ac:dyDescent="0.35">
      <c r="B4" s="18" t="s">
        <v>698</v>
      </c>
      <c r="C4" s="18"/>
      <c r="D4" s="18"/>
      <c r="E4" s="18"/>
      <c r="F4" s="18"/>
      <c r="H4" s="18" t="s">
        <v>699</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HYPERLINK("#Content!A44","&lt;&lt;Back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14442</v>
      </c>
      <c r="D12" s="12">
        <v>578</v>
      </c>
      <c r="E12" s="12">
        <v>424</v>
      </c>
      <c r="F12" s="12">
        <v>730</v>
      </c>
      <c r="G12" s="12">
        <v>827</v>
      </c>
      <c r="H12" s="12">
        <v>816</v>
      </c>
      <c r="I12" s="12">
        <v>941</v>
      </c>
      <c r="J12" s="12">
        <v>125</v>
      </c>
      <c r="K12" s="12">
        <v>606</v>
      </c>
      <c r="L12" s="12">
        <v>522</v>
      </c>
      <c r="M12" s="12">
        <v>247</v>
      </c>
      <c r="N12" s="12">
        <v>467</v>
      </c>
      <c r="O12" s="12">
        <v>377</v>
      </c>
      <c r="P12" s="12">
        <v>509</v>
      </c>
      <c r="Q12" s="12">
        <v>483</v>
      </c>
      <c r="R12" s="12">
        <v>77</v>
      </c>
      <c r="S12" s="12">
        <v>621</v>
      </c>
      <c r="T12" s="12">
        <v>721</v>
      </c>
      <c r="U12" s="12">
        <v>255</v>
      </c>
      <c r="V12" s="12">
        <v>660</v>
      </c>
      <c r="W12" s="12">
        <v>280</v>
      </c>
      <c r="X12" s="12">
        <v>690</v>
      </c>
      <c r="Y12" s="12">
        <v>445</v>
      </c>
      <c r="Z12" s="12">
        <v>784</v>
      </c>
      <c r="AA12" s="12">
        <v>605</v>
      </c>
      <c r="AB12" s="12">
        <v>657</v>
      </c>
      <c r="AC12" s="12">
        <v>436</v>
      </c>
      <c r="AD12" s="12">
        <v>545</v>
      </c>
      <c r="AE12" s="12">
        <v>808</v>
      </c>
      <c r="AF12" s="12">
        <v>683</v>
      </c>
      <c r="AG12" s="12">
        <v>446</v>
      </c>
      <c r="AH12" s="12">
        <v>678</v>
      </c>
      <c r="AI12" s="12">
        <v>115</v>
      </c>
      <c r="AJ12" s="12">
        <v>88</v>
      </c>
      <c r="AK12" s="12">
        <v>857</v>
      </c>
      <c r="AL12" s="12">
        <v>345</v>
      </c>
      <c r="AM12" s="12">
        <v>562</v>
      </c>
      <c r="AN12" s="12">
        <v>514</v>
      </c>
      <c r="AO12" s="12">
        <v>963</v>
      </c>
      <c r="AP12" s="12">
        <v>222</v>
      </c>
      <c r="AQ12" s="12">
        <v>442</v>
      </c>
    </row>
    <row r="13" spans="1:43" x14ac:dyDescent="0.35">
      <c r="A13" s="19"/>
      <c r="B13" s="13" t="s">
        <v>658</v>
      </c>
      <c r="C13" s="15">
        <v>0.55000000000000004</v>
      </c>
      <c r="D13" s="15">
        <v>0.57000000000000006</v>
      </c>
      <c r="E13" s="15">
        <v>0.41</v>
      </c>
      <c r="F13" s="15">
        <v>0.66</v>
      </c>
      <c r="G13" s="15">
        <v>0.82000000000000006</v>
      </c>
      <c r="H13" s="15">
        <v>0.67</v>
      </c>
      <c r="I13" s="15">
        <v>0.62</v>
      </c>
      <c r="J13" s="15">
        <v>0.43</v>
      </c>
      <c r="K13" s="15">
        <v>0.61</v>
      </c>
      <c r="L13" s="15">
        <v>0.52</v>
      </c>
      <c r="M13" s="15">
        <v>0.24</v>
      </c>
      <c r="N13" s="15">
        <v>0.47</v>
      </c>
      <c r="O13" s="15">
        <v>0.38</v>
      </c>
      <c r="P13" s="15">
        <v>0.51</v>
      </c>
      <c r="Q13" s="15">
        <v>0.47</v>
      </c>
      <c r="R13" s="15">
        <v>0.15</v>
      </c>
      <c r="S13" s="15">
        <v>0.62</v>
      </c>
      <c r="T13" s="15">
        <v>0.72</v>
      </c>
      <c r="U13" s="15">
        <v>0.51</v>
      </c>
      <c r="V13" s="15">
        <v>0.65</v>
      </c>
      <c r="W13" s="15">
        <v>0.55000000000000004</v>
      </c>
      <c r="X13" s="15">
        <v>0.68</v>
      </c>
      <c r="Y13" s="15">
        <v>0.44</v>
      </c>
      <c r="Z13" s="15">
        <v>0.76</v>
      </c>
      <c r="AA13" s="15">
        <v>0.59</v>
      </c>
      <c r="AB13" s="15">
        <v>0.62</v>
      </c>
      <c r="AC13" s="15">
        <v>0.44</v>
      </c>
      <c r="AD13" s="15">
        <v>0.54</v>
      </c>
      <c r="AE13" s="15">
        <v>0.8</v>
      </c>
      <c r="AF13" s="15">
        <v>0.66</v>
      </c>
      <c r="AG13" s="15">
        <v>0.43</v>
      </c>
      <c r="AH13" s="15">
        <v>0.67</v>
      </c>
      <c r="AI13" s="15">
        <v>0.22</v>
      </c>
      <c r="AJ13" s="15">
        <v>0.08</v>
      </c>
      <c r="AK13" s="15">
        <v>0.85</v>
      </c>
      <c r="AL13" s="15">
        <v>0.34</v>
      </c>
      <c r="AM13" s="15">
        <v>0.54</v>
      </c>
      <c r="AN13" s="15">
        <v>0.51</v>
      </c>
      <c r="AO13" s="15">
        <v>0.96</v>
      </c>
      <c r="AP13" s="15">
        <v>0.42</v>
      </c>
      <c r="AQ13" s="15">
        <v>0.44</v>
      </c>
    </row>
    <row r="14" spans="1:43" x14ac:dyDescent="0.35">
      <c r="A14" s="19"/>
      <c r="B14" s="11" t="s">
        <v>659</v>
      </c>
      <c r="C14" s="12">
        <v>9549</v>
      </c>
      <c r="D14" s="12">
        <v>393</v>
      </c>
      <c r="E14" s="12">
        <v>460</v>
      </c>
      <c r="F14" s="12">
        <v>331</v>
      </c>
      <c r="G14" s="12">
        <v>123</v>
      </c>
      <c r="H14" s="12">
        <v>318</v>
      </c>
      <c r="I14" s="12">
        <v>475</v>
      </c>
      <c r="J14" s="12">
        <v>157</v>
      </c>
      <c r="K14" s="12">
        <v>275</v>
      </c>
      <c r="L14" s="12">
        <v>350</v>
      </c>
      <c r="M14" s="12">
        <v>693</v>
      </c>
      <c r="N14" s="12">
        <v>440</v>
      </c>
      <c r="O14" s="12">
        <v>410</v>
      </c>
      <c r="P14" s="12">
        <v>445</v>
      </c>
      <c r="Q14" s="12">
        <v>481</v>
      </c>
      <c r="R14" s="12">
        <v>376</v>
      </c>
      <c r="S14" s="12">
        <v>263</v>
      </c>
      <c r="T14" s="12">
        <v>204</v>
      </c>
      <c r="U14" s="12">
        <v>202</v>
      </c>
      <c r="V14" s="12">
        <v>321</v>
      </c>
      <c r="W14" s="12">
        <v>157</v>
      </c>
      <c r="X14" s="12">
        <v>287</v>
      </c>
      <c r="Y14" s="12">
        <v>462</v>
      </c>
      <c r="Z14" s="12">
        <v>175</v>
      </c>
      <c r="AA14" s="12">
        <v>220</v>
      </c>
      <c r="AB14" s="12">
        <v>332</v>
      </c>
      <c r="AC14" s="12">
        <v>505</v>
      </c>
      <c r="AD14" s="12">
        <v>416</v>
      </c>
      <c r="AE14" s="12">
        <v>135</v>
      </c>
      <c r="AF14" s="12">
        <v>304</v>
      </c>
      <c r="AG14" s="12">
        <v>546</v>
      </c>
      <c r="AH14" s="12">
        <v>308</v>
      </c>
      <c r="AI14" s="12">
        <v>349</v>
      </c>
      <c r="AJ14" s="12">
        <v>938</v>
      </c>
      <c r="AK14" s="12">
        <v>134</v>
      </c>
      <c r="AL14" s="12">
        <v>482</v>
      </c>
      <c r="AM14" s="12">
        <v>297</v>
      </c>
      <c r="AN14" s="12">
        <v>450</v>
      </c>
      <c r="AO14" s="12">
        <v>30</v>
      </c>
      <c r="AP14" s="12">
        <v>289</v>
      </c>
      <c r="AQ14" s="12">
        <v>403</v>
      </c>
    </row>
    <row r="15" spans="1:43" x14ac:dyDescent="0.35">
      <c r="A15" s="19"/>
      <c r="B15" s="13" t="s">
        <v>660</v>
      </c>
      <c r="C15" s="15">
        <v>0.36</v>
      </c>
      <c r="D15" s="15">
        <v>0.39</v>
      </c>
      <c r="E15" s="15">
        <v>0.45</v>
      </c>
      <c r="F15" s="15">
        <v>0.3</v>
      </c>
      <c r="G15" s="15">
        <v>0.12</v>
      </c>
      <c r="H15" s="15">
        <v>0.26</v>
      </c>
      <c r="I15" s="15">
        <v>0.31</v>
      </c>
      <c r="J15" s="15">
        <v>0.53</v>
      </c>
      <c r="K15" s="15">
        <v>0.27</v>
      </c>
      <c r="L15" s="15">
        <v>0.35</v>
      </c>
      <c r="M15" s="15">
        <v>0.69000000000000006</v>
      </c>
      <c r="N15" s="15">
        <v>0.44</v>
      </c>
      <c r="O15" s="15">
        <v>0.41</v>
      </c>
      <c r="P15" s="15">
        <v>0.44</v>
      </c>
      <c r="Q15" s="15">
        <v>0.47</v>
      </c>
      <c r="R15" s="15">
        <v>0.75</v>
      </c>
      <c r="S15" s="15">
        <v>0.26</v>
      </c>
      <c r="T15" s="15">
        <v>0.2</v>
      </c>
      <c r="U15" s="15">
        <v>0.4</v>
      </c>
      <c r="V15" s="15">
        <v>0.32</v>
      </c>
      <c r="W15" s="15">
        <v>0.31</v>
      </c>
      <c r="X15" s="15">
        <v>0.28999999999999998</v>
      </c>
      <c r="Y15" s="15">
        <v>0.46</v>
      </c>
      <c r="Z15" s="15">
        <v>0.17</v>
      </c>
      <c r="AA15" s="15">
        <v>0.21</v>
      </c>
      <c r="AB15" s="15">
        <v>0.32</v>
      </c>
      <c r="AC15" s="15">
        <v>0.5</v>
      </c>
      <c r="AD15" s="15">
        <v>0.41</v>
      </c>
      <c r="AE15" s="15">
        <v>0.13</v>
      </c>
      <c r="AF15" s="15">
        <v>0.28999999999999998</v>
      </c>
      <c r="AG15" s="15">
        <v>0.53</v>
      </c>
      <c r="AH15" s="15">
        <v>0.3</v>
      </c>
      <c r="AI15" s="15">
        <v>0.67</v>
      </c>
      <c r="AJ15" s="15">
        <v>0.91</v>
      </c>
      <c r="AK15" s="15">
        <v>0.13</v>
      </c>
      <c r="AL15" s="15">
        <v>0.48</v>
      </c>
      <c r="AM15" s="15">
        <v>0.28999999999999998</v>
      </c>
      <c r="AN15" s="15">
        <v>0.45</v>
      </c>
      <c r="AO15" s="15">
        <v>0.03</v>
      </c>
      <c r="AP15" s="15">
        <v>0.55000000000000004</v>
      </c>
      <c r="AQ15" s="15">
        <v>0.4</v>
      </c>
    </row>
    <row r="16" spans="1:43" x14ac:dyDescent="0.35">
      <c r="A16" s="19"/>
      <c r="B16" s="11" t="s">
        <v>485</v>
      </c>
      <c r="C16" s="12">
        <v>2454</v>
      </c>
      <c r="D16" s="12">
        <v>42</v>
      </c>
      <c r="E16" s="12">
        <v>146</v>
      </c>
      <c r="F16" s="12">
        <v>41</v>
      </c>
      <c r="G16" s="12">
        <v>56</v>
      </c>
      <c r="H16" s="12">
        <v>87</v>
      </c>
      <c r="I16" s="12">
        <v>99</v>
      </c>
      <c r="J16" s="12">
        <v>13</v>
      </c>
      <c r="K16" s="12">
        <v>121</v>
      </c>
      <c r="L16" s="12">
        <v>130</v>
      </c>
      <c r="M16" s="12">
        <v>70</v>
      </c>
      <c r="N16" s="12">
        <v>96</v>
      </c>
      <c r="O16" s="12">
        <v>215</v>
      </c>
      <c r="P16" s="12">
        <v>50</v>
      </c>
      <c r="Q16" s="12">
        <v>63</v>
      </c>
      <c r="R16" s="12">
        <v>51</v>
      </c>
      <c r="S16" s="12">
        <v>118</v>
      </c>
      <c r="T16" s="12">
        <v>81</v>
      </c>
      <c r="U16" s="12">
        <v>47</v>
      </c>
      <c r="V16" s="12">
        <v>34</v>
      </c>
      <c r="W16" s="12">
        <v>71</v>
      </c>
      <c r="X16" s="12">
        <v>32</v>
      </c>
      <c r="Y16" s="12">
        <v>97</v>
      </c>
      <c r="Z16" s="12">
        <v>72</v>
      </c>
      <c r="AA16" s="12">
        <v>207</v>
      </c>
      <c r="AB16" s="12">
        <v>62</v>
      </c>
      <c r="AC16" s="12">
        <v>62</v>
      </c>
      <c r="AD16" s="12">
        <v>45</v>
      </c>
      <c r="AE16" s="12">
        <v>69</v>
      </c>
      <c r="AF16" s="12">
        <v>57</v>
      </c>
      <c r="AG16" s="12">
        <v>43</v>
      </c>
      <c r="AH16" s="12">
        <v>28</v>
      </c>
      <c r="AI16" s="12">
        <v>59</v>
      </c>
      <c r="AJ16" s="12">
        <v>11</v>
      </c>
      <c r="AK16" s="12">
        <v>17</v>
      </c>
      <c r="AL16" s="12">
        <v>184</v>
      </c>
      <c r="AM16" s="12">
        <v>181</v>
      </c>
      <c r="AN16" s="12">
        <v>39</v>
      </c>
      <c r="AO16" s="12">
        <v>12</v>
      </c>
      <c r="AP16" s="12">
        <v>13</v>
      </c>
      <c r="AQ16" s="12">
        <v>156</v>
      </c>
    </row>
    <row r="17" spans="1:43" x14ac:dyDescent="0.35">
      <c r="A17" s="19"/>
      <c r="B17" s="13" t="s">
        <v>486</v>
      </c>
      <c r="C17" s="15">
        <v>0.09</v>
      </c>
      <c r="D17" s="15">
        <v>0.04</v>
      </c>
      <c r="E17" s="15">
        <v>0.14000000000000001</v>
      </c>
      <c r="F17" s="15">
        <v>0.04</v>
      </c>
      <c r="G17" s="15">
        <v>0.06</v>
      </c>
      <c r="H17" s="15">
        <v>7.0000000000000007E-2</v>
      </c>
      <c r="I17" s="15">
        <v>7.0000000000000007E-2</v>
      </c>
      <c r="J17" s="15">
        <v>0.04</v>
      </c>
      <c r="K17" s="15">
        <v>0.12</v>
      </c>
      <c r="L17" s="15">
        <v>0.13</v>
      </c>
      <c r="M17" s="15">
        <v>7.0000000000000007E-2</v>
      </c>
      <c r="N17" s="15">
        <v>0.09</v>
      </c>
      <c r="O17" s="15">
        <v>0.21</v>
      </c>
      <c r="P17" s="15">
        <v>0.05</v>
      </c>
      <c r="Q17" s="15">
        <v>0.06</v>
      </c>
      <c r="R17" s="15">
        <v>0.1</v>
      </c>
      <c r="S17" s="15">
        <v>0.12</v>
      </c>
      <c r="T17" s="15">
        <v>0.08</v>
      </c>
      <c r="U17" s="15">
        <v>0.09</v>
      </c>
      <c r="V17" s="15">
        <v>0.03</v>
      </c>
      <c r="W17" s="15">
        <v>0.14000000000000001</v>
      </c>
      <c r="X17" s="15">
        <v>0.03</v>
      </c>
      <c r="Y17" s="15">
        <v>0.1</v>
      </c>
      <c r="Z17" s="15">
        <v>7.0000000000000007E-2</v>
      </c>
      <c r="AA17" s="15">
        <v>0.2</v>
      </c>
      <c r="AB17" s="15">
        <v>0.06</v>
      </c>
      <c r="AC17" s="15">
        <v>0.06</v>
      </c>
      <c r="AD17" s="15">
        <v>0.05</v>
      </c>
      <c r="AE17" s="15">
        <v>7.0000000000000007E-2</v>
      </c>
      <c r="AF17" s="15">
        <v>0.05</v>
      </c>
      <c r="AG17" s="15">
        <v>0.04</v>
      </c>
      <c r="AH17" s="15">
        <v>0.03</v>
      </c>
      <c r="AI17" s="15">
        <v>0.11</v>
      </c>
      <c r="AJ17" s="15">
        <v>0.01</v>
      </c>
      <c r="AK17" s="15">
        <v>0.02</v>
      </c>
      <c r="AL17" s="15">
        <v>0.18</v>
      </c>
      <c r="AM17" s="15">
        <v>0.17</v>
      </c>
      <c r="AN17" s="15">
        <v>0.04</v>
      </c>
      <c r="AO17" s="15">
        <v>0.01</v>
      </c>
      <c r="AP17" s="15">
        <v>0.03</v>
      </c>
      <c r="AQ17" s="15">
        <v>0.16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Q2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87</v>
      </c>
      <c r="C3" s="18"/>
      <c r="D3" s="18"/>
      <c r="E3" s="18"/>
      <c r="F3" s="18"/>
      <c r="H3" s="18" t="s">
        <v>88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HYPERLINK("#Content!A45","&lt;&lt;Back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700</v>
      </c>
      <c r="C12" s="12">
        <v>1304</v>
      </c>
      <c r="D12" s="12">
        <v>37</v>
      </c>
      <c r="E12" s="12">
        <v>98</v>
      </c>
      <c r="F12" s="12">
        <v>54</v>
      </c>
      <c r="G12" s="12">
        <v>116</v>
      </c>
      <c r="H12" s="12">
        <v>69</v>
      </c>
      <c r="I12" s="12">
        <v>77</v>
      </c>
      <c r="J12" s="12">
        <v>9</v>
      </c>
      <c r="K12" s="12">
        <v>43</v>
      </c>
      <c r="L12" s="12">
        <v>178</v>
      </c>
      <c r="M12" s="12">
        <v>29</v>
      </c>
      <c r="N12" s="12">
        <v>50</v>
      </c>
      <c r="O12" s="12">
        <v>18</v>
      </c>
      <c r="P12" s="12">
        <v>70</v>
      </c>
      <c r="Q12" s="12">
        <v>38</v>
      </c>
      <c r="R12" s="12">
        <v>14</v>
      </c>
      <c r="S12" s="12">
        <v>62</v>
      </c>
      <c r="T12" s="12">
        <v>71</v>
      </c>
      <c r="U12" s="12">
        <v>32</v>
      </c>
      <c r="V12" s="12">
        <v>40</v>
      </c>
      <c r="W12" s="12">
        <v>20</v>
      </c>
      <c r="X12" s="12">
        <v>50</v>
      </c>
      <c r="Y12" s="12">
        <v>72</v>
      </c>
      <c r="Z12" s="12">
        <v>64</v>
      </c>
      <c r="AA12" s="12">
        <v>41</v>
      </c>
      <c r="AB12" s="12">
        <v>64</v>
      </c>
      <c r="AC12" s="12">
        <v>62</v>
      </c>
      <c r="AD12" s="12">
        <v>70</v>
      </c>
      <c r="AE12" s="12">
        <v>49</v>
      </c>
      <c r="AF12" s="12">
        <v>123</v>
      </c>
      <c r="AG12" s="12">
        <v>68</v>
      </c>
      <c r="AH12" s="12">
        <v>133</v>
      </c>
      <c r="AI12" s="12">
        <v>90</v>
      </c>
      <c r="AJ12" s="12">
        <v>91</v>
      </c>
      <c r="AK12" s="12">
        <v>256</v>
      </c>
      <c r="AL12" s="12">
        <v>123</v>
      </c>
      <c r="AM12" s="12">
        <v>77</v>
      </c>
      <c r="AN12" s="12">
        <v>145</v>
      </c>
      <c r="AO12" s="12">
        <v>351</v>
      </c>
      <c r="AP12" s="12">
        <v>142</v>
      </c>
      <c r="AQ12" s="12">
        <v>113</v>
      </c>
    </row>
    <row r="13" spans="1:43" x14ac:dyDescent="0.35">
      <c r="A13" s="19"/>
      <c r="B13" s="13" t="s">
        <v>701</v>
      </c>
      <c r="C13" s="15">
        <v>0.05</v>
      </c>
      <c r="D13" s="15">
        <v>0.04</v>
      </c>
      <c r="E13" s="15">
        <v>0.1</v>
      </c>
      <c r="F13" s="15">
        <v>0.05</v>
      </c>
      <c r="G13" s="15">
        <v>0.12</v>
      </c>
      <c r="H13" s="15">
        <v>0.06</v>
      </c>
      <c r="I13" s="15">
        <v>0.05</v>
      </c>
      <c r="J13" s="15">
        <v>0.03</v>
      </c>
      <c r="K13" s="15">
        <v>0.04</v>
      </c>
      <c r="L13" s="15">
        <v>0.18</v>
      </c>
      <c r="M13" s="15">
        <v>0.03</v>
      </c>
      <c r="N13" s="15">
        <v>0.05</v>
      </c>
      <c r="O13" s="15">
        <v>0.02</v>
      </c>
      <c r="P13" s="15">
        <v>7.0000000000000007E-2</v>
      </c>
      <c r="Q13" s="15">
        <v>0.04</v>
      </c>
      <c r="R13" s="15">
        <v>0.03</v>
      </c>
      <c r="S13" s="15">
        <v>0.06</v>
      </c>
      <c r="T13" s="15">
        <v>7.0000000000000007E-2</v>
      </c>
      <c r="U13" s="15">
        <v>0.06</v>
      </c>
      <c r="V13" s="15">
        <v>0.04</v>
      </c>
      <c r="W13" s="15">
        <v>0.04</v>
      </c>
      <c r="X13" s="15">
        <v>0.05</v>
      </c>
      <c r="Y13" s="15">
        <v>7.0000000000000007E-2</v>
      </c>
      <c r="Z13" s="15">
        <v>0.06</v>
      </c>
      <c r="AA13" s="15">
        <v>0.04</v>
      </c>
      <c r="AB13" s="15">
        <v>0.06</v>
      </c>
      <c r="AC13" s="15">
        <v>0.06</v>
      </c>
      <c r="AD13" s="15">
        <v>7.0000000000000007E-2</v>
      </c>
      <c r="AE13" s="15">
        <v>0.05</v>
      </c>
      <c r="AF13" s="15">
        <v>0.12</v>
      </c>
      <c r="AG13" s="15">
        <v>7.0000000000000007E-2</v>
      </c>
      <c r="AH13" s="15">
        <v>0.13</v>
      </c>
      <c r="AI13" s="15">
        <v>0.17</v>
      </c>
      <c r="AJ13" s="15">
        <v>0.09</v>
      </c>
      <c r="AK13" s="15">
        <v>0.25</v>
      </c>
      <c r="AL13" s="15">
        <v>0.12</v>
      </c>
      <c r="AM13" s="15">
        <v>7.0000000000000007E-2</v>
      </c>
      <c r="AN13" s="15">
        <v>0.15</v>
      </c>
      <c r="AO13" s="15">
        <v>0.35</v>
      </c>
      <c r="AP13" s="15">
        <v>0.27</v>
      </c>
      <c r="AQ13" s="15">
        <v>0.11</v>
      </c>
    </row>
    <row r="14" spans="1:43" x14ac:dyDescent="0.35">
      <c r="A14" s="19"/>
      <c r="B14" s="11" t="s">
        <v>702</v>
      </c>
      <c r="C14" s="12">
        <v>9918</v>
      </c>
      <c r="D14" s="12">
        <v>322</v>
      </c>
      <c r="E14" s="12">
        <v>373</v>
      </c>
      <c r="F14" s="12">
        <v>267</v>
      </c>
      <c r="G14" s="12">
        <v>434</v>
      </c>
      <c r="H14" s="12">
        <v>551</v>
      </c>
      <c r="I14" s="12">
        <v>621</v>
      </c>
      <c r="J14" s="12">
        <v>70</v>
      </c>
      <c r="K14" s="12">
        <v>373</v>
      </c>
      <c r="L14" s="12">
        <v>452</v>
      </c>
      <c r="M14" s="12">
        <v>286</v>
      </c>
      <c r="N14" s="12">
        <v>335</v>
      </c>
      <c r="O14" s="12">
        <v>280</v>
      </c>
      <c r="P14" s="12">
        <v>389</v>
      </c>
      <c r="Q14" s="12">
        <v>406</v>
      </c>
      <c r="R14" s="12">
        <v>135</v>
      </c>
      <c r="S14" s="12">
        <v>389</v>
      </c>
      <c r="T14" s="12">
        <v>459</v>
      </c>
      <c r="U14" s="12">
        <v>226</v>
      </c>
      <c r="V14" s="12">
        <v>388</v>
      </c>
      <c r="W14" s="12">
        <v>215</v>
      </c>
      <c r="X14" s="12">
        <v>422</v>
      </c>
      <c r="Y14" s="12">
        <v>343</v>
      </c>
      <c r="Z14" s="12">
        <v>437</v>
      </c>
      <c r="AA14" s="12">
        <v>674</v>
      </c>
      <c r="AB14" s="12">
        <v>431</v>
      </c>
      <c r="AC14" s="12">
        <v>328</v>
      </c>
      <c r="AD14" s="12">
        <v>367</v>
      </c>
      <c r="AE14" s="12">
        <v>368</v>
      </c>
      <c r="AF14" s="12">
        <v>452</v>
      </c>
      <c r="AG14" s="12">
        <v>362</v>
      </c>
      <c r="AH14" s="12">
        <v>407</v>
      </c>
      <c r="AI14" s="12">
        <v>120</v>
      </c>
      <c r="AJ14" s="12">
        <v>256</v>
      </c>
      <c r="AK14" s="12">
        <v>543</v>
      </c>
      <c r="AL14" s="12">
        <v>372</v>
      </c>
      <c r="AM14" s="12">
        <v>310</v>
      </c>
      <c r="AN14" s="12">
        <v>392</v>
      </c>
      <c r="AO14" s="12">
        <v>408</v>
      </c>
      <c r="AP14" s="12">
        <v>153</v>
      </c>
      <c r="AQ14" s="12">
        <v>248</v>
      </c>
    </row>
    <row r="15" spans="1:43" x14ac:dyDescent="0.35">
      <c r="A15" s="19"/>
      <c r="B15" s="13" t="s">
        <v>703</v>
      </c>
      <c r="C15" s="15">
        <v>0.37</v>
      </c>
      <c r="D15" s="15">
        <v>0.32</v>
      </c>
      <c r="E15" s="15">
        <v>0.36</v>
      </c>
      <c r="F15" s="15">
        <v>0.24</v>
      </c>
      <c r="G15" s="15">
        <v>0.43</v>
      </c>
      <c r="H15" s="15">
        <v>0.45</v>
      </c>
      <c r="I15" s="15">
        <v>0.41</v>
      </c>
      <c r="J15" s="15">
        <v>0.24</v>
      </c>
      <c r="K15" s="15">
        <v>0.37</v>
      </c>
      <c r="L15" s="15">
        <v>0.45</v>
      </c>
      <c r="M15" s="15">
        <v>0.28000000000000003</v>
      </c>
      <c r="N15" s="15">
        <v>0.33</v>
      </c>
      <c r="O15" s="15">
        <v>0.28000000000000003</v>
      </c>
      <c r="P15" s="15">
        <v>0.39</v>
      </c>
      <c r="Q15" s="15">
        <v>0.4</v>
      </c>
      <c r="R15" s="15">
        <v>0.27</v>
      </c>
      <c r="S15" s="15">
        <v>0.39</v>
      </c>
      <c r="T15" s="15">
        <v>0.46</v>
      </c>
      <c r="U15" s="15">
        <v>0.45</v>
      </c>
      <c r="V15" s="15">
        <v>0.38</v>
      </c>
      <c r="W15" s="15">
        <v>0.42</v>
      </c>
      <c r="X15" s="15">
        <v>0.42</v>
      </c>
      <c r="Y15" s="15">
        <v>0.34</v>
      </c>
      <c r="Z15" s="15">
        <v>0.42</v>
      </c>
      <c r="AA15" s="15">
        <v>0.65</v>
      </c>
      <c r="AB15" s="15">
        <v>0.41</v>
      </c>
      <c r="AC15" s="15">
        <v>0.33</v>
      </c>
      <c r="AD15" s="15">
        <v>0.37</v>
      </c>
      <c r="AE15" s="15">
        <v>0.36</v>
      </c>
      <c r="AF15" s="15">
        <v>0.43</v>
      </c>
      <c r="AG15" s="15">
        <v>0.35</v>
      </c>
      <c r="AH15" s="15">
        <v>0.4</v>
      </c>
      <c r="AI15" s="15">
        <v>0.23</v>
      </c>
      <c r="AJ15" s="15">
        <v>0.25</v>
      </c>
      <c r="AK15" s="15">
        <v>0.54</v>
      </c>
      <c r="AL15" s="15">
        <v>0.37</v>
      </c>
      <c r="AM15" s="15">
        <v>0.3</v>
      </c>
      <c r="AN15" s="15">
        <v>0.39</v>
      </c>
      <c r="AO15" s="15">
        <v>0.41</v>
      </c>
      <c r="AP15" s="15">
        <v>0.28999999999999998</v>
      </c>
      <c r="AQ15" s="15">
        <v>0.25</v>
      </c>
    </row>
    <row r="16" spans="1:43" x14ac:dyDescent="0.35">
      <c r="A16" s="19"/>
      <c r="B16" s="11" t="s">
        <v>704</v>
      </c>
      <c r="C16" s="12">
        <v>10080</v>
      </c>
      <c r="D16" s="12">
        <v>394</v>
      </c>
      <c r="E16" s="12">
        <v>285</v>
      </c>
      <c r="F16" s="12">
        <v>474</v>
      </c>
      <c r="G16" s="12">
        <v>327</v>
      </c>
      <c r="H16" s="12">
        <v>445</v>
      </c>
      <c r="I16" s="12">
        <v>581</v>
      </c>
      <c r="J16" s="12">
        <v>136</v>
      </c>
      <c r="K16" s="12">
        <v>399</v>
      </c>
      <c r="L16" s="12">
        <v>258</v>
      </c>
      <c r="M16" s="12">
        <v>408</v>
      </c>
      <c r="N16" s="12">
        <v>414</v>
      </c>
      <c r="O16" s="12">
        <v>396</v>
      </c>
      <c r="P16" s="12">
        <v>395</v>
      </c>
      <c r="Q16" s="12">
        <v>388</v>
      </c>
      <c r="R16" s="12">
        <v>209</v>
      </c>
      <c r="S16" s="12">
        <v>442</v>
      </c>
      <c r="T16" s="12">
        <v>410</v>
      </c>
      <c r="U16" s="12">
        <v>143</v>
      </c>
      <c r="V16" s="12">
        <v>428</v>
      </c>
      <c r="W16" s="12">
        <v>201</v>
      </c>
      <c r="X16" s="12">
        <v>352</v>
      </c>
      <c r="Y16" s="12">
        <v>331</v>
      </c>
      <c r="Z16" s="12">
        <v>436</v>
      </c>
      <c r="AA16" s="12">
        <v>239</v>
      </c>
      <c r="AB16" s="12">
        <v>363</v>
      </c>
      <c r="AC16" s="12">
        <v>410</v>
      </c>
      <c r="AD16" s="12">
        <v>370</v>
      </c>
      <c r="AE16" s="12">
        <v>440</v>
      </c>
      <c r="AF16" s="12">
        <v>320</v>
      </c>
      <c r="AG16" s="12">
        <v>305</v>
      </c>
      <c r="AH16" s="12">
        <v>320</v>
      </c>
      <c r="AI16" s="12">
        <v>163</v>
      </c>
      <c r="AJ16" s="12">
        <v>306</v>
      </c>
      <c r="AK16" s="12">
        <v>140</v>
      </c>
      <c r="AL16" s="12">
        <v>307</v>
      </c>
      <c r="AM16" s="12">
        <v>415</v>
      </c>
      <c r="AN16" s="12">
        <v>293</v>
      </c>
      <c r="AO16" s="12">
        <v>184</v>
      </c>
      <c r="AP16" s="12">
        <v>146</v>
      </c>
      <c r="AQ16" s="12">
        <v>500</v>
      </c>
    </row>
    <row r="17" spans="1:43" x14ac:dyDescent="0.35">
      <c r="A17" s="19"/>
      <c r="B17" s="13" t="s">
        <v>705</v>
      </c>
      <c r="C17" s="15">
        <v>0.38</v>
      </c>
      <c r="D17" s="15">
        <v>0.39</v>
      </c>
      <c r="E17" s="15">
        <v>0.28000000000000003</v>
      </c>
      <c r="F17" s="15">
        <v>0.43</v>
      </c>
      <c r="G17" s="15">
        <v>0.32</v>
      </c>
      <c r="H17" s="15">
        <v>0.36</v>
      </c>
      <c r="I17" s="15">
        <v>0.39</v>
      </c>
      <c r="J17" s="15">
        <v>0.46</v>
      </c>
      <c r="K17" s="15">
        <v>0.4</v>
      </c>
      <c r="L17" s="15">
        <v>0.26</v>
      </c>
      <c r="M17" s="15">
        <v>0.4</v>
      </c>
      <c r="N17" s="15">
        <v>0.41</v>
      </c>
      <c r="O17" s="15">
        <v>0.39</v>
      </c>
      <c r="P17" s="15">
        <v>0.39</v>
      </c>
      <c r="Q17" s="15">
        <v>0.38</v>
      </c>
      <c r="R17" s="15">
        <v>0.41</v>
      </c>
      <c r="S17" s="15">
        <v>0.44</v>
      </c>
      <c r="T17" s="15">
        <v>0.41</v>
      </c>
      <c r="U17" s="15">
        <v>0.28000000000000003</v>
      </c>
      <c r="V17" s="15">
        <v>0.42</v>
      </c>
      <c r="W17" s="15">
        <v>0.4</v>
      </c>
      <c r="X17" s="15">
        <v>0.35</v>
      </c>
      <c r="Y17" s="15">
        <v>0.33</v>
      </c>
      <c r="Z17" s="15">
        <v>0.42</v>
      </c>
      <c r="AA17" s="15">
        <v>0.23</v>
      </c>
      <c r="AB17" s="15">
        <v>0.34</v>
      </c>
      <c r="AC17" s="15">
        <v>0.41</v>
      </c>
      <c r="AD17" s="15">
        <v>0.37</v>
      </c>
      <c r="AE17" s="15">
        <v>0.43</v>
      </c>
      <c r="AF17" s="15">
        <v>0.31</v>
      </c>
      <c r="AG17" s="15">
        <v>0.28999999999999998</v>
      </c>
      <c r="AH17" s="15">
        <v>0.32</v>
      </c>
      <c r="AI17" s="15">
        <v>0.31</v>
      </c>
      <c r="AJ17" s="15">
        <v>0.28999999999999998</v>
      </c>
      <c r="AK17" s="15">
        <v>0.14000000000000001</v>
      </c>
      <c r="AL17" s="15">
        <v>0.3</v>
      </c>
      <c r="AM17" s="15">
        <v>0.4</v>
      </c>
      <c r="AN17" s="15">
        <v>0.28999999999999998</v>
      </c>
      <c r="AO17" s="15">
        <v>0.18</v>
      </c>
      <c r="AP17" s="15">
        <v>0.28000000000000003</v>
      </c>
      <c r="AQ17" s="15">
        <v>0.5</v>
      </c>
    </row>
    <row r="18" spans="1:43" x14ac:dyDescent="0.35">
      <c r="A18" s="19"/>
      <c r="B18" s="11" t="s">
        <v>706</v>
      </c>
      <c r="C18" s="12">
        <v>3896</v>
      </c>
      <c r="D18" s="12">
        <v>206</v>
      </c>
      <c r="E18" s="12">
        <v>158</v>
      </c>
      <c r="F18" s="12">
        <v>236</v>
      </c>
      <c r="G18" s="12">
        <v>95</v>
      </c>
      <c r="H18" s="12">
        <v>124</v>
      </c>
      <c r="I18" s="12">
        <v>186</v>
      </c>
      <c r="J18" s="12">
        <v>62</v>
      </c>
      <c r="K18" s="12">
        <v>144</v>
      </c>
      <c r="L18" s="12">
        <v>84</v>
      </c>
      <c r="M18" s="12">
        <v>218</v>
      </c>
      <c r="N18" s="12">
        <v>156</v>
      </c>
      <c r="O18" s="12">
        <v>227</v>
      </c>
      <c r="P18" s="12">
        <v>127</v>
      </c>
      <c r="Q18" s="12">
        <v>157</v>
      </c>
      <c r="R18" s="12">
        <v>91</v>
      </c>
      <c r="S18" s="12">
        <v>87</v>
      </c>
      <c r="T18" s="12">
        <v>53</v>
      </c>
      <c r="U18" s="12">
        <v>78</v>
      </c>
      <c r="V18" s="12">
        <v>141</v>
      </c>
      <c r="W18" s="12">
        <v>61</v>
      </c>
      <c r="X18" s="12">
        <v>127</v>
      </c>
      <c r="Y18" s="12">
        <v>146</v>
      </c>
      <c r="Z18" s="12">
        <v>79</v>
      </c>
      <c r="AA18" s="12">
        <v>63</v>
      </c>
      <c r="AB18" s="12">
        <v>127</v>
      </c>
      <c r="AC18" s="12">
        <v>162</v>
      </c>
      <c r="AD18" s="12">
        <v>145</v>
      </c>
      <c r="AE18" s="12">
        <v>136</v>
      </c>
      <c r="AF18" s="12">
        <v>107</v>
      </c>
      <c r="AG18" s="12">
        <v>204</v>
      </c>
      <c r="AH18" s="12">
        <v>108</v>
      </c>
      <c r="AI18" s="12">
        <v>82</v>
      </c>
      <c r="AJ18" s="12">
        <v>259</v>
      </c>
      <c r="AK18" s="12">
        <v>56</v>
      </c>
      <c r="AL18" s="12">
        <v>97</v>
      </c>
      <c r="AM18" s="12">
        <v>143</v>
      </c>
      <c r="AN18" s="12">
        <v>129</v>
      </c>
      <c r="AO18" s="12">
        <v>27</v>
      </c>
      <c r="AP18" s="12">
        <v>37</v>
      </c>
      <c r="AQ18" s="12">
        <v>75</v>
      </c>
    </row>
    <row r="19" spans="1:43" x14ac:dyDescent="0.35">
      <c r="A19" s="19"/>
      <c r="B19" s="13" t="s">
        <v>707</v>
      </c>
      <c r="C19" s="15">
        <v>0.15</v>
      </c>
      <c r="D19" s="15">
        <v>0.2</v>
      </c>
      <c r="E19" s="15">
        <v>0.15</v>
      </c>
      <c r="F19" s="15">
        <v>0.21</v>
      </c>
      <c r="G19" s="15">
        <v>0.09</v>
      </c>
      <c r="H19" s="15">
        <v>0.1</v>
      </c>
      <c r="I19" s="15">
        <v>0.12</v>
      </c>
      <c r="J19" s="15">
        <v>0.21</v>
      </c>
      <c r="K19" s="15">
        <v>0.15</v>
      </c>
      <c r="L19" s="15">
        <v>0.08</v>
      </c>
      <c r="M19" s="15">
        <v>0.22</v>
      </c>
      <c r="N19" s="15">
        <v>0.16</v>
      </c>
      <c r="O19" s="15">
        <v>0.23</v>
      </c>
      <c r="P19" s="15">
        <v>0.13</v>
      </c>
      <c r="Q19" s="15">
        <v>0.15</v>
      </c>
      <c r="R19" s="15">
        <v>0.18</v>
      </c>
      <c r="S19" s="15">
        <v>0.09</v>
      </c>
      <c r="T19" s="15">
        <v>0.05</v>
      </c>
      <c r="U19" s="15">
        <v>0.16</v>
      </c>
      <c r="V19" s="15">
        <v>0.14000000000000001</v>
      </c>
      <c r="W19" s="15">
        <v>0.12</v>
      </c>
      <c r="X19" s="15">
        <v>0.12</v>
      </c>
      <c r="Y19" s="15">
        <v>0.15</v>
      </c>
      <c r="Z19" s="15">
        <v>0.08</v>
      </c>
      <c r="AA19" s="15">
        <v>0.06</v>
      </c>
      <c r="AB19" s="15">
        <v>0.12</v>
      </c>
      <c r="AC19" s="15">
        <v>0.16</v>
      </c>
      <c r="AD19" s="15">
        <v>0.14000000000000001</v>
      </c>
      <c r="AE19" s="15">
        <v>0.14000000000000001</v>
      </c>
      <c r="AF19" s="15">
        <v>0.1</v>
      </c>
      <c r="AG19" s="15">
        <v>0.2</v>
      </c>
      <c r="AH19" s="15">
        <v>0.11</v>
      </c>
      <c r="AI19" s="15">
        <v>0.16</v>
      </c>
      <c r="AJ19" s="15">
        <v>0.25</v>
      </c>
      <c r="AK19" s="15">
        <v>0.06</v>
      </c>
      <c r="AL19" s="15">
        <v>0.1</v>
      </c>
      <c r="AM19" s="15">
        <v>0.14000000000000001</v>
      </c>
      <c r="AN19" s="15">
        <v>0.13</v>
      </c>
      <c r="AO19" s="15">
        <v>0.03</v>
      </c>
      <c r="AP19" s="15">
        <v>7.0000000000000007E-2</v>
      </c>
      <c r="AQ19" s="15">
        <v>7.0000000000000007E-2</v>
      </c>
    </row>
    <row r="20" spans="1:43" x14ac:dyDescent="0.35">
      <c r="A20" s="19"/>
      <c r="B20" s="11" t="s">
        <v>708</v>
      </c>
      <c r="C20" s="12">
        <v>1097</v>
      </c>
      <c r="D20" s="12">
        <v>52</v>
      </c>
      <c r="E20" s="12">
        <v>108</v>
      </c>
      <c r="F20" s="12">
        <v>67</v>
      </c>
      <c r="G20" s="12">
        <v>28</v>
      </c>
      <c r="H20" s="12">
        <v>32</v>
      </c>
      <c r="I20" s="12">
        <v>48</v>
      </c>
      <c r="J20" s="12">
        <v>17</v>
      </c>
      <c r="K20" s="12">
        <v>41</v>
      </c>
      <c r="L20" s="12">
        <v>28</v>
      </c>
      <c r="M20" s="12">
        <v>68</v>
      </c>
      <c r="N20" s="12">
        <v>35</v>
      </c>
      <c r="O20" s="12">
        <v>72</v>
      </c>
      <c r="P20" s="12">
        <v>22</v>
      </c>
      <c r="Q20" s="12">
        <v>32</v>
      </c>
      <c r="R20" s="12">
        <v>40</v>
      </c>
      <c r="S20" s="12">
        <v>11</v>
      </c>
      <c r="T20" s="12">
        <v>8</v>
      </c>
      <c r="U20" s="12">
        <v>21</v>
      </c>
      <c r="V20" s="12">
        <v>18</v>
      </c>
      <c r="W20" s="12">
        <v>9</v>
      </c>
      <c r="X20" s="12">
        <v>57</v>
      </c>
      <c r="Y20" s="12">
        <v>105</v>
      </c>
      <c r="Z20" s="12">
        <v>14</v>
      </c>
      <c r="AA20" s="12">
        <v>10</v>
      </c>
      <c r="AB20" s="12">
        <v>40</v>
      </c>
      <c r="AC20" s="12">
        <v>38</v>
      </c>
      <c r="AD20" s="12">
        <v>53</v>
      </c>
      <c r="AE20" s="12">
        <v>17</v>
      </c>
      <c r="AF20" s="12">
        <v>40</v>
      </c>
      <c r="AG20" s="12">
        <v>92</v>
      </c>
      <c r="AH20" s="12">
        <v>44</v>
      </c>
      <c r="AI20" s="12">
        <v>37</v>
      </c>
      <c r="AJ20" s="12">
        <v>123</v>
      </c>
      <c r="AK20" s="12">
        <v>8</v>
      </c>
      <c r="AL20" s="12">
        <v>66</v>
      </c>
      <c r="AM20" s="12">
        <v>60</v>
      </c>
      <c r="AN20" s="12">
        <v>44</v>
      </c>
      <c r="AO20" s="12">
        <v>12</v>
      </c>
      <c r="AP20" s="12">
        <v>45</v>
      </c>
      <c r="AQ20" s="12">
        <v>45</v>
      </c>
    </row>
    <row r="21" spans="1:43" x14ac:dyDescent="0.35">
      <c r="A21" s="19"/>
      <c r="B21" s="13" t="s">
        <v>709</v>
      </c>
      <c r="C21" s="15">
        <v>0.04</v>
      </c>
      <c r="D21" s="15">
        <v>0.05</v>
      </c>
      <c r="E21" s="15">
        <v>0.1</v>
      </c>
      <c r="F21" s="15">
        <v>0.06</v>
      </c>
      <c r="G21" s="15">
        <v>0.03</v>
      </c>
      <c r="H21" s="15">
        <v>0.03</v>
      </c>
      <c r="I21" s="15">
        <v>0.03</v>
      </c>
      <c r="J21" s="15">
        <v>0.06</v>
      </c>
      <c r="K21" s="15">
        <v>0.04</v>
      </c>
      <c r="L21" s="15">
        <v>0.03</v>
      </c>
      <c r="M21" s="15">
        <v>7.0000000000000007E-2</v>
      </c>
      <c r="N21" s="15">
        <v>0.04</v>
      </c>
      <c r="O21" s="15">
        <v>7.0000000000000007E-2</v>
      </c>
      <c r="P21" s="15">
        <v>0.02</v>
      </c>
      <c r="Q21" s="15">
        <v>0.03</v>
      </c>
      <c r="R21" s="15">
        <v>0.08</v>
      </c>
      <c r="S21" s="15">
        <v>0.01</v>
      </c>
      <c r="T21" s="15">
        <v>0.01</v>
      </c>
      <c r="U21" s="15">
        <v>0.04</v>
      </c>
      <c r="V21" s="15">
        <v>0.02</v>
      </c>
      <c r="W21" s="15">
        <v>0.02</v>
      </c>
      <c r="X21" s="15">
        <v>0.06</v>
      </c>
      <c r="Y21" s="15">
        <v>0.1</v>
      </c>
      <c r="Z21" s="15">
        <v>0.02</v>
      </c>
      <c r="AA21" s="15">
        <v>0.01</v>
      </c>
      <c r="AB21" s="15">
        <v>0.04</v>
      </c>
      <c r="AC21" s="15">
        <v>0.04</v>
      </c>
      <c r="AD21" s="15">
        <v>0.05</v>
      </c>
      <c r="AE21" s="15">
        <v>0.02</v>
      </c>
      <c r="AF21" s="15">
        <v>0.04</v>
      </c>
      <c r="AG21" s="15">
        <v>0.09</v>
      </c>
      <c r="AH21" s="15">
        <v>0.04</v>
      </c>
      <c r="AI21" s="15">
        <v>7.0000000000000007E-2</v>
      </c>
      <c r="AJ21" s="15">
        <v>0.12</v>
      </c>
      <c r="AK21" s="15">
        <v>0.01</v>
      </c>
      <c r="AL21" s="15">
        <v>0.06</v>
      </c>
      <c r="AM21" s="15">
        <v>0.06</v>
      </c>
      <c r="AN21" s="15">
        <v>0.04</v>
      </c>
      <c r="AO21" s="15">
        <v>0.01</v>
      </c>
      <c r="AP21" s="15">
        <v>0.09</v>
      </c>
      <c r="AQ21" s="15">
        <v>0.05</v>
      </c>
    </row>
    <row r="22" spans="1:43" x14ac:dyDescent="0.35">
      <c r="A22" s="19"/>
      <c r="B22" s="11" t="s">
        <v>485</v>
      </c>
      <c r="C22" s="12">
        <v>150</v>
      </c>
      <c r="D22" s="12">
        <v>1</v>
      </c>
      <c r="E22" s="12">
        <v>8</v>
      </c>
      <c r="F22" s="12">
        <v>5</v>
      </c>
      <c r="G22" s="12">
        <v>6</v>
      </c>
      <c r="H22" s="12">
        <v>1</v>
      </c>
      <c r="I22" s="12">
        <v>2</v>
      </c>
      <c r="J22" s="12">
        <v>1</v>
      </c>
      <c r="K22" s="12">
        <v>2</v>
      </c>
      <c r="L22" s="12">
        <v>2</v>
      </c>
      <c r="M22" s="12">
        <v>0</v>
      </c>
      <c r="N22" s="12">
        <v>12</v>
      </c>
      <c r="O22" s="12">
        <v>8</v>
      </c>
      <c r="P22" s="12">
        <v>1</v>
      </c>
      <c r="Q22" s="12">
        <v>5</v>
      </c>
      <c r="R22" s="12">
        <v>15</v>
      </c>
      <c r="S22" s="12">
        <v>12</v>
      </c>
      <c r="T22" s="12">
        <v>6</v>
      </c>
      <c r="U22" s="12">
        <v>5</v>
      </c>
      <c r="V22" s="12">
        <v>0</v>
      </c>
      <c r="W22" s="12">
        <v>2</v>
      </c>
      <c r="X22" s="12">
        <v>1</v>
      </c>
      <c r="Y22" s="12">
        <v>7</v>
      </c>
      <c r="Z22" s="12">
        <v>1</v>
      </c>
      <c r="AA22" s="12">
        <v>7</v>
      </c>
      <c r="AB22" s="12">
        <v>27</v>
      </c>
      <c r="AC22" s="12">
        <v>3</v>
      </c>
      <c r="AD22" s="12">
        <v>1</v>
      </c>
      <c r="AE22" s="12">
        <v>3</v>
      </c>
      <c r="AF22" s="12">
        <v>2</v>
      </c>
      <c r="AG22" s="12">
        <v>4</v>
      </c>
      <c r="AH22" s="12">
        <v>1</v>
      </c>
      <c r="AI22" s="12">
        <v>32</v>
      </c>
      <c r="AJ22" s="12">
        <v>3</v>
      </c>
      <c r="AK22" s="12">
        <v>4</v>
      </c>
      <c r="AL22" s="12">
        <v>47</v>
      </c>
      <c r="AM22" s="12">
        <v>33</v>
      </c>
      <c r="AN22" s="12">
        <v>0</v>
      </c>
      <c r="AO22" s="12">
        <v>23</v>
      </c>
      <c r="AP22" s="12">
        <v>0</v>
      </c>
      <c r="AQ22" s="12">
        <v>20</v>
      </c>
    </row>
    <row r="23" spans="1:43" x14ac:dyDescent="0.35">
      <c r="A23" s="19"/>
      <c r="B23" s="13" t="s">
        <v>486</v>
      </c>
      <c r="C23" s="15">
        <v>0.01</v>
      </c>
      <c r="D23" s="14" t="s">
        <v>475</v>
      </c>
      <c r="E23" s="15">
        <v>0.01</v>
      </c>
      <c r="F23" s="15">
        <v>0.01</v>
      </c>
      <c r="G23" s="15">
        <v>0.01</v>
      </c>
      <c r="H23" s="14" t="s">
        <v>475</v>
      </c>
      <c r="I23" s="14" t="s">
        <v>475</v>
      </c>
      <c r="J23" s="14" t="s">
        <v>475</v>
      </c>
      <c r="K23" s="14" t="s">
        <v>475</v>
      </c>
      <c r="L23" s="14" t="s">
        <v>475</v>
      </c>
      <c r="M23" s="14" t="s">
        <v>475</v>
      </c>
      <c r="N23" s="15">
        <v>0.01</v>
      </c>
      <c r="O23" s="15">
        <v>0.01</v>
      </c>
      <c r="P23" s="14" t="s">
        <v>475</v>
      </c>
      <c r="Q23" s="14" t="s">
        <v>475</v>
      </c>
      <c r="R23" s="15">
        <v>0.03</v>
      </c>
      <c r="S23" s="15">
        <v>0.01</v>
      </c>
      <c r="T23" s="14" t="s">
        <v>475</v>
      </c>
      <c r="U23" s="15">
        <v>0.01</v>
      </c>
      <c r="V23" s="14" t="s">
        <v>475</v>
      </c>
      <c r="W23" s="14" t="s">
        <v>475</v>
      </c>
      <c r="X23" s="14" t="s">
        <v>475</v>
      </c>
      <c r="Y23" s="15">
        <v>0.01</v>
      </c>
      <c r="Z23" s="14" t="s">
        <v>475</v>
      </c>
      <c r="AA23" s="15">
        <v>0.01</v>
      </c>
      <c r="AB23" s="15">
        <v>0.03</v>
      </c>
      <c r="AC23" s="14" t="s">
        <v>475</v>
      </c>
      <c r="AD23" s="14" t="s">
        <v>475</v>
      </c>
      <c r="AE23" s="14" t="s">
        <v>475</v>
      </c>
      <c r="AF23" s="14" t="s">
        <v>475</v>
      </c>
      <c r="AG23" s="14" t="s">
        <v>475</v>
      </c>
      <c r="AH23" s="14" t="s">
        <v>475</v>
      </c>
      <c r="AI23" s="15">
        <v>0.06</v>
      </c>
      <c r="AJ23" s="14" t="s">
        <v>475</v>
      </c>
      <c r="AK23" s="14" t="s">
        <v>475</v>
      </c>
      <c r="AL23" s="15">
        <v>0.05</v>
      </c>
      <c r="AM23" s="15">
        <v>0.03</v>
      </c>
      <c r="AN23" s="14" t="s">
        <v>475</v>
      </c>
      <c r="AO23" s="15">
        <v>0.02</v>
      </c>
      <c r="AP23" s="14" t="s">
        <v>475</v>
      </c>
      <c r="AQ23" s="15">
        <v>0.02</v>
      </c>
    </row>
    <row r="24" spans="1:43" x14ac:dyDescent="0.35">
      <c r="A24" s="19"/>
      <c r="B24" s="11" t="s">
        <v>710</v>
      </c>
      <c r="C24" s="12">
        <v>11222</v>
      </c>
      <c r="D24" s="12">
        <v>359</v>
      </c>
      <c r="E24" s="12">
        <v>471</v>
      </c>
      <c r="F24" s="12">
        <v>321</v>
      </c>
      <c r="G24" s="12">
        <v>550</v>
      </c>
      <c r="H24" s="12">
        <v>620</v>
      </c>
      <c r="I24" s="12">
        <v>698</v>
      </c>
      <c r="J24" s="12">
        <v>79</v>
      </c>
      <c r="K24" s="12">
        <v>416</v>
      </c>
      <c r="L24" s="12">
        <v>630</v>
      </c>
      <c r="M24" s="12">
        <v>315</v>
      </c>
      <c r="N24" s="12">
        <v>385</v>
      </c>
      <c r="O24" s="12">
        <v>298</v>
      </c>
      <c r="P24" s="12">
        <v>459</v>
      </c>
      <c r="Q24" s="12">
        <v>444</v>
      </c>
      <c r="R24" s="12">
        <v>149</v>
      </c>
      <c r="S24" s="12">
        <v>451</v>
      </c>
      <c r="T24" s="12">
        <v>530</v>
      </c>
      <c r="U24" s="12">
        <v>258</v>
      </c>
      <c r="V24" s="12">
        <v>428</v>
      </c>
      <c r="W24" s="12">
        <v>235</v>
      </c>
      <c r="X24" s="12">
        <v>472</v>
      </c>
      <c r="Y24" s="12">
        <v>415</v>
      </c>
      <c r="Z24" s="12">
        <v>501</v>
      </c>
      <c r="AA24" s="12">
        <v>715</v>
      </c>
      <c r="AB24" s="12">
        <v>495</v>
      </c>
      <c r="AC24" s="12">
        <v>390</v>
      </c>
      <c r="AD24" s="12">
        <v>437</v>
      </c>
      <c r="AE24" s="12">
        <v>417</v>
      </c>
      <c r="AF24" s="12">
        <v>575</v>
      </c>
      <c r="AG24" s="12">
        <v>430</v>
      </c>
      <c r="AH24" s="12">
        <v>540</v>
      </c>
      <c r="AI24" s="12">
        <v>210</v>
      </c>
      <c r="AJ24" s="12">
        <v>347</v>
      </c>
      <c r="AK24" s="12">
        <v>799</v>
      </c>
      <c r="AL24" s="12">
        <v>495</v>
      </c>
      <c r="AM24" s="12">
        <v>387</v>
      </c>
      <c r="AN24" s="12">
        <v>537</v>
      </c>
      <c r="AO24" s="12">
        <v>759</v>
      </c>
      <c r="AP24" s="12">
        <v>295</v>
      </c>
      <c r="AQ24" s="12">
        <v>361</v>
      </c>
    </row>
    <row r="25" spans="1:43" x14ac:dyDescent="0.35">
      <c r="A25" s="19"/>
      <c r="B25" s="13" t="s">
        <v>710</v>
      </c>
      <c r="C25" s="15">
        <v>0.42</v>
      </c>
      <c r="D25" s="15">
        <v>0.36</v>
      </c>
      <c r="E25" s="15">
        <v>0.46</v>
      </c>
      <c r="F25" s="15">
        <v>0.28999999999999998</v>
      </c>
      <c r="G25" s="15">
        <v>0.55000000000000004</v>
      </c>
      <c r="H25" s="15">
        <v>0.51</v>
      </c>
      <c r="I25" s="15">
        <v>0.46</v>
      </c>
      <c r="J25" s="15">
        <v>0.27</v>
      </c>
      <c r="K25" s="15">
        <v>0.41</v>
      </c>
      <c r="L25" s="15">
        <v>0.63</v>
      </c>
      <c r="M25" s="15">
        <v>0.31</v>
      </c>
      <c r="N25" s="15">
        <v>0.38</v>
      </c>
      <c r="O25" s="15">
        <v>0.3</v>
      </c>
      <c r="P25" s="15">
        <v>0.46</v>
      </c>
      <c r="Q25" s="15">
        <v>0.44</v>
      </c>
      <c r="R25" s="15">
        <v>0.3</v>
      </c>
      <c r="S25" s="15">
        <v>0.45</v>
      </c>
      <c r="T25" s="15">
        <v>0.53</v>
      </c>
      <c r="U25" s="15">
        <v>0.51</v>
      </c>
      <c r="V25" s="15">
        <v>0.42</v>
      </c>
      <c r="W25" s="15">
        <v>0.46</v>
      </c>
      <c r="X25" s="15">
        <v>0.47</v>
      </c>
      <c r="Y25" s="15">
        <v>0.41</v>
      </c>
      <c r="Z25" s="15">
        <v>0.48</v>
      </c>
      <c r="AA25" s="15">
        <v>0.69000000000000006</v>
      </c>
      <c r="AB25" s="15">
        <v>0.47</v>
      </c>
      <c r="AC25" s="15">
        <v>0.39</v>
      </c>
      <c r="AD25" s="15">
        <v>0.44</v>
      </c>
      <c r="AE25" s="15">
        <v>0.41</v>
      </c>
      <c r="AF25" s="15">
        <v>0.55000000000000004</v>
      </c>
      <c r="AG25" s="15">
        <v>0.42</v>
      </c>
      <c r="AH25" s="15">
        <v>0.53</v>
      </c>
      <c r="AI25" s="15">
        <v>0.4</v>
      </c>
      <c r="AJ25" s="15">
        <v>0.34</v>
      </c>
      <c r="AK25" s="15">
        <v>0.79</v>
      </c>
      <c r="AL25" s="15">
        <v>0.49</v>
      </c>
      <c r="AM25" s="15">
        <v>0.37</v>
      </c>
      <c r="AN25" s="15">
        <v>0.54</v>
      </c>
      <c r="AO25" s="15">
        <v>0.76</v>
      </c>
      <c r="AP25" s="15">
        <v>0.56000000000000005</v>
      </c>
      <c r="AQ25" s="15">
        <v>0.36</v>
      </c>
    </row>
    <row r="26" spans="1:43" x14ac:dyDescent="0.35">
      <c r="A26" s="19"/>
      <c r="B26" s="11" t="s">
        <v>704</v>
      </c>
      <c r="C26" s="12">
        <v>10080</v>
      </c>
      <c r="D26" s="12">
        <v>394</v>
      </c>
      <c r="E26" s="12">
        <v>285</v>
      </c>
      <c r="F26" s="12">
        <v>474</v>
      </c>
      <c r="G26" s="12">
        <v>327</v>
      </c>
      <c r="H26" s="12">
        <v>445</v>
      </c>
      <c r="I26" s="12">
        <v>581</v>
      </c>
      <c r="J26" s="12">
        <v>136</v>
      </c>
      <c r="K26" s="12">
        <v>399</v>
      </c>
      <c r="L26" s="12">
        <v>258</v>
      </c>
      <c r="M26" s="12">
        <v>408</v>
      </c>
      <c r="N26" s="12">
        <v>414</v>
      </c>
      <c r="O26" s="12">
        <v>396</v>
      </c>
      <c r="P26" s="12">
        <v>395</v>
      </c>
      <c r="Q26" s="12">
        <v>388</v>
      </c>
      <c r="R26" s="12">
        <v>209</v>
      </c>
      <c r="S26" s="12">
        <v>442</v>
      </c>
      <c r="T26" s="12">
        <v>410</v>
      </c>
      <c r="U26" s="12">
        <v>143</v>
      </c>
      <c r="V26" s="12">
        <v>428</v>
      </c>
      <c r="W26" s="12">
        <v>201</v>
      </c>
      <c r="X26" s="12">
        <v>352</v>
      </c>
      <c r="Y26" s="12">
        <v>331</v>
      </c>
      <c r="Z26" s="12">
        <v>436</v>
      </c>
      <c r="AA26" s="12">
        <v>239</v>
      </c>
      <c r="AB26" s="12">
        <v>363</v>
      </c>
      <c r="AC26" s="12">
        <v>410</v>
      </c>
      <c r="AD26" s="12">
        <v>370</v>
      </c>
      <c r="AE26" s="12">
        <v>440</v>
      </c>
      <c r="AF26" s="12">
        <v>320</v>
      </c>
      <c r="AG26" s="12">
        <v>305</v>
      </c>
      <c r="AH26" s="12">
        <v>320</v>
      </c>
      <c r="AI26" s="12">
        <v>163</v>
      </c>
      <c r="AJ26" s="12">
        <v>306</v>
      </c>
      <c r="AK26" s="12">
        <v>140</v>
      </c>
      <c r="AL26" s="12">
        <v>307</v>
      </c>
      <c r="AM26" s="12">
        <v>415</v>
      </c>
      <c r="AN26" s="12">
        <v>293</v>
      </c>
      <c r="AO26" s="12">
        <v>184</v>
      </c>
      <c r="AP26" s="12">
        <v>146</v>
      </c>
      <c r="AQ26" s="12">
        <v>500</v>
      </c>
    </row>
    <row r="27" spans="1:43" x14ac:dyDescent="0.35">
      <c r="A27" s="19"/>
      <c r="B27" s="13" t="s">
        <v>705</v>
      </c>
      <c r="C27" s="15">
        <v>0.38</v>
      </c>
      <c r="D27" s="15">
        <v>0.39</v>
      </c>
      <c r="E27" s="15">
        <v>0.28000000000000003</v>
      </c>
      <c r="F27" s="15">
        <v>0.43</v>
      </c>
      <c r="G27" s="15">
        <v>0.32</v>
      </c>
      <c r="H27" s="15">
        <v>0.36</v>
      </c>
      <c r="I27" s="15">
        <v>0.39</v>
      </c>
      <c r="J27" s="15">
        <v>0.46</v>
      </c>
      <c r="K27" s="15">
        <v>0.4</v>
      </c>
      <c r="L27" s="15">
        <v>0.26</v>
      </c>
      <c r="M27" s="15">
        <v>0.4</v>
      </c>
      <c r="N27" s="15">
        <v>0.41</v>
      </c>
      <c r="O27" s="15">
        <v>0.39</v>
      </c>
      <c r="P27" s="15">
        <v>0.39</v>
      </c>
      <c r="Q27" s="15">
        <v>0.38</v>
      </c>
      <c r="R27" s="15">
        <v>0.41</v>
      </c>
      <c r="S27" s="15">
        <v>0.44</v>
      </c>
      <c r="T27" s="15">
        <v>0.41</v>
      </c>
      <c r="U27" s="15">
        <v>0.28000000000000003</v>
      </c>
      <c r="V27" s="15">
        <v>0.42</v>
      </c>
      <c r="W27" s="15">
        <v>0.4</v>
      </c>
      <c r="X27" s="15">
        <v>0.35</v>
      </c>
      <c r="Y27" s="15">
        <v>0.33</v>
      </c>
      <c r="Z27" s="15">
        <v>0.42</v>
      </c>
      <c r="AA27" s="15">
        <v>0.23</v>
      </c>
      <c r="AB27" s="15">
        <v>0.34</v>
      </c>
      <c r="AC27" s="15">
        <v>0.41</v>
      </c>
      <c r="AD27" s="15">
        <v>0.37</v>
      </c>
      <c r="AE27" s="15">
        <v>0.43</v>
      </c>
      <c r="AF27" s="15">
        <v>0.31</v>
      </c>
      <c r="AG27" s="15">
        <v>0.28999999999999998</v>
      </c>
      <c r="AH27" s="15">
        <v>0.32</v>
      </c>
      <c r="AI27" s="15">
        <v>0.31</v>
      </c>
      <c r="AJ27" s="15">
        <v>0.28999999999999998</v>
      </c>
      <c r="AK27" s="15">
        <v>0.14000000000000001</v>
      </c>
      <c r="AL27" s="15">
        <v>0.3</v>
      </c>
      <c r="AM27" s="15">
        <v>0.4</v>
      </c>
      <c r="AN27" s="15">
        <v>0.28999999999999998</v>
      </c>
      <c r="AO27" s="15">
        <v>0.18</v>
      </c>
      <c r="AP27" s="15">
        <v>0.28000000000000003</v>
      </c>
      <c r="AQ27" s="15">
        <v>0.5</v>
      </c>
    </row>
    <row r="28" spans="1:43" x14ac:dyDescent="0.35">
      <c r="A28" s="19"/>
      <c r="B28" s="11" t="s">
        <v>711</v>
      </c>
      <c r="C28" s="12">
        <v>4993</v>
      </c>
      <c r="D28" s="12">
        <v>258</v>
      </c>
      <c r="E28" s="12">
        <v>266</v>
      </c>
      <c r="F28" s="12">
        <v>303</v>
      </c>
      <c r="G28" s="12">
        <v>123</v>
      </c>
      <c r="H28" s="12">
        <v>156</v>
      </c>
      <c r="I28" s="12">
        <v>234</v>
      </c>
      <c r="J28" s="12">
        <v>79</v>
      </c>
      <c r="K28" s="12">
        <v>185</v>
      </c>
      <c r="L28" s="12">
        <v>112</v>
      </c>
      <c r="M28" s="12">
        <v>286</v>
      </c>
      <c r="N28" s="12">
        <v>191</v>
      </c>
      <c r="O28" s="12">
        <v>299</v>
      </c>
      <c r="P28" s="12">
        <v>149</v>
      </c>
      <c r="Q28" s="12">
        <v>189</v>
      </c>
      <c r="R28" s="12">
        <v>131</v>
      </c>
      <c r="S28" s="12">
        <v>98</v>
      </c>
      <c r="T28" s="12">
        <v>61</v>
      </c>
      <c r="U28" s="12">
        <v>99</v>
      </c>
      <c r="V28" s="12">
        <v>159</v>
      </c>
      <c r="W28" s="12">
        <v>70</v>
      </c>
      <c r="X28" s="12">
        <v>184</v>
      </c>
      <c r="Y28" s="12">
        <v>251</v>
      </c>
      <c r="Z28" s="12">
        <v>93</v>
      </c>
      <c r="AA28" s="12">
        <v>73</v>
      </c>
      <c r="AB28" s="12">
        <v>167</v>
      </c>
      <c r="AC28" s="12">
        <v>200</v>
      </c>
      <c r="AD28" s="12">
        <v>198</v>
      </c>
      <c r="AE28" s="12">
        <v>153</v>
      </c>
      <c r="AF28" s="12">
        <v>147</v>
      </c>
      <c r="AG28" s="12">
        <v>296</v>
      </c>
      <c r="AH28" s="12">
        <v>152</v>
      </c>
      <c r="AI28" s="12">
        <v>119</v>
      </c>
      <c r="AJ28" s="12">
        <v>382</v>
      </c>
      <c r="AK28" s="12">
        <v>64</v>
      </c>
      <c r="AL28" s="12">
        <v>163</v>
      </c>
      <c r="AM28" s="12">
        <v>203</v>
      </c>
      <c r="AN28" s="12">
        <v>173</v>
      </c>
      <c r="AO28" s="12">
        <v>39</v>
      </c>
      <c r="AP28" s="12">
        <v>82</v>
      </c>
      <c r="AQ28" s="12">
        <v>120</v>
      </c>
    </row>
    <row r="29" spans="1:43" x14ac:dyDescent="0.35">
      <c r="A29" s="19"/>
      <c r="B29" s="13" t="s">
        <v>711</v>
      </c>
      <c r="C29" s="15">
        <v>0.19</v>
      </c>
      <c r="D29" s="15">
        <v>0.25</v>
      </c>
      <c r="E29" s="15">
        <v>0.25</v>
      </c>
      <c r="F29" s="15">
        <v>0.27</v>
      </c>
      <c r="G29" s="15">
        <v>0.12</v>
      </c>
      <c r="H29" s="15">
        <v>0.13</v>
      </c>
      <c r="I29" s="15">
        <v>0.15</v>
      </c>
      <c r="J29" s="15">
        <v>0.27</v>
      </c>
      <c r="K29" s="15">
        <v>0.19</v>
      </c>
      <c r="L29" s="15">
        <v>0.11</v>
      </c>
      <c r="M29" s="15">
        <v>0.28999999999999998</v>
      </c>
      <c r="N29" s="15">
        <v>0.2</v>
      </c>
      <c r="O29" s="15">
        <v>0.3</v>
      </c>
      <c r="P29" s="15">
        <v>0.15</v>
      </c>
      <c r="Q29" s="15">
        <v>0.18</v>
      </c>
      <c r="R29" s="15">
        <v>0.26</v>
      </c>
      <c r="S29" s="15">
        <v>0.1</v>
      </c>
      <c r="T29" s="15">
        <v>0.06</v>
      </c>
      <c r="U29" s="15">
        <v>0.2</v>
      </c>
      <c r="V29" s="15">
        <v>0.16</v>
      </c>
      <c r="W29" s="15">
        <v>0.14000000000000001</v>
      </c>
      <c r="X29" s="15">
        <v>0.18</v>
      </c>
      <c r="Y29" s="15">
        <v>0.25</v>
      </c>
      <c r="Z29" s="15">
        <v>0.1</v>
      </c>
      <c r="AA29" s="15">
        <v>7.0000000000000007E-2</v>
      </c>
      <c r="AB29" s="15">
        <v>0.16</v>
      </c>
      <c r="AC29" s="15">
        <v>0.2</v>
      </c>
      <c r="AD29" s="15">
        <v>0.19</v>
      </c>
      <c r="AE29" s="15">
        <v>0.16</v>
      </c>
      <c r="AF29" s="15">
        <v>0.14000000000000001</v>
      </c>
      <c r="AG29" s="15">
        <v>0.28999999999999998</v>
      </c>
      <c r="AH29" s="15">
        <v>0.15</v>
      </c>
      <c r="AI29" s="15">
        <v>0.23</v>
      </c>
      <c r="AJ29" s="15">
        <v>0.37</v>
      </c>
      <c r="AK29" s="15">
        <v>7.0000000000000007E-2</v>
      </c>
      <c r="AL29" s="15">
        <v>0.16</v>
      </c>
      <c r="AM29" s="15">
        <v>0.2</v>
      </c>
      <c r="AN29" s="15">
        <v>0.17</v>
      </c>
      <c r="AO29" s="15">
        <v>0.04</v>
      </c>
      <c r="AP29" s="15">
        <v>0.16</v>
      </c>
      <c r="AQ29" s="15">
        <v>0.12</v>
      </c>
    </row>
  </sheetData>
  <mergeCells count="10">
    <mergeCell ref="B4:F4"/>
    <mergeCell ref="H3:L3"/>
    <mergeCell ref="B3:F3"/>
    <mergeCell ref="B5:F5"/>
    <mergeCell ref="A24:A29"/>
    <mergeCell ref="C8:AQ8"/>
    <mergeCell ref="H5:L5"/>
    <mergeCell ref="B10:B11"/>
    <mergeCell ref="H4:L4"/>
    <mergeCell ref="A10:A23"/>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712</v>
      </c>
      <c r="C3" s="18"/>
      <c r="D3" s="18"/>
      <c r="E3" s="18"/>
      <c r="F3" s="18"/>
      <c r="H3" s="18" t="s">
        <v>713</v>
      </c>
      <c r="I3" s="18"/>
      <c r="J3" s="18"/>
      <c r="K3" s="18"/>
      <c r="L3" s="18"/>
    </row>
    <row r="4" spans="1:32" ht="27" customHeight="1" x14ac:dyDescent="0.35">
      <c r="B4" s="18" t="s">
        <v>714</v>
      </c>
      <c r="C4" s="18"/>
      <c r="D4" s="18"/>
      <c r="E4" s="18"/>
      <c r="F4" s="18"/>
      <c r="H4" s="18" t="s">
        <v>715</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HYPERLINK("#Content!A46","&lt;&lt;Back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716</v>
      </c>
      <c r="C12" s="12">
        <v>23962</v>
      </c>
      <c r="D12" s="12">
        <v>956</v>
      </c>
      <c r="E12" s="12">
        <v>941</v>
      </c>
      <c r="F12" s="12">
        <v>939</v>
      </c>
      <c r="G12" s="12">
        <v>980</v>
      </c>
      <c r="H12" s="12">
        <v>1123</v>
      </c>
      <c r="I12" s="12">
        <v>1395</v>
      </c>
      <c r="J12" s="12">
        <v>272</v>
      </c>
      <c r="K12" s="12">
        <v>929</v>
      </c>
      <c r="L12" s="12">
        <v>970</v>
      </c>
      <c r="M12" s="12">
        <v>921</v>
      </c>
      <c r="N12" s="12">
        <v>909</v>
      </c>
      <c r="O12" s="12">
        <v>910</v>
      </c>
      <c r="P12" s="12">
        <v>917</v>
      </c>
      <c r="Q12" s="12">
        <v>904</v>
      </c>
      <c r="R12" s="12">
        <v>459</v>
      </c>
      <c r="S12" s="12">
        <v>903</v>
      </c>
      <c r="T12" s="12">
        <v>940</v>
      </c>
      <c r="U12" s="12">
        <v>482</v>
      </c>
      <c r="V12" s="12">
        <v>955</v>
      </c>
      <c r="W12" s="12">
        <v>501</v>
      </c>
      <c r="X12" s="12">
        <v>943</v>
      </c>
      <c r="Y12" s="12">
        <v>893</v>
      </c>
      <c r="Z12" s="12">
        <v>898</v>
      </c>
      <c r="AA12" s="12">
        <v>984</v>
      </c>
      <c r="AB12" s="12">
        <v>850</v>
      </c>
      <c r="AC12" s="12">
        <v>971</v>
      </c>
      <c r="AD12" s="12">
        <v>903</v>
      </c>
      <c r="AE12" s="12">
        <v>975</v>
      </c>
      <c r="AF12" s="12">
        <v>1027</v>
      </c>
    </row>
    <row r="13" spans="1:32" x14ac:dyDescent="0.35">
      <c r="A13" s="19"/>
      <c r="B13" s="13" t="s">
        <v>717</v>
      </c>
      <c r="C13" s="15">
        <v>0.91</v>
      </c>
      <c r="D13" s="15">
        <v>0.94000000000000006</v>
      </c>
      <c r="E13" s="15">
        <v>0.92</v>
      </c>
      <c r="F13" s="15">
        <v>0.85</v>
      </c>
      <c r="G13" s="15">
        <v>0.97</v>
      </c>
      <c r="H13" s="15">
        <v>0.92</v>
      </c>
      <c r="I13" s="15">
        <v>0.92</v>
      </c>
      <c r="J13" s="15">
        <v>0.92</v>
      </c>
      <c r="K13" s="15">
        <v>0.93</v>
      </c>
      <c r="L13" s="15">
        <v>0.97</v>
      </c>
      <c r="M13" s="15">
        <v>0.91</v>
      </c>
      <c r="N13" s="15">
        <v>0.91</v>
      </c>
      <c r="O13" s="15">
        <v>0.91</v>
      </c>
      <c r="P13" s="15">
        <v>0.91</v>
      </c>
      <c r="Q13" s="15">
        <v>0.88</v>
      </c>
      <c r="R13" s="15">
        <v>0.91</v>
      </c>
      <c r="S13" s="15">
        <v>0.9</v>
      </c>
      <c r="T13" s="15">
        <v>0.93</v>
      </c>
      <c r="U13" s="15">
        <v>0.96</v>
      </c>
      <c r="V13" s="15">
        <v>0.94000000000000006</v>
      </c>
      <c r="W13" s="15">
        <v>0.99</v>
      </c>
      <c r="X13" s="15">
        <v>0.93</v>
      </c>
      <c r="Y13" s="15">
        <v>0.89</v>
      </c>
      <c r="Z13" s="15">
        <v>0.87</v>
      </c>
      <c r="AA13" s="15">
        <v>0.95000000000000007</v>
      </c>
      <c r="AB13" s="15">
        <v>0.81</v>
      </c>
      <c r="AC13" s="15">
        <v>0.97</v>
      </c>
      <c r="AD13" s="15">
        <v>0.9</v>
      </c>
      <c r="AE13" s="15">
        <v>0.96</v>
      </c>
      <c r="AF13" s="15">
        <v>0.99</v>
      </c>
    </row>
    <row r="14" spans="1:32" x14ac:dyDescent="0.35">
      <c r="A14" s="19"/>
      <c r="B14" s="11" t="s">
        <v>718</v>
      </c>
      <c r="C14" s="12">
        <v>2396</v>
      </c>
      <c r="D14" s="12">
        <v>55</v>
      </c>
      <c r="E14" s="12">
        <v>86</v>
      </c>
      <c r="F14" s="12">
        <v>160</v>
      </c>
      <c r="G14" s="12">
        <v>21</v>
      </c>
      <c r="H14" s="12">
        <v>92</v>
      </c>
      <c r="I14" s="12">
        <v>115</v>
      </c>
      <c r="J14" s="12">
        <v>23</v>
      </c>
      <c r="K14" s="12">
        <v>68</v>
      </c>
      <c r="L14" s="12">
        <v>32</v>
      </c>
      <c r="M14" s="12">
        <v>88</v>
      </c>
      <c r="N14" s="12">
        <v>94</v>
      </c>
      <c r="O14" s="12">
        <v>87</v>
      </c>
      <c r="P14" s="12">
        <v>87</v>
      </c>
      <c r="Q14" s="12">
        <v>116</v>
      </c>
      <c r="R14" s="12">
        <v>42</v>
      </c>
      <c r="S14" s="12">
        <v>94</v>
      </c>
      <c r="T14" s="12">
        <v>59</v>
      </c>
      <c r="U14" s="12">
        <v>15</v>
      </c>
      <c r="V14" s="12">
        <v>59</v>
      </c>
      <c r="W14" s="12">
        <v>6</v>
      </c>
      <c r="X14" s="12">
        <v>65</v>
      </c>
      <c r="Y14" s="12">
        <v>109</v>
      </c>
      <c r="Z14" s="12">
        <v>127</v>
      </c>
      <c r="AA14" s="12">
        <v>45</v>
      </c>
      <c r="AB14" s="12">
        <v>200</v>
      </c>
      <c r="AC14" s="12">
        <v>30</v>
      </c>
      <c r="AD14" s="12">
        <v>102</v>
      </c>
      <c r="AE14" s="12">
        <v>36</v>
      </c>
      <c r="AF14" s="12">
        <v>15</v>
      </c>
    </row>
    <row r="15" spans="1:32" x14ac:dyDescent="0.35">
      <c r="A15" s="19"/>
      <c r="B15" s="13" t="s">
        <v>719</v>
      </c>
      <c r="C15" s="15">
        <v>0.09</v>
      </c>
      <c r="D15" s="15">
        <v>0.06</v>
      </c>
      <c r="E15" s="15">
        <v>0.08</v>
      </c>
      <c r="F15" s="15">
        <v>0.15</v>
      </c>
      <c r="G15" s="15">
        <v>0.02</v>
      </c>
      <c r="H15" s="15">
        <v>7.0000000000000007E-2</v>
      </c>
      <c r="I15" s="15">
        <v>0.08</v>
      </c>
      <c r="J15" s="15">
        <v>0.08</v>
      </c>
      <c r="K15" s="15">
        <v>7.0000000000000007E-2</v>
      </c>
      <c r="L15" s="15">
        <v>0.03</v>
      </c>
      <c r="M15" s="15">
        <v>0.09</v>
      </c>
      <c r="N15" s="15">
        <v>0.09</v>
      </c>
      <c r="O15" s="15">
        <v>0.09</v>
      </c>
      <c r="P15" s="15">
        <v>0.09</v>
      </c>
      <c r="Q15" s="15">
        <v>0.11</v>
      </c>
      <c r="R15" s="15">
        <v>0.08</v>
      </c>
      <c r="S15" s="15">
        <v>0.09</v>
      </c>
      <c r="T15" s="15">
        <v>0.06</v>
      </c>
      <c r="U15" s="15">
        <v>0.03</v>
      </c>
      <c r="V15" s="15">
        <v>0.06</v>
      </c>
      <c r="W15" s="15">
        <v>0.01</v>
      </c>
      <c r="X15" s="15">
        <v>7.0000000000000007E-2</v>
      </c>
      <c r="Y15" s="15">
        <v>0.11</v>
      </c>
      <c r="Z15" s="15">
        <v>0.12</v>
      </c>
      <c r="AA15" s="15">
        <v>0.04</v>
      </c>
      <c r="AB15" s="15">
        <v>0.19</v>
      </c>
      <c r="AC15" s="15">
        <v>0.03</v>
      </c>
      <c r="AD15" s="15">
        <v>0.1</v>
      </c>
      <c r="AE15" s="15">
        <v>0.04</v>
      </c>
      <c r="AF15" s="15">
        <v>0.01</v>
      </c>
    </row>
    <row r="16" spans="1:32" x14ac:dyDescent="0.35">
      <c r="A16" s="19"/>
      <c r="B16" s="11" t="s">
        <v>485</v>
      </c>
      <c r="C16" s="12">
        <v>87</v>
      </c>
      <c r="D16" s="12">
        <v>2</v>
      </c>
      <c r="E16" s="12">
        <v>3</v>
      </c>
      <c r="F16" s="12">
        <v>3</v>
      </c>
      <c r="G16" s="12">
        <v>5</v>
      </c>
      <c r="H16" s="12">
        <v>6</v>
      </c>
      <c r="I16" s="12">
        <v>6</v>
      </c>
      <c r="J16" s="12">
        <v>0</v>
      </c>
      <c r="K16" s="12">
        <v>5</v>
      </c>
      <c r="L16" s="12">
        <v>0</v>
      </c>
      <c r="M16" s="12">
        <v>1</v>
      </c>
      <c r="N16" s="12">
        <v>0</v>
      </c>
      <c r="O16" s="12">
        <v>4</v>
      </c>
      <c r="P16" s="12">
        <v>0</v>
      </c>
      <c r="Q16" s="12">
        <v>7</v>
      </c>
      <c r="R16" s="12">
        <v>4</v>
      </c>
      <c r="S16" s="12">
        <v>4</v>
      </c>
      <c r="T16" s="12">
        <v>8</v>
      </c>
      <c r="U16" s="12">
        <v>7</v>
      </c>
      <c r="V16" s="12">
        <v>1</v>
      </c>
      <c r="W16" s="12">
        <v>1</v>
      </c>
      <c r="X16" s="12">
        <v>1</v>
      </c>
      <c r="Y16" s="12">
        <v>1</v>
      </c>
      <c r="Z16" s="12">
        <v>6</v>
      </c>
      <c r="AA16" s="12">
        <v>4</v>
      </c>
      <c r="AB16" s="12">
        <v>1</v>
      </c>
      <c r="AC16" s="12">
        <v>2</v>
      </c>
      <c r="AD16" s="12">
        <v>0</v>
      </c>
      <c r="AE16" s="12">
        <v>1</v>
      </c>
      <c r="AF16" s="12">
        <v>1</v>
      </c>
    </row>
    <row r="17" spans="1:32" x14ac:dyDescent="0.35">
      <c r="A17" s="19"/>
      <c r="B17" s="13" t="s">
        <v>486</v>
      </c>
      <c r="C17" s="14" t="s">
        <v>475</v>
      </c>
      <c r="D17" s="14" t="s">
        <v>475</v>
      </c>
      <c r="E17" s="14" t="s">
        <v>475</v>
      </c>
      <c r="F17" s="14" t="s">
        <v>475</v>
      </c>
      <c r="G17" s="15">
        <v>0.01</v>
      </c>
      <c r="H17" s="15">
        <v>0.01</v>
      </c>
      <c r="I17" s="14" t="s">
        <v>475</v>
      </c>
      <c r="J17" s="14" t="s">
        <v>475</v>
      </c>
      <c r="K17" s="14" t="s">
        <v>475</v>
      </c>
      <c r="L17" s="14" t="s">
        <v>475</v>
      </c>
      <c r="M17" s="14" t="s">
        <v>475</v>
      </c>
      <c r="N17" s="14" t="s">
        <v>475</v>
      </c>
      <c r="O17" s="14" t="s">
        <v>475</v>
      </c>
      <c r="P17" s="14" t="s">
        <v>475</v>
      </c>
      <c r="Q17" s="15">
        <v>0.01</v>
      </c>
      <c r="R17" s="15">
        <v>0.01</v>
      </c>
      <c r="S17" s="15">
        <v>0.01</v>
      </c>
      <c r="T17" s="15">
        <v>0.01</v>
      </c>
      <c r="U17" s="15">
        <v>0.01</v>
      </c>
      <c r="V17" s="14" t="s">
        <v>475</v>
      </c>
      <c r="W17" s="14" t="s">
        <v>475</v>
      </c>
      <c r="X17" s="14" t="s">
        <v>475</v>
      </c>
      <c r="Y17" s="14" t="s">
        <v>475</v>
      </c>
      <c r="Z17" s="15">
        <v>0.01</v>
      </c>
      <c r="AA17" s="15">
        <v>0.01</v>
      </c>
      <c r="AB17" s="14" t="s">
        <v>475</v>
      </c>
      <c r="AC17" s="14" t="s">
        <v>475</v>
      </c>
      <c r="AD17" s="14" t="s">
        <v>475</v>
      </c>
      <c r="AE17" s="14" t="s">
        <v>475</v>
      </c>
      <c r="AF17" s="14" t="s">
        <v>475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720</v>
      </c>
      <c r="C3" s="18"/>
      <c r="D3" s="18"/>
      <c r="E3" s="18"/>
      <c r="F3" s="18"/>
      <c r="H3" s="18" t="s">
        <v>721</v>
      </c>
      <c r="I3" s="18"/>
      <c r="J3" s="18"/>
      <c r="K3" s="18"/>
      <c r="L3" s="18"/>
    </row>
    <row r="4" spans="1:32" ht="27" customHeight="1" x14ac:dyDescent="0.35">
      <c r="B4" s="18" t="s">
        <v>722</v>
      </c>
      <c r="C4" s="18"/>
      <c r="D4" s="18"/>
      <c r="E4" s="18"/>
      <c r="F4" s="18"/>
      <c r="H4" s="18" t="s">
        <v>723</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HYPERLINK("#Content!A47","&lt;&lt;Back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716</v>
      </c>
      <c r="C12" s="12">
        <v>21930</v>
      </c>
      <c r="D12" s="12">
        <v>930</v>
      </c>
      <c r="E12" s="12">
        <v>836</v>
      </c>
      <c r="F12" s="12">
        <v>837</v>
      </c>
      <c r="G12" s="12">
        <v>920</v>
      </c>
      <c r="H12" s="12">
        <v>1030</v>
      </c>
      <c r="I12" s="12">
        <v>1266</v>
      </c>
      <c r="J12" s="12">
        <v>235</v>
      </c>
      <c r="K12" s="12">
        <v>806</v>
      </c>
      <c r="L12" s="12">
        <v>873</v>
      </c>
      <c r="M12" s="12">
        <v>872</v>
      </c>
      <c r="N12" s="12">
        <v>797</v>
      </c>
      <c r="O12" s="12">
        <v>855</v>
      </c>
      <c r="P12" s="12">
        <v>831</v>
      </c>
      <c r="Q12" s="12">
        <v>784</v>
      </c>
      <c r="R12" s="12">
        <v>420</v>
      </c>
      <c r="S12" s="12">
        <v>818</v>
      </c>
      <c r="T12" s="12">
        <v>835</v>
      </c>
      <c r="U12" s="12">
        <v>476</v>
      </c>
      <c r="V12" s="12">
        <v>903</v>
      </c>
      <c r="W12" s="12">
        <v>475</v>
      </c>
      <c r="X12" s="12">
        <v>870</v>
      </c>
      <c r="Y12" s="12">
        <v>813</v>
      </c>
      <c r="Z12" s="12">
        <v>868</v>
      </c>
      <c r="AA12" s="12">
        <v>946</v>
      </c>
      <c r="AB12" s="12">
        <v>807</v>
      </c>
      <c r="AC12" s="12">
        <v>941</v>
      </c>
      <c r="AD12" s="12">
        <v>830</v>
      </c>
      <c r="AE12" s="12">
        <v>949</v>
      </c>
      <c r="AF12" s="12">
        <v>887</v>
      </c>
    </row>
    <row r="13" spans="1:32" x14ac:dyDescent="0.35">
      <c r="A13" s="19"/>
      <c r="B13" s="13" t="s">
        <v>717</v>
      </c>
      <c r="C13" s="15">
        <v>0.83000000000000007</v>
      </c>
      <c r="D13" s="15">
        <v>0.92</v>
      </c>
      <c r="E13" s="15">
        <v>0.81</v>
      </c>
      <c r="F13" s="15">
        <v>0.76</v>
      </c>
      <c r="G13" s="15">
        <v>0.91</v>
      </c>
      <c r="H13" s="15">
        <v>0.84</v>
      </c>
      <c r="I13" s="15">
        <v>0.83000000000000007</v>
      </c>
      <c r="J13" s="15">
        <v>0.8</v>
      </c>
      <c r="K13" s="15">
        <v>0.8</v>
      </c>
      <c r="L13" s="15">
        <v>0.87</v>
      </c>
      <c r="M13" s="15">
        <v>0.86</v>
      </c>
      <c r="N13" s="15">
        <v>0.8</v>
      </c>
      <c r="O13" s="15">
        <v>0.85</v>
      </c>
      <c r="P13" s="15">
        <v>0.83000000000000007</v>
      </c>
      <c r="Q13" s="15">
        <v>0.76</v>
      </c>
      <c r="R13" s="15">
        <v>0.83000000000000007</v>
      </c>
      <c r="S13" s="15">
        <v>0.82000000000000006</v>
      </c>
      <c r="T13" s="15">
        <v>0.83000000000000007</v>
      </c>
      <c r="U13" s="15">
        <v>0.94000000000000006</v>
      </c>
      <c r="V13" s="15">
        <v>0.89</v>
      </c>
      <c r="W13" s="15">
        <v>0.94000000000000006</v>
      </c>
      <c r="X13" s="15">
        <v>0.86</v>
      </c>
      <c r="Y13" s="15">
        <v>0.81</v>
      </c>
      <c r="Z13" s="15">
        <v>0.84</v>
      </c>
      <c r="AA13" s="15">
        <v>0.91</v>
      </c>
      <c r="AB13" s="15">
        <v>0.77</v>
      </c>
      <c r="AC13" s="15">
        <v>0.94000000000000006</v>
      </c>
      <c r="AD13" s="15">
        <v>0.83000000000000007</v>
      </c>
      <c r="AE13" s="15">
        <v>0.94000000000000006</v>
      </c>
      <c r="AF13" s="15">
        <v>0.85</v>
      </c>
    </row>
    <row r="14" spans="1:32" x14ac:dyDescent="0.35">
      <c r="A14" s="19"/>
      <c r="B14" s="11" t="s">
        <v>718</v>
      </c>
      <c r="C14" s="12">
        <v>4358</v>
      </c>
      <c r="D14" s="12">
        <v>80</v>
      </c>
      <c r="E14" s="12">
        <v>190</v>
      </c>
      <c r="F14" s="12">
        <v>256</v>
      </c>
      <c r="G14" s="12">
        <v>81</v>
      </c>
      <c r="H14" s="12">
        <v>177</v>
      </c>
      <c r="I14" s="12">
        <v>236</v>
      </c>
      <c r="J14" s="12">
        <v>59</v>
      </c>
      <c r="K14" s="12">
        <v>178</v>
      </c>
      <c r="L14" s="12">
        <v>127</v>
      </c>
      <c r="M14" s="12">
        <v>137</v>
      </c>
      <c r="N14" s="12">
        <v>205</v>
      </c>
      <c r="O14" s="12">
        <v>142</v>
      </c>
      <c r="P14" s="12">
        <v>164</v>
      </c>
      <c r="Q14" s="12">
        <v>233</v>
      </c>
      <c r="R14" s="12">
        <v>80</v>
      </c>
      <c r="S14" s="12">
        <v>178</v>
      </c>
      <c r="T14" s="12">
        <v>161</v>
      </c>
      <c r="U14" s="12">
        <v>23</v>
      </c>
      <c r="V14" s="12">
        <v>108</v>
      </c>
      <c r="W14" s="12">
        <v>32</v>
      </c>
      <c r="X14" s="12">
        <v>133</v>
      </c>
      <c r="Y14" s="12">
        <v>189</v>
      </c>
      <c r="Z14" s="12">
        <v>159</v>
      </c>
      <c r="AA14" s="12">
        <v>81</v>
      </c>
      <c r="AB14" s="12">
        <v>237</v>
      </c>
      <c r="AC14" s="12">
        <v>62</v>
      </c>
      <c r="AD14" s="12">
        <v>172</v>
      </c>
      <c r="AE14" s="12">
        <v>57</v>
      </c>
      <c r="AF14" s="12">
        <v>143</v>
      </c>
    </row>
    <row r="15" spans="1:32" x14ac:dyDescent="0.35">
      <c r="A15" s="19"/>
      <c r="B15" s="13" t="s">
        <v>719</v>
      </c>
      <c r="C15" s="15">
        <v>0.16</v>
      </c>
      <c r="D15" s="15">
        <v>0.08</v>
      </c>
      <c r="E15" s="15">
        <v>0.18</v>
      </c>
      <c r="F15" s="15">
        <v>0.23</v>
      </c>
      <c r="G15" s="15">
        <v>0.08</v>
      </c>
      <c r="H15" s="15">
        <v>0.15</v>
      </c>
      <c r="I15" s="15">
        <v>0.16</v>
      </c>
      <c r="J15" s="15">
        <v>0.2</v>
      </c>
      <c r="K15" s="15">
        <v>0.18</v>
      </c>
      <c r="L15" s="15">
        <v>0.13</v>
      </c>
      <c r="M15" s="15">
        <v>0.14000000000000001</v>
      </c>
      <c r="N15" s="15">
        <v>0.2</v>
      </c>
      <c r="O15" s="15">
        <v>0.14000000000000001</v>
      </c>
      <c r="P15" s="15">
        <v>0.16</v>
      </c>
      <c r="Q15" s="15">
        <v>0.23</v>
      </c>
      <c r="R15" s="15">
        <v>0.16</v>
      </c>
      <c r="S15" s="15">
        <v>0.18</v>
      </c>
      <c r="T15" s="15">
        <v>0.16</v>
      </c>
      <c r="U15" s="15">
        <v>0.05</v>
      </c>
      <c r="V15" s="15">
        <v>0.11</v>
      </c>
      <c r="W15" s="15">
        <v>0.06</v>
      </c>
      <c r="X15" s="15">
        <v>0.13</v>
      </c>
      <c r="Y15" s="15">
        <v>0.19</v>
      </c>
      <c r="Z15" s="15">
        <v>0.15</v>
      </c>
      <c r="AA15" s="15">
        <v>0.08</v>
      </c>
      <c r="AB15" s="15">
        <v>0.22</v>
      </c>
      <c r="AC15" s="15">
        <v>0.06</v>
      </c>
      <c r="AD15" s="15">
        <v>0.17</v>
      </c>
      <c r="AE15" s="15">
        <v>0.06</v>
      </c>
      <c r="AF15" s="15">
        <v>0.14000000000000001</v>
      </c>
    </row>
    <row r="16" spans="1:32" x14ac:dyDescent="0.35">
      <c r="A16" s="19"/>
      <c r="B16" s="11" t="s">
        <v>485</v>
      </c>
      <c r="C16" s="12">
        <v>158</v>
      </c>
      <c r="D16" s="12">
        <v>3</v>
      </c>
      <c r="E16" s="12">
        <v>5</v>
      </c>
      <c r="F16" s="12">
        <v>9</v>
      </c>
      <c r="G16" s="12">
        <v>5</v>
      </c>
      <c r="H16" s="12">
        <v>14</v>
      </c>
      <c r="I16" s="12">
        <v>14</v>
      </c>
      <c r="J16" s="12">
        <v>1</v>
      </c>
      <c r="K16" s="12">
        <v>18</v>
      </c>
      <c r="L16" s="12">
        <v>2</v>
      </c>
      <c r="M16" s="12">
        <v>1</v>
      </c>
      <c r="N16" s="12">
        <v>1</v>
      </c>
      <c r="O16" s="12">
        <v>4</v>
      </c>
      <c r="P16" s="12">
        <v>9</v>
      </c>
      <c r="Q16" s="12">
        <v>9</v>
      </c>
      <c r="R16" s="12">
        <v>4</v>
      </c>
      <c r="S16" s="12">
        <v>5</v>
      </c>
      <c r="T16" s="12">
        <v>10</v>
      </c>
      <c r="U16" s="12">
        <v>5</v>
      </c>
      <c r="V16" s="12">
        <v>3</v>
      </c>
      <c r="W16" s="12">
        <v>1</v>
      </c>
      <c r="X16" s="12">
        <v>6</v>
      </c>
      <c r="Y16" s="12">
        <v>2</v>
      </c>
      <c r="Z16" s="12">
        <v>5</v>
      </c>
      <c r="AA16" s="12">
        <v>7</v>
      </c>
      <c r="AB16" s="12">
        <v>7</v>
      </c>
      <c r="AC16" s="12">
        <v>0</v>
      </c>
      <c r="AD16" s="12">
        <v>3</v>
      </c>
      <c r="AE16" s="12">
        <v>6</v>
      </c>
      <c r="AF16" s="12">
        <v>13</v>
      </c>
    </row>
    <row r="17" spans="1:32" x14ac:dyDescent="0.35">
      <c r="A17" s="19"/>
      <c r="B17" s="13" t="s">
        <v>486</v>
      </c>
      <c r="C17" s="15">
        <v>0.01</v>
      </c>
      <c r="D17" s="14" t="s">
        <v>475</v>
      </c>
      <c r="E17" s="15">
        <v>0.01</v>
      </c>
      <c r="F17" s="15">
        <v>0.01</v>
      </c>
      <c r="G17" s="15">
        <v>0.01</v>
      </c>
      <c r="H17" s="15">
        <v>0.01</v>
      </c>
      <c r="I17" s="15">
        <v>0.01</v>
      </c>
      <c r="J17" s="14" t="s">
        <v>475</v>
      </c>
      <c r="K17" s="15">
        <v>0.02</v>
      </c>
      <c r="L17" s="14" t="s">
        <v>475</v>
      </c>
      <c r="M17" s="14" t="s">
        <v>475</v>
      </c>
      <c r="N17" s="14" t="s">
        <v>475</v>
      </c>
      <c r="O17" s="15">
        <v>0.01</v>
      </c>
      <c r="P17" s="15">
        <v>0.01</v>
      </c>
      <c r="Q17" s="15">
        <v>0.01</v>
      </c>
      <c r="R17" s="15">
        <v>0.01</v>
      </c>
      <c r="S17" s="14" t="s">
        <v>475</v>
      </c>
      <c r="T17" s="15">
        <v>0.01</v>
      </c>
      <c r="U17" s="15">
        <v>0.01</v>
      </c>
      <c r="V17" s="14" t="s">
        <v>475</v>
      </c>
      <c r="W17" s="14" t="s">
        <v>475</v>
      </c>
      <c r="X17" s="15">
        <v>0.01</v>
      </c>
      <c r="Y17" s="14" t="s">
        <v>475</v>
      </c>
      <c r="Z17" s="15">
        <v>0.01</v>
      </c>
      <c r="AA17" s="15">
        <v>0.01</v>
      </c>
      <c r="AB17" s="15">
        <v>0.01</v>
      </c>
      <c r="AC17" s="14" t="s">
        <v>475</v>
      </c>
      <c r="AD17" s="14" t="s">
        <v>475</v>
      </c>
      <c r="AE17" s="14" t="s">
        <v>475</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724</v>
      </c>
      <c r="C3" s="18"/>
      <c r="D3" s="18"/>
      <c r="E3" s="18"/>
      <c r="F3" s="18"/>
      <c r="H3" s="18" t="s">
        <v>725</v>
      </c>
      <c r="I3" s="18"/>
      <c r="J3" s="18"/>
      <c r="K3" s="18"/>
      <c r="L3" s="18"/>
    </row>
    <row r="4" spans="1:32" ht="27" customHeight="1" x14ac:dyDescent="0.35">
      <c r="B4" s="18" t="s">
        <v>726</v>
      </c>
      <c r="C4" s="18"/>
      <c r="D4" s="18"/>
      <c r="E4" s="18"/>
      <c r="F4" s="18"/>
      <c r="H4" s="18" t="s">
        <v>727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HYPERLINK("#Content!A48","&lt;&lt;Back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716</v>
      </c>
      <c r="C12" s="12">
        <v>22457</v>
      </c>
      <c r="D12" s="12">
        <v>871</v>
      </c>
      <c r="E12" s="12">
        <v>887</v>
      </c>
      <c r="F12" s="12">
        <v>862</v>
      </c>
      <c r="G12" s="12">
        <v>919</v>
      </c>
      <c r="H12" s="12">
        <v>1116</v>
      </c>
      <c r="I12" s="12">
        <v>1388</v>
      </c>
      <c r="J12" s="12">
        <v>272</v>
      </c>
      <c r="K12" s="12">
        <v>804</v>
      </c>
      <c r="L12" s="12">
        <v>950</v>
      </c>
      <c r="M12" s="12">
        <v>871</v>
      </c>
      <c r="N12" s="12">
        <v>908</v>
      </c>
      <c r="O12" s="12">
        <v>798</v>
      </c>
      <c r="P12" s="12">
        <v>870</v>
      </c>
      <c r="Q12" s="12">
        <v>832</v>
      </c>
      <c r="R12" s="12">
        <v>434</v>
      </c>
      <c r="S12" s="12">
        <v>811</v>
      </c>
      <c r="T12" s="12">
        <v>845</v>
      </c>
      <c r="U12" s="12">
        <v>469</v>
      </c>
      <c r="V12" s="12">
        <v>840</v>
      </c>
      <c r="W12" s="12">
        <v>469</v>
      </c>
      <c r="X12" s="12">
        <v>884</v>
      </c>
      <c r="Y12" s="12">
        <v>883</v>
      </c>
      <c r="Z12" s="12">
        <v>772</v>
      </c>
      <c r="AA12" s="12">
        <v>960</v>
      </c>
      <c r="AB12" s="12">
        <v>764</v>
      </c>
      <c r="AC12" s="12">
        <v>939</v>
      </c>
      <c r="AD12" s="12">
        <v>851</v>
      </c>
      <c r="AE12" s="12">
        <v>978</v>
      </c>
      <c r="AF12" s="12">
        <v>954</v>
      </c>
    </row>
    <row r="13" spans="1:32" x14ac:dyDescent="0.35">
      <c r="A13" s="19"/>
      <c r="B13" s="13" t="s">
        <v>717</v>
      </c>
      <c r="C13" s="15">
        <v>0.85</v>
      </c>
      <c r="D13" s="15">
        <v>0.86</v>
      </c>
      <c r="E13" s="15">
        <v>0.86</v>
      </c>
      <c r="F13" s="15">
        <v>0.78</v>
      </c>
      <c r="G13" s="15">
        <v>0.91</v>
      </c>
      <c r="H13" s="15">
        <v>0.92</v>
      </c>
      <c r="I13" s="15">
        <v>0.92</v>
      </c>
      <c r="J13" s="15">
        <v>0.92</v>
      </c>
      <c r="K13" s="15">
        <v>0.8</v>
      </c>
      <c r="L13" s="15">
        <v>0.95000000000000007</v>
      </c>
      <c r="M13" s="15">
        <v>0.86</v>
      </c>
      <c r="N13" s="15">
        <v>0.91</v>
      </c>
      <c r="O13" s="15">
        <v>0.8</v>
      </c>
      <c r="P13" s="15">
        <v>0.87</v>
      </c>
      <c r="Q13" s="15">
        <v>0.81</v>
      </c>
      <c r="R13" s="15">
        <v>0.86</v>
      </c>
      <c r="S13" s="15">
        <v>0.81</v>
      </c>
      <c r="T13" s="15">
        <v>0.84</v>
      </c>
      <c r="U13" s="15">
        <v>0.93</v>
      </c>
      <c r="V13" s="15">
        <v>0.83000000000000007</v>
      </c>
      <c r="W13" s="15">
        <v>0.92</v>
      </c>
      <c r="X13" s="15">
        <v>0.88</v>
      </c>
      <c r="Y13" s="15">
        <v>0.88</v>
      </c>
      <c r="Z13" s="15">
        <v>0.75</v>
      </c>
      <c r="AA13" s="15">
        <v>0.93</v>
      </c>
      <c r="AB13" s="15">
        <v>0.73</v>
      </c>
      <c r="AC13" s="15">
        <v>0.94000000000000006</v>
      </c>
      <c r="AD13" s="15">
        <v>0.85</v>
      </c>
      <c r="AE13" s="15">
        <v>0.97</v>
      </c>
      <c r="AF13" s="15">
        <v>0.91</v>
      </c>
    </row>
    <row r="14" spans="1:32" x14ac:dyDescent="0.35">
      <c r="A14" s="19"/>
      <c r="B14" s="11" t="s">
        <v>718</v>
      </c>
      <c r="C14" s="12">
        <v>3859</v>
      </c>
      <c r="D14" s="12">
        <v>141</v>
      </c>
      <c r="E14" s="12">
        <v>142</v>
      </c>
      <c r="F14" s="12">
        <v>235</v>
      </c>
      <c r="G14" s="12">
        <v>80</v>
      </c>
      <c r="H14" s="12">
        <v>100</v>
      </c>
      <c r="I14" s="12">
        <v>123</v>
      </c>
      <c r="J14" s="12">
        <v>23</v>
      </c>
      <c r="K14" s="12">
        <v>184</v>
      </c>
      <c r="L14" s="12">
        <v>52</v>
      </c>
      <c r="M14" s="12">
        <v>138</v>
      </c>
      <c r="N14" s="12">
        <v>95</v>
      </c>
      <c r="O14" s="12">
        <v>197</v>
      </c>
      <c r="P14" s="12">
        <v>129</v>
      </c>
      <c r="Q14" s="12">
        <v>189</v>
      </c>
      <c r="R14" s="12">
        <v>66</v>
      </c>
      <c r="S14" s="12">
        <v>185</v>
      </c>
      <c r="T14" s="12">
        <v>148</v>
      </c>
      <c r="U14" s="12">
        <v>28</v>
      </c>
      <c r="V14" s="12">
        <v>173</v>
      </c>
      <c r="W14" s="12">
        <v>39</v>
      </c>
      <c r="X14" s="12">
        <v>123</v>
      </c>
      <c r="Y14" s="12">
        <v>108</v>
      </c>
      <c r="Z14" s="12">
        <v>249</v>
      </c>
      <c r="AA14" s="12">
        <v>66</v>
      </c>
      <c r="AB14" s="12">
        <v>273</v>
      </c>
      <c r="AC14" s="12">
        <v>64</v>
      </c>
      <c r="AD14" s="12">
        <v>152</v>
      </c>
      <c r="AE14" s="12">
        <v>31</v>
      </c>
      <c r="AF14" s="12">
        <v>84</v>
      </c>
    </row>
    <row r="15" spans="1:32" x14ac:dyDescent="0.35">
      <c r="A15" s="19"/>
      <c r="B15" s="13" t="s">
        <v>719</v>
      </c>
      <c r="C15" s="15">
        <v>0.15</v>
      </c>
      <c r="D15" s="15">
        <v>0.14000000000000001</v>
      </c>
      <c r="E15" s="15">
        <v>0.14000000000000001</v>
      </c>
      <c r="F15" s="15">
        <v>0.21</v>
      </c>
      <c r="G15" s="15">
        <v>0.08</v>
      </c>
      <c r="H15" s="15">
        <v>0.08</v>
      </c>
      <c r="I15" s="15">
        <v>0.08</v>
      </c>
      <c r="J15" s="15">
        <v>0.08</v>
      </c>
      <c r="K15" s="15">
        <v>0.18</v>
      </c>
      <c r="L15" s="15">
        <v>0.05</v>
      </c>
      <c r="M15" s="15">
        <v>0.14000000000000001</v>
      </c>
      <c r="N15" s="15">
        <v>0.09</v>
      </c>
      <c r="O15" s="15">
        <v>0.2</v>
      </c>
      <c r="P15" s="15">
        <v>0.13</v>
      </c>
      <c r="Q15" s="15">
        <v>0.18</v>
      </c>
      <c r="R15" s="15">
        <v>0.13</v>
      </c>
      <c r="S15" s="15">
        <v>0.18</v>
      </c>
      <c r="T15" s="15">
        <v>0.15</v>
      </c>
      <c r="U15" s="15">
        <v>0.06</v>
      </c>
      <c r="V15" s="15">
        <v>0.17</v>
      </c>
      <c r="W15" s="15">
        <v>0.08</v>
      </c>
      <c r="X15" s="15">
        <v>0.12</v>
      </c>
      <c r="Y15" s="15">
        <v>0.11</v>
      </c>
      <c r="Z15" s="15">
        <v>0.24</v>
      </c>
      <c r="AA15" s="15">
        <v>0.06</v>
      </c>
      <c r="AB15" s="15">
        <v>0.26</v>
      </c>
      <c r="AC15" s="15">
        <v>0.06</v>
      </c>
      <c r="AD15" s="15">
        <v>0.15</v>
      </c>
      <c r="AE15" s="15">
        <v>0.03</v>
      </c>
      <c r="AF15" s="15">
        <v>0.08</v>
      </c>
    </row>
    <row r="16" spans="1:32" x14ac:dyDescent="0.35">
      <c r="A16" s="19"/>
      <c r="B16" s="11" t="s">
        <v>485</v>
      </c>
      <c r="C16" s="12">
        <v>130</v>
      </c>
      <c r="D16" s="12">
        <v>1</v>
      </c>
      <c r="E16" s="12">
        <v>1</v>
      </c>
      <c r="F16" s="12">
        <v>5</v>
      </c>
      <c r="G16" s="12">
        <v>7</v>
      </c>
      <c r="H16" s="12">
        <v>5</v>
      </c>
      <c r="I16" s="12">
        <v>5</v>
      </c>
      <c r="J16" s="12">
        <v>0</v>
      </c>
      <c r="K16" s="12">
        <v>15</v>
      </c>
      <c r="L16" s="12">
        <v>0</v>
      </c>
      <c r="M16" s="12">
        <v>1</v>
      </c>
      <c r="N16" s="12">
        <v>0</v>
      </c>
      <c r="O16" s="12">
        <v>6</v>
      </c>
      <c r="P16" s="12">
        <v>5</v>
      </c>
      <c r="Q16" s="12">
        <v>7</v>
      </c>
      <c r="R16" s="12">
        <v>4</v>
      </c>
      <c r="S16" s="12">
        <v>7</v>
      </c>
      <c r="T16" s="12">
        <v>14</v>
      </c>
      <c r="U16" s="12">
        <v>7</v>
      </c>
      <c r="V16" s="12">
        <v>2</v>
      </c>
      <c r="W16" s="12">
        <v>1</v>
      </c>
      <c r="X16" s="12">
        <v>1</v>
      </c>
      <c r="Y16" s="12">
        <v>12</v>
      </c>
      <c r="Z16" s="12">
        <v>10</v>
      </c>
      <c r="AA16" s="12">
        <v>7</v>
      </c>
      <c r="AB16" s="12">
        <v>13</v>
      </c>
      <c r="AC16" s="12">
        <v>0</v>
      </c>
      <c r="AD16" s="12">
        <v>2</v>
      </c>
      <c r="AE16" s="12">
        <v>4</v>
      </c>
      <c r="AF16" s="12">
        <v>5</v>
      </c>
    </row>
    <row r="17" spans="1:32" x14ac:dyDescent="0.35">
      <c r="A17" s="19"/>
      <c r="B17" s="13" t="s">
        <v>486</v>
      </c>
      <c r="C17" s="14" t="s">
        <v>475</v>
      </c>
      <c r="D17" s="14" t="s">
        <v>475</v>
      </c>
      <c r="E17" s="14" t="s">
        <v>475</v>
      </c>
      <c r="F17" s="15">
        <v>0.01</v>
      </c>
      <c r="G17" s="15">
        <v>0.01</v>
      </c>
      <c r="H17" s="14" t="s">
        <v>475</v>
      </c>
      <c r="I17" s="14" t="s">
        <v>475</v>
      </c>
      <c r="J17" s="14" t="s">
        <v>475</v>
      </c>
      <c r="K17" s="15">
        <v>0.02</v>
      </c>
      <c r="L17" s="14" t="s">
        <v>475</v>
      </c>
      <c r="M17" s="14" t="s">
        <v>475</v>
      </c>
      <c r="N17" s="14" t="s">
        <v>475</v>
      </c>
      <c r="O17" s="14" t="s">
        <v>475</v>
      </c>
      <c r="P17" s="14" t="s">
        <v>475</v>
      </c>
      <c r="Q17" s="15">
        <v>0.01</v>
      </c>
      <c r="R17" s="15">
        <v>0.01</v>
      </c>
      <c r="S17" s="15">
        <v>0.01</v>
      </c>
      <c r="T17" s="15">
        <v>0.01</v>
      </c>
      <c r="U17" s="15">
        <v>0.01</v>
      </c>
      <c r="V17" s="14" t="s">
        <v>475</v>
      </c>
      <c r="W17" s="14" t="s">
        <v>475</v>
      </c>
      <c r="X17" s="14" t="s">
        <v>475</v>
      </c>
      <c r="Y17" s="15">
        <v>0.01</v>
      </c>
      <c r="Z17" s="15">
        <v>0.01</v>
      </c>
      <c r="AA17" s="15">
        <v>0.01</v>
      </c>
      <c r="AB17" s="15">
        <v>0.01</v>
      </c>
      <c r="AC17" s="14" t="s">
        <v>475</v>
      </c>
      <c r="AD17" s="14" t="s">
        <v>475</v>
      </c>
      <c r="AE17" s="14" t="s">
        <v>475</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728</v>
      </c>
      <c r="C3" s="18"/>
      <c r="D3" s="18"/>
      <c r="E3" s="18"/>
      <c r="F3" s="18"/>
      <c r="H3" s="18" t="s">
        <v>729</v>
      </c>
      <c r="I3" s="18"/>
      <c r="J3" s="18"/>
      <c r="K3" s="18"/>
      <c r="L3" s="18"/>
    </row>
    <row r="4" spans="1:32" ht="27" customHeight="1" x14ac:dyDescent="0.35">
      <c r="B4" s="18" t="s">
        <v>730</v>
      </c>
      <c r="C4" s="18"/>
      <c r="D4" s="18"/>
      <c r="E4" s="18"/>
      <c r="F4" s="18"/>
      <c r="H4" s="18" t="s">
        <v>731</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HYPERLINK("#Content!A49","&lt;&lt;Back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716</v>
      </c>
      <c r="C12" s="12">
        <v>20517</v>
      </c>
      <c r="D12" s="12">
        <v>811</v>
      </c>
      <c r="E12" s="12">
        <v>776</v>
      </c>
      <c r="F12" s="12">
        <v>820</v>
      </c>
      <c r="G12" s="12">
        <v>800</v>
      </c>
      <c r="H12" s="12">
        <v>975</v>
      </c>
      <c r="I12" s="12">
        <v>1196</v>
      </c>
      <c r="J12" s="12">
        <v>221</v>
      </c>
      <c r="K12" s="12">
        <v>713</v>
      </c>
      <c r="L12" s="12">
        <v>809</v>
      </c>
      <c r="M12" s="12">
        <v>815</v>
      </c>
      <c r="N12" s="12">
        <v>764</v>
      </c>
      <c r="O12" s="12">
        <v>751</v>
      </c>
      <c r="P12" s="12">
        <v>853</v>
      </c>
      <c r="Q12" s="12">
        <v>792</v>
      </c>
      <c r="R12" s="12">
        <v>416</v>
      </c>
      <c r="S12" s="12">
        <v>747</v>
      </c>
      <c r="T12" s="12">
        <v>771</v>
      </c>
      <c r="U12" s="12">
        <v>435</v>
      </c>
      <c r="V12" s="12">
        <v>853</v>
      </c>
      <c r="W12" s="12">
        <v>468</v>
      </c>
      <c r="X12" s="12">
        <v>759</v>
      </c>
      <c r="Y12" s="12">
        <v>666</v>
      </c>
      <c r="Z12" s="12">
        <v>815</v>
      </c>
      <c r="AA12" s="12">
        <v>915</v>
      </c>
      <c r="AB12" s="12">
        <v>770</v>
      </c>
      <c r="AC12" s="12">
        <v>914</v>
      </c>
      <c r="AD12" s="12">
        <v>810</v>
      </c>
      <c r="AE12" s="12">
        <v>834</v>
      </c>
      <c r="AF12" s="12">
        <v>819</v>
      </c>
    </row>
    <row r="13" spans="1:32" x14ac:dyDescent="0.35">
      <c r="A13" s="19"/>
      <c r="B13" s="13" t="s">
        <v>717</v>
      </c>
      <c r="C13" s="15">
        <v>0.77</v>
      </c>
      <c r="D13" s="15">
        <v>0.8</v>
      </c>
      <c r="E13" s="15">
        <v>0.75</v>
      </c>
      <c r="F13" s="15">
        <v>0.75</v>
      </c>
      <c r="G13" s="15">
        <v>0.8</v>
      </c>
      <c r="H13" s="15">
        <v>0.8</v>
      </c>
      <c r="I13" s="15">
        <v>0.79</v>
      </c>
      <c r="J13" s="15">
        <v>0.75</v>
      </c>
      <c r="K13" s="15">
        <v>0.71</v>
      </c>
      <c r="L13" s="15">
        <v>0.81</v>
      </c>
      <c r="M13" s="15">
        <v>0.81</v>
      </c>
      <c r="N13" s="15">
        <v>0.76</v>
      </c>
      <c r="O13" s="15">
        <v>0.75</v>
      </c>
      <c r="P13" s="15">
        <v>0.85</v>
      </c>
      <c r="Q13" s="15">
        <v>0.77</v>
      </c>
      <c r="R13" s="15">
        <v>0.82000000000000006</v>
      </c>
      <c r="S13" s="15">
        <v>0.75</v>
      </c>
      <c r="T13" s="15">
        <v>0.77</v>
      </c>
      <c r="U13" s="15">
        <v>0.86</v>
      </c>
      <c r="V13" s="15">
        <v>0.84</v>
      </c>
      <c r="W13" s="15">
        <v>0.92</v>
      </c>
      <c r="X13" s="15">
        <v>0.75</v>
      </c>
      <c r="Y13" s="15">
        <v>0.66</v>
      </c>
      <c r="Z13" s="15">
        <v>0.79</v>
      </c>
      <c r="AA13" s="15">
        <v>0.88</v>
      </c>
      <c r="AB13" s="15">
        <v>0.73</v>
      </c>
      <c r="AC13" s="15">
        <v>0.91</v>
      </c>
      <c r="AD13" s="15">
        <v>0.81</v>
      </c>
      <c r="AE13" s="15">
        <v>0.82000000000000006</v>
      </c>
      <c r="AF13" s="15">
        <v>0.79</v>
      </c>
    </row>
    <row r="14" spans="1:32" x14ac:dyDescent="0.35">
      <c r="A14" s="19"/>
      <c r="B14" s="11" t="s">
        <v>718</v>
      </c>
      <c r="C14" s="12">
        <v>5753</v>
      </c>
      <c r="D14" s="12">
        <v>195</v>
      </c>
      <c r="E14" s="12">
        <v>246</v>
      </c>
      <c r="F14" s="12">
        <v>268</v>
      </c>
      <c r="G14" s="12">
        <v>196</v>
      </c>
      <c r="H14" s="12">
        <v>235</v>
      </c>
      <c r="I14" s="12">
        <v>308</v>
      </c>
      <c r="J14" s="12">
        <v>73</v>
      </c>
      <c r="K14" s="12">
        <v>270</v>
      </c>
      <c r="L14" s="12">
        <v>189</v>
      </c>
      <c r="M14" s="12">
        <v>194</v>
      </c>
      <c r="N14" s="12">
        <v>237</v>
      </c>
      <c r="O14" s="12">
        <v>245</v>
      </c>
      <c r="P14" s="12">
        <v>139</v>
      </c>
      <c r="Q14" s="12">
        <v>227</v>
      </c>
      <c r="R14" s="12">
        <v>84</v>
      </c>
      <c r="S14" s="12">
        <v>250</v>
      </c>
      <c r="T14" s="12">
        <v>220</v>
      </c>
      <c r="U14" s="12">
        <v>63</v>
      </c>
      <c r="V14" s="12">
        <v>160</v>
      </c>
      <c r="W14" s="12">
        <v>39</v>
      </c>
      <c r="X14" s="12">
        <v>246</v>
      </c>
      <c r="Y14" s="12">
        <v>326</v>
      </c>
      <c r="Z14" s="12">
        <v>206</v>
      </c>
      <c r="AA14" s="12">
        <v>110</v>
      </c>
      <c r="AB14" s="12">
        <v>272</v>
      </c>
      <c r="AC14" s="12">
        <v>89</v>
      </c>
      <c r="AD14" s="12">
        <v>194</v>
      </c>
      <c r="AE14" s="12">
        <v>169</v>
      </c>
      <c r="AF14" s="12">
        <v>214</v>
      </c>
    </row>
    <row r="15" spans="1:32" x14ac:dyDescent="0.35">
      <c r="A15" s="19"/>
      <c r="B15" s="13" t="s">
        <v>719</v>
      </c>
      <c r="C15" s="15">
        <v>0.22</v>
      </c>
      <c r="D15" s="15">
        <v>0.19</v>
      </c>
      <c r="E15" s="15">
        <v>0.24</v>
      </c>
      <c r="F15" s="15">
        <v>0.24</v>
      </c>
      <c r="G15" s="15">
        <v>0.19</v>
      </c>
      <c r="H15" s="15">
        <v>0.19</v>
      </c>
      <c r="I15" s="15">
        <v>0.2</v>
      </c>
      <c r="J15" s="15">
        <v>0.25</v>
      </c>
      <c r="K15" s="15">
        <v>0.27</v>
      </c>
      <c r="L15" s="15">
        <v>0.19</v>
      </c>
      <c r="M15" s="15">
        <v>0.19</v>
      </c>
      <c r="N15" s="15">
        <v>0.24</v>
      </c>
      <c r="O15" s="15">
        <v>0.24</v>
      </c>
      <c r="P15" s="15">
        <v>0.14000000000000001</v>
      </c>
      <c r="Q15" s="15">
        <v>0.22</v>
      </c>
      <c r="R15" s="15">
        <v>0.17</v>
      </c>
      <c r="S15" s="15">
        <v>0.25</v>
      </c>
      <c r="T15" s="15">
        <v>0.22</v>
      </c>
      <c r="U15" s="15">
        <v>0.13</v>
      </c>
      <c r="V15" s="15">
        <v>0.16</v>
      </c>
      <c r="W15" s="15">
        <v>0.08</v>
      </c>
      <c r="X15" s="15">
        <v>0.25</v>
      </c>
      <c r="Y15" s="15">
        <v>0.33</v>
      </c>
      <c r="Z15" s="15">
        <v>0.2</v>
      </c>
      <c r="AA15" s="15">
        <v>0.11</v>
      </c>
      <c r="AB15" s="15">
        <v>0.26</v>
      </c>
      <c r="AC15" s="15">
        <v>0.09</v>
      </c>
      <c r="AD15" s="15">
        <v>0.19</v>
      </c>
      <c r="AE15" s="15">
        <v>0.17</v>
      </c>
      <c r="AF15" s="15">
        <v>0.2</v>
      </c>
    </row>
    <row r="16" spans="1:32" x14ac:dyDescent="0.35">
      <c r="A16" s="19"/>
      <c r="B16" s="11" t="s">
        <v>485</v>
      </c>
      <c r="C16" s="12">
        <v>176</v>
      </c>
      <c r="D16" s="12">
        <v>7</v>
      </c>
      <c r="E16" s="12">
        <v>8</v>
      </c>
      <c r="F16" s="12">
        <v>14</v>
      </c>
      <c r="G16" s="12">
        <v>9</v>
      </c>
      <c r="H16" s="12">
        <v>11</v>
      </c>
      <c r="I16" s="12">
        <v>12</v>
      </c>
      <c r="J16" s="12">
        <v>1</v>
      </c>
      <c r="K16" s="12">
        <v>19</v>
      </c>
      <c r="L16" s="12">
        <v>4</v>
      </c>
      <c r="M16" s="12">
        <v>1</v>
      </c>
      <c r="N16" s="12">
        <v>2</v>
      </c>
      <c r="O16" s="12">
        <v>5</v>
      </c>
      <c r="P16" s="12">
        <v>11</v>
      </c>
      <c r="Q16" s="12">
        <v>8</v>
      </c>
      <c r="R16" s="12">
        <v>5</v>
      </c>
      <c r="S16" s="12">
        <v>5</v>
      </c>
      <c r="T16" s="12">
        <v>15</v>
      </c>
      <c r="U16" s="12">
        <v>6</v>
      </c>
      <c r="V16" s="12">
        <v>2</v>
      </c>
      <c r="W16" s="12">
        <v>1</v>
      </c>
      <c r="X16" s="12">
        <v>4</v>
      </c>
      <c r="Y16" s="12">
        <v>12</v>
      </c>
      <c r="Z16" s="12">
        <v>10</v>
      </c>
      <c r="AA16" s="12">
        <v>9</v>
      </c>
      <c r="AB16" s="12">
        <v>10</v>
      </c>
      <c r="AC16" s="12">
        <v>0</v>
      </c>
      <c r="AD16" s="12">
        <v>1</v>
      </c>
      <c r="AE16" s="12">
        <v>9</v>
      </c>
      <c r="AF16" s="12">
        <v>10</v>
      </c>
    </row>
    <row r="17" spans="1:32" x14ac:dyDescent="0.35">
      <c r="A17" s="19"/>
      <c r="B17" s="13" t="s">
        <v>486</v>
      </c>
      <c r="C17" s="15">
        <v>0.01</v>
      </c>
      <c r="D17" s="15">
        <v>0.01</v>
      </c>
      <c r="E17" s="15">
        <v>0.01</v>
      </c>
      <c r="F17" s="15">
        <v>0.01</v>
      </c>
      <c r="G17" s="15">
        <v>0.01</v>
      </c>
      <c r="H17" s="15">
        <v>0.01</v>
      </c>
      <c r="I17" s="15">
        <v>0.01</v>
      </c>
      <c r="J17" s="14" t="s">
        <v>475</v>
      </c>
      <c r="K17" s="15">
        <v>0.02</v>
      </c>
      <c r="L17" s="14" t="s">
        <v>475</v>
      </c>
      <c r="M17" s="14" t="s">
        <v>475</v>
      </c>
      <c r="N17" s="14" t="s">
        <v>475</v>
      </c>
      <c r="O17" s="15">
        <v>0.01</v>
      </c>
      <c r="P17" s="15">
        <v>0.01</v>
      </c>
      <c r="Q17" s="15">
        <v>0.01</v>
      </c>
      <c r="R17" s="15">
        <v>0.01</v>
      </c>
      <c r="S17" s="14" t="s">
        <v>475</v>
      </c>
      <c r="T17" s="15">
        <v>0.01</v>
      </c>
      <c r="U17" s="15">
        <v>0.01</v>
      </c>
      <c r="V17" s="14" t="s">
        <v>475</v>
      </c>
      <c r="W17" s="14" t="s">
        <v>475</v>
      </c>
      <c r="X17" s="14" t="s">
        <v>475</v>
      </c>
      <c r="Y17" s="15">
        <v>0.01</v>
      </c>
      <c r="Z17" s="15">
        <v>0.01</v>
      </c>
      <c r="AA17" s="15">
        <v>0.01</v>
      </c>
      <c r="AB17" s="15">
        <v>0.01</v>
      </c>
      <c r="AC17" s="14" t="s">
        <v>475</v>
      </c>
      <c r="AD17" s="14" t="s">
        <v>475</v>
      </c>
      <c r="AE17" s="15">
        <v>0.01</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732</v>
      </c>
      <c r="C3" s="18"/>
      <c r="D3" s="18"/>
      <c r="E3" s="18"/>
      <c r="F3" s="18"/>
      <c r="H3" s="18" t="s">
        <v>733</v>
      </c>
      <c r="I3" s="18"/>
      <c r="J3" s="18"/>
      <c r="K3" s="18"/>
      <c r="L3" s="18"/>
    </row>
    <row r="4" spans="1:32" ht="27" customHeight="1" x14ac:dyDescent="0.35">
      <c r="B4" s="18" t="s">
        <v>734</v>
      </c>
      <c r="C4" s="18"/>
      <c r="D4" s="18"/>
      <c r="E4" s="18"/>
      <c r="F4" s="18"/>
      <c r="H4" s="18" t="s">
        <v>715</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HYPERLINK("#Content!A50","&lt;&lt;Back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657</v>
      </c>
      <c r="C12" s="12">
        <v>13820</v>
      </c>
      <c r="D12" s="12">
        <v>485</v>
      </c>
      <c r="E12" s="12">
        <v>463</v>
      </c>
      <c r="F12" s="12">
        <v>507</v>
      </c>
      <c r="G12" s="12">
        <v>691</v>
      </c>
      <c r="H12" s="12">
        <v>738</v>
      </c>
      <c r="I12" s="12">
        <v>831</v>
      </c>
      <c r="J12" s="12">
        <v>94</v>
      </c>
      <c r="K12" s="12">
        <v>520</v>
      </c>
      <c r="L12" s="12">
        <v>625</v>
      </c>
      <c r="M12" s="12">
        <v>418</v>
      </c>
      <c r="N12" s="12">
        <v>464</v>
      </c>
      <c r="O12" s="12">
        <v>364</v>
      </c>
      <c r="P12" s="12">
        <v>598</v>
      </c>
      <c r="Q12" s="12">
        <v>570</v>
      </c>
      <c r="R12" s="12">
        <v>227</v>
      </c>
      <c r="S12" s="12">
        <v>535</v>
      </c>
      <c r="T12" s="12">
        <v>606</v>
      </c>
      <c r="U12" s="12">
        <v>278</v>
      </c>
      <c r="V12" s="12">
        <v>618</v>
      </c>
      <c r="W12" s="12">
        <v>328</v>
      </c>
      <c r="X12" s="12">
        <v>622</v>
      </c>
      <c r="Y12" s="12">
        <v>548</v>
      </c>
      <c r="Z12" s="12">
        <v>615</v>
      </c>
      <c r="AA12" s="12">
        <v>754</v>
      </c>
      <c r="AB12" s="12">
        <v>577</v>
      </c>
      <c r="AC12" s="12">
        <v>447</v>
      </c>
      <c r="AD12" s="12">
        <v>507</v>
      </c>
      <c r="AE12" s="12">
        <v>654</v>
      </c>
      <c r="AF12" s="12">
        <v>712</v>
      </c>
    </row>
    <row r="13" spans="1:32" x14ac:dyDescent="0.35">
      <c r="A13" s="19"/>
      <c r="B13" s="13" t="s">
        <v>658</v>
      </c>
      <c r="C13" s="15">
        <v>0.52</v>
      </c>
      <c r="D13" s="15">
        <v>0.48</v>
      </c>
      <c r="E13" s="15">
        <v>0.45</v>
      </c>
      <c r="F13" s="15">
        <v>0.46</v>
      </c>
      <c r="G13" s="15">
        <v>0.69000000000000006</v>
      </c>
      <c r="H13" s="15">
        <v>0.6</v>
      </c>
      <c r="I13" s="15">
        <v>0.55000000000000004</v>
      </c>
      <c r="J13" s="15">
        <v>0.32</v>
      </c>
      <c r="K13" s="15">
        <v>0.52</v>
      </c>
      <c r="L13" s="15">
        <v>0.62</v>
      </c>
      <c r="M13" s="15">
        <v>0.41</v>
      </c>
      <c r="N13" s="15">
        <v>0.46</v>
      </c>
      <c r="O13" s="15">
        <v>0.36</v>
      </c>
      <c r="P13" s="15">
        <v>0.6</v>
      </c>
      <c r="Q13" s="15">
        <v>0.55000000000000004</v>
      </c>
      <c r="R13" s="15">
        <v>0.45</v>
      </c>
      <c r="S13" s="15">
        <v>0.54</v>
      </c>
      <c r="T13" s="15">
        <v>0.6</v>
      </c>
      <c r="U13" s="15">
        <v>0.55000000000000004</v>
      </c>
      <c r="V13" s="15">
        <v>0.61</v>
      </c>
      <c r="W13" s="15">
        <v>0.65</v>
      </c>
      <c r="X13" s="15">
        <v>0.62</v>
      </c>
      <c r="Y13" s="15">
        <v>0.55000000000000004</v>
      </c>
      <c r="Z13" s="15">
        <v>0.6</v>
      </c>
      <c r="AA13" s="15">
        <v>0.73</v>
      </c>
      <c r="AB13" s="15">
        <v>0.55000000000000004</v>
      </c>
      <c r="AC13" s="15">
        <v>0.44</v>
      </c>
      <c r="AD13" s="15">
        <v>0.5</v>
      </c>
      <c r="AE13" s="15">
        <v>0.65</v>
      </c>
      <c r="AF13" s="15">
        <v>0.68</v>
      </c>
    </row>
    <row r="14" spans="1:32" x14ac:dyDescent="0.35">
      <c r="A14" s="19"/>
      <c r="B14" s="11" t="s">
        <v>659</v>
      </c>
      <c r="C14" s="12">
        <v>10117</v>
      </c>
      <c r="D14" s="12">
        <v>485</v>
      </c>
      <c r="E14" s="12">
        <v>469</v>
      </c>
      <c r="F14" s="12">
        <v>531</v>
      </c>
      <c r="G14" s="12">
        <v>228</v>
      </c>
      <c r="H14" s="12">
        <v>349</v>
      </c>
      <c r="I14" s="12">
        <v>535</v>
      </c>
      <c r="J14" s="12">
        <v>185</v>
      </c>
      <c r="K14" s="12">
        <v>312</v>
      </c>
      <c r="L14" s="12">
        <v>265</v>
      </c>
      <c r="M14" s="12">
        <v>558</v>
      </c>
      <c r="N14" s="12">
        <v>416</v>
      </c>
      <c r="O14" s="12">
        <v>459</v>
      </c>
      <c r="P14" s="12">
        <v>381</v>
      </c>
      <c r="Q14" s="12">
        <v>396</v>
      </c>
      <c r="R14" s="12">
        <v>242</v>
      </c>
      <c r="S14" s="12">
        <v>322</v>
      </c>
      <c r="T14" s="12">
        <v>266</v>
      </c>
      <c r="U14" s="12">
        <v>183</v>
      </c>
      <c r="V14" s="12">
        <v>370</v>
      </c>
      <c r="W14" s="12">
        <v>135</v>
      </c>
      <c r="X14" s="12">
        <v>326</v>
      </c>
      <c r="Y14" s="12">
        <v>389</v>
      </c>
      <c r="Z14" s="12">
        <v>335</v>
      </c>
      <c r="AA14" s="12">
        <v>192</v>
      </c>
      <c r="AB14" s="12">
        <v>413</v>
      </c>
      <c r="AC14" s="12">
        <v>488</v>
      </c>
      <c r="AD14" s="12">
        <v>452</v>
      </c>
      <c r="AE14" s="12">
        <v>234</v>
      </c>
      <c r="AF14" s="12">
        <v>278</v>
      </c>
    </row>
    <row r="15" spans="1:32" x14ac:dyDescent="0.35">
      <c r="A15" s="19"/>
      <c r="B15" s="13" t="s">
        <v>660</v>
      </c>
      <c r="C15" s="15">
        <v>0.38</v>
      </c>
      <c r="D15" s="15">
        <v>0.48</v>
      </c>
      <c r="E15" s="15">
        <v>0.45</v>
      </c>
      <c r="F15" s="15">
        <v>0.48</v>
      </c>
      <c r="G15" s="15">
        <v>0.23</v>
      </c>
      <c r="H15" s="15">
        <v>0.28999999999999998</v>
      </c>
      <c r="I15" s="15">
        <v>0.35</v>
      </c>
      <c r="J15" s="15">
        <v>0.63</v>
      </c>
      <c r="K15" s="15">
        <v>0.31</v>
      </c>
      <c r="L15" s="15">
        <v>0.27</v>
      </c>
      <c r="M15" s="15">
        <v>0.55000000000000004</v>
      </c>
      <c r="N15" s="15">
        <v>0.42</v>
      </c>
      <c r="O15" s="15">
        <v>0.46</v>
      </c>
      <c r="P15" s="15">
        <v>0.38</v>
      </c>
      <c r="Q15" s="15">
        <v>0.39</v>
      </c>
      <c r="R15" s="15">
        <v>0.48</v>
      </c>
      <c r="S15" s="15">
        <v>0.32</v>
      </c>
      <c r="T15" s="15">
        <v>0.27</v>
      </c>
      <c r="U15" s="15">
        <v>0.36</v>
      </c>
      <c r="V15" s="15">
        <v>0.36</v>
      </c>
      <c r="W15" s="15">
        <v>0.26</v>
      </c>
      <c r="X15" s="15">
        <v>0.32</v>
      </c>
      <c r="Y15" s="15">
        <v>0.39</v>
      </c>
      <c r="Z15" s="15">
        <v>0.32</v>
      </c>
      <c r="AA15" s="15">
        <v>0.19</v>
      </c>
      <c r="AB15" s="15">
        <v>0.39</v>
      </c>
      <c r="AC15" s="15">
        <v>0.49</v>
      </c>
      <c r="AD15" s="15">
        <v>0.45</v>
      </c>
      <c r="AE15" s="15">
        <v>0.23</v>
      </c>
      <c r="AF15" s="15">
        <v>0.27</v>
      </c>
    </row>
    <row r="16" spans="1:32" x14ac:dyDescent="0.35">
      <c r="A16" s="19"/>
      <c r="B16" s="11" t="s">
        <v>485</v>
      </c>
      <c r="C16" s="12">
        <v>2508</v>
      </c>
      <c r="D16" s="12">
        <v>44</v>
      </c>
      <c r="E16" s="12">
        <v>99</v>
      </c>
      <c r="F16" s="12">
        <v>65</v>
      </c>
      <c r="G16" s="12">
        <v>87</v>
      </c>
      <c r="H16" s="12">
        <v>134</v>
      </c>
      <c r="I16" s="12">
        <v>150</v>
      </c>
      <c r="J16" s="12">
        <v>16</v>
      </c>
      <c r="K16" s="12">
        <v>170</v>
      </c>
      <c r="L16" s="12">
        <v>112</v>
      </c>
      <c r="M16" s="12">
        <v>34</v>
      </c>
      <c r="N16" s="12">
        <v>123</v>
      </c>
      <c r="O16" s="12">
        <v>179</v>
      </c>
      <c r="P16" s="12">
        <v>25</v>
      </c>
      <c r="Q16" s="12">
        <v>61</v>
      </c>
      <c r="R16" s="12">
        <v>36</v>
      </c>
      <c r="S16" s="12">
        <v>144</v>
      </c>
      <c r="T16" s="12">
        <v>134</v>
      </c>
      <c r="U16" s="12">
        <v>43</v>
      </c>
      <c r="V16" s="12">
        <v>27</v>
      </c>
      <c r="W16" s="12">
        <v>45</v>
      </c>
      <c r="X16" s="12">
        <v>60</v>
      </c>
      <c r="Y16" s="12">
        <v>66</v>
      </c>
      <c r="Z16" s="12">
        <v>81</v>
      </c>
      <c r="AA16" s="12">
        <v>86</v>
      </c>
      <c r="AB16" s="12">
        <v>62</v>
      </c>
      <c r="AC16" s="12">
        <v>68</v>
      </c>
      <c r="AD16" s="12">
        <v>46</v>
      </c>
      <c r="AE16" s="12">
        <v>124</v>
      </c>
      <c r="AF16" s="12">
        <v>53</v>
      </c>
    </row>
    <row r="17" spans="1:32" x14ac:dyDescent="0.35">
      <c r="A17" s="19"/>
      <c r="B17" s="13" t="s">
        <v>486</v>
      </c>
      <c r="C17" s="15">
        <v>0.1</v>
      </c>
      <c r="D17" s="15">
        <v>0.04</v>
      </c>
      <c r="E17" s="15">
        <v>0.1</v>
      </c>
      <c r="F17" s="15">
        <v>0.06</v>
      </c>
      <c r="G17" s="15">
        <v>0.08</v>
      </c>
      <c r="H17" s="15">
        <v>0.11</v>
      </c>
      <c r="I17" s="15">
        <v>0.1</v>
      </c>
      <c r="J17" s="15">
        <v>0.05</v>
      </c>
      <c r="K17" s="15">
        <v>0.17</v>
      </c>
      <c r="L17" s="15">
        <v>0.11</v>
      </c>
      <c r="M17" s="15">
        <v>0.04</v>
      </c>
      <c r="N17" s="15">
        <v>0.12</v>
      </c>
      <c r="O17" s="15">
        <v>0.18</v>
      </c>
      <c r="P17" s="15">
        <v>0.02</v>
      </c>
      <c r="Q17" s="15">
        <v>0.06</v>
      </c>
      <c r="R17" s="15">
        <v>7.0000000000000007E-2</v>
      </c>
      <c r="S17" s="15">
        <v>0.14000000000000001</v>
      </c>
      <c r="T17" s="15">
        <v>0.13</v>
      </c>
      <c r="U17" s="15">
        <v>0.09</v>
      </c>
      <c r="V17" s="15">
        <v>0.03</v>
      </c>
      <c r="W17" s="15">
        <v>0.09</v>
      </c>
      <c r="X17" s="15">
        <v>0.06</v>
      </c>
      <c r="Y17" s="15">
        <v>0.06</v>
      </c>
      <c r="Z17" s="15">
        <v>0.08</v>
      </c>
      <c r="AA17" s="15">
        <v>0.08</v>
      </c>
      <c r="AB17" s="15">
        <v>0.06</v>
      </c>
      <c r="AC17" s="15">
        <v>7.0000000000000007E-2</v>
      </c>
      <c r="AD17" s="15">
        <v>0.05</v>
      </c>
      <c r="AE17" s="15">
        <v>0.12</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735</v>
      </c>
      <c r="C3" s="18"/>
      <c r="D3" s="18"/>
      <c r="E3" s="18"/>
      <c r="F3" s="18"/>
      <c r="H3" s="18" t="s">
        <v>736</v>
      </c>
      <c r="I3" s="18"/>
      <c r="J3" s="18"/>
      <c r="K3" s="18"/>
      <c r="L3" s="18"/>
    </row>
    <row r="4" spans="1:32" ht="27" customHeight="1" x14ac:dyDescent="0.35">
      <c r="B4" s="18" t="s">
        <v>737</v>
      </c>
      <c r="C4" s="18"/>
      <c r="D4" s="18"/>
      <c r="E4" s="18"/>
      <c r="F4" s="18"/>
      <c r="H4" s="18" t="s">
        <v>723</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HYPERLINK("#Content!A51","&lt;&lt;Back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657</v>
      </c>
      <c r="C12" s="12">
        <v>13182</v>
      </c>
      <c r="D12" s="12">
        <v>501</v>
      </c>
      <c r="E12" s="12">
        <v>423</v>
      </c>
      <c r="F12" s="12">
        <v>444</v>
      </c>
      <c r="G12" s="12">
        <v>712</v>
      </c>
      <c r="H12" s="12">
        <v>677</v>
      </c>
      <c r="I12" s="12">
        <v>769</v>
      </c>
      <c r="J12" s="12">
        <v>92</v>
      </c>
      <c r="K12" s="12">
        <v>446</v>
      </c>
      <c r="L12" s="12">
        <v>611</v>
      </c>
      <c r="M12" s="12">
        <v>339</v>
      </c>
      <c r="N12" s="12">
        <v>430</v>
      </c>
      <c r="O12" s="12">
        <v>340</v>
      </c>
      <c r="P12" s="12">
        <v>529</v>
      </c>
      <c r="Q12" s="12">
        <v>553</v>
      </c>
      <c r="R12" s="12">
        <v>207</v>
      </c>
      <c r="S12" s="12">
        <v>508</v>
      </c>
      <c r="T12" s="12">
        <v>598</v>
      </c>
      <c r="U12" s="12">
        <v>287</v>
      </c>
      <c r="V12" s="12">
        <v>613</v>
      </c>
      <c r="W12" s="12">
        <v>326</v>
      </c>
      <c r="X12" s="12">
        <v>655</v>
      </c>
      <c r="Y12" s="12">
        <v>513</v>
      </c>
      <c r="Z12" s="12">
        <v>613</v>
      </c>
      <c r="AA12" s="12">
        <v>713</v>
      </c>
      <c r="AB12" s="12">
        <v>565</v>
      </c>
      <c r="AC12" s="12">
        <v>430</v>
      </c>
      <c r="AD12" s="12">
        <v>515</v>
      </c>
      <c r="AE12" s="12">
        <v>636</v>
      </c>
      <c r="AF12" s="12">
        <v>654</v>
      </c>
    </row>
    <row r="13" spans="1:32" x14ac:dyDescent="0.35">
      <c r="A13" s="19"/>
      <c r="B13" s="13" t="s">
        <v>658</v>
      </c>
      <c r="C13" s="15">
        <v>0.5</v>
      </c>
      <c r="D13" s="15">
        <v>0.49</v>
      </c>
      <c r="E13" s="15">
        <v>0.41</v>
      </c>
      <c r="F13" s="15">
        <v>0.4</v>
      </c>
      <c r="G13" s="15">
        <v>0.71</v>
      </c>
      <c r="H13" s="15">
        <v>0.55000000000000004</v>
      </c>
      <c r="I13" s="15">
        <v>0.51</v>
      </c>
      <c r="J13" s="15">
        <v>0.31</v>
      </c>
      <c r="K13" s="15">
        <v>0.45</v>
      </c>
      <c r="L13" s="15">
        <v>0.61</v>
      </c>
      <c r="M13" s="15">
        <v>0.34</v>
      </c>
      <c r="N13" s="15">
        <v>0.43</v>
      </c>
      <c r="O13" s="15">
        <v>0.34</v>
      </c>
      <c r="P13" s="15">
        <v>0.53</v>
      </c>
      <c r="Q13" s="15">
        <v>0.54</v>
      </c>
      <c r="R13" s="15">
        <v>0.41</v>
      </c>
      <c r="S13" s="15">
        <v>0.51</v>
      </c>
      <c r="T13" s="15">
        <v>0.59</v>
      </c>
      <c r="U13" s="15">
        <v>0.57000000000000006</v>
      </c>
      <c r="V13" s="15">
        <v>0.6</v>
      </c>
      <c r="W13" s="15">
        <v>0.64</v>
      </c>
      <c r="X13" s="15">
        <v>0.65</v>
      </c>
      <c r="Y13" s="15">
        <v>0.51</v>
      </c>
      <c r="Z13" s="15">
        <v>0.59</v>
      </c>
      <c r="AA13" s="15">
        <v>0.69000000000000006</v>
      </c>
      <c r="AB13" s="15">
        <v>0.54</v>
      </c>
      <c r="AC13" s="15">
        <v>0.43</v>
      </c>
      <c r="AD13" s="15">
        <v>0.51</v>
      </c>
      <c r="AE13" s="15">
        <v>0.63</v>
      </c>
      <c r="AF13" s="15">
        <v>0.63</v>
      </c>
    </row>
    <row r="14" spans="1:32" x14ac:dyDescent="0.35">
      <c r="A14" s="19"/>
      <c r="B14" s="11" t="s">
        <v>659</v>
      </c>
      <c r="C14" s="12">
        <v>10113</v>
      </c>
      <c r="D14" s="12">
        <v>465</v>
      </c>
      <c r="E14" s="12">
        <v>457</v>
      </c>
      <c r="F14" s="12">
        <v>567</v>
      </c>
      <c r="G14" s="12">
        <v>179</v>
      </c>
      <c r="H14" s="12">
        <v>367</v>
      </c>
      <c r="I14" s="12">
        <v>547</v>
      </c>
      <c r="J14" s="12">
        <v>180</v>
      </c>
      <c r="K14" s="12">
        <v>335</v>
      </c>
      <c r="L14" s="12">
        <v>256</v>
      </c>
      <c r="M14" s="12">
        <v>617</v>
      </c>
      <c r="N14" s="12">
        <v>406</v>
      </c>
      <c r="O14" s="12">
        <v>474</v>
      </c>
      <c r="P14" s="12">
        <v>415</v>
      </c>
      <c r="Q14" s="12">
        <v>393</v>
      </c>
      <c r="R14" s="12">
        <v>246</v>
      </c>
      <c r="S14" s="12">
        <v>324</v>
      </c>
      <c r="T14" s="12">
        <v>220</v>
      </c>
      <c r="U14" s="12">
        <v>172</v>
      </c>
      <c r="V14" s="12">
        <v>369</v>
      </c>
      <c r="W14" s="12">
        <v>130</v>
      </c>
      <c r="X14" s="12">
        <v>285</v>
      </c>
      <c r="Y14" s="12">
        <v>425</v>
      </c>
      <c r="Z14" s="12">
        <v>317</v>
      </c>
      <c r="AA14" s="12">
        <v>202</v>
      </c>
      <c r="AB14" s="12">
        <v>413</v>
      </c>
      <c r="AC14" s="12">
        <v>494</v>
      </c>
      <c r="AD14" s="12">
        <v>430</v>
      </c>
      <c r="AE14" s="12">
        <v>212</v>
      </c>
      <c r="AF14" s="12">
        <v>247</v>
      </c>
    </row>
    <row r="15" spans="1:32" x14ac:dyDescent="0.35">
      <c r="A15" s="19"/>
      <c r="B15" s="13" t="s">
        <v>660</v>
      </c>
      <c r="C15" s="15">
        <v>0.38</v>
      </c>
      <c r="D15" s="15">
        <v>0.46</v>
      </c>
      <c r="E15" s="15">
        <v>0.44</v>
      </c>
      <c r="F15" s="15">
        <v>0.52</v>
      </c>
      <c r="G15" s="15">
        <v>0.18</v>
      </c>
      <c r="H15" s="15">
        <v>0.3</v>
      </c>
      <c r="I15" s="15">
        <v>0.36</v>
      </c>
      <c r="J15" s="15">
        <v>0.61</v>
      </c>
      <c r="K15" s="15">
        <v>0.33</v>
      </c>
      <c r="L15" s="15">
        <v>0.26</v>
      </c>
      <c r="M15" s="15">
        <v>0.61</v>
      </c>
      <c r="N15" s="15">
        <v>0.4</v>
      </c>
      <c r="O15" s="15">
        <v>0.47</v>
      </c>
      <c r="P15" s="15">
        <v>0.41</v>
      </c>
      <c r="Q15" s="15">
        <v>0.38</v>
      </c>
      <c r="R15" s="15">
        <v>0.49</v>
      </c>
      <c r="S15" s="15">
        <v>0.32</v>
      </c>
      <c r="T15" s="15">
        <v>0.22</v>
      </c>
      <c r="U15" s="15">
        <v>0.34</v>
      </c>
      <c r="V15" s="15">
        <v>0.37</v>
      </c>
      <c r="W15" s="15">
        <v>0.26</v>
      </c>
      <c r="X15" s="15">
        <v>0.28000000000000003</v>
      </c>
      <c r="Y15" s="15">
        <v>0.42</v>
      </c>
      <c r="Z15" s="15">
        <v>0.31</v>
      </c>
      <c r="AA15" s="15">
        <v>0.2</v>
      </c>
      <c r="AB15" s="15">
        <v>0.39</v>
      </c>
      <c r="AC15" s="15">
        <v>0.49</v>
      </c>
      <c r="AD15" s="15">
        <v>0.43</v>
      </c>
      <c r="AE15" s="15">
        <v>0.21</v>
      </c>
      <c r="AF15" s="15">
        <v>0.24</v>
      </c>
    </row>
    <row r="16" spans="1:32" x14ac:dyDescent="0.35">
      <c r="A16" s="19"/>
      <c r="B16" s="11" t="s">
        <v>485</v>
      </c>
      <c r="C16" s="12">
        <v>3150</v>
      </c>
      <c r="D16" s="12">
        <v>47</v>
      </c>
      <c r="E16" s="12">
        <v>150</v>
      </c>
      <c r="F16" s="12">
        <v>91</v>
      </c>
      <c r="G16" s="12">
        <v>115</v>
      </c>
      <c r="H16" s="12">
        <v>178</v>
      </c>
      <c r="I16" s="12">
        <v>200</v>
      </c>
      <c r="J16" s="12">
        <v>23</v>
      </c>
      <c r="K16" s="12">
        <v>222</v>
      </c>
      <c r="L16" s="12">
        <v>134</v>
      </c>
      <c r="M16" s="12">
        <v>54</v>
      </c>
      <c r="N16" s="12">
        <v>167</v>
      </c>
      <c r="O16" s="12">
        <v>187</v>
      </c>
      <c r="P16" s="12">
        <v>59</v>
      </c>
      <c r="Q16" s="12">
        <v>82</v>
      </c>
      <c r="R16" s="12">
        <v>51</v>
      </c>
      <c r="S16" s="12">
        <v>170</v>
      </c>
      <c r="T16" s="12">
        <v>187</v>
      </c>
      <c r="U16" s="12">
        <v>45</v>
      </c>
      <c r="V16" s="12">
        <v>33</v>
      </c>
      <c r="W16" s="12">
        <v>52</v>
      </c>
      <c r="X16" s="12">
        <v>69</v>
      </c>
      <c r="Y16" s="12">
        <v>65</v>
      </c>
      <c r="Z16" s="12">
        <v>101</v>
      </c>
      <c r="AA16" s="12">
        <v>118</v>
      </c>
      <c r="AB16" s="12">
        <v>73</v>
      </c>
      <c r="AC16" s="12">
        <v>79</v>
      </c>
      <c r="AD16" s="12">
        <v>61</v>
      </c>
      <c r="AE16" s="12">
        <v>164</v>
      </c>
      <c r="AF16" s="12">
        <v>142</v>
      </c>
    </row>
    <row r="17" spans="1:32" x14ac:dyDescent="0.35">
      <c r="A17" s="19"/>
      <c r="B17" s="13" t="s">
        <v>486</v>
      </c>
      <c r="C17" s="15">
        <v>0.12</v>
      </c>
      <c r="D17" s="15">
        <v>0.05</v>
      </c>
      <c r="E17" s="15">
        <v>0.15</v>
      </c>
      <c r="F17" s="15">
        <v>0.08</v>
      </c>
      <c r="G17" s="15">
        <v>0.11</v>
      </c>
      <c r="H17" s="15">
        <v>0.15</v>
      </c>
      <c r="I17" s="15">
        <v>0.13</v>
      </c>
      <c r="J17" s="15">
        <v>0.08</v>
      </c>
      <c r="K17" s="15">
        <v>0.22</v>
      </c>
      <c r="L17" s="15">
        <v>0.13</v>
      </c>
      <c r="M17" s="15">
        <v>0.05</v>
      </c>
      <c r="N17" s="15">
        <v>0.17</v>
      </c>
      <c r="O17" s="15">
        <v>0.19</v>
      </c>
      <c r="P17" s="15">
        <v>0.06</v>
      </c>
      <c r="Q17" s="15">
        <v>0.08</v>
      </c>
      <c r="R17" s="15">
        <v>0.1</v>
      </c>
      <c r="S17" s="15">
        <v>0.17</v>
      </c>
      <c r="T17" s="15">
        <v>0.19</v>
      </c>
      <c r="U17" s="15">
        <v>0.09</v>
      </c>
      <c r="V17" s="15">
        <v>0.03</v>
      </c>
      <c r="W17" s="15">
        <v>0.1</v>
      </c>
      <c r="X17" s="15">
        <v>7.0000000000000007E-2</v>
      </c>
      <c r="Y17" s="15">
        <v>7.0000000000000007E-2</v>
      </c>
      <c r="Z17" s="15">
        <v>0.1</v>
      </c>
      <c r="AA17" s="15">
        <v>0.11</v>
      </c>
      <c r="AB17" s="15">
        <v>7.0000000000000007E-2</v>
      </c>
      <c r="AC17" s="15">
        <v>0.08</v>
      </c>
      <c r="AD17" s="15">
        <v>0.06</v>
      </c>
      <c r="AE17" s="15">
        <v>0.16</v>
      </c>
      <c r="AF17" s="15">
        <v>0.13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738</v>
      </c>
      <c r="C3" s="18"/>
      <c r="D3" s="18"/>
      <c r="E3" s="18"/>
      <c r="F3" s="18"/>
      <c r="H3" s="18" t="s">
        <v>739</v>
      </c>
      <c r="I3" s="18"/>
      <c r="J3" s="18"/>
      <c r="K3" s="18"/>
      <c r="L3" s="18"/>
    </row>
    <row r="4" spans="1:32" ht="27" customHeight="1" x14ac:dyDescent="0.35">
      <c r="B4" s="18" t="s">
        <v>740</v>
      </c>
      <c r="C4" s="18"/>
      <c r="D4" s="18"/>
      <c r="E4" s="18"/>
      <c r="F4" s="18"/>
      <c r="H4" s="18" t="s">
        <v>727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HYPERLINK("#Content!A52","&lt;&lt;Back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657</v>
      </c>
      <c r="C12" s="12">
        <v>13686</v>
      </c>
      <c r="D12" s="12">
        <v>545</v>
      </c>
      <c r="E12" s="12">
        <v>470</v>
      </c>
      <c r="F12" s="12">
        <v>602</v>
      </c>
      <c r="G12" s="12">
        <v>802</v>
      </c>
      <c r="H12" s="12">
        <v>761</v>
      </c>
      <c r="I12" s="12">
        <v>881</v>
      </c>
      <c r="J12" s="12">
        <v>120</v>
      </c>
      <c r="K12" s="12">
        <v>518</v>
      </c>
      <c r="L12" s="12">
        <v>616</v>
      </c>
      <c r="M12" s="12">
        <v>296</v>
      </c>
      <c r="N12" s="12">
        <v>423</v>
      </c>
      <c r="O12" s="12">
        <v>352</v>
      </c>
      <c r="P12" s="12">
        <v>515</v>
      </c>
      <c r="Q12" s="12">
        <v>507</v>
      </c>
      <c r="R12" s="12">
        <v>196</v>
      </c>
      <c r="S12" s="12">
        <v>540</v>
      </c>
      <c r="T12" s="12">
        <v>556</v>
      </c>
      <c r="U12" s="12">
        <v>306</v>
      </c>
      <c r="V12" s="12">
        <v>609</v>
      </c>
      <c r="W12" s="12">
        <v>339</v>
      </c>
      <c r="X12" s="12">
        <v>702</v>
      </c>
      <c r="Y12" s="12">
        <v>558</v>
      </c>
      <c r="Z12" s="12">
        <v>571</v>
      </c>
      <c r="AA12" s="12">
        <v>737</v>
      </c>
      <c r="AB12" s="12">
        <v>558</v>
      </c>
      <c r="AC12" s="12">
        <v>496</v>
      </c>
      <c r="AD12" s="12">
        <v>586</v>
      </c>
      <c r="AE12" s="12">
        <v>778</v>
      </c>
      <c r="AF12" s="12">
        <v>752</v>
      </c>
    </row>
    <row r="13" spans="1:32" x14ac:dyDescent="0.35">
      <c r="A13" s="19"/>
      <c r="B13" s="13" t="s">
        <v>658</v>
      </c>
      <c r="C13" s="15">
        <v>0.52</v>
      </c>
      <c r="D13" s="15">
        <v>0.54</v>
      </c>
      <c r="E13" s="15">
        <v>0.46</v>
      </c>
      <c r="F13" s="15">
        <v>0.54</v>
      </c>
      <c r="G13" s="15">
        <v>0.8</v>
      </c>
      <c r="H13" s="15">
        <v>0.62</v>
      </c>
      <c r="I13" s="15">
        <v>0.57999999999999996</v>
      </c>
      <c r="J13" s="15">
        <v>0.41</v>
      </c>
      <c r="K13" s="15">
        <v>0.52</v>
      </c>
      <c r="L13" s="15">
        <v>0.61</v>
      </c>
      <c r="M13" s="15">
        <v>0.28999999999999998</v>
      </c>
      <c r="N13" s="15">
        <v>0.42</v>
      </c>
      <c r="O13" s="15">
        <v>0.35</v>
      </c>
      <c r="P13" s="15">
        <v>0.51</v>
      </c>
      <c r="Q13" s="15">
        <v>0.49</v>
      </c>
      <c r="R13" s="15">
        <v>0.39</v>
      </c>
      <c r="S13" s="15">
        <v>0.54</v>
      </c>
      <c r="T13" s="15">
        <v>0.55000000000000004</v>
      </c>
      <c r="U13" s="15">
        <v>0.61</v>
      </c>
      <c r="V13" s="15">
        <v>0.6</v>
      </c>
      <c r="W13" s="15">
        <v>0.67</v>
      </c>
      <c r="X13" s="15">
        <v>0.70000000000000007</v>
      </c>
      <c r="Y13" s="15">
        <v>0.56000000000000005</v>
      </c>
      <c r="Z13" s="15">
        <v>0.55000000000000004</v>
      </c>
      <c r="AA13" s="15">
        <v>0.71</v>
      </c>
      <c r="AB13" s="15">
        <v>0.53</v>
      </c>
      <c r="AC13" s="15">
        <v>0.49</v>
      </c>
      <c r="AD13" s="15">
        <v>0.57999999999999996</v>
      </c>
      <c r="AE13" s="15">
        <v>0.77</v>
      </c>
      <c r="AF13" s="15">
        <v>0.72</v>
      </c>
    </row>
    <row r="14" spans="1:32" x14ac:dyDescent="0.35">
      <c r="A14" s="19"/>
      <c r="B14" s="11" t="s">
        <v>659</v>
      </c>
      <c r="C14" s="12">
        <v>9944</v>
      </c>
      <c r="D14" s="12">
        <v>412</v>
      </c>
      <c r="E14" s="12">
        <v>416</v>
      </c>
      <c r="F14" s="12">
        <v>415</v>
      </c>
      <c r="G14" s="12">
        <v>99</v>
      </c>
      <c r="H14" s="12">
        <v>331</v>
      </c>
      <c r="I14" s="12">
        <v>490</v>
      </c>
      <c r="J14" s="12">
        <v>159</v>
      </c>
      <c r="K14" s="12">
        <v>271</v>
      </c>
      <c r="L14" s="12">
        <v>279</v>
      </c>
      <c r="M14" s="12">
        <v>663</v>
      </c>
      <c r="N14" s="12">
        <v>462</v>
      </c>
      <c r="O14" s="12">
        <v>457</v>
      </c>
      <c r="P14" s="12">
        <v>434</v>
      </c>
      <c r="Q14" s="12">
        <v>453</v>
      </c>
      <c r="R14" s="12">
        <v>262</v>
      </c>
      <c r="S14" s="12">
        <v>290</v>
      </c>
      <c r="T14" s="12">
        <v>263</v>
      </c>
      <c r="U14" s="12">
        <v>145</v>
      </c>
      <c r="V14" s="12">
        <v>357</v>
      </c>
      <c r="W14" s="12">
        <v>113</v>
      </c>
      <c r="X14" s="12">
        <v>243</v>
      </c>
      <c r="Y14" s="12">
        <v>355</v>
      </c>
      <c r="Z14" s="12">
        <v>339</v>
      </c>
      <c r="AA14" s="12">
        <v>187</v>
      </c>
      <c r="AB14" s="12">
        <v>411</v>
      </c>
      <c r="AC14" s="12">
        <v>442</v>
      </c>
      <c r="AD14" s="12">
        <v>334</v>
      </c>
      <c r="AE14" s="12">
        <v>124</v>
      </c>
      <c r="AF14" s="12">
        <v>183</v>
      </c>
    </row>
    <row r="15" spans="1:32" x14ac:dyDescent="0.35">
      <c r="A15" s="19"/>
      <c r="B15" s="13" t="s">
        <v>660</v>
      </c>
      <c r="C15" s="15">
        <v>0.37</v>
      </c>
      <c r="D15" s="15">
        <v>0.41</v>
      </c>
      <c r="E15" s="15">
        <v>0.4</v>
      </c>
      <c r="F15" s="15">
        <v>0.38</v>
      </c>
      <c r="G15" s="15">
        <v>0.1</v>
      </c>
      <c r="H15" s="15">
        <v>0.27</v>
      </c>
      <c r="I15" s="15">
        <v>0.32</v>
      </c>
      <c r="J15" s="15">
        <v>0.54</v>
      </c>
      <c r="K15" s="15">
        <v>0.27</v>
      </c>
      <c r="L15" s="15">
        <v>0.28000000000000003</v>
      </c>
      <c r="M15" s="15">
        <v>0.66</v>
      </c>
      <c r="N15" s="15">
        <v>0.46</v>
      </c>
      <c r="O15" s="15">
        <v>0.46</v>
      </c>
      <c r="P15" s="15">
        <v>0.43</v>
      </c>
      <c r="Q15" s="15">
        <v>0.44</v>
      </c>
      <c r="R15" s="15">
        <v>0.52</v>
      </c>
      <c r="S15" s="15">
        <v>0.28999999999999998</v>
      </c>
      <c r="T15" s="15">
        <v>0.26</v>
      </c>
      <c r="U15" s="15">
        <v>0.28999999999999998</v>
      </c>
      <c r="V15" s="15">
        <v>0.35</v>
      </c>
      <c r="W15" s="15">
        <v>0.22</v>
      </c>
      <c r="X15" s="15">
        <v>0.24</v>
      </c>
      <c r="Y15" s="15">
        <v>0.35</v>
      </c>
      <c r="Z15" s="15">
        <v>0.33</v>
      </c>
      <c r="AA15" s="15">
        <v>0.18</v>
      </c>
      <c r="AB15" s="15">
        <v>0.39</v>
      </c>
      <c r="AC15" s="15">
        <v>0.44</v>
      </c>
      <c r="AD15" s="15">
        <v>0.33</v>
      </c>
      <c r="AE15" s="15">
        <v>0.12</v>
      </c>
      <c r="AF15" s="15">
        <v>0.18</v>
      </c>
    </row>
    <row r="16" spans="1:32" x14ac:dyDescent="0.35">
      <c r="A16" s="19"/>
      <c r="B16" s="11" t="s">
        <v>485</v>
      </c>
      <c r="C16" s="12">
        <v>2816</v>
      </c>
      <c r="D16" s="12">
        <v>55</v>
      </c>
      <c r="E16" s="12">
        <v>144</v>
      </c>
      <c r="F16" s="12">
        <v>86</v>
      </c>
      <c r="G16" s="12">
        <v>105</v>
      </c>
      <c r="H16" s="12">
        <v>129</v>
      </c>
      <c r="I16" s="12">
        <v>145</v>
      </c>
      <c r="J16" s="12">
        <v>16</v>
      </c>
      <c r="K16" s="12">
        <v>213</v>
      </c>
      <c r="L16" s="12">
        <v>107</v>
      </c>
      <c r="M16" s="12">
        <v>51</v>
      </c>
      <c r="N16" s="12">
        <v>118</v>
      </c>
      <c r="O16" s="12">
        <v>192</v>
      </c>
      <c r="P16" s="12">
        <v>55</v>
      </c>
      <c r="Q16" s="12">
        <v>68</v>
      </c>
      <c r="R16" s="12">
        <v>47</v>
      </c>
      <c r="S16" s="12">
        <v>172</v>
      </c>
      <c r="T16" s="12">
        <v>187</v>
      </c>
      <c r="U16" s="12">
        <v>53</v>
      </c>
      <c r="V16" s="12">
        <v>49</v>
      </c>
      <c r="W16" s="12">
        <v>56</v>
      </c>
      <c r="X16" s="12">
        <v>63</v>
      </c>
      <c r="Y16" s="12">
        <v>90</v>
      </c>
      <c r="Z16" s="12">
        <v>121</v>
      </c>
      <c r="AA16" s="12">
        <v>110</v>
      </c>
      <c r="AB16" s="12">
        <v>82</v>
      </c>
      <c r="AC16" s="12">
        <v>65</v>
      </c>
      <c r="AD16" s="12">
        <v>84</v>
      </c>
      <c r="AE16" s="12">
        <v>110</v>
      </c>
      <c r="AF16" s="12">
        <v>108</v>
      </c>
    </row>
    <row r="17" spans="1:32" x14ac:dyDescent="0.35">
      <c r="A17" s="19"/>
      <c r="B17" s="13" t="s">
        <v>486</v>
      </c>
      <c r="C17" s="15">
        <v>0.11</v>
      </c>
      <c r="D17" s="15">
        <v>0.05</v>
      </c>
      <c r="E17" s="15">
        <v>0.14000000000000001</v>
      </c>
      <c r="F17" s="15">
        <v>0.08</v>
      </c>
      <c r="G17" s="15">
        <v>0.1</v>
      </c>
      <c r="H17" s="15">
        <v>0.11</v>
      </c>
      <c r="I17" s="15">
        <v>0.1</v>
      </c>
      <c r="J17" s="15">
        <v>0.05</v>
      </c>
      <c r="K17" s="15">
        <v>0.21</v>
      </c>
      <c r="L17" s="15">
        <v>0.11</v>
      </c>
      <c r="M17" s="15">
        <v>0.05</v>
      </c>
      <c r="N17" s="15">
        <v>0.12</v>
      </c>
      <c r="O17" s="15">
        <v>0.19</v>
      </c>
      <c r="P17" s="15">
        <v>0.06</v>
      </c>
      <c r="Q17" s="15">
        <v>7.0000000000000007E-2</v>
      </c>
      <c r="R17" s="15">
        <v>0.09</v>
      </c>
      <c r="S17" s="15">
        <v>0.17</v>
      </c>
      <c r="T17" s="15">
        <v>0.19</v>
      </c>
      <c r="U17" s="15">
        <v>0.1</v>
      </c>
      <c r="V17" s="15">
        <v>0.05</v>
      </c>
      <c r="W17" s="15">
        <v>0.11</v>
      </c>
      <c r="X17" s="15">
        <v>0.06</v>
      </c>
      <c r="Y17" s="15">
        <v>0.09</v>
      </c>
      <c r="Z17" s="15">
        <v>0.12</v>
      </c>
      <c r="AA17" s="15">
        <v>0.11</v>
      </c>
      <c r="AB17" s="15">
        <v>0.08</v>
      </c>
      <c r="AC17" s="15">
        <v>7.0000000000000007E-2</v>
      </c>
      <c r="AD17" s="15">
        <v>0.09</v>
      </c>
      <c r="AE17" s="15">
        <v>0.11</v>
      </c>
      <c r="AF17" s="15">
        <v>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741</v>
      </c>
      <c r="C3" s="18"/>
      <c r="D3" s="18"/>
      <c r="E3" s="18"/>
      <c r="F3" s="18"/>
      <c r="H3" s="18" t="s">
        <v>742</v>
      </c>
      <c r="I3" s="18"/>
      <c r="J3" s="18"/>
      <c r="K3" s="18"/>
      <c r="L3" s="18"/>
    </row>
    <row r="4" spans="1:32" ht="27" customHeight="1" x14ac:dyDescent="0.35">
      <c r="B4" s="18" t="s">
        <v>743</v>
      </c>
      <c r="C4" s="18"/>
      <c r="D4" s="18"/>
      <c r="E4" s="18"/>
      <c r="F4" s="18"/>
      <c r="H4" s="18" t="s">
        <v>731</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HYPERLINK("#Content!A53","&lt;&lt;Back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657</v>
      </c>
      <c r="C12" s="12">
        <v>12907</v>
      </c>
      <c r="D12" s="12">
        <v>472</v>
      </c>
      <c r="E12" s="12">
        <v>404</v>
      </c>
      <c r="F12" s="12">
        <v>472</v>
      </c>
      <c r="G12" s="12">
        <v>653</v>
      </c>
      <c r="H12" s="12">
        <v>654</v>
      </c>
      <c r="I12" s="12">
        <v>747</v>
      </c>
      <c r="J12" s="12">
        <v>93</v>
      </c>
      <c r="K12" s="12">
        <v>444</v>
      </c>
      <c r="L12" s="12">
        <v>581</v>
      </c>
      <c r="M12" s="12">
        <v>363</v>
      </c>
      <c r="N12" s="12">
        <v>409</v>
      </c>
      <c r="O12" s="12">
        <v>348</v>
      </c>
      <c r="P12" s="12">
        <v>539</v>
      </c>
      <c r="Q12" s="12">
        <v>554</v>
      </c>
      <c r="R12" s="12">
        <v>214</v>
      </c>
      <c r="S12" s="12">
        <v>489</v>
      </c>
      <c r="T12" s="12">
        <v>543</v>
      </c>
      <c r="U12" s="12">
        <v>267</v>
      </c>
      <c r="V12" s="12">
        <v>616</v>
      </c>
      <c r="W12" s="12">
        <v>332</v>
      </c>
      <c r="X12" s="12">
        <v>593</v>
      </c>
      <c r="Y12" s="12">
        <v>505</v>
      </c>
      <c r="Z12" s="12">
        <v>603</v>
      </c>
      <c r="AA12" s="12">
        <v>704</v>
      </c>
      <c r="AB12" s="12">
        <v>563</v>
      </c>
      <c r="AC12" s="12">
        <v>458</v>
      </c>
      <c r="AD12" s="12">
        <v>515</v>
      </c>
      <c r="AE12" s="12">
        <v>573</v>
      </c>
      <c r="AF12" s="12">
        <v>597</v>
      </c>
    </row>
    <row r="13" spans="1:32" x14ac:dyDescent="0.35">
      <c r="A13" s="19"/>
      <c r="B13" s="13" t="s">
        <v>658</v>
      </c>
      <c r="C13" s="15">
        <v>0.49</v>
      </c>
      <c r="D13" s="15">
        <v>0.47</v>
      </c>
      <c r="E13" s="15">
        <v>0.39</v>
      </c>
      <c r="F13" s="15">
        <v>0.43</v>
      </c>
      <c r="G13" s="15">
        <v>0.65</v>
      </c>
      <c r="H13" s="15">
        <v>0.54</v>
      </c>
      <c r="I13" s="15">
        <v>0.49</v>
      </c>
      <c r="J13" s="15">
        <v>0.32</v>
      </c>
      <c r="K13" s="15">
        <v>0.44</v>
      </c>
      <c r="L13" s="15">
        <v>0.57999999999999996</v>
      </c>
      <c r="M13" s="15">
        <v>0.36</v>
      </c>
      <c r="N13" s="15">
        <v>0.41</v>
      </c>
      <c r="O13" s="15">
        <v>0.35</v>
      </c>
      <c r="P13" s="15">
        <v>0.54</v>
      </c>
      <c r="Q13" s="15">
        <v>0.54</v>
      </c>
      <c r="R13" s="15">
        <v>0.42</v>
      </c>
      <c r="S13" s="15">
        <v>0.49</v>
      </c>
      <c r="T13" s="15">
        <v>0.54</v>
      </c>
      <c r="U13" s="15">
        <v>0.53</v>
      </c>
      <c r="V13" s="15">
        <v>0.61</v>
      </c>
      <c r="W13" s="15">
        <v>0.65</v>
      </c>
      <c r="X13" s="15">
        <v>0.59</v>
      </c>
      <c r="Y13" s="15">
        <v>0.5</v>
      </c>
      <c r="Z13" s="15">
        <v>0.57999999999999996</v>
      </c>
      <c r="AA13" s="15">
        <v>0.68</v>
      </c>
      <c r="AB13" s="15">
        <v>0.53</v>
      </c>
      <c r="AC13" s="15">
        <v>0.46</v>
      </c>
      <c r="AD13" s="15">
        <v>0.51</v>
      </c>
      <c r="AE13" s="15">
        <v>0.57000000000000006</v>
      </c>
      <c r="AF13" s="15">
        <v>0.57000000000000006</v>
      </c>
    </row>
    <row r="14" spans="1:32" x14ac:dyDescent="0.35">
      <c r="A14" s="19"/>
      <c r="B14" s="11" t="s">
        <v>659</v>
      </c>
      <c r="C14" s="12">
        <v>9783</v>
      </c>
      <c r="D14" s="12">
        <v>460</v>
      </c>
      <c r="E14" s="12">
        <v>436</v>
      </c>
      <c r="F14" s="12">
        <v>527</v>
      </c>
      <c r="G14" s="12">
        <v>172</v>
      </c>
      <c r="H14" s="12">
        <v>356</v>
      </c>
      <c r="I14" s="12">
        <v>531</v>
      </c>
      <c r="J14" s="12">
        <v>175</v>
      </c>
      <c r="K14" s="12">
        <v>307</v>
      </c>
      <c r="L14" s="12">
        <v>261</v>
      </c>
      <c r="M14" s="12">
        <v>592</v>
      </c>
      <c r="N14" s="12">
        <v>409</v>
      </c>
      <c r="O14" s="12">
        <v>444</v>
      </c>
      <c r="P14" s="12">
        <v>410</v>
      </c>
      <c r="Q14" s="12">
        <v>386</v>
      </c>
      <c r="R14" s="12">
        <v>230</v>
      </c>
      <c r="S14" s="12">
        <v>324</v>
      </c>
      <c r="T14" s="12">
        <v>255</v>
      </c>
      <c r="U14" s="12">
        <v>153</v>
      </c>
      <c r="V14" s="12">
        <v>344</v>
      </c>
      <c r="W14" s="12">
        <v>116</v>
      </c>
      <c r="X14" s="12">
        <v>277</v>
      </c>
      <c r="Y14" s="12">
        <v>353</v>
      </c>
      <c r="Z14" s="12">
        <v>318</v>
      </c>
      <c r="AA14" s="12">
        <v>197</v>
      </c>
      <c r="AB14" s="12">
        <v>408</v>
      </c>
      <c r="AC14" s="12">
        <v>464</v>
      </c>
      <c r="AD14" s="12">
        <v>389</v>
      </c>
      <c r="AE14" s="12">
        <v>207</v>
      </c>
      <c r="AF14" s="12">
        <v>236</v>
      </c>
    </row>
    <row r="15" spans="1:32" x14ac:dyDescent="0.35">
      <c r="A15" s="19"/>
      <c r="B15" s="13" t="s">
        <v>660</v>
      </c>
      <c r="C15" s="15">
        <v>0.37</v>
      </c>
      <c r="D15" s="15">
        <v>0.45</v>
      </c>
      <c r="E15" s="15">
        <v>0.42</v>
      </c>
      <c r="F15" s="15">
        <v>0.48</v>
      </c>
      <c r="G15" s="15">
        <v>0.17</v>
      </c>
      <c r="H15" s="15">
        <v>0.28999999999999998</v>
      </c>
      <c r="I15" s="15">
        <v>0.35</v>
      </c>
      <c r="J15" s="15">
        <v>0.59</v>
      </c>
      <c r="K15" s="15">
        <v>0.31</v>
      </c>
      <c r="L15" s="15">
        <v>0.26</v>
      </c>
      <c r="M15" s="15">
        <v>0.59</v>
      </c>
      <c r="N15" s="15">
        <v>0.41</v>
      </c>
      <c r="O15" s="15">
        <v>0.44</v>
      </c>
      <c r="P15" s="15">
        <v>0.41</v>
      </c>
      <c r="Q15" s="15">
        <v>0.38</v>
      </c>
      <c r="R15" s="15">
        <v>0.46</v>
      </c>
      <c r="S15" s="15">
        <v>0.32</v>
      </c>
      <c r="T15" s="15">
        <v>0.25</v>
      </c>
      <c r="U15" s="15">
        <v>0.3</v>
      </c>
      <c r="V15" s="15">
        <v>0.34</v>
      </c>
      <c r="W15" s="15">
        <v>0.23</v>
      </c>
      <c r="X15" s="15">
        <v>0.27</v>
      </c>
      <c r="Y15" s="15">
        <v>0.35</v>
      </c>
      <c r="Z15" s="15">
        <v>0.31</v>
      </c>
      <c r="AA15" s="15">
        <v>0.19</v>
      </c>
      <c r="AB15" s="15">
        <v>0.39</v>
      </c>
      <c r="AC15" s="15">
        <v>0.46</v>
      </c>
      <c r="AD15" s="15">
        <v>0.39</v>
      </c>
      <c r="AE15" s="15">
        <v>0.2</v>
      </c>
      <c r="AF15" s="15">
        <v>0.23</v>
      </c>
    </row>
    <row r="16" spans="1:32" x14ac:dyDescent="0.35">
      <c r="A16" s="19"/>
      <c r="B16" s="11" t="s">
        <v>485</v>
      </c>
      <c r="C16" s="12">
        <v>3755</v>
      </c>
      <c r="D16" s="12">
        <v>81</v>
      </c>
      <c r="E16" s="12">
        <v>191</v>
      </c>
      <c r="F16" s="12">
        <v>103</v>
      </c>
      <c r="G16" s="12">
        <v>182</v>
      </c>
      <c r="H16" s="12">
        <v>211</v>
      </c>
      <c r="I16" s="12">
        <v>238</v>
      </c>
      <c r="J16" s="12">
        <v>27</v>
      </c>
      <c r="K16" s="12">
        <v>250</v>
      </c>
      <c r="L16" s="12">
        <v>161</v>
      </c>
      <c r="M16" s="12">
        <v>55</v>
      </c>
      <c r="N16" s="12">
        <v>185</v>
      </c>
      <c r="O16" s="12">
        <v>209</v>
      </c>
      <c r="P16" s="12">
        <v>55</v>
      </c>
      <c r="Q16" s="12">
        <v>87</v>
      </c>
      <c r="R16" s="12">
        <v>60</v>
      </c>
      <c r="S16" s="12">
        <v>188</v>
      </c>
      <c r="T16" s="12">
        <v>207</v>
      </c>
      <c r="U16" s="12">
        <v>84</v>
      </c>
      <c r="V16" s="12">
        <v>55</v>
      </c>
      <c r="W16" s="12">
        <v>60</v>
      </c>
      <c r="X16" s="12">
        <v>139</v>
      </c>
      <c r="Y16" s="12">
        <v>145</v>
      </c>
      <c r="Z16" s="12">
        <v>111</v>
      </c>
      <c r="AA16" s="12">
        <v>132</v>
      </c>
      <c r="AB16" s="12">
        <v>81</v>
      </c>
      <c r="AC16" s="12">
        <v>81</v>
      </c>
      <c r="AD16" s="12">
        <v>101</v>
      </c>
      <c r="AE16" s="12">
        <v>232</v>
      </c>
      <c r="AF16" s="12">
        <v>210</v>
      </c>
    </row>
    <row r="17" spans="1:32" x14ac:dyDescent="0.35">
      <c r="A17" s="19"/>
      <c r="B17" s="13" t="s">
        <v>486</v>
      </c>
      <c r="C17" s="15">
        <v>0.14000000000000001</v>
      </c>
      <c r="D17" s="15">
        <v>0.08</v>
      </c>
      <c r="E17" s="15">
        <v>0.19</v>
      </c>
      <c r="F17" s="15">
        <v>0.09</v>
      </c>
      <c r="G17" s="15">
        <v>0.18</v>
      </c>
      <c r="H17" s="15">
        <v>0.17</v>
      </c>
      <c r="I17" s="15">
        <v>0.16</v>
      </c>
      <c r="J17" s="15">
        <v>0.09</v>
      </c>
      <c r="K17" s="15">
        <v>0.25</v>
      </c>
      <c r="L17" s="15">
        <v>0.16</v>
      </c>
      <c r="M17" s="15">
        <v>0.05</v>
      </c>
      <c r="N17" s="15">
        <v>0.18</v>
      </c>
      <c r="O17" s="15">
        <v>0.21</v>
      </c>
      <c r="P17" s="15">
        <v>0.05</v>
      </c>
      <c r="Q17" s="15">
        <v>0.08</v>
      </c>
      <c r="R17" s="15">
        <v>0.12</v>
      </c>
      <c r="S17" s="15">
        <v>0.19</v>
      </c>
      <c r="T17" s="15">
        <v>0.21</v>
      </c>
      <c r="U17" s="15">
        <v>0.17</v>
      </c>
      <c r="V17" s="15">
        <v>0.05</v>
      </c>
      <c r="W17" s="15">
        <v>0.12</v>
      </c>
      <c r="X17" s="15">
        <v>0.14000000000000001</v>
      </c>
      <c r="Y17" s="15">
        <v>0.15</v>
      </c>
      <c r="Z17" s="15">
        <v>0.11</v>
      </c>
      <c r="AA17" s="15">
        <v>0.13</v>
      </c>
      <c r="AB17" s="15">
        <v>0.08</v>
      </c>
      <c r="AC17" s="15">
        <v>0.08</v>
      </c>
      <c r="AD17" s="15">
        <v>0.1</v>
      </c>
      <c r="AE17" s="15">
        <v>0.23</v>
      </c>
      <c r="AF17" s="15">
        <v>0.2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12" width="12.453125" customWidth="1"/>
  </cols>
  <sheetData>
    <row r="1" spans="1:12" x14ac:dyDescent="0.35">
      <c r="I1" s="7" t="s">
        <v>428</v>
      </c>
    </row>
    <row r="2" spans="1:12" x14ac:dyDescent="0.35">
      <c r="C2" s="7" t="s">
        <v>429</v>
      </c>
      <c r="H2" s="7" t="s">
        <v>430</v>
      </c>
    </row>
    <row r="3" spans="1:12" ht="24" customHeight="1" x14ac:dyDescent="0.35">
      <c r="B3" s="18" t="s">
        <v>105</v>
      </c>
      <c r="C3" s="18"/>
      <c r="D3" s="18"/>
      <c r="E3" s="18"/>
      <c r="F3" s="18"/>
      <c r="H3" s="18" t="s">
        <v>106</v>
      </c>
      <c r="I3" s="18"/>
      <c r="J3" s="18"/>
      <c r="K3" s="18"/>
      <c r="L3" s="18"/>
    </row>
    <row r="4" spans="1:12" ht="27" customHeight="1" x14ac:dyDescent="0.35">
      <c r="B4" s="18"/>
      <c r="C4" s="18"/>
      <c r="D4" s="18"/>
      <c r="E4" s="18"/>
      <c r="F4" s="18"/>
      <c r="H4" s="18"/>
      <c r="I4" s="18"/>
      <c r="J4" s="18"/>
      <c r="K4" s="18"/>
      <c r="L4" s="18"/>
    </row>
    <row r="5" spans="1:12" ht="12" customHeight="1" x14ac:dyDescent="0.35">
      <c r="B5" s="18" t="s">
        <v>431</v>
      </c>
      <c r="C5" s="18"/>
      <c r="D5" s="18"/>
      <c r="E5" s="18"/>
      <c r="F5" s="18"/>
      <c r="H5" s="18" t="s">
        <v>432</v>
      </c>
      <c r="I5" s="18"/>
      <c r="J5" s="18"/>
      <c r="K5" s="18"/>
      <c r="L5" s="18"/>
    </row>
    <row r="6" spans="1:12" ht="1" customHeight="1" x14ac:dyDescent="0.35"/>
    <row r="7" spans="1:12" ht="1" customHeight="1" x14ac:dyDescent="0.35"/>
    <row r="8" spans="1:12" x14ac:dyDescent="0.35">
      <c r="C8" s="20"/>
      <c r="D8" s="20"/>
      <c r="E8" s="20"/>
      <c r="F8" s="20"/>
      <c r="G8" s="20"/>
      <c r="H8" s="20"/>
      <c r="I8" s="20"/>
      <c r="J8" s="20"/>
    </row>
    <row r="9" spans="1:12" x14ac:dyDescent="0.35">
      <c r="A9" s="5" t="str">
        <f>HYPERLINK("#Content!A54","&lt;&lt;Back to content")</f>
        <v>&lt;&lt;Back to content</v>
      </c>
      <c r="C9" s="8" t="s">
        <v>463</v>
      </c>
      <c r="D9" s="8" t="s">
        <v>464</v>
      </c>
      <c r="E9" s="8" t="s">
        <v>465</v>
      </c>
      <c r="F9" s="8" t="s">
        <v>466</v>
      </c>
      <c r="G9" s="8" t="s">
        <v>467</v>
      </c>
      <c r="H9" s="8" t="s">
        <v>468</v>
      </c>
      <c r="I9" s="8" t="s">
        <v>470</v>
      </c>
      <c r="J9" s="8" t="s">
        <v>473</v>
      </c>
    </row>
    <row r="10" spans="1:12" x14ac:dyDescent="0.35">
      <c r="A10" s="19"/>
      <c r="B10" s="16" t="s">
        <v>474</v>
      </c>
      <c r="C10" s="10">
        <v>1035</v>
      </c>
      <c r="D10" s="10">
        <v>1013</v>
      </c>
      <c r="E10" s="10">
        <v>523</v>
      </c>
      <c r="F10" s="10">
        <v>1037</v>
      </c>
      <c r="G10" s="10">
        <v>1007</v>
      </c>
      <c r="H10" s="10">
        <v>1012</v>
      </c>
      <c r="I10" s="10">
        <v>1003</v>
      </c>
      <c r="J10" s="10">
        <v>1002</v>
      </c>
    </row>
    <row r="11" spans="1:12" x14ac:dyDescent="0.35">
      <c r="A11" s="20"/>
      <c r="B11" s="17"/>
      <c r="C11" s="9"/>
      <c r="D11" s="9"/>
      <c r="E11" s="9"/>
      <c r="F11" s="9"/>
      <c r="G11" s="9"/>
      <c r="H11" s="9"/>
      <c r="I11" s="9"/>
      <c r="J11" s="9"/>
    </row>
    <row r="12" spans="1:12" x14ac:dyDescent="0.35">
      <c r="A12" s="19"/>
      <c r="B12" s="11" t="s">
        <v>744</v>
      </c>
      <c r="C12" s="12">
        <v>429</v>
      </c>
      <c r="D12" s="12">
        <v>560</v>
      </c>
      <c r="E12" s="12">
        <v>200</v>
      </c>
      <c r="F12" s="12">
        <v>388</v>
      </c>
      <c r="G12" s="12">
        <v>803</v>
      </c>
      <c r="H12" s="12">
        <v>468</v>
      </c>
      <c r="I12" s="12">
        <v>489</v>
      </c>
      <c r="J12" s="12">
        <v>547</v>
      </c>
    </row>
    <row r="13" spans="1:12" x14ac:dyDescent="0.35">
      <c r="A13" s="19"/>
      <c r="B13" s="13" t="s">
        <v>745</v>
      </c>
      <c r="C13" s="15">
        <v>0.42</v>
      </c>
      <c r="D13" s="15">
        <v>0.55000000000000004</v>
      </c>
      <c r="E13" s="15">
        <v>0.38</v>
      </c>
      <c r="F13" s="15">
        <v>0.38</v>
      </c>
      <c r="G13" s="15">
        <v>0.8</v>
      </c>
      <c r="H13" s="15">
        <v>0.46</v>
      </c>
      <c r="I13" s="15">
        <v>0.49</v>
      </c>
      <c r="J13" s="15">
        <v>0.55000000000000004</v>
      </c>
    </row>
    <row r="14" spans="1:12" x14ac:dyDescent="0.35">
      <c r="A14" s="19"/>
      <c r="B14" s="11" t="s">
        <v>746</v>
      </c>
      <c r="C14" s="12">
        <v>199</v>
      </c>
      <c r="D14" s="12">
        <v>115</v>
      </c>
      <c r="E14" s="12">
        <v>29</v>
      </c>
      <c r="F14" s="12">
        <v>311</v>
      </c>
      <c r="G14" s="12">
        <v>41</v>
      </c>
      <c r="H14" s="12">
        <v>145</v>
      </c>
      <c r="I14" s="12">
        <v>223</v>
      </c>
      <c r="J14" s="12">
        <v>76</v>
      </c>
    </row>
    <row r="15" spans="1:12" x14ac:dyDescent="0.35">
      <c r="A15" s="19"/>
      <c r="B15" s="13" t="s">
        <v>747</v>
      </c>
      <c r="C15" s="15">
        <v>0.19</v>
      </c>
      <c r="D15" s="15">
        <v>0.12</v>
      </c>
      <c r="E15" s="15">
        <v>0.06</v>
      </c>
      <c r="F15" s="15">
        <v>0.3</v>
      </c>
      <c r="G15" s="15">
        <v>0.04</v>
      </c>
      <c r="H15" s="15">
        <v>0.14000000000000001</v>
      </c>
      <c r="I15" s="15">
        <v>0.22</v>
      </c>
      <c r="J15" s="15">
        <v>0.08</v>
      </c>
    </row>
    <row r="16" spans="1:12" ht="21.5" x14ac:dyDescent="0.35">
      <c r="A16" s="19"/>
      <c r="B16" s="11" t="s">
        <v>748</v>
      </c>
      <c r="C16" s="12">
        <v>405</v>
      </c>
      <c r="D16" s="12">
        <v>334</v>
      </c>
      <c r="E16" s="12">
        <v>271</v>
      </c>
      <c r="F16" s="12">
        <v>336</v>
      </c>
      <c r="G16" s="12">
        <v>158</v>
      </c>
      <c r="H16" s="12">
        <v>335</v>
      </c>
      <c r="I16" s="12">
        <v>283</v>
      </c>
      <c r="J16" s="12">
        <v>321</v>
      </c>
    </row>
    <row r="17" spans="1:10" x14ac:dyDescent="0.35">
      <c r="A17" s="19"/>
      <c r="B17" s="13" t="s">
        <v>749</v>
      </c>
      <c r="C17" s="15">
        <v>0.39</v>
      </c>
      <c r="D17" s="15">
        <v>0.33</v>
      </c>
      <c r="E17" s="15">
        <v>0.52</v>
      </c>
      <c r="F17" s="15">
        <v>0.32</v>
      </c>
      <c r="G17" s="15">
        <v>0.16</v>
      </c>
      <c r="H17" s="15">
        <v>0.33</v>
      </c>
      <c r="I17" s="15">
        <v>0.28000000000000003</v>
      </c>
      <c r="J17" s="15">
        <v>0.32</v>
      </c>
    </row>
    <row r="18" spans="1:10" x14ac:dyDescent="0.35">
      <c r="A18" s="19"/>
      <c r="B18" s="11" t="s">
        <v>750</v>
      </c>
      <c r="C18" s="12">
        <v>0</v>
      </c>
      <c r="D18" s="12">
        <v>2</v>
      </c>
      <c r="E18" s="12">
        <v>22</v>
      </c>
      <c r="F18" s="12">
        <v>0</v>
      </c>
      <c r="G18" s="12">
        <v>0</v>
      </c>
      <c r="H18" s="12">
        <v>4</v>
      </c>
      <c r="I18" s="12">
        <v>1</v>
      </c>
      <c r="J18" s="12">
        <v>2</v>
      </c>
    </row>
    <row r="19" spans="1:10" x14ac:dyDescent="0.35">
      <c r="A19" s="19"/>
      <c r="B19" s="13" t="s">
        <v>751</v>
      </c>
      <c r="C19" s="14" t="s">
        <v>475</v>
      </c>
      <c r="D19" s="14" t="s">
        <v>475</v>
      </c>
      <c r="E19" s="15">
        <v>0.04</v>
      </c>
      <c r="F19" s="14" t="s">
        <v>475</v>
      </c>
      <c r="G19" s="14" t="s">
        <v>475</v>
      </c>
      <c r="H19" s="15">
        <v>0.01</v>
      </c>
      <c r="I19" s="14" t="s">
        <v>475</v>
      </c>
      <c r="J19" s="14" t="s">
        <v>475</v>
      </c>
    </row>
    <row r="20" spans="1:10" x14ac:dyDescent="0.35">
      <c r="A20" s="19"/>
      <c r="B20" s="11" t="s">
        <v>485</v>
      </c>
      <c r="C20" s="12">
        <v>3</v>
      </c>
      <c r="D20" s="12">
        <v>2</v>
      </c>
      <c r="E20" s="12">
        <v>1</v>
      </c>
      <c r="F20" s="12">
        <v>2</v>
      </c>
      <c r="G20" s="12">
        <v>4</v>
      </c>
      <c r="H20" s="12">
        <v>62</v>
      </c>
      <c r="I20" s="12">
        <v>7</v>
      </c>
      <c r="J20" s="12">
        <v>56</v>
      </c>
    </row>
    <row r="21" spans="1:10" x14ac:dyDescent="0.35">
      <c r="A21" s="19"/>
      <c r="B21" s="13" t="s">
        <v>486</v>
      </c>
      <c r="C21" s="14" t="s">
        <v>475</v>
      </c>
      <c r="D21" s="14" t="s">
        <v>475</v>
      </c>
      <c r="E21" s="14" t="s">
        <v>475</v>
      </c>
      <c r="F21" s="14" t="s">
        <v>475</v>
      </c>
      <c r="G21" s="14" t="s">
        <v>475</v>
      </c>
      <c r="H21" s="15">
        <v>0.06</v>
      </c>
      <c r="I21" s="15">
        <v>0.01</v>
      </c>
      <c r="J21" s="15">
        <v>0.05</v>
      </c>
    </row>
  </sheetData>
  <mergeCells count="9">
    <mergeCell ref="B4:F4"/>
    <mergeCell ref="H3:L3"/>
    <mergeCell ref="A10:A21"/>
    <mergeCell ref="B3:F3"/>
    <mergeCell ref="B5:F5"/>
    <mergeCell ref="H5:L5"/>
    <mergeCell ref="B10:B11"/>
    <mergeCell ref="H4:L4"/>
    <mergeCell ref="C8:J8"/>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12" width="12.453125" customWidth="1"/>
  </cols>
  <sheetData>
    <row r="1" spans="1:12" x14ac:dyDescent="0.35">
      <c r="I1" s="7" t="s">
        <v>428</v>
      </c>
    </row>
    <row r="2" spans="1:12" x14ac:dyDescent="0.35">
      <c r="C2" s="7" t="s">
        <v>429</v>
      </c>
      <c r="H2" s="7" t="s">
        <v>430</v>
      </c>
    </row>
    <row r="3" spans="1:12" ht="24" customHeight="1" x14ac:dyDescent="0.35">
      <c r="B3" s="18" t="s">
        <v>107</v>
      </c>
      <c r="C3" s="18"/>
      <c r="D3" s="18"/>
      <c r="E3" s="18"/>
      <c r="F3" s="18"/>
      <c r="H3" s="18" t="s">
        <v>108</v>
      </c>
      <c r="I3" s="18"/>
      <c r="J3" s="18"/>
      <c r="K3" s="18"/>
      <c r="L3" s="18"/>
    </row>
    <row r="4" spans="1:12" ht="27" customHeight="1" x14ac:dyDescent="0.35">
      <c r="B4" s="18"/>
      <c r="C4" s="18"/>
      <c r="D4" s="18"/>
      <c r="E4" s="18"/>
      <c r="F4" s="18"/>
      <c r="H4" s="18"/>
      <c r="I4" s="18"/>
      <c r="J4" s="18"/>
      <c r="K4" s="18"/>
      <c r="L4" s="18"/>
    </row>
    <row r="5" spans="1:12" ht="12" customHeight="1" x14ac:dyDescent="0.35">
      <c r="B5" s="18" t="s">
        <v>431</v>
      </c>
      <c r="C5" s="18"/>
      <c r="D5" s="18"/>
      <c r="E5" s="18"/>
      <c r="F5" s="18"/>
      <c r="H5" s="18" t="s">
        <v>432</v>
      </c>
      <c r="I5" s="18"/>
      <c r="J5" s="18"/>
      <c r="K5" s="18"/>
      <c r="L5" s="18"/>
    </row>
    <row r="6" spans="1:12" ht="1" customHeight="1" x14ac:dyDescent="0.35"/>
    <row r="7" spans="1:12" ht="1" customHeight="1" x14ac:dyDescent="0.35"/>
    <row r="8" spans="1:12" x14ac:dyDescent="0.35">
      <c r="C8" s="20"/>
      <c r="D8" s="20"/>
      <c r="E8" s="20"/>
      <c r="F8" s="20"/>
      <c r="G8" s="20"/>
      <c r="H8" s="20"/>
      <c r="I8" s="20"/>
      <c r="J8" s="20"/>
    </row>
    <row r="9" spans="1:12" x14ac:dyDescent="0.35">
      <c r="A9" s="5" t="str">
        <f>HYPERLINK("#Content!A55","&lt;&lt;Back to content")</f>
        <v>&lt;&lt;Back to content</v>
      </c>
      <c r="C9" s="8" t="s">
        <v>463</v>
      </c>
      <c r="D9" s="8" t="s">
        <v>464</v>
      </c>
      <c r="E9" s="8" t="s">
        <v>465</v>
      </c>
      <c r="F9" s="8" t="s">
        <v>466</v>
      </c>
      <c r="G9" s="8" t="s">
        <v>467</v>
      </c>
      <c r="H9" s="8" t="s">
        <v>468</v>
      </c>
      <c r="I9" s="8" t="s">
        <v>470</v>
      </c>
      <c r="J9" s="8" t="s">
        <v>473</v>
      </c>
    </row>
    <row r="10" spans="1:12" x14ac:dyDescent="0.35">
      <c r="A10" s="19"/>
      <c r="B10" s="16" t="s">
        <v>474</v>
      </c>
      <c r="C10" s="10">
        <v>1035</v>
      </c>
      <c r="D10" s="10">
        <v>1013</v>
      </c>
      <c r="E10" s="10">
        <v>523</v>
      </c>
      <c r="F10" s="10">
        <v>1037</v>
      </c>
      <c r="G10" s="10">
        <v>1007</v>
      </c>
      <c r="H10" s="10">
        <v>1012</v>
      </c>
      <c r="I10" s="10">
        <v>1003</v>
      </c>
      <c r="J10" s="10">
        <v>1002</v>
      </c>
    </row>
    <row r="11" spans="1:12" x14ac:dyDescent="0.35">
      <c r="A11" s="20"/>
      <c r="B11" s="17"/>
      <c r="C11" s="9"/>
      <c r="D11" s="9"/>
      <c r="E11" s="9"/>
      <c r="F11" s="9"/>
      <c r="G11" s="9"/>
      <c r="H11" s="9"/>
      <c r="I11" s="9"/>
      <c r="J11" s="9"/>
    </row>
    <row r="12" spans="1:12" x14ac:dyDescent="0.35">
      <c r="A12" s="19"/>
      <c r="B12" s="11" t="s">
        <v>752</v>
      </c>
      <c r="C12" s="12">
        <v>556</v>
      </c>
      <c r="D12" s="12">
        <v>778</v>
      </c>
      <c r="E12" s="12">
        <v>240</v>
      </c>
      <c r="F12" s="12">
        <v>583</v>
      </c>
      <c r="G12" s="12">
        <v>857</v>
      </c>
      <c r="H12" s="12">
        <v>579</v>
      </c>
      <c r="I12" s="12">
        <v>639</v>
      </c>
      <c r="J12" s="12">
        <v>726</v>
      </c>
    </row>
    <row r="13" spans="1:12" x14ac:dyDescent="0.35">
      <c r="A13" s="19"/>
      <c r="B13" s="13" t="s">
        <v>753</v>
      </c>
      <c r="C13" s="15">
        <v>0.54</v>
      </c>
      <c r="D13" s="15">
        <v>0.77</v>
      </c>
      <c r="E13" s="15">
        <v>0.46</v>
      </c>
      <c r="F13" s="15">
        <v>0.56000000000000005</v>
      </c>
      <c r="G13" s="15">
        <v>0.85</v>
      </c>
      <c r="H13" s="15">
        <v>0.57000000000000006</v>
      </c>
      <c r="I13" s="15">
        <v>0.64</v>
      </c>
      <c r="J13" s="15">
        <v>0.72</v>
      </c>
    </row>
    <row r="14" spans="1:12" x14ac:dyDescent="0.35">
      <c r="A14" s="19"/>
      <c r="B14" s="11" t="s">
        <v>754</v>
      </c>
      <c r="C14" s="12">
        <v>450</v>
      </c>
      <c r="D14" s="12">
        <v>215</v>
      </c>
      <c r="E14" s="12">
        <v>210</v>
      </c>
      <c r="F14" s="12">
        <v>407</v>
      </c>
      <c r="G14" s="12">
        <v>93</v>
      </c>
      <c r="H14" s="12">
        <v>307</v>
      </c>
      <c r="I14" s="12">
        <v>323</v>
      </c>
      <c r="J14" s="12">
        <v>167</v>
      </c>
    </row>
    <row r="15" spans="1:12" x14ac:dyDescent="0.35">
      <c r="A15" s="19"/>
      <c r="B15" s="13" t="s">
        <v>755</v>
      </c>
      <c r="C15" s="15">
        <v>0.43</v>
      </c>
      <c r="D15" s="15">
        <v>0.21</v>
      </c>
      <c r="E15" s="15">
        <v>0.4</v>
      </c>
      <c r="F15" s="15">
        <v>0.39</v>
      </c>
      <c r="G15" s="15">
        <v>0.09</v>
      </c>
      <c r="H15" s="15">
        <v>0.31</v>
      </c>
      <c r="I15" s="15">
        <v>0.32</v>
      </c>
      <c r="J15" s="15">
        <v>0.17</v>
      </c>
    </row>
    <row r="16" spans="1:12" x14ac:dyDescent="0.35">
      <c r="A16" s="19"/>
      <c r="B16" s="11" t="s">
        <v>750</v>
      </c>
      <c r="C16" s="12">
        <v>0</v>
      </c>
      <c r="D16" s="12">
        <v>8</v>
      </c>
      <c r="E16" s="12">
        <v>51</v>
      </c>
      <c r="F16" s="12">
        <v>2</v>
      </c>
      <c r="G16" s="12">
        <v>8</v>
      </c>
      <c r="H16" s="12">
        <v>3</v>
      </c>
      <c r="I16" s="12">
        <v>2</v>
      </c>
      <c r="J16" s="12">
        <v>1</v>
      </c>
    </row>
    <row r="17" spans="1:10" x14ac:dyDescent="0.35">
      <c r="A17" s="19"/>
      <c r="B17" s="13" t="s">
        <v>751</v>
      </c>
      <c r="C17" s="14" t="s">
        <v>475</v>
      </c>
      <c r="D17" s="15">
        <v>0.01</v>
      </c>
      <c r="E17" s="15">
        <v>0.1</v>
      </c>
      <c r="F17" s="14" t="s">
        <v>475</v>
      </c>
      <c r="G17" s="15">
        <v>0.01</v>
      </c>
      <c r="H17" s="14" t="s">
        <v>475</v>
      </c>
      <c r="I17" s="14" t="s">
        <v>475</v>
      </c>
      <c r="J17" s="14" t="s">
        <v>475</v>
      </c>
    </row>
    <row r="18" spans="1:10" x14ac:dyDescent="0.35">
      <c r="A18" s="19"/>
      <c r="B18" s="11" t="s">
        <v>485</v>
      </c>
      <c r="C18" s="12">
        <v>29</v>
      </c>
      <c r="D18" s="12">
        <v>12</v>
      </c>
      <c r="E18" s="12">
        <v>21</v>
      </c>
      <c r="F18" s="12">
        <v>44</v>
      </c>
      <c r="G18" s="12">
        <v>49</v>
      </c>
      <c r="H18" s="12">
        <v>123</v>
      </c>
      <c r="I18" s="12">
        <v>38</v>
      </c>
      <c r="J18" s="12">
        <v>108</v>
      </c>
    </row>
    <row r="19" spans="1:10" x14ac:dyDescent="0.35">
      <c r="A19" s="19"/>
      <c r="B19" s="13" t="s">
        <v>486</v>
      </c>
      <c r="C19" s="15">
        <v>0.03</v>
      </c>
      <c r="D19" s="15">
        <v>0.01</v>
      </c>
      <c r="E19" s="15">
        <v>0.04</v>
      </c>
      <c r="F19" s="15">
        <v>0.05</v>
      </c>
      <c r="G19" s="15">
        <v>0.05</v>
      </c>
      <c r="H19" s="15">
        <v>0.12</v>
      </c>
      <c r="I19" s="15">
        <v>0.04</v>
      </c>
      <c r="J19" s="15">
        <v>0.11</v>
      </c>
    </row>
  </sheetData>
  <mergeCells count="9">
    <mergeCell ref="B4:F4"/>
    <mergeCell ref="H3:L3"/>
    <mergeCell ref="B3:F3"/>
    <mergeCell ref="B5:F5"/>
    <mergeCell ref="A10:A19"/>
    <mergeCell ref="H5:L5"/>
    <mergeCell ref="B10:B11"/>
    <mergeCell ref="H4:L4"/>
    <mergeCell ref="C8:J8"/>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12" width="12.453125" customWidth="1"/>
  </cols>
  <sheetData>
    <row r="1" spans="1:12" x14ac:dyDescent="0.35">
      <c r="I1" s="7" t="s">
        <v>428</v>
      </c>
    </row>
    <row r="2" spans="1:12" x14ac:dyDescent="0.35">
      <c r="C2" s="7" t="s">
        <v>429</v>
      </c>
      <c r="H2" s="7" t="s">
        <v>430</v>
      </c>
    </row>
    <row r="3" spans="1:12" ht="24" customHeight="1" x14ac:dyDescent="0.35">
      <c r="B3" s="18" t="s">
        <v>109</v>
      </c>
      <c r="C3" s="18"/>
      <c r="D3" s="18"/>
      <c r="E3" s="18"/>
      <c r="F3" s="18"/>
      <c r="H3" s="18" t="s">
        <v>110</v>
      </c>
      <c r="I3" s="18"/>
      <c r="J3" s="18"/>
      <c r="K3" s="18"/>
      <c r="L3" s="18"/>
    </row>
    <row r="4" spans="1:12" ht="27" customHeight="1" x14ac:dyDescent="0.35">
      <c r="B4" s="18"/>
      <c r="C4" s="18"/>
      <c r="D4" s="18"/>
      <c r="E4" s="18"/>
      <c r="F4" s="18"/>
      <c r="H4" s="18"/>
      <c r="I4" s="18"/>
      <c r="J4" s="18"/>
      <c r="K4" s="18"/>
      <c r="L4" s="18"/>
    </row>
    <row r="5" spans="1:12" ht="12" customHeight="1" x14ac:dyDescent="0.35">
      <c r="B5" s="18" t="s">
        <v>431</v>
      </c>
      <c r="C5" s="18"/>
      <c r="D5" s="18"/>
      <c r="E5" s="18"/>
      <c r="F5" s="18"/>
      <c r="H5" s="18" t="s">
        <v>432</v>
      </c>
      <c r="I5" s="18"/>
      <c r="J5" s="18"/>
      <c r="K5" s="18"/>
      <c r="L5" s="18"/>
    </row>
    <row r="6" spans="1:12" ht="1" customHeight="1" x14ac:dyDescent="0.35"/>
    <row r="7" spans="1:12" ht="1" customHeight="1" x14ac:dyDescent="0.35"/>
    <row r="8" spans="1:12" x14ac:dyDescent="0.35">
      <c r="C8" s="20"/>
    </row>
    <row r="9" spans="1:12" x14ac:dyDescent="0.35">
      <c r="A9" s="5" t="str">
        <f>HYPERLINK("#Content!A56","&lt;&lt;Back to content")</f>
        <v>&lt;&lt;Back to content</v>
      </c>
      <c r="C9" s="8" t="s">
        <v>472</v>
      </c>
    </row>
    <row r="10" spans="1:12" x14ac:dyDescent="0.35">
      <c r="A10" s="19"/>
      <c r="B10" s="16" t="s">
        <v>474</v>
      </c>
      <c r="C10" s="10">
        <v>524</v>
      </c>
    </row>
    <row r="11" spans="1:12" x14ac:dyDescent="0.35">
      <c r="A11" s="20"/>
      <c r="B11" s="17"/>
      <c r="C11" s="9"/>
    </row>
    <row r="12" spans="1:12" x14ac:dyDescent="0.35">
      <c r="A12" s="19"/>
      <c r="B12" s="11" t="s">
        <v>744</v>
      </c>
      <c r="C12" s="12">
        <v>271</v>
      </c>
    </row>
    <row r="13" spans="1:12" x14ac:dyDescent="0.35">
      <c r="A13" s="19"/>
      <c r="B13" s="13" t="s">
        <v>745</v>
      </c>
      <c r="C13" s="15">
        <v>0.52</v>
      </c>
    </row>
    <row r="14" spans="1:12" x14ac:dyDescent="0.35">
      <c r="A14" s="19"/>
      <c r="B14" s="11" t="s">
        <v>746</v>
      </c>
      <c r="C14" s="12">
        <v>106</v>
      </c>
    </row>
    <row r="15" spans="1:12" x14ac:dyDescent="0.35">
      <c r="A15" s="19"/>
      <c r="B15" s="13" t="s">
        <v>747</v>
      </c>
      <c r="C15" s="15">
        <v>0.2</v>
      </c>
    </row>
    <row r="16" spans="1:12" ht="21.5" x14ac:dyDescent="0.35">
      <c r="A16" s="19"/>
      <c r="B16" s="11" t="s">
        <v>748</v>
      </c>
      <c r="C16" s="12">
        <v>144</v>
      </c>
    </row>
    <row r="17" spans="1:3" x14ac:dyDescent="0.35">
      <c r="A17" s="19"/>
      <c r="B17" s="13" t="s">
        <v>749</v>
      </c>
      <c r="C17" s="15">
        <v>0.28000000000000003</v>
      </c>
    </row>
    <row r="18" spans="1:3" x14ac:dyDescent="0.35">
      <c r="A18" s="19"/>
      <c r="B18" s="11" t="s">
        <v>750</v>
      </c>
      <c r="C18" s="12">
        <v>1</v>
      </c>
    </row>
    <row r="19" spans="1:3" x14ac:dyDescent="0.35">
      <c r="A19" s="19"/>
      <c r="B19" s="13" t="s">
        <v>751</v>
      </c>
      <c r="C19" s="14" t="s">
        <v>475</v>
      </c>
    </row>
    <row r="20" spans="1:3" x14ac:dyDescent="0.35">
      <c r="A20" s="19"/>
      <c r="B20" s="11" t="s">
        <v>485</v>
      </c>
      <c r="C20" s="12">
        <v>1</v>
      </c>
    </row>
    <row r="21" spans="1:3" x14ac:dyDescent="0.35">
      <c r="A21" s="19"/>
      <c r="B21" s="13" t="s">
        <v>486</v>
      </c>
      <c r="C21" s="14" t="s">
        <v>475</v>
      </c>
    </row>
  </sheetData>
  <mergeCells count="9">
    <mergeCell ref="B4:F4"/>
    <mergeCell ref="H3:L3"/>
    <mergeCell ref="A10:A21"/>
    <mergeCell ref="C8"/>
    <mergeCell ref="B3:F3"/>
    <mergeCell ref="B5:F5"/>
    <mergeCell ref="H5:L5"/>
    <mergeCell ref="B10:B11"/>
    <mergeCell ref="H4:L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19"/>
  <sheetViews>
    <sheetView workbookViewId="0">
      <pane xSplit="3" ySplit="9" topLeftCell="D10" activePane="bottomRight" state="frozen"/>
      <selection pane="topRight"/>
      <selection pane="bottomLeft"/>
      <selection pane="bottomRight" activeCell="D16" sqref="D16"/>
    </sheetView>
  </sheetViews>
  <sheetFormatPr defaultRowHeight="14.5" x14ac:dyDescent="0.35"/>
  <cols>
    <col min="1" max="1" width="8.453125" customWidth="1"/>
    <col min="2" max="2" width="19.26953125" customWidth="1"/>
    <col min="3" max="12" width="12.453125" customWidth="1"/>
  </cols>
  <sheetData>
    <row r="1" spans="1:12" x14ac:dyDescent="0.35">
      <c r="I1" s="7" t="s">
        <v>428</v>
      </c>
    </row>
    <row r="2" spans="1:12" x14ac:dyDescent="0.35">
      <c r="C2" s="7" t="s">
        <v>429</v>
      </c>
      <c r="H2" s="7" t="s">
        <v>430</v>
      </c>
    </row>
    <row r="3" spans="1:12" ht="36" customHeight="1" x14ac:dyDescent="0.35">
      <c r="B3" s="18" t="s">
        <v>111</v>
      </c>
      <c r="C3" s="18"/>
      <c r="D3" s="18"/>
      <c r="E3" s="18"/>
      <c r="F3" s="18"/>
      <c r="H3" s="18" t="s">
        <v>112</v>
      </c>
      <c r="I3" s="18"/>
      <c r="J3" s="18"/>
      <c r="K3" s="18"/>
      <c r="L3" s="18"/>
    </row>
    <row r="4" spans="1:12" ht="27" customHeight="1" x14ac:dyDescent="0.35">
      <c r="B4" s="18"/>
      <c r="C4" s="18"/>
      <c r="D4" s="18"/>
      <c r="E4" s="18"/>
      <c r="F4" s="18"/>
      <c r="H4" s="18"/>
      <c r="I4" s="18"/>
      <c r="J4" s="18"/>
      <c r="K4" s="18"/>
      <c r="L4" s="18"/>
    </row>
    <row r="5" spans="1:12" ht="12" customHeight="1" x14ac:dyDescent="0.35">
      <c r="B5" s="18" t="s">
        <v>431</v>
      </c>
      <c r="C5" s="18"/>
      <c r="D5" s="18"/>
      <c r="E5" s="18"/>
      <c r="F5" s="18"/>
      <c r="H5" s="18" t="s">
        <v>432</v>
      </c>
      <c r="I5" s="18"/>
      <c r="J5" s="18"/>
      <c r="K5" s="18"/>
      <c r="L5" s="18"/>
    </row>
    <row r="6" spans="1:12" ht="1" customHeight="1" x14ac:dyDescent="0.35"/>
    <row r="7" spans="1:12" ht="1" customHeight="1" x14ac:dyDescent="0.35"/>
    <row r="8" spans="1:12" x14ac:dyDescent="0.35">
      <c r="C8" s="20"/>
    </row>
    <row r="9" spans="1:12" x14ac:dyDescent="0.35">
      <c r="A9" s="5" t="str">
        <f>HYPERLINK("#Content!A57","&lt;&lt;Back to content")</f>
        <v>&lt;&lt;Back to content</v>
      </c>
      <c r="C9" s="8" t="s">
        <v>472</v>
      </c>
    </row>
    <row r="10" spans="1:12" x14ac:dyDescent="0.35">
      <c r="A10" s="21"/>
      <c r="B10" s="16" t="s">
        <v>474</v>
      </c>
      <c r="C10" s="10">
        <v>524</v>
      </c>
    </row>
    <row r="11" spans="1:12" x14ac:dyDescent="0.35">
      <c r="A11" s="22"/>
      <c r="B11" s="17"/>
      <c r="C11" s="9"/>
    </row>
    <row r="12" spans="1:12" x14ac:dyDescent="0.35">
      <c r="A12" s="22"/>
      <c r="B12" s="11" t="s">
        <v>752</v>
      </c>
      <c r="C12" s="12">
        <v>354</v>
      </c>
    </row>
    <row r="13" spans="1:12" x14ac:dyDescent="0.35">
      <c r="A13" s="22"/>
      <c r="B13" s="13" t="s">
        <v>753</v>
      </c>
      <c r="C13" s="15">
        <v>0.68</v>
      </c>
    </row>
    <row r="14" spans="1:12" x14ac:dyDescent="0.35">
      <c r="A14" s="22"/>
      <c r="B14" s="11" t="s">
        <v>754</v>
      </c>
      <c r="C14" s="12">
        <v>168</v>
      </c>
    </row>
    <row r="15" spans="1:12" x14ac:dyDescent="0.35">
      <c r="A15" s="22"/>
      <c r="B15" s="13" t="s">
        <v>755</v>
      </c>
      <c r="C15" s="15">
        <v>0.32</v>
      </c>
    </row>
    <row r="16" spans="1:12" x14ac:dyDescent="0.35">
      <c r="A16" s="22"/>
      <c r="B16" s="11" t="s">
        <v>750</v>
      </c>
      <c r="C16" s="12">
        <v>2</v>
      </c>
    </row>
    <row r="17" spans="1:3" x14ac:dyDescent="0.35">
      <c r="A17" s="22"/>
      <c r="B17" s="13" t="s">
        <v>751</v>
      </c>
      <c r="C17" s="14" t="s">
        <v>475</v>
      </c>
    </row>
    <row r="18" spans="1:3" x14ac:dyDescent="0.35">
      <c r="A18" s="22"/>
      <c r="B18" s="11" t="s">
        <v>485</v>
      </c>
      <c r="C18" s="12">
        <v>0</v>
      </c>
    </row>
    <row r="19" spans="1:3" x14ac:dyDescent="0.35">
      <c r="A19" s="23"/>
      <c r="B19" s="13" t="s">
        <v>486</v>
      </c>
      <c r="C19" s="14" t="s">
        <v>475</v>
      </c>
    </row>
  </sheetData>
  <mergeCells count="9">
    <mergeCell ref="B10:B11"/>
    <mergeCell ref="H4:L4"/>
    <mergeCell ref="A10:A19"/>
    <mergeCell ref="B4:F4"/>
    <mergeCell ref="H3:L3"/>
    <mergeCell ref="C8"/>
    <mergeCell ref="B3:F3"/>
    <mergeCell ref="B5:F5"/>
    <mergeCell ref="H5:L5"/>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1"/>
  <sheetViews>
    <sheetView workbookViewId="0">
      <pane xSplit="3" ySplit="9" topLeftCell="D10" activePane="bottomRight" state="frozen"/>
      <selection pane="topRight"/>
      <selection pane="bottomLeft"/>
      <selection pane="bottomRight" activeCell="C18" sqref="C18:C19"/>
    </sheetView>
  </sheetViews>
  <sheetFormatPr defaultRowHeight="14.5" x14ac:dyDescent="0.35"/>
  <cols>
    <col min="1" max="1" width="8.453125" customWidth="1"/>
    <col min="2" max="2" width="19.26953125" customWidth="1"/>
    <col min="3" max="12" width="12.453125" customWidth="1"/>
  </cols>
  <sheetData>
    <row r="1" spans="1:12" x14ac:dyDescent="0.35">
      <c r="I1" s="7" t="s">
        <v>428</v>
      </c>
    </row>
    <row r="2" spans="1:12" x14ac:dyDescent="0.35">
      <c r="C2" s="7" t="s">
        <v>429</v>
      </c>
      <c r="H2" s="7" t="s">
        <v>430</v>
      </c>
    </row>
    <row r="3" spans="1:12" ht="24" customHeight="1" x14ac:dyDescent="0.35">
      <c r="B3" s="18" t="s">
        <v>113</v>
      </c>
      <c r="C3" s="18"/>
      <c r="D3" s="18"/>
      <c r="E3" s="18"/>
      <c r="F3" s="18"/>
      <c r="H3" s="18" t="s">
        <v>114</v>
      </c>
      <c r="I3" s="18"/>
      <c r="J3" s="18"/>
      <c r="K3" s="18"/>
      <c r="L3" s="18"/>
    </row>
    <row r="4" spans="1:12" ht="27" customHeight="1" x14ac:dyDescent="0.35">
      <c r="B4" s="18"/>
      <c r="C4" s="18"/>
      <c r="D4" s="18"/>
      <c r="E4" s="18"/>
      <c r="F4" s="18"/>
      <c r="H4" s="18"/>
      <c r="I4" s="18"/>
      <c r="J4" s="18"/>
      <c r="K4" s="18"/>
      <c r="L4" s="18"/>
    </row>
    <row r="5" spans="1:12" ht="12" customHeight="1" x14ac:dyDescent="0.35">
      <c r="B5" s="18" t="s">
        <v>431</v>
      </c>
      <c r="C5" s="18"/>
      <c r="D5" s="18"/>
      <c r="E5" s="18"/>
      <c r="F5" s="18"/>
      <c r="H5" s="18" t="s">
        <v>432</v>
      </c>
      <c r="I5" s="18"/>
      <c r="J5" s="18"/>
      <c r="K5" s="18"/>
      <c r="L5" s="18"/>
    </row>
    <row r="6" spans="1:12" ht="1" customHeight="1" x14ac:dyDescent="0.35"/>
    <row r="7" spans="1:12" ht="1" customHeight="1" x14ac:dyDescent="0.35"/>
    <row r="8" spans="1:12" x14ac:dyDescent="0.35">
      <c r="C8" s="20"/>
    </row>
    <row r="9" spans="1:12" x14ac:dyDescent="0.35">
      <c r="A9" s="5" t="str">
        <f>HYPERLINK("#Content!A58","&lt;&lt;Back to content")</f>
        <v>&lt;&lt;Back to content</v>
      </c>
      <c r="C9" s="8" t="s">
        <v>471</v>
      </c>
    </row>
    <row r="10" spans="1:12" x14ac:dyDescent="0.35">
      <c r="A10" s="19"/>
      <c r="B10" s="16" t="s">
        <v>474</v>
      </c>
      <c r="C10" s="10">
        <v>1005</v>
      </c>
    </row>
    <row r="11" spans="1:12" x14ac:dyDescent="0.35">
      <c r="A11" s="20"/>
      <c r="B11" s="17"/>
      <c r="C11" s="9"/>
    </row>
    <row r="12" spans="1:12" x14ac:dyDescent="0.35">
      <c r="A12" s="19"/>
      <c r="B12" s="11" t="s">
        <v>744</v>
      </c>
      <c r="C12" s="12">
        <v>740</v>
      </c>
    </row>
    <row r="13" spans="1:12" x14ac:dyDescent="0.35">
      <c r="A13" s="19"/>
      <c r="B13" s="13" t="s">
        <v>745</v>
      </c>
      <c r="C13" s="15">
        <v>0.74</v>
      </c>
    </row>
    <row r="14" spans="1:12" x14ac:dyDescent="0.35">
      <c r="A14" s="19"/>
      <c r="B14" s="11" t="s">
        <v>746</v>
      </c>
      <c r="C14" s="12">
        <v>41</v>
      </c>
    </row>
    <row r="15" spans="1:12" x14ac:dyDescent="0.35">
      <c r="A15" s="19"/>
      <c r="B15" s="13" t="s">
        <v>747</v>
      </c>
      <c r="C15" s="15">
        <v>0.04</v>
      </c>
    </row>
    <row r="16" spans="1:12" ht="21.5" x14ac:dyDescent="0.35">
      <c r="A16" s="19"/>
      <c r="B16" s="11" t="s">
        <v>748</v>
      </c>
      <c r="C16" s="12">
        <v>133</v>
      </c>
    </row>
    <row r="17" spans="1:3" x14ac:dyDescent="0.35">
      <c r="A17" s="19"/>
      <c r="B17" s="13" t="s">
        <v>749</v>
      </c>
      <c r="C17" s="15">
        <v>0.13</v>
      </c>
    </row>
    <row r="18" spans="1:3" x14ac:dyDescent="0.35">
      <c r="A18" s="19"/>
      <c r="B18" s="11" t="s">
        <v>750</v>
      </c>
      <c r="C18" s="12">
        <v>0</v>
      </c>
    </row>
    <row r="19" spans="1:3" x14ac:dyDescent="0.35">
      <c r="A19" s="19"/>
      <c r="B19" s="13" t="s">
        <v>751</v>
      </c>
      <c r="C19" s="14" t="s">
        <v>475</v>
      </c>
    </row>
    <row r="20" spans="1:3" x14ac:dyDescent="0.35">
      <c r="A20" s="19"/>
      <c r="B20" s="11" t="s">
        <v>485</v>
      </c>
      <c r="C20" s="12">
        <v>91</v>
      </c>
    </row>
    <row r="21" spans="1:3" x14ac:dyDescent="0.35">
      <c r="A21" s="19"/>
      <c r="B21" s="13" t="s">
        <v>486</v>
      </c>
      <c r="C21" s="15">
        <v>0.09</v>
      </c>
    </row>
  </sheetData>
  <mergeCells count="9">
    <mergeCell ref="H3:L3"/>
    <mergeCell ref="C8"/>
    <mergeCell ref="B3:F3"/>
    <mergeCell ref="B5:F5"/>
    <mergeCell ref="A10:A21"/>
    <mergeCell ref="H5:L5"/>
    <mergeCell ref="B10:B11"/>
    <mergeCell ref="H4:L4"/>
    <mergeCell ref="B4:F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12" width="12.453125" customWidth="1"/>
  </cols>
  <sheetData>
    <row r="1" spans="1:12" x14ac:dyDescent="0.35">
      <c r="I1" s="7" t="s">
        <v>428</v>
      </c>
    </row>
    <row r="2" spans="1:12" x14ac:dyDescent="0.35">
      <c r="C2" s="7" t="s">
        <v>429</v>
      </c>
      <c r="H2" s="7" t="s">
        <v>430</v>
      </c>
    </row>
    <row r="3" spans="1:12" ht="24" customHeight="1" x14ac:dyDescent="0.35">
      <c r="B3" s="18" t="s">
        <v>115</v>
      </c>
      <c r="C3" s="18"/>
      <c r="D3" s="18"/>
      <c r="E3" s="18"/>
      <c r="F3" s="18"/>
      <c r="H3" s="18" t="s">
        <v>116</v>
      </c>
      <c r="I3" s="18"/>
      <c r="J3" s="18"/>
      <c r="K3" s="18"/>
      <c r="L3" s="18"/>
    </row>
    <row r="4" spans="1:12" ht="27" customHeight="1" x14ac:dyDescent="0.35">
      <c r="B4" s="18"/>
      <c r="C4" s="18"/>
      <c r="D4" s="18"/>
      <c r="E4" s="18"/>
      <c r="F4" s="18"/>
      <c r="H4" s="18"/>
      <c r="I4" s="18"/>
      <c r="J4" s="18"/>
      <c r="K4" s="18"/>
      <c r="L4" s="18"/>
    </row>
    <row r="5" spans="1:12" ht="12" customHeight="1" x14ac:dyDescent="0.35">
      <c r="B5" s="18" t="s">
        <v>431</v>
      </c>
      <c r="C5" s="18"/>
      <c r="D5" s="18"/>
      <c r="E5" s="18"/>
      <c r="F5" s="18"/>
      <c r="H5" s="18" t="s">
        <v>432</v>
      </c>
      <c r="I5" s="18"/>
      <c r="J5" s="18"/>
      <c r="K5" s="18"/>
      <c r="L5" s="18"/>
    </row>
    <row r="6" spans="1:12" ht="1" customHeight="1" x14ac:dyDescent="0.35"/>
    <row r="7" spans="1:12" ht="1" customHeight="1" x14ac:dyDescent="0.35"/>
    <row r="8" spans="1:12" x14ac:dyDescent="0.35">
      <c r="C8" s="20"/>
    </row>
    <row r="9" spans="1:12" x14ac:dyDescent="0.35">
      <c r="A9" s="5" t="str">
        <f>HYPERLINK("#Content!A59","&lt;&lt;Back to content")</f>
        <v>&lt;&lt;Back to content</v>
      </c>
      <c r="C9" s="8" t="s">
        <v>471</v>
      </c>
    </row>
    <row r="10" spans="1:12" x14ac:dyDescent="0.35">
      <c r="A10" s="19"/>
      <c r="B10" s="16" t="s">
        <v>474</v>
      </c>
      <c r="C10" s="10">
        <v>1005</v>
      </c>
    </row>
    <row r="11" spans="1:12" x14ac:dyDescent="0.35">
      <c r="A11" s="20"/>
      <c r="B11" s="17"/>
      <c r="C11" s="9"/>
    </row>
    <row r="12" spans="1:12" x14ac:dyDescent="0.35">
      <c r="A12" s="19"/>
      <c r="B12" s="11" t="s">
        <v>752</v>
      </c>
      <c r="C12" s="12">
        <v>837</v>
      </c>
    </row>
    <row r="13" spans="1:12" x14ac:dyDescent="0.35">
      <c r="A13" s="19"/>
      <c r="B13" s="13" t="s">
        <v>753</v>
      </c>
      <c r="C13" s="15">
        <v>0.83000000000000007</v>
      </c>
    </row>
    <row r="14" spans="1:12" x14ac:dyDescent="0.35">
      <c r="A14" s="19"/>
      <c r="B14" s="11" t="s">
        <v>754</v>
      </c>
      <c r="C14" s="12">
        <v>59</v>
      </c>
    </row>
    <row r="15" spans="1:12" x14ac:dyDescent="0.35">
      <c r="A15" s="19"/>
      <c r="B15" s="13" t="s">
        <v>755</v>
      </c>
      <c r="C15" s="15">
        <v>0.06</v>
      </c>
    </row>
    <row r="16" spans="1:12" x14ac:dyDescent="0.35">
      <c r="A16" s="19"/>
      <c r="B16" s="11" t="s">
        <v>750</v>
      </c>
      <c r="C16" s="12">
        <v>1</v>
      </c>
    </row>
    <row r="17" spans="1:3" x14ac:dyDescent="0.35">
      <c r="A17" s="19"/>
      <c r="B17" s="13" t="s">
        <v>751</v>
      </c>
      <c r="C17" s="14" t="s">
        <v>475</v>
      </c>
    </row>
    <row r="18" spans="1:3" x14ac:dyDescent="0.35">
      <c r="A18" s="19"/>
      <c r="B18" s="11" t="s">
        <v>485</v>
      </c>
      <c r="C18" s="12">
        <v>108</v>
      </c>
    </row>
    <row r="19" spans="1:3" x14ac:dyDescent="0.35">
      <c r="A19" s="19"/>
      <c r="B19" s="13" t="s">
        <v>486</v>
      </c>
      <c r="C19" s="15">
        <v>0.11</v>
      </c>
    </row>
  </sheetData>
  <mergeCells count="9">
    <mergeCell ref="H3:L3"/>
    <mergeCell ref="C8"/>
    <mergeCell ref="B3:F3"/>
    <mergeCell ref="B5:F5"/>
    <mergeCell ref="A10:A19"/>
    <mergeCell ref="H5:L5"/>
    <mergeCell ref="B10:B11"/>
    <mergeCell ref="H4:L4"/>
    <mergeCell ref="B4:F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756</v>
      </c>
      <c r="C3" s="18"/>
      <c r="D3" s="18"/>
      <c r="E3" s="18"/>
      <c r="F3" s="18"/>
      <c r="H3" s="18" t="s">
        <v>757</v>
      </c>
      <c r="I3" s="18"/>
      <c r="J3" s="18"/>
      <c r="K3" s="18"/>
      <c r="L3" s="18"/>
    </row>
    <row r="4" spans="1:43" ht="27" customHeight="1" x14ac:dyDescent="0.35">
      <c r="B4" s="18" t="s">
        <v>758</v>
      </c>
      <c r="C4" s="18"/>
      <c r="D4" s="18"/>
      <c r="E4" s="18"/>
      <c r="F4" s="18"/>
      <c r="H4" s="18" t="s">
        <v>759</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HYPERLINK("#Content!A60","&lt;&lt;Back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3309</v>
      </c>
      <c r="D12" s="12">
        <v>99</v>
      </c>
      <c r="E12" s="12">
        <v>137</v>
      </c>
      <c r="F12" s="12">
        <v>92</v>
      </c>
      <c r="G12" s="12">
        <v>219</v>
      </c>
      <c r="H12" s="12">
        <v>156</v>
      </c>
      <c r="I12" s="12">
        <v>199</v>
      </c>
      <c r="J12" s="12">
        <v>43</v>
      </c>
      <c r="K12" s="12">
        <v>118</v>
      </c>
      <c r="L12" s="12">
        <v>186</v>
      </c>
      <c r="M12" s="12">
        <v>169</v>
      </c>
      <c r="N12" s="12">
        <v>116</v>
      </c>
      <c r="O12" s="12">
        <v>106</v>
      </c>
      <c r="P12" s="12">
        <v>139</v>
      </c>
      <c r="Q12" s="12">
        <v>90</v>
      </c>
      <c r="R12" s="12">
        <v>75</v>
      </c>
      <c r="S12" s="12">
        <v>196</v>
      </c>
      <c r="T12" s="12">
        <v>150</v>
      </c>
      <c r="U12" s="12">
        <v>137</v>
      </c>
      <c r="V12" s="12">
        <v>123</v>
      </c>
      <c r="W12" s="12">
        <v>63</v>
      </c>
      <c r="X12" s="12">
        <v>179</v>
      </c>
      <c r="Y12" s="12">
        <v>225</v>
      </c>
      <c r="Z12" s="12">
        <v>134</v>
      </c>
      <c r="AA12" s="12">
        <v>95</v>
      </c>
      <c r="AB12" s="12">
        <v>107</v>
      </c>
      <c r="AC12" s="12">
        <v>161</v>
      </c>
      <c r="AD12" s="12">
        <v>206</v>
      </c>
      <c r="AE12" s="12">
        <v>141</v>
      </c>
      <c r="AF12" s="12">
        <v>209</v>
      </c>
      <c r="AG12" s="12">
        <v>125</v>
      </c>
      <c r="AH12" s="12">
        <v>148</v>
      </c>
      <c r="AI12" s="12">
        <v>104</v>
      </c>
      <c r="AJ12" s="12">
        <v>165</v>
      </c>
      <c r="AK12" s="12">
        <v>117</v>
      </c>
      <c r="AL12" s="12">
        <v>248</v>
      </c>
      <c r="AM12" s="12">
        <v>113</v>
      </c>
      <c r="AN12" s="12">
        <v>125</v>
      </c>
      <c r="AO12" s="12">
        <v>303</v>
      </c>
      <c r="AP12" s="12">
        <v>142</v>
      </c>
      <c r="AQ12" s="12">
        <v>175</v>
      </c>
    </row>
    <row r="13" spans="1:43" x14ac:dyDescent="0.35">
      <c r="A13" s="19"/>
      <c r="B13" s="13" t="s">
        <v>761</v>
      </c>
      <c r="C13" s="15">
        <v>0.13</v>
      </c>
      <c r="D13" s="15">
        <v>0.1</v>
      </c>
      <c r="E13" s="15">
        <v>0.13</v>
      </c>
      <c r="F13" s="15">
        <v>0.08</v>
      </c>
      <c r="G13" s="15">
        <v>0.22</v>
      </c>
      <c r="H13" s="15">
        <v>0.13</v>
      </c>
      <c r="I13" s="15">
        <v>0.13</v>
      </c>
      <c r="J13" s="15">
        <v>0.15</v>
      </c>
      <c r="K13" s="15">
        <v>0.12</v>
      </c>
      <c r="L13" s="15">
        <v>0.19</v>
      </c>
      <c r="M13" s="15">
        <v>0.17</v>
      </c>
      <c r="N13" s="15">
        <v>0.12</v>
      </c>
      <c r="O13" s="15">
        <v>0.11</v>
      </c>
      <c r="P13" s="15">
        <v>0.14000000000000001</v>
      </c>
      <c r="Q13" s="15">
        <v>0.09</v>
      </c>
      <c r="R13" s="15">
        <v>0.15</v>
      </c>
      <c r="S13" s="15">
        <v>0.19</v>
      </c>
      <c r="T13" s="15">
        <v>0.15</v>
      </c>
      <c r="U13" s="15">
        <v>0.27</v>
      </c>
      <c r="V13" s="15">
        <v>0.12</v>
      </c>
      <c r="W13" s="15">
        <v>0.12</v>
      </c>
      <c r="X13" s="15">
        <v>0.18</v>
      </c>
      <c r="Y13" s="15">
        <v>0.22</v>
      </c>
      <c r="Z13" s="15">
        <v>0.13</v>
      </c>
      <c r="AA13" s="15">
        <v>0.09</v>
      </c>
      <c r="AB13" s="15">
        <v>0.1</v>
      </c>
      <c r="AC13" s="15">
        <v>0.16</v>
      </c>
      <c r="AD13" s="15">
        <v>0.2</v>
      </c>
      <c r="AE13" s="15">
        <v>0.14000000000000001</v>
      </c>
      <c r="AF13" s="15">
        <v>0.2</v>
      </c>
      <c r="AG13" s="15">
        <v>0.12</v>
      </c>
      <c r="AH13" s="15">
        <v>0.15</v>
      </c>
      <c r="AI13" s="15">
        <v>0.2</v>
      </c>
      <c r="AJ13" s="15">
        <v>0.16</v>
      </c>
      <c r="AK13" s="15">
        <v>0.11</v>
      </c>
      <c r="AL13" s="15">
        <v>0.25</v>
      </c>
      <c r="AM13" s="15">
        <v>0.11</v>
      </c>
      <c r="AN13" s="15">
        <v>0.12</v>
      </c>
      <c r="AO13" s="15">
        <v>0.3</v>
      </c>
      <c r="AP13" s="15">
        <v>0.27</v>
      </c>
      <c r="AQ13" s="15">
        <v>0.17</v>
      </c>
    </row>
    <row r="14" spans="1:43" x14ac:dyDescent="0.35">
      <c r="A14" s="19"/>
      <c r="B14" s="11" t="s">
        <v>762</v>
      </c>
      <c r="C14" s="12">
        <v>13374</v>
      </c>
      <c r="D14" s="12">
        <v>513</v>
      </c>
      <c r="E14" s="12">
        <v>471</v>
      </c>
      <c r="F14" s="12">
        <v>482</v>
      </c>
      <c r="G14" s="12">
        <v>568</v>
      </c>
      <c r="H14" s="12">
        <v>750</v>
      </c>
      <c r="I14" s="12">
        <v>869</v>
      </c>
      <c r="J14" s="12">
        <v>119</v>
      </c>
      <c r="K14" s="12">
        <v>487</v>
      </c>
      <c r="L14" s="12">
        <v>558</v>
      </c>
      <c r="M14" s="12">
        <v>429</v>
      </c>
      <c r="N14" s="12">
        <v>508</v>
      </c>
      <c r="O14" s="12">
        <v>381</v>
      </c>
      <c r="P14" s="12">
        <v>527</v>
      </c>
      <c r="Q14" s="12">
        <v>431</v>
      </c>
      <c r="R14" s="12">
        <v>258</v>
      </c>
      <c r="S14" s="12">
        <v>509</v>
      </c>
      <c r="T14" s="12">
        <v>571</v>
      </c>
      <c r="U14" s="12">
        <v>254</v>
      </c>
      <c r="V14" s="12">
        <v>500</v>
      </c>
      <c r="W14" s="12">
        <v>252</v>
      </c>
      <c r="X14" s="12">
        <v>543</v>
      </c>
      <c r="Y14" s="12">
        <v>462</v>
      </c>
      <c r="Z14" s="12">
        <v>645</v>
      </c>
      <c r="AA14" s="12">
        <v>649</v>
      </c>
      <c r="AB14" s="12">
        <v>583</v>
      </c>
      <c r="AC14" s="12">
        <v>554</v>
      </c>
      <c r="AD14" s="12">
        <v>470</v>
      </c>
      <c r="AE14" s="12">
        <v>642</v>
      </c>
      <c r="AF14" s="12">
        <v>694</v>
      </c>
      <c r="AG14" s="12">
        <v>333</v>
      </c>
      <c r="AH14" s="12">
        <v>508</v>
      </c>
      <c r="AI14" s="12">
        <v>176</v>
      </c>
      <c r="AJ14" s="12">
        <v>494</v>
      </c>
      <c r="AK14" s="12">
        <v>574</v>
      </c>
      <c r="AL14" s="12">
        <v>332</v>
      </c>
      <c r="AM14" s="12">
        <v>506</v>
      </c>
      <c r="AN14" s="12">
        <v>472</v>
      </c>
      <c r="AO14" s="12">
        <v>388</v>
      </c>
      <c r="AP14" s="12">
        <v>188</v>
      </c>
      <c r="AQ14" s="12">
        <v>425</v>
      </c>
    </row>
    <row r="15" spans="1:43" x14ac:dyDescent="0.35">
      <c r="A15" s="19"/>
      <c r="B15" s="13" t="s">
        <v>763</v>
      </c>
      <c r="C15" s="15">
        <v>0.51</v>
      </c>
      <c r="D15" s="15">
        <v>0.51</v>
      </c>
      <c r="E15" s="15">
        <v>0.46</v>
      </c>
      <c r="F15" s="15">
        <v>0.44</v>
      </c>
      <c r="G15" s="15">
        <v>0.56000000000000005</v>
      </c>
      <c r="H15" s="15">
        <v>0.62</v>
      </c>
      <c r="I15" s="15">
        <v>0.57999999999999996</v>
      </c>
      <c r="J15" s="15">
        <v>0.4</v>
      </c>
      <c r="K15" s="15">
        <v>0.49</v>
      </c>
      <c r="L15" s="15">
        <v>0.56000000000000005</v>
      </c>
      <c r="M15" s="15">
        <v>0.42</v>
      </c>
      <c r="N15" s="15">
        <v>0.51</v>
      </c>
      <c r="O15" s="15">
        <v>0.38</v>
      </c>
      <c r="P15" s="15">
        <v>0.52</v>
      </c>
      <c r="Q15" s="15">
        <v>0.42</v>
      </c>
      <c r="R15" s="15">
        <v>0.51</v>
      </c>
      <c r="S15" s="15">
        <v>0.51</v>
      </c>
      <c r="T15" s="15">
        <v>0.57000000000000006</v>
      </c>
      <c r="U15" s="15">
        <v>0.5</v>
      </c>
      <c r="V15" s="15">
        <v>0.49</v>
      </c>
      <c r="W15" s="15">
        <v>0.5</v>
      </c>
      <c r="X15" s="15">
        <v>0.54</v>
      </c>
      <c r="Y15" s="15">
        <v>0.46</v>
      </c>
      <c r="Z15" s="15">
        <v>0.63</v>
      </c>
      <c r="AA15" s="15">
        <v>0.63</v>
      </c>
      <c r="AB15" s="15">
        <v>0.55000000000000004</v>
      </c>
      <c r="AC15" s="15">
        <v>0.55000000000000004</v>
      </c>
      <c r="AD15" s="15">
        <v>0.47</v>
      </c>
      <c r="AE15" s="15">
        <v>0.63</v>
      </c>
      <c r="AF15" s="15">
        <v>0.67</v>
      </c>
      <c r="AG15" s="15">
        <v>0.32</v>
      </c>
      <c r="AH15" s="15">
        <v>0.5</v>
      </c>
      <c r="AI15" s="15">
        <v>0.34</v>
      </c>
      <c r="AJ15" s="15">
        <v>0.48</v>
      </c>
      <c r="AK15" s="15">
        <v>0.57000000000000006</v>
      </c>
      <c r="AL15" s="15">
        <v>0.33</v>
      </c>
      <c r="AM15" s="15">
        <v>0.49</v>
      </c>
      <c r="AN15" s="15">
        <v>0.47</v>
      </c>
      <c r="AO15" s="15">
        <v>0.39</v>
      </c>
      <c r="AP15" s="15">
        <v>0.36</v>
      </c>
      <c r="AQ15" s="15">
        <v>0.42</v>
      </c>
    </row>
    <row r="16" spans="1:43" x14ac:dyDescent="0.35">
      <c r="A16" s="19"/>
      <c r="B16" s="11" t="s">
        <v>764</v>
      </c>
      <c r="C16" s="12">
        <v>6976</v>
      </c>
      <c r="D16" s="12">
        <v>309</v>
      </c>
      <c r="E16" s="12">
        <v>248</v>
      </c>
      <c r="F16" s="12">
        <v>346</v>
      </c>
      <c r="G16" s="12">
        <v>158</v>
      </c>
      <c r="H16" s="12">
        <v>236</v>
      </c>
      <c r="I16" s="12">
        <v>336</v>
      </c>
      <c r="J16" s="12">
        <v>100</v>
      </c>
      <c r="K16" s="12">
        <v>263</v>
      </c>
      <c r="L16" s="12">
        <v>194</v>
      </c>
      <c r="M16" s="12">
        <v>306</v>
      </c>
      <c r="N16" s="12">
        <v>246</v>
      </c>
      <c r="O16" s="12">
        <v>344</v>
      </c>
      <c r="P16" s="12">
        <v>257</v>
      </c>
      <c r="Q16" s="12">
        <v>364</v>
      </c>
      <c r="R16" s="12">
        <v>101</v>
      </c>
      <c r="S16" s="12">
        <v>199</v>
      </c>
      <c r="T16" s="12">
        <v>195</v>
      </c>
      <c r="U16" s="12">
        <v>87</v>
      </c>
      <c r="V16" s="12">
        <v>303</v>
      </c>
      <c r="W16" s="12">
        <v>141</v>
      </c>
      <c r="X16" s="12">
        <v>233</v>
      </c>
      <c r="Y16" s="12">
        <v>211</v>
      </c>
      <c r="Z16" s="12">
        <v>207</v>
      </c>
      <c r="AA16" s="12">
        <v>222</v>
      </c>
      <c r="AB16" s="12">
        <v>255</v>
      </c>
      <c r="AC16" s="12">
        <v>228</v>
      </c>
      <c r="AD16" s="12">
        <v>250</v>
      </c>
      <c r="AE16" s="12">
        <v>179</v>
      </c>
      <c r="AF16" s="12">
        <v>110</v>
      </c>
      <c r="AG16" s="12">
        <v>406</v>
      </c>
      <c r="AH16" s="12">
        <v>281</v>
      </c>
      <c r="AI16" s="12">
        <v>90</v>
      </c>
      <c r="AJ16" s="12">
        <v>263</v>
      </c>
      <c r="AK16" s="12">
        <v>238</v>
      </c>
      <c r="AL16" s="12">
        <v>175</v>
      </c>
      <c r="AM16" s="12">
        <v>284</v>
      </c>
      <c r="AN16" s="12">
        <v>317</v>
      </c>
      <c r="AO16" s="12">
        <v>134</v>
      </c>
      <c r="AP16" s="12">
        <v>139</v>
      </c>
      <c r="AQ16" s="12">
        <v>137</v>
      </c>
    </row>
    <row r="17" spans="1:43" x14ac:dyDescent="0.35">
      <c r="A17" s="19"/>
      <c r="B17" s="13" t="s">
        <v>765</v>
      </c>
      <c r="C17" s="15">
        <v>0.26</v>
      </c>
      <c r="D17" s="15">
        <v>0.3</v>
      </c>
      <c r="E17" s="15">
        <v>0.24</v>
      </c>
      <c r="F17" s="15">
        <v>0.32</v>
      </c>
      <c r="G17" s="15">
        <v>0.16</v>
      </c>
      <c r="H17" s="15">
        <v>0.19</v>
      </c>
      <c r="I17" s="15">
        <v>0.22</v>
      </c>
      <c r="J17" s="15">
        <v>0.34</v>
      </c>
      <c r="K17" s="15">
        <v>0.26</v>
      </c>
      <c r="L17" s="15">
        <v>0.19</v>
      </c>
      <c r="M17" s="15">
        <v>0.3</v>
      </c>
      <c r="N17" s="15">
        <v>0.24</v>
      </c>
      <c r="O17" s="15">
        <v>0.34</v>
      </c>
      <c r="P17" s="15">
        <v>0.26</v>
      </c>
      <c r="Q17" s="15">
        <v>0.35</v>
      </c>
      <c r="R17" s="15">
        <v>0.2</v>
      </c>
      <c r="S17" s="15">
        <v>0.2</v>
      </c>
      <c r="T17" s="15">
        <v>0.19</v>
      </c>
      <c r="U17" s="15">
        <v>0.18</v>
      </c>
      <c r="V17" s="15">
        <v>0.3</v>
      </c>
      <c r="W17" s="15">
        <v>0.28000000000000003</v>
      </c>
      <c r="X17" s="15">
        <v>0.23</v>
      </c>
      <c r="Y17" s="15">
        <v>0.21</v>
      </c>
      <c r="Z17" s="15">
        <v>0.2</v>
      </c>
      <c r="AA17" s="15">
        <v>0.22</v>
      </c>
      <c r="AB17" s="15">
        <v>0.24</v>
      </c>
      <c r="AC17" s="15">
        <v>0.23</v>
      </c>
      <c r="AD17" s="15">
        <v>0.25</v>
      </c>
      <c r="AE17" s="15">
        <v>0.18</v>
      </c>
      <c r="AF17" s="15">
        <v>0.1</v>
      </c>
      <c r="AG17" s="15">
        <v>0.39</v>
      </c>
      <c r="AH17" s="15">
        <v>0.28000000000000003</v>
      </c>
      <c r="AI17" s="15">
        <v>0.17</v>
      </c>
      <c r="AJ17" s="15">
        <v>0.25</v>
      </c>
      <c r="AK17" s="15">
        <v>0.24</v>
      </c>
      <c r="AL17" s="15">
        <v>0.17</v>
      </c>
      <c r="AM17" s="15">
        <v>0.27</v>
      </c>
      <c r="AN17" s="15">
        <v>0.32</v>
      </c>
      <c r="AO17" s="15">
        <v>0.13</v>
      </c>
      <c r="AP17" s="15">
        <v>0.27</v>
      </c>
      <c r="AQ17" s="15">
        <v>0.14000000000000001</v>
      </c>
    </row>
    <row r="18" spans="1:43" x14ac:dyDescent="0.35">
      <c r="A18" s="19"/>
      <c r="B18" s="11" t="s">
        <v>766</v>
      </c>
      <c r="C18" s="12">
        <v>2408</v>
      </c>
      <c r="D18" s="12">
        <v>81</v>
      </c>
      <c r="E18" s="12">
        <v>137</v>
      </c>
      <c r="F18" s="12">
        <v>158</v>
      </c>
      <c r="G18" s="12">
        <v>49</v>
      </c>
      <c r="H18" s="12">
        <v>64</v>
      </c>
      <c r="I18" s="12">
        <v>93</v>
      </c>
      <c r="J18" s="12">
        <v>30</v>
      </c>
      <c r="K18" s="12">
        <v>95</v>
      </c>
      <c r="L18" s="12">
        <v>51</v>
      </c>
      <c r="M18" s="12">
        <v>100</v>
      </c>
      <c r="N18" s="12">
        <v>125</v>
      </c>
      <c r="O18" s="12">
        <v>148</v>
      </c>
      <c r="P18" s="12">
        <v>73</v>
      </c>
      <c r="Q18" s="12">
        <v>135</v>
      </c>
      <c r="R18" s="12">
        <v>56</v>
      </c>
      <c r="S18" s="12">
        <v>66</v>
      </c>
      <c r="T18" s="12">
        <v>66</v>
      </c>
      <c r="U18" s="12">
        <v>21</v>
      </c>
      <c r="V18" s="12">
        <v>79</v>
      </c>
      <c r="W18" s="12">
        <v>48</v>
      </c>
      <c r="X18" s="12">
        <v>41</v>
      </c>
      <c r="Y18" s="12">
        <v>78</v>
      </c>
      <c r="Z18" s="12">
        <v>21</v>
      </c>
      <c r="AA18" s="12">
        <v>45</v>
      </c>
      <c r="AB18" s="12">
        <v>90</v>
      </c>
      <c r="AC18" s="12">
        <v>54</v>
      </c>
      <c r="AD18" s="12">
        <v>72</v>
      </c>
      <c r="AE18" s="12">
        <v>39</v>
      </c>
      <c r="AF18" s="12">
        <v>28</v>
      </c>
      <c r="AG18" s="12">
        <v>139</v>
      </c>
      <c r="AH18" s="12">
        <v>73</v>
      </c>
      <c r="AI18" s="12">
        <v>107</v>
      </c>
      <c r="AJ18" s="12">
        <v>112</v>
      </c>
      <c r="AK18" s="12">
        <v>67</v>
      </c>
      <c r="AL18" s="12">
        <v>183</v>
      </c>
      <c r="AM18" s="12">
        <v>102</v>
      </c>
      <c r="AN18" s="12">
        <v>82</v>
      </c>
      <c r="AO18" s="12">
        <v>141</v>
      </c>
      <c r="AP18" s="12">
        <v>52</v>
      </c>
      <c r="AQ18" s="12">
        <v>176</v>
      </c>
    </row>
    <row r="19" spans="1:43" x14ac:dyDescent="0.35">
      <c r="A19" s="19"/>
      <c r="B19" s="13" t="s">
        <v>767</v>
      </c>
      <c r="C19" s="15">
        <v>0.09</v>
      </c>
      <c r="D19" s="15">
        <v>0.08</v>
      </c>
      <c r="E19" s="15">
        <v>0.13</v>
      </c>
      <c r="F19" s="15">
        <v>0.14000000000000001</v>
      </c>
      <c r="G19" s="15">
        <v>0.05</v>
      </c>
      <c r="H19" s="15">
        <v>0.05</v>
      </c>
      <c r="I19" s="15">
        <v>0.06</v>
      </c>
      <c r="J19" s="15">
        <v>0.1</v>
      </c>
      <c r="K19" s="15">
        <v>0.09</v>
      </c>
      <c r="L19" s="15">
        <v>0.05</v>
      </c>
      <c r="M19" s="15">
        <v>0.1</v>
      </c>
      <c r="N19" s="15">
        <v>0.12</v>
      </c>
      <c r="O19" s="15">
        <v>0.15</v>
      </c>
      <c r="P19" s="15">
        <v>7.0000000000000007E-2</v>
      </c>
      <c r="Q19" s="15">
        <v>0.13</v>
      </c>
      <c r="R19" s="15">
        <v>0.11</v>
      </c>
      <c r="S19" s="15">
        <v>7.0000000000000007E-2</v>
      </c>
      <c r="T19" s="15">
        <v>7.0000000000000007E-2</v>
      </c>
      <c r="U19" s="15">
        <v>0.04</v>
      </c>
      <c r="V19" s="15">
        <v>0.08</v>
      </c>
      <c r="W19" s="15">
        <v>0.09</v>
      </c>
      <c r="X19" s="15">
        <v>0.04</v>
      </c>
      <c r="Y19" s="15">
        <v>0.08</v>
      </c>
      <c r="Z19" s="15">
        <v>0.02</v>
      </c>
      <c r="AA19" s="15">
        <v>0.04</v>
      </c>
      <c r="AB19" s="15">
        <v>0.09</v>
      </c>
      <c r="AC19" s="15">
        <v>0.05</v>
      </c>
      <c r="AD19" s="15">
        <v>7.0000000000000007E-2</v>
      </c>
      <c r="AE19" s="15">
        <v>0.04</v>
      </c>
      <c r="AF19" s="15">
        <v>0.03</v>
      </c>
      <c r="AG19" s="15">
        <v>0.14000000000000001</v>
      </c>
      <c r="AH19" s="15">
        <v>7.0000000000000007E-2</v>
      </c>
      <c r="AI19" s="15">
        <v>0.2</v>
      </c>
      <c r="AJ19" s="15">
        <v>0.11</v>
      </c>
      <c r="AK19" s="15">
        <v>7.0000000000000007E-2</v>
      </c>
      <c r="AL19" s="15">
        <v>0.18</v>
      </c>
      <c r="AM19" s="15">
        <v>0.1</v>
      </c>
      <c r="AN19" s="15">
        <v>0.08</v>
      </c>
      <c r="AO19" s="15">
        <v>0.14000000000000001</v>
      </c>
      <c r="AP19" s="15">
        <v>0.1</v>
      </c>
      <c r="AQ19" s="15">
        <v>0.18</v>
      </c>
    </row>
    <row r="20" spans="1:43" x14ac:dyDescent="0.35">
      <c r="A20" s="19"/>
      <c r="B20" s="11" t="s">
        <v>485</v>
      </c>
      <c r="C20" s="12">
        <v>378</v>
      </c>
      <c r="D20" s="12">
        <v>11</v>
      </c>
      <c r="E20" s="12">
        <v>36</v>
      </c>
      <c r="F20" s="12">
        <v>23</v>
      </c>
      <c r="G20" s="12">
        <v>12</v>
      </c>
      <c r="H20" s="12">
        <v>15</v>
      </c>
      <c r="I20" s="12">
        <v>19</v>
      </c>
      <c r="J20" s="12">
        <v>3</v>
      </c>
      <c r="K20" s="12">
        <v>38</v>
      </c>
      <c r="L20" s="12">
        <v>13</v>
      </c>
      <c r="M20" s="12">
        <v>6</v>
      </c>
      <c r="N20" s="12">
        <v>8</v>
      </c>
      <c r="O20" s="12">
        <v>22</v>
      </c>
      <c r="P20" s="12">
        <v>8</v>
      </c>
      <c r="Q20" s="12">
        <v>7</v>
      </c>
      <c r="R20" s="12">
        <v>14</v>
      </c>
      <c r="S20" s="12">
        <v>32</v>
      </c>
      <c r="T20" s="12">
        <v>24</v>
      </c>
      <c r="U20" s="12">
        <v>5</v>
      </c>
      <c r="V20" s="12">
        <v>10</v>
      </c>
      <c r="W20" s="12">
        <v>5</v>
      </c>
      <c r="X20" s="12">
        <v>13</v>
      </c>
      <c r="Y20" s="12">
        <v>26</v>
      </c>
      <c r="Z20" s="12">
        <v>24</v>
      </c>
      <c r="AA20" s="12">
        <v>22</v>
      </c>
      <c r="AB20" s="12">
        <v>16</v>
      </c>
      <c r="AC20" s="12">
        <v>7</v>
      </c>
      <c r="AD20" s="12">
        <v>7</v>
      </c>
      <c r="AE20" s="12">
        <v>12</v>
      </c>
      <c r="AF20" s="12">
        <v>1</v>
      </c>
      <c r="AG20" s="12">
        <v>31</v>
      </c>
      <c r="AH20" s="12">
        <v>4</v>
      </c>
      <c r="AI20" s="12">
        <v>46</v>
      </c>
      <c r="AJ20" s="12">
        <v>3</v>
      </c>
      <c r="AK20" s="12">
        <v>11</v>
      </c>
      <c r="AL20" s="12">
        <v>73</v>
      </c>
      <c r="AM20" s="12">
        <v>35</v>
      </c>
      <c r="AN20" s="12">
        <v>8</v>
      </c>
      <c r="AO20" s="12">
        <v>39</v>
      </c>
      <c r="AP20" s="12">
        <v>2</v>
      </c>
      <c r="AQ20" s="12">
        <v>90</v>
      </c>
    </row>
    <row r="21" spans="1:43" x14ac:dyDescent="0.35">
      <c r="A21" s="19"/>
      <c r="B21" s="13" t="s">
        <v>486</v>
      </c>
      <c r="C21" s="15">
        <v>0.01</v>
      </c>
      <c r="D21" s="15">
        <v>0.01</v>
      </c>
      <c r="E21" s="15">
        <v>0.04</v>
      </c>
      <c r="F21" s="15">
        <v>0.02</v>
      </c>
      <c r="G21" s="15">
        <v>0.01</v>
      </c>
      <c r="H21" s="15">
        <v>0.01</v>
      </c>
      <c r="I21" s="15">
        <v>0.01</v>
      </c>
      <c r="J21" s="15">
        <v>0.01</v>
      </c>
      <c r="K21" s="15">
        <v>0.04</v>
      </c>
      <c r="L21" s="15">
        <v>0.01</v>
      </c>
      <c r="M21" s="15">
        <v>0.01</v>
      </c>
      <c r="N21" s="15">
        <v>0.01</v>
      </c>
      <c r="O21" s="15">
        <v>0.02</v>
      </c>
      <c r="P21" s="15">
        <v>0.01</v>
      </c>
      <c r="Q21" s="15">
        <v>0.01</v>
      </c>
      <c r="R21" s="15">
        <v>0.03</v>
      </c>
      <c r="S21" s="15">
        <v>0.03</v>
      </c>
      <c r="T21" s="15">
        <v>0.02</v>
      </c>
      <c r="U21" s="15">
        <v>0.01</v>
      </c>
      <c r="V21" s="15">
        <v>0.01</v>
      </c>
      <c r="W21" s="15">
        <v>0.01</v>
      </c>
      <c r="X21" s="15">
        <v>0.01</v>
      </c>
      <c r="Y21" s="15">
        <v>0.03</v>
      </c>
      <c r="Z21" s="15">
        <v>0.02</v>
      </c>
      <c r="AA21" s="15">
        <v>0.02</v>
      </c>
      <c r="AB21" s="15">
        <v>0.02</v>
      </c>
      <c r="AC21" s="15">
        <v>0.01</v>
      </c>
      <c r="AD21" s="15">
        <v>0.01</v>
      </c>
      <c r="AE21" s="15">
        <v>0.01</v>
      </c>
      <c r="AF21" s="14" t="s">
        <v>475</v>
      </c>
      <c r="AG21" s="15">
        <v>0.03</v>
      </c>
      <c r="AH21" s="14" t="s">
        <v>475</v>
      </c>
      <c r="AI21" s="15">
        <v>0.09</v>
      </c>
      <c r="AJ21" s="14" t="s">
        <v>475</v>
      </c>
      <c r="AK21" s="15">
        <v>0.01</v>
      </c>
      <c r="AL21" s="15">
        <v>7.0000000000000007E-2</v>
      </c>
      <c r="AM21" s="15">
        <v>0.03</v>
      </c>
      <c r="AN21" s="15">
        <v>0.01</v>
      </c>
      <c r="AO21" s="15">
        <v>0.04</v>
      </c>
      <c r="AP21" s="14" t="s">
        <v>475</v>
      </c>
      <c r="AQ21" s="15">
        <v>0.09</v>
      </c>
    </row>
    <row r="22" spans="1:43" x14ac:dyDescent="0.35">
      <c r="A22" s="19"/>
      <c r="B22" s="11" t="s">
        <v>768</v>
      </c>
      <c r="C22" s="12">
        <v>16683</v>
      </c>
      <c r="D22" s="12">
        <v>612</v>
      </c>
      <c r="E22" s="12">
        <v>608</v>
      </c>
      <c r="F22" s="12">
        <v>574</v>
      </c>
      <c r="G22" s="12">
        <v>787</v>
      </c>
      <c r="H22" s="12">
        <v>906</v>
      </c>
      <c r="I22" s="12">
        <v>1068</v>
      </c>
      <c r="J22" s="12">
        <v>162</v>
      </c>
      <c r="K22" s="12">
        <v>605</v>
      </c>
      <c r="L22" s="12">
        <v>744</v>
      </c>
      <c r="M22" s="12">
        <v>598</v>
      </c>
      <c r="N22" s="12">
        <v>624</v>
      </c>
      <c r="O22" s="12">
        <v>487</v>
      </c>
      <c r="P22" s="12">
        <v>666</v>
      </c>
      <c r="Q22" s="12">
        <v>521</v>
      </c>
      <c r="R22" s="12">
        <v>333</v>
      </c>
      <c r="S22" s="12">
        <v>705</v>
      </c>
      <c r="T22" s="12">
        <v>721</v>
      </c>
      <c r="U22" s="12">
        <v>391</v>
      </c>
      <c r="V22" s="12">
        <v>623</v>
      </c>
      <c r="W22" s="12">
        <v>315</v>
      </c>
      <c r="X22" s="12">
        <v>722</v>
      </c>
      <c r="Y22" s="12">
        <v>687</v>
      </c>
      <c r="Z22" s="12">
        <v>779</v>
      </c>
      <c r="AA22" s="12">
        <v>744</v>
      </c>
      <c r="AB22" s="12">
        <v>690</v>
      </c>
      <c r="AC22" s="12">
        <v>715</v>
      </c>
      <c r="AD22" s="12">
        <v>676</v>
      </c>
      <c r="AE22" s="12">
        <v>783</v>
      </c>
      <c r="AF22" s="12">
        <v>903</v>
      </c>
      <c r="AG22" s="12">
        <v>458</v>
      </c>
      <c r="AH22" s="12">
        <v>656</v>
      </c>
      <c r="AI22" s="12">
        <v>280</v>
      </c>
      <c r="AJ22" s="12">
        <v>659</v>
      </c>
      <c r="AK22" s="12">
        <v>691</v>
      </c>
      <c r="AL22" s="12">
        <v>580</v>
      </c>
      <c r="AM22" s="12">
        <v>619</v>
      </c>
      <c r="AN22" s="12">
        <v>597</v>
      </c>
      <c r="AO22" s="12">
        <v>691</v>
      </c>
      <c r="AP22" s="12">
        <v>330</v>
      </c>
      <c r="AQ22" s="12">
        <v>600</v>
      </c>
    </row>
    <row r="23" spans="1:43" x14ac:dyDescent="0.35">
      <c r="A23" s="19"/>
      <c r="B23" s="13" t="s">
        <v>769</v>
      </c>
      <c r="C23" s="15">
        <v>0.64</v>
      </c>
      <c r="D23" s="15">
        <v>0.61</v>
      </c>
      <c r="E23" s="15">
        <v>0.59</v>
      </c>
      <c r="F23" s="15">
        <v>0.52</v>
      </c>
      <c r="G23" s="15">
        <v>0.78</v>
      </c>
      <c r="H23" s="15">
        <v>0.75</v>
      </c>
      <c r="I23" s="15">
        <v>0.71</v>
      </c>
      <c r="J23" s="15">
        <v>0.55000000000000004</v>
      </c>
      <c r="K23" s="15">
        <v>0.61</v>
      </c>
      <c r="L23" s="15">
        <v>0.75</v>
      </c>
      <c r="M23" s="15">
        <v>0.59</v>
      </c>
      <c r="N23" s="15">
        <v>0.63</v>
      </c>
      <c r="O23" s="15">
        <v>0.49</v>
      </c>
      <c r="P23" s="15">
        <v>0.66</v>
      </c>
      <c r="Q23" s="15">
        <v>0.51</v>
      </c>
      <c r="R23" s="15">
        <v>0.66</v>
      </c>
      <c r="S23" s="15">
        <v>0.70000000000000007</v>
      </c>
      <c r="T23" s="15">
        <v>0.72</v>
      </c>
      <c r="U23" s="15">
        <v>0.77</v>
      </c>
      <c r="V23" s="15">
        <v>0.61</v>
      </c>
      <c r="W23" s="15">
        <v>0.62</v>
      </c>
      <c r="X23" s="15">
        <v>0.72</v>
      </c>
      <c r="Y23" s="15">
        <v>0.68</v>
      </c>
      <c r="Z23" s="15">
        <v>0.76</v>
      </c>
      <c r="AA23" s="15">
        <v>0.72</v>
      </c>
      <c r="AB23" s="15">
        <v>0.65</v>
      </c>
      <c r="AC23" s="15">
        <v>0.71</v>
      </c>
      <c r="AD23" s="15">
        <v>0.67</v>
      </c>
      <c r="AE23" s="15">
        <v>0.77</v>
      </c>
      <c r="AF23" s="15">
        <v>0.87</v>
      </c>
      <c r="AG23" s="15">
        <v>0.44</v>
      </c>
      <c r="AH23" s="15">
        <v>0.65</v>
      </c>
      <c r="AI23" s="15">
        <v>0.54</v>
      </c>
      <c r="AJ23" s="15">
        <v>0.64</v>
      </c>
      <c r="AK23" s="15">
        <v>0.68</v>
      </c>
      <c r="AL23" s="15">
        <v>0.57999999999999996</v>
      </c>
      <c r="AM23" s="15">
        <v>0.6</v>
      </c>
      <c r="AN23" s="15">
        <v>0.59</v>
      </c>
      <c r="AO23" s="15">
        <v>0.69000000000000006</v>
      </c>
      <c r="AP23" s="15">
        <v>0.63</v>
      </c>
      <c r="AQ23" s="15">
        <v>0.59</v>
      </c>
    </row>
    <row r="24" spans="1:43" x14ac:dyDescent="0.35">
      <c r="A24" s="19"/>
      <c r="B24" s="11" t="s">
        <v>770</v>
      </c>
      <c r="C24" s="12">
        <v>9384</v>
      </c>
      <c r="D24" s="12">
        <v>390</v>
      </c>
      <c r="E24" s="12">
        <v>385</v>
      </c>
      <c r="F24" s="12">
        <v>504</v>
      </c>
      <c r="G24" s="12">
        <v>207</v>
      </c>
      <c r="H24" s="12">
        <v>300</v>
      </c>
      <c r="I24" s="12">
        <v>429</v>
      </c>
      <c r="J24" s="12">
        <v>130</v>
      </c>
      <c r="K24" s="12">
        <v>358</v>
      </c>
      <c r="L24" s="12">
        <v>245</v>
      </c>
      <c r="M24" s="12">
        <v>406</v>
      </c>
      <c r="N24" s="12">
        <v>371</v>
      </c>
      <c r="O24" s="12">
        <v>492</v>
      </c>
      <c r="P24" s="12">
        <v>330</v>
      </c>
      <c r="Q24" s="12">
        <v>499</v>
      </c>
      <c r="R24" s="12">
        <v>157</v>
      </c>
      <c r="S24" s="12">
        <v>265</v>
      </c>
      <c r="T24" s="12">
        <v>261</v>
      </c>
      <c r="U24" s="12">
        <v>108</v>
      </c>
      <c r="V24" s="12">
        <v>382</v>
      </c>
      <c r="W24" s="12">
        <v>189</v>
      </c>
      <c r="X24" s="12">
        <v>274</v>
      </c>
      <c r="Y24" s="12">
        <v>289</v>
      </c>
      <c r="Z24" s="12">
        <v>228</v>
      </c>
      <c r="AA24" s="12">
        <v>267</v>
      </c>
      <c r="AB24" s="12">
        <v>345</v>
      </c>
      <c r="AC24" s="12">
        <v>282</v>
      </c>
      <c r="AD24" s="12">
        <v>322</v>
      </c>
      <c r="AE24" s="12">
        <v>218</v>
      </c>
      <c r="AF24" s="12">
        <v>138</v>
      </c>
      <c r="AG24" s="12">
        <v>545</v>
      </c>
      <c r="AH24" s="12">
        <v>354</v>
      </c>
      <c r="AI24" s="12">
        <v>197</v>
      </c>
      <c r="AJ24" s="12">
        <v>375</v>
      </c>
      <c r="AK24" s="12">
        <v>305</v>
      </c>
      <c r="AL24" s="12">
        <v>358</v>
      </c>
      <c r="AM24" s="12">
        <v>386</v>
      </c>
      <c r="AN24" s="12">
        <v>399</v>
      </c>
      <c r="AO24" s="12">
        <v>275</v>
      </c>
      <c r="AP24" s="12">
        <v>191</v>
      </c>
      <c r="AQ24" s="12">
        <v>313</v>
      </c>
    </row>
    <row r="25" spans="1:43" x14ac:dyDescent="0.35">
      <c r="A25" s="19"/>
      <c r="B25" s="13" t="s">
        <v>771</v>
      </c>
      <c r="C25" s="15">
        <v>0.35</v>
      </c>
      <c r="D25" s="15">
        <v>0.38</v>
      </c>
      <c r="E25" s="15">
        <v>0.37</v>
      </c>
      <c r="F25" s="15">
        <v>0.46</v>
      </c>
      <c r="G25" s="15">
        <v>0.21</v>
      </c>
      <c r="H25" s="15">
        <v>0.24</v>
      </c>
      <c r="I25" s="15">
        <v>0.28000000000000003</v>
      </c>
      <c r="J25" s="15">
        <v>0.44</v>
      </c>
      <c r="K25" s="15">
        <v>0.35</v>
      </c>
      <c r="L25" s="15">
        <v>0.24</v>
      </c>
      <c r="M25" s="15">
        <v>0.4</v>
      </c>
      <c r="N25" s="15">
        <v>0.36</v>
      </c>
      <c r="O25" s="15">
        <v>0.49</v>
      </c>
      <c r="P25" s="15">
        <v>0.33</v>
      </c>
      <c r="Q25" s="15">
        <v>0.48</v>
      </c>
      <c r="R25" s="15">
        <v>0.31</v>
      </c>
      <c r="S25" s="15">
        <v>0.27</v>
      </c>
      <c r="T25" s="15">
        <v>0.26</v>
      </c>
      <c r="U25" s="15">
        <v>0.22</v>
      </c>
      <c r="V25" s="15">
        <v>0.38</v>
      </c>
      <c r="W25" s="15">
        <v>0.37</v>
      </c>
      <c r="X25" s="15">
        <v>0.27</v>
      </c>
      <c r="Y25" s="15">
        <v>0.28999999999999998</v>
      </c>
      <c r="Z25" s="15">
        <v>0.22</v>
      </c>
      <c r="AA25" s="15">
        <v>0.26</v>
      </c>
      <c r="AB25" s="15">
        <v>0.33</v>
      </c>
      <c r="AC25" s="15">
        <v>0.28000000000000003</v>
      </c>
      <c r="AD25" s="15">
        <v>0.32</v>
      </c>
      <c r="AE25" s="15">
        <v>0.22</v>
      </c>
      <c r="AF25" s="15">
        <v>0.13</v>
      </c>
      <c r="AG25" s="15">
        <v>0.53</v>
      </c>
      <c r="AH25" s="15">
        <v>0.35</v>
      </c>
      <c r="AI25" s="15">
        <v>0.37</v>
      </c>
      <c r="AJ25" s="15">
        <v>0.36</v>
      </c>
      <c r="AK25" s="15">
        <v>0.31</v>
      </c>
      <c r="AL25" s="15">
        <v>0.35</v>
      </c>
      <c r="AM25" s="15">
        <v>0.37</v>
      </c>
      <c r="AN25" s="15">
        <v>0.4</v>
      </c>
      <c r="AO25" s="15">
        <v>0.27</v>
      </c>
      <c r="AP25" s="15">
        <v>0.37</v>
      </c>
      <c r="AQ25" s="15">
        <v>0.32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772</v>
      </c>
      <c r="C3" s="18"/>
      <c r="D3" s="18"/>
      <c r="E3" s="18"/>
      <c r="F3" s="18"/>
      <c r="H3" s="18" t="s">
        <v>773</v>
      </c>
      <c r="I3" s="18"/>
      <c r="J3" s="18"/>
      <c r="K3" s="18"/>
      <c r="L3" s="18"/>
    </row>
    <row r="4" spans="1:32" ht="27" customHeight="1" x14ac:dyDescent="0.35">
      <c r="B4" s="18" t="s">
        <v>774</v>
      </c>
      <c r="C4" s="18"/>
      <c r="D4" s="18"/>
      <c r="E4" s="18"/>
      <c r="F4" s="18"/>
      <c r="H4" s="18" t="s">
        <v>775</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HYPERLINK("#Content!A61","&lt;&lt;Back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7936</v>
      </c>
      <c r="D12" s="12">
        <v>311</v>
      </c>
      <c r="E12" s="12">
        <v>231</v>
      </c>
      <c r="F12" s="12">
        <v>254</v>
      </c>
      <c r="G12" s="12">
        <v>565</v>
      </c>
      <c r="H12" s="12">
        <v>428</v>
      </c>
      <c r="I12" s="12">
        <v>504</v>
      </c>
      <c r="J12" s="12">
        <v>76</v>
      </c>
      <c r="K12" s="12">
        <v>303</v>
      </c>
      <c r="L12" s="12">
        <v>456</v>
      </c>
      <c r="M12" s="12">
        <v>190</v>
      </c>
      <c r="N12" s="12">
        <v>415</v>
      </c>
      <c r="O12" s="12">
        <v>220</v>
      </c>
      <c r="P12" s="12">
        <v>227</v>
      </c>
      <c r="Q12" s="12">
        <v>188</v>
      </c>
      <c r="R12" s="12">
        <v>183</v>
      </c>
      <c r="S12" s="12">
        <v>407</v>
      </c>
      <c r="T12" s="12">
        <v>362</v>
      </c>
      <c r="U12" s="12">
        <v>225</v>
      </c>
      <c r="V12" s="12">
        <v>263</v>
      </c>
      <c r="W12" s="12">
        <v>192</v>
      </c>
      <c r="X12" s="12">
        <v>544</v>
      </c>
      <c r="Y12" s="12">
        <v>386</v>
      </c>
      <c r="Z12" s="12">
        <v>243</v>
      </c>
      <c r="AA12" s="12">
        <v>219</v>
      </c>
      <c r="AB12" s="12">
        <v>216</v>
      </c>
      <c r="AC12" s="12">
        <v>352</v>
      </c>
      <c r="AD12" s="12">
        <v>401</v>
      </c>
      <c r="AE12" s="12">
        <v>561</v>
      </c>
      <c r="AF12" s="12">
        <v>545</v>
      </c>
    </row>
    <row r="13" spans="1:32" x14ac:dyDescent="0.35">
      <c r="A13" s="19"/>
      <c r="B13" s="13" t="s">
        <v>761</v>
      </c>
      <c r="C13" s="15">
        <v>0.3</v>
      </c>
      <c r="D13" s="15">
        <v>0.31</v>
      </c>
      <c r="E13" s="15">
        <v>0.22</v>
      </c>
      <c r="F13" s="15">
        <v>0.23</v>
      </c>
      <c r="G13" s="15">
        <v>0.56000000000000005</v>
      </c>
      <c r="H13" s="15">
        <v>0.35</v>
      </c>
      <c r="I13" s="15">
        <v>0.33</v>
      </c>
      <c r="J13" s="15">
        <v>0.26</v>
      </c>
      <c r="K13" s="15">
        <v>0.3</v>
      </c>
      <c r="L13" s="15">
        <v>0.46</v>
      </c>
      <c r="M13" s="15">
        <v>0.19</v>
      </c>
      <c r="N13" s="15">
        <v>0.41</v>
      </c>
      <c r="O13" s="15">
        <v>0.22</v>
      </c>
      <c r="P13" s="15">
        <v>0.23</v>
      </c>
      <c r="Q13" s="15">
        <v>0.19</v>
      </c>
      <c r="R13" s="15">
        <v>0.36</v>
      </c>
      <c r="S13" s="15">
        <v>0.41</v>
      </c>
      <c r="T13" s="15">
        <v>0.36</v>
      </c>
      <c r="U13" s="15">
        <v>0.45</v>
      </c>
      <c r="V13" s="15">
        <v>0.26</v>
      </c>
      <c r="W13" s="15">
        <v>0.38</v>
      </c>
      <c r="X13" s="15">
        <v>0.54</v>
      </c>
      <c r="Y13" s="15">
        <v>0.38</v>
      </c>
      <c r="Z13" s="15">
        <v>0.24</v>
      </c>
      <c r="AA13" s="15">
        <v>0.21</v>
      </c>
      <c r="AB13" s="15">
        <v>0.2</v>
      </c>
      <c r="AC13" s="15">
        <v>0.35</v>
      </c>
      <c r="AD13" s="15">
        <v>0.4</v>
      </c>
      <c r="AE13" s="15">
        <v>0.55000000000000004</v>
      </c>
      <c r="AF13" s="15">
        <v>0.52</v>
      </c>
    </row>
    <row r="14" spans="1:32" x14ac:dyDescent="0.35">
      <c r="A14" s="19"/>
      <c r="B14" s="11" t="s">
        <v>762</v>
      </c>
      <c r="C14" s="12">
        <v>10049</v>
      </c>
      <c r="D14" s="12">
        <v>461</v>
      </c>
      <c r="E14" s="12">
        <v>297</v>
      </c>
      <c r="F14" s="12">
        <v>487</v>
      </c>
      <c r="G14" s="12">
        <v>207</v>
      </c>
      <c r="H14" s="12">
        <v>355</v>
      </c>
      <c r="I14" s="12">
        <v>453</v>
      </c>
      <c r="J14" s="12">
        <v>98</v>
      </c>
      <c r="K14" s="12">
        <v>388</v>
      </c>
      <c r="L14" s="12">
        <v>245</v>
      </c>
      <c r="M14" s="12">
        <v>384</v>
      </c>
      <c r="N14" s="12">
        <v>327</v>
      </c>
      <c r="O14" s="12">
        <v>428</v>
      </c>
      <c r="P14" s="12">
        <v>473</v>
      </c>
      <c r="Q14" s="12">
        <v>434</v>
      </c>
      <c r="R14" s="12">
        <v>167</v>
      </c>
      <c r="S14" s="12">
        <v>332</v>
      </c>
      <c r="T14" s="12">
        <v>338</v>
      </c>
      <c r="U14" s="12">
        <v>159</v>
      </c>
      <c r="V14" s="12">
        <v>429</v>
      </c>
      <c r="W14" s="12">
        <v>207</v>
      </c>
      <c r="X14" s="12">
        <v>263</v>
      </c>
      <c r="Y14" s="12">
        <v>297</v>
      </c>
      <c r="Z14" s="12">
        <v>534</v>
      </c>
      <c r="AA14" s="12">
        <v>594</v>
      </c>
      <c r="AB14" s="12">
        <v>462</v>
      </c>
      <c r="AC14" s="12">
        <v>339</v>
      </c>
      <c r="AD14" s="12">
        <v>333</v>
      </c>
      <c r="AE14" s="12">
        <v>324</v>
      </c>
      <c r="AF14" s="12">
        <v>333</v>
      </c>
    </row>
    <row r="15" spans="1:32" x14ac:dyDescent="0.35">
      <c r="A15" s="19"/>
      <c r="B15" s="13" t="s">
        <v>763</v>
      </c>
      <c r="C15" s="15">
        <v>0.38</v>
      </c>
      <c r="D15" s="15">
        <v>0.46</v>
      </c>
      <c r="E15" s="15">
        <v>0.28999999999999998</v>
      </c>
      <c r="F15" s="15">
        <v>0.44</v>
      </c>
      <c r="G15" s="15">
        <v>0.21</v>
      </c>
      <c r="H15" s="15">
        <v>0.28999999999999998</v>
      </c>
      <c r="I15" s="15">
        <v>0.3</v>
      </c>
      <c r="J15" s="15">
        <v>0.33</v>
      </c>
      <c r="K15" s="15">
        <v>0.39</v>
      </c>
      <c r="L15" s="15">
        <v>0.24</v>
      </c>
      <c r="M15" s="15">
        <v>0.38</v>
      </c>
      <c r="N15" s="15">
        <v>0.33</v>
      </c>
      <c r="O15" s="15">
        <v>0.43</v>
      </c>
      <c r="P15" s="15">
        <v>0.47</v>
      </c>
      <c r="Q15" s="15">
        <v>0.42</v>
      </c>
      <c r="R15" s="15">
        <v>0.33</v>
      </c>
      <c r="S15" s="15">
        <v>0.33</v>
      </c>
      <c r="T15" s="15">
        <v>0.34</v>
      </c>
      <c r="U15" s="15">
        <v>0.31</v>
      </c>
      <c r="V15" s="15">
        <v>0.42</v>
      </c>
      <c r="W15" s="15">
        <v>0.41</v>
      </c>
      <c r="X15" s="15">
        <v>0.26</v>
      </c>
      <c r="Y15" s="15">
        <v>0.3</v>
      </c>
      <c r="Z15" s="15">
        <v>0.52</v>
      </c>
      <c r="AA15" s="15">
        <v>0.57999999999999996</v>
      </c>
      <c r="AB15" s="15">
        <v>0.44</v>
      </c>
      <c r="AC15" s="15">
        <v>0.34</v>
      </c>
      <c r="AD15" s="15">
        <v>0.33</v>
      </c>
      <c r="AE15" s="15">
        <v>0.32</v>
      </c>
      <c r="AF15" s="15">
        <v>0.32</v>
      </c>
    </row>
    <row r="16" spans="1:32" x14ac:dyDescent="0.35">
      <c r="A16" s="19"/>
      <c r="B16" s="11" t="s">
        <v>764</v>
      </c>
      <c r="C16" s="12">
        <v>4704</v>
      </c>
      <c r="D16" s="12">
        <v>161</v>
      </c>
      <c r="E16" s="12">
        <v>257</v>
      </c>
      <c r="F16" s="12">
        <v>227</v>
      </c>
      <c r="G16" s="12">
        <v>77</v>
      </c>
      <c r="H16" s="12">
        <v>218</v>
      </c>
      <c r="I16" s="12">
        <v>306</v>
      </c>
      <c r="J16" s="12">
        <v>88</v>
      </c>
      <c r="K16" s="12">
        <v>169</v>
      </c>
      <c r="L16" s="12">
        <v>131</v>
      </c>
      <c r="M16" s="12">
        <v>216</v>
      </c>
      <c r="N16" s="12">
        <v>134</v>
      </c>
      <c r="O16" s="12">
        <v>175</v>
      </c>
      <c r="P16" s="12">
        <v>195</v>
      </c>
      <c r="Q16" s="12">
        <v>259</v>
      </c>
      <c r="R16" s="12">
        <v>74</v>
      </c>
      <c r="S16" s="12">
        <v>124</v>
      </c>
      <c r="T16" s="12">
        <v>150</v>
      </c>
      <c r="U16" s="12">
        <v>39</v>
      </c>
      <c r="V16" s="12">
        <v>175</v>
      </c>
      <c r="W16" s="12">
        <v>58</v>
      </c>
      <c r="X16" s="12">
        <v>119</v>
      </c>
      <c r="Y16" s="12">
        <v>149</v>
      </c>
      <c r="Z16" s="12">
        <v>166</v>
      </c>
      <c r="AA16" s="12">
        <v>73</v>
      </c>
      <c r="AB16" s="12">
        <v>240</v>
      </c>
      <c r="AC16" s="12">
        <v>208</v>
      </c>
      <c r="AD16" s="12">
        <v>134</v>
      </c>
      <c r="AE16" s="12">
        <v>70</v>
      </c>
      <c r="AF16" s="12">
        <v>89</v>
      </c>
    </row>
    <row r="17" spans="1:32" x14ac:dyDescent="0.35">
      <c r="A17" s="19"/>
      <c r="B17" s="13" t="s">
        <v>765</v>
      </c>
      <c r="C17" s="15">
        <v>0.18</v>
      </c>
      <c r="D17" s="15">
        <v>0.16</v>
      </c>
      <c r="E17" s="15">
        <v>0.25</v>
      </c>
      <c r="F17" s="15">
        <v>0.21</v>
      </c>
      <c r="G17" s="15">
        <v>0.08</v>
      </c>
      <c r="H17" s="15">
        <v>0.18</v>
      </c>
      <c r="I17" s="15">
        <v>0.2</v>
      </c>
      <c r="J17" s="15">
        <v>0.3</v>
      </c>
      <c r="K17" s="15">
        <v>0.17</v>
      </c>
      <c r="L17" s="15">
        <v>0.13</v>
      </c>
      <c r="M17" s="15">
        <v>0.21</v>
      </c>
      <c r="N17" s="15">
        <v>0.13</v>
      </c>
      <c r="O17" s="15">
        <v>0.17</v>
      </c>
      <c r="P17" s="15">
        <v>0.19</v>
      </c>
      <c r="Q17" s="15">
        <v>0.25</v>
      </c>
      <c r="R17" s="15">
        <v>0.15</v>
      </c>
      <c r="S17" s="15">
        <v>0.12</v>
      </c>
      <c r="T17" s="15">
        <v>0.15</v>
      </c>
      <c r="U17" s="15">
        <v>0.08</v>
      </c>
      <c r="V17" s="15">
        <v>0.17</v>
      </c>
      <c r="W17" s="15">
        <v>0.11</v>
      </c>
      <c r="X17" s="15">
        <v>0.12</v>
      </c>
      <c r="Y17" s="15">
        <v>0.15</v>
      </c>
      <c r="Z17" s="15">
        <v>0.16</v>
      </c>
      <c r="AA17" s="15">
        <v>7.0000000000000007E-2</v>
      </c>
      <c r="AB17" s="15">
        <v>0.23</v>
      </c>
      <c r="AC17" s="15">
        <v>0.21</v>
      </c>
      <c r="AD17" s="15">
        <v>0.13</v>
      </c>
      <c r="AE17" s="15">
        <v>7.0000000000000007E-2</v>
      </c>
      <c r="AF17" s="15">
        <v>0.09</v>
      </c>
    </row>
    <row r="18" spans="1:32" x14ac:dyDescent="0.35">
      <c r="A18" s="19"/>
      <c r="B18" s="11" t="s">
        <v>766</v>
      </c>
      <c r="C18" s="12">
        <v>2428</v>
      </c>
      <c r="D18" s="12">
        <v>56</v>
      </c>
      <c r="E18" s="12">
        <v>104</v>
      </c>
      <c r="F18" s="12">
        <v>83</v>
      </c>
      <c r="G18" s="12">
        <v>135</v>
      </c>
      <c r="H18" s="12">
        <v>176</v>
      </c>
      <c r="I18" s="12">
        <v>197</v>
      </c>
      <c r="J18" s="12">
        <v>21</v>
      </c>
      <c r="K18" s="12">
        <v>90</v>
      </c>
      <c r="L18" s="12">
        <v>118</v>
      </c>
      <c r="M18" s="12">
        <v>161</v>
      </c>
      <c r="N18" s="12">
        <v>75</v>
      </c>
      <c r="O18" s="12">
        <v>100</v>
      </c>
      <c r="P18" s="12">
        <v>62</v>
      </c>
      <c r="Q18" s="12">
        <v>93</v>
      </c>
      <c r="R18" s="12">
        <v>47</v>
      </c>
      <c r="S18" s="12">
        <v>55</v>
      </c>
      <c r="T18" s="12">
        <v>91</v>
      </c>
      <c r="U18" s="12">
        <v>60</v>
      </c>
      <c r="V18" s="12">
        <v>112</v>
      </c>
      <c r="W18" s="12">
        <v>40</v>
      </c>
      <c r="X18" s="12">
        <v>68</v>
      </c>
      <c r="Y18" s="12">
        <v>126</v>
      </c>
      <c r="Z18" s="12">
        <v>32</v>
      </c>
      <c r="AA18" s="12">
        <v>102</v>
      </c>
      <c r="AB18" s="12">
        <v>71</v>
      </c>
      <c r="AC18" s="12">
        <v>85</v>
      </c>
      <c r="AD18" s="12">
        <v>88</v>
      </c>
      <c r="AE18" s="12">
        <v>28</v>
      </c>
      <c r="AF18" s="12">
        <v>74</v>
      </c>
    </row>
    <row r="19" spans="1:32" x14ac:dyDescent="0.35">
      <c r="A19" s="19"/>
      <c r="B19" s="13" t="s">
        <v>767</v>
      </c>
      <c r="C19" s="15">
        <v>0.09</v>
      </c>
      <c r="D19" s="15">
        <v>0.05</v>
      </c>
      <c r="E19" s="15">
        <v>0.1</v>
      </c>
      <c r="F19" s="15">
        <v>7.0000000000000007E-2</v>
      </c>
      <c r="G19" s="15">
        <v>0.13</v>
      </c>
      <c r="H19" s="15">
        <v>0.14000000000000001</v>
      </c>
      <c r="I19" s="15">
        <v>0.13</v>
      </c>
      <c r="J19" s="15">
        <v>7.0000000000000007E-2</v>
      </c>
      <c r="K19" s="15">
        <v>0.09</v>
      </c>
      <c r="L19" s="15">
        <v>0.12</v>
      </c>
      <c r="M19" s="15">
        <v>0.16</v>
      </c>
      <c r="N19" s="15">
        <v>0.08</v>
      </c>
      <c r="O19" s="15">
        <v>0.1</v>
      </c>
      <c r="P19" s="15">
        <v>0.06</v>
      </c>
      <c r="Q19" s="15">
        <v>0.09</v>
      </c>
      <c r="R19" s="15">
        <v>0.09</v>
      </c>
      <c r="S19" s="15">
        <v>0.06</v>
      </c>
      <c r="T19" s="15">
        <v>0.09</v>
      </c>
      <c r="U19" s="15">
        <v>0.12</v>
      </c>
      <c r="V19" s="15">
        <v>0.11</v>
      </c>
      <c r="W19" s="15">
        <v>0.08</v>
      </c>
      <c r="X19" s="15">
        <v>7.0000000000000007E-2</v>
      </c>
      <c r="Y19" s="15">
        <v>0.13</v>
      </c>
      <c r="Z19" s="15">
        <v>0.03</v>
      </c>
      <c r="AA19" s="15">
        <v>0.1</v>
      </c>
      <c r="AB19" s="15">
        <v>7.0000000000000007E-2</v>
      </c>
      <c r="AC19" s="15">
        <v>0.08</v>
      </c>
      <c r="AD19" s="15">
        <v>0.09</v>
      </c>
      <c r="AE19" s="15">
        <v>0.03</v>
      </c>
      <c r="AF19" s="15">
        <v>7.0000000000000007E-2</v>
      </c>
    </row>
    <row r="20" spans="1:32" x14ac:dyDescent="0.35">
      <c r="A20" s="19"/>
      <c r="B20" s="11" t="s">
        <v>485</v>
      </c>
      <c r="C20" s="12">
        <v>1328</v>
      </c>
      <c r="D20" s="12">
        <v>24</v>
      </c>
      <c r="E20" s="12">
        <v>141</v>
      </c>
      <c r="F20" s="12">
        <v>51</v>
      </c>
      <c r="G20" s="12">
        <v>21</v>
      </c>
      <c r="H20" s="12">
        <v>43</v>
      </c>
      <c r="I20" s="12">
        <v>57</v>
      </c>
      <c r="J20" s="12">
        <v>13</v>
      </c>
      <c r="K20" s="12">
        <v>53</v>
      </c>
      <c r="L20" s="12">
        <v>52</v>
      </c>
      <c r="M20" s="12">
        <v>59</v>
      </c>
      <c r="N20" s="12">
        <v>53</v>
      </c>
      <c r="O20" s="12">
        <v>78</v>
      </c>
      <c r="P20" s="12">
        <v>47</v>
      </c>
      <c r="Q20" s="12">
        <v>54</v>
      </c>
      <c r="R20" s="12">
        <v>33</v>
      </c>
      <c r="S20" s="12">
        <v>85</v>
      </c>
      <c r="T20" s="12">
        <v>65</v>
      </c>
      <c r="U20" s="12">
        <v>21</v>
      </c>
      <c r="V20" s="12">
        <v>37</v>
      </c>
      <c r="W20" s="12">
        <v>11</v>
      </c>
      <c r="X20" s="12">
        <v>16</v>
      </c>
      <c r="Y20" s="12">
        <v>46</v>
      </c>
      <c r="Z20" s="12">
        <v>57</v>
      </c>
      <c r="AA20" s="12">
        <v>44</v>
      </c>
      <c r="AB20" s="12">
        <v>63</v>
      </c>
      <c r="AC20" s="12">
        <v>20</v>
      </c>
      <c r="AD20" s="12">
        <v>48</v>
      </c>
      <c r="AE20" s="12">
        <v>30</v>
      </c>
      <c r="AF20" s="12">
        <v>3</v>
      </c>
    </row>
    <row r="21" spans="1:32" x14ac:dyDescent="0.35">
      <c r="A21" s="19"/>
      <c r="B21" s="13" t="s">
        <v>486</v>
      </c>
      <c r="C21" s="15">
        <v>0.05</v>
      </c>
      <c r="D21" s="15">
        <v>0.02</v>
      </c>
      <c r="E21" s="15">
        <v>0.14000000000000001</v>
      </c>
      <c r="F21" s="15">
        <v>0.05</v>
      </c>
      <c r="G21" s="15">
        <v>0.02</v>
      </c>
      <c r="H21" s="15">
        <v>0.04</v>
      </c>
      <c r="I21" s="15">
        <v>0.04</v>
      </c>
      <c r="J21" s="15">
        <v>0.04</v>
      </c>
      <c r="K21" s="15">
        <v>0.05</v>
      </c>
      <c r="L21" s="15">
        <v>0.05</v>
      </c>
      <c r="M21" s="15">
        <v>0.06</v>
      </c>
      <c r="N21" s="15">
        <v>0.05</v>
      </c>
      <c r="O21" s="15">
        <v>0.08</v>
      </c>
      <c r="P21" s="15">
        <v>0.05</v>
      </c>
      <c r="Q21" s="15">
        <v>0.05</v>
      </c>
      <c r="R21" s="15">
        <v>7.0000000000000007E-2</v>
      </c>
      <c r="S21" s="15">
        <v>0.08</v>
      </c>
      <c r="T21" s="15">
        <v>0.06</v>
      </c>
      <c r="U21" s="15">
        <v>0.04</v>
      </c>
      <c r="V21" s="15">
        <v>0.04</v>
      </c>
      <c r="W21" s="15">
        <v>0.02</v>
      </c>
      <c r="X21" s="15">
        <v>0.01</v>
      </c>
      <c r="Y21" s="15">
        <v>0.04</v>
      </c>
      <c r="Z21" s="15">
        <v>0.05</v>
      </c>
      <c r="AA21" s="15">
        <v>0.04</v>
      </c>
      <c r="AB21" s="15">
        <v>0.06</v>
      </c>
      <c r="AC21" s="15">
        <v>0.02</v>
      </c>
      <c r="AD21" s="15">
        <v>0.05</v>
      </c>
      <c r="AE21" s="15">
        <v>0.03</v>
      </c>
      <c r="AF21" s="14" t="s">
        <v>475</v>
      </c>
    </row>
    <row r="22" spans="1:32" x14ac:dyDescent="0.35">
      <c r="A22" s="19"/>
      <c r="B22" s="11" t="s">
        <v>768</v>
      </c>
      <c r="C22" s="12">
        <v>17985</v>
      </c>
      <c r="D22" s="12">
        <v>772</v>
      </c>
      <c r="E22" s="12">
        <v>528</v>
      </c>
      <c r="F22" s="12">
        <v>741</v>
      </c>
      <c r="G22" s="12">
        <v>772</v>
      </c>
      <c r="H22" s="12">
        <v>783</v>
      </c>
      <c r="I22" s="12">
        <v>957</v>
      </c>
      <c r="J22" s="12">
        <v>174</v>
      </c>
      <c r="K22" s="12">
        <v>691</v>
      </c>
      <c r="L22" s="12">
        <v>701</v>
      </c>
      <c r="M22" s="12">
        <v>574</v>
      </c>
      <c r="N22" s="12">
        <v>742</v>
      </c>
      <c r="O22" s="12">
        <v>648</v>
      </c>
      <c r="P22" s="12">
        <v>700</v>
      </c>
      <c r="Q22" s="12">
        <v>622</v>
      </c>
      <c r="R22" s="12">
        <v>350</v>
      </c>
      <c r="S22" s="12">
        <v>739</v>
      </c>
      <c r="T22" s="12">
        <v>700</v>
      </c>
      <c r="U22" s="12">
        <v>384</v>
      </c>
      <c r="V22" s="12">
        <v>692</v>
      </c>
      <c r="W22" s="12">
        <v>399</v>
      </c>
      <c r="X22" s="12">
        <v>807</v>
      </c>
      <c r="Y22" s="12">
        <v>683</v>
      </c>
      <c r="Z22" s="12">
        <v>777</v>
      </c>
      <c r="AA22" s="12">
        <v>813</v>
      </c>
      <c r="AB22" s="12">
        <v>678</v>
      </c>
      <c r="AC22" s="12">
        <v>691</v>
      </c>
      <c r="AD22" s="12">
        <v>734</v>
      </c>
      <c r="AE22" s="12">
        <v>885</v>
      </c>
      <c r="AF22" s="12">
        <v>878</v>
      </c>
    </row>
    <row r="23" spans="1:32" x14ac:dyDescent="0.35">
      <c r="A23" s="19"/>
      <c r="B23" s="13" t="s">
        <v>769</v>
      </c>
      <c r="C23" s="15">
        <v>0.68</v>
      </c>
      <c r="D23" s="15">
        <v>0.77</v>
      </c>
      <c r="E23" s="15">
        <v>0.51</v>
      </c>
      <c r="F23" s="15">
        <v>0.67</v>
      </c>
      <c r="G23" s="15">
        <v>0.77</v>
      </c>
      <c r="H23" s="15">
        <v>0.64</v>
      </c>
      <c r="I23" s="15">
        <v>0.63</v>
      </c>
      <c r="J23" s="15">
        <v>0.59</v>
      </c>
      <c r="K23" s="15">
        <v>0.69000000000000006</v>
      </c>
      <c r="L23" s="15">
        <v>0.70000000000000007</v>
      </c>
      <c r="M23" s="15">
        <v>0.57000000000000006</v>
      </c>
      <c r="N23" s="15">
        <v>0.74</v>
      </c>
      <c r="O23" s="15">
        <v>0.65</v>
      </c>
      <c r="P23" s="15">
        <v>0.70000000000000007</v>
      </c>
      <c r="Q23" s="15">
        <v>0.61</v>
      </c>
      <c r="R23" s="15">
        <v>0.69000000000000006</v>
      </c>
      <c r="S23" s="15">
        <v>0.74</v>
      </c>
      <c r="T23" s="15">
        <v>0.70000000000000007</v>
      </c>
      <c r="U23" s="15">
        <v>0.76</v>
      </c>
      <c r="V23" s="15">
        <v>0.68</v>
      </c>
      <c r="W23" s="15">
        <v>0.79</v>
      </c>
      <c r="X23" s="15">
        <v>0.8</v>
      </c>
      <c r="Y23" s="15">
        <v>0.68</v>
      </c>
      <c r="Z23" s="15">
        <v>0.76</v>
      </c>
      <c r="AA23" s="15">
        <v>0.79</v>
      </c>
      <c r="AB23" s="15">
        <v>0.64</v>
      </c>
      <c r="AC23" s="15">
        <v>0.69000000000000006</v>
      </c>
      <c r="AD23" s="15">
        <v>0.73</v>
      </c>
      <c r="AE23" s="15">
        <v>0.87</v>
      </c>
      <c r="AF23" s="15">
        <v>0.84</v>
      </c>
    </row>
    <row r="24" spans="1:32" x14ac:dyDescent="0.35">
      <c r="A24" s="19"/>
      <c r="B24" s="11" t="s">
        <v>770</v>
      </c>
      <c r="C24" s="12">
        <v>7132</v>
      </c>
      <c r="D24" s="12">
        <v>217</v>
      </c>
      <c r="E24" s="12">
        <v>361</v>
      </c>
      <c r="F24" s="12">
        <v>310</v>
      </c>
      <c r="G24" s="12">
        <v>212</v>
      </c>
      <c r="H24" s="12">
        <v>394</v>
      </c>
      <c r="I24" s="12">
        <v>503</v>
      </c>
      <c r="J24" s="12">
        <v>109</v>
      </c>
      <c r="K24" s="12">
        <v>259</v>
      </c>
      <c r="L24" s="12">
        <v>249</v>
      </c>
      <c r="M24" s="12">
        <v>377</v>
      </c>
      <c r="N24" s="12">
        <v>209</v>
      </c>
      <c r="O24" s="12">
        <v>275</v>
      </c>
      <c r="P24" s="12">
        <v>257</v>
      </c>
      <c r="Q24" s="12">
        <v>352</v>
      </c>
      <c r="R24" s="12">
        <v>121</v>
      </c>
      <c r="S24" s="12">
        <v>179</v>
      </c>
      <c r="T24" s="12">
        <v>241</v>
      </c>
      <c r="U24" s="12">
        <v>99</v>
      </c>
      <c r="V24" s="12">
        <v>287</v>
      </c>
      <c r="W24" s="12">
        <v>98</v>
      </c>
      <c r="X24" s="12">
        <v>187</v>
      </c>
      <c r="Y24" s="12">
        <v>275</v>
      </c>
      <c r="Z24" s="12">
        <v>198</v>
      </c>
      <c r="AA24" s="12">
        <v>175</v>
      </c>
      <c r="AB24" s="12">
        <v>311</v>
      </c>
      <c r="AC24" s="12">
        <v>293</v>
      </c>
      <c r="AD24" s="12">
        <v>222</v>
      </c>
      <c r="AE24" s="12">
        <v>98</v>
      </c>
      <c r="AF24" s="12">
        <v>163</v>
      </c>
    </row>
    <row r="25" spans="1:32" x14ac:dyDescent="0.35">
      <c r="A25" s="19"/>
      <c r="B25" s="13" t="s">
        <v>771</v>
      </c>
      <c r="C25" s="15">
        <v>0.27</v>
      </c>
      <c r="D25" s="15">
        <v>0.21</v>
      </c>
      <c r="E25" s="15">
        <v>0.35</v>
      </c>
      <c r="F25" s="15">
        <v>0.28000000000000003</v>
      </c>
      <c r="G25" s="15">
        <v>0.21</v>
      </c>
      <c r="H25" s="15">
        <v>0.32</v>
      </c>
      <c r="I25" s="15">
        <v>0.33</v>
      </c>
      <c r="J25" s="15">
        <v>0.37</v>
      </c>
      <c r="K25" s="15">
        <v>0.26</v>
      </c>
      <c r="L25" s="15">
        <v>0.25</v>
      </c>
      <c r="M25" s="15">
        <v>0.37</v>
      </c>
      <c r="N25" s="15">
        <v>0.21</v>
      </c>
      <c r="O25" s="15">
        <v>0.27</v>
      </c>
      <c r="P25" s="15">
        <v>0.25</v>
      </c>
      <c r="Q25" s="15">
        <v>0.34</v>
      </c>
      <c r="R25" s="15">
        <v>0.24</v>
      </c>
      <c r="S25" s="15">
        <v>0.18</v>
      </c>
      <c r="T25" s="15">
        <v>0.24</v>
      </c>
      <c r="U25" s="15">
        <v>0.2</v>
      </c>
      <c r="V25" s="15">
        <v>0.28000000000000003</v>
      </c>
      <c r="W25" s="15">
        <v>0.19</v>
      </c>
      <c r="X25" s="15">
        <v>0.19</v>
      </c>
      <c r="Y25" s="15">
        <v>0.28000000000000003</v>
      </c>
      <c r="Z25" s="15">
        <v>0.19</v>
      </c>
      <c r="AA25" s="15">
        <v>0.17</v>
      </c>
      <c r="AB25" s="15">
        <v>0.3</v>
      </c>
      <c r="AC25" s="15">
        <v>0.28999999999999998</v>
      </c>
      <c r="AD25" s="15">
        <v>0.22</v>
      </c>
      <c r="AE25" s="15">
        <v>0.1</v>
      </c>
      <c r="AF25" s="15">
        <v>0.16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776</v>
      </c>
      <c r="C3" s="18"/>
      <c r="D3" s="18"/>
      <c r="E3" s="18"/>
      <c r="F3" s="18"/>
      <c r="H3" s="18" t="s">
        <v>777</v>
      </c>
      <c r="I3" s="18"/>
      <c r="J3" s="18"/>
      <c r="K3" s="18"/>
      <c r="L3" s="18"/>
    </row>
    <row r="4" spans="1:32" ht="27" customHeight="1" x14ac:dyDescent="0.35">
      <c r="B4" s="18" t="s">
        <v>778</v>
      </c>
      <c r="C4" s="18"/>
      <c r="D4" s="18"/>
      <c r="E4" s="18"/>
      <c r="F4" s="18"/>
      <c r="H4" s="18" t="s">
        <v>779</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HYPERLINK("#Content!A63","&lt;&lt;Back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4733</v>
      </c>
      <c r="D12" s="12">
        <v>218</v>
      </c>
      <c r="E12" s="12">
        <v>153</v>
      </c>
      <c r="F12" s="12">
        <v>146</v>
      </c>
      <c r="G12" s="12">
        <v>117</v>
      </c>
      <c r="H12" s="12">
        <v>187</v>
      </c>
      <c r="I12" s="12">
        <v>220</v>
      </c>
      <c r="J12" s="12">
        <v>32</v>
      </c>
      <c r="K12" s="12">
        <v>106</v>
      </c>
      <c r="L12" s="12">
        <v>133</v>
      </c>
      <c r="M12" s="12">
        <v>209</v>
      </c>
      <c r="N12" s="12">
        <v>367</v>
      </c>
      <c r="O12" s="12">
        <v>123</v>
      </c>
      <c r="P12" s="12">
        <v>230</v>
      </c>
      <c r="Q12" s="12">
        <v>183</v>
      </c>
      <c r="R12" s="12">
        <v>242</v>
      </c>
      <c r="S12" s="12">
        <v>211</v>
      </c>
      <c r="T12" s="12">
        <v>196</v>
      </c>
      <c r="U12" s="12">
        <v>128</v>
      </c>
      <c r="V12" s="12">
        <v>164</v>
      </c>
      <c r="W12" s="12">
        <v>85</v>
      </c>
      <c r="X12" s="12">
        <v>236</v>
      </c>
      <c r="Y12" s="12">
        <v>261</v>
      </c>
      <c r="Z12" s="12">
        <v>127</v>
      </c>
      <c r="AA12" s="12">
        <v>203</v>
      </c>
      <c r="AB12" s="12">
        <v>154</v>
      </c>
      <c r="AC12" s="12">
        <v>189</v>
      </c>
      <c r="AD12" s="12">
        <v>206</v>
      </c>
      <c r="AE12" s="12">
        <v>90</v>
      </c>
      <c r="AF12" s="12">
        <v>54</v>
      </c>
    </row>
    <row r="13" spans="1:32" x14ac:dyDescent="0.35">
      <c r="A13" s="19"/>
      <c r="B13" s="13" t="s">
        <v>761</v>
      </c>
      <c r="C13" s="15">
        <v>0.18</v>
      </c>
      <c r="D13" s="15">
        <v>0.22</v>
      </c>
      <c r="E13" s="15">
        <v>0.15</v>
      </c>
      <c r="F13" s="15">
        <v>0.13</v>
      </c>
      <c r="G13" s="15">
        <v>0.12</v>
      </c>
      <c r="H13" s="15">
        <v>0.15</v>
      </c>
      <c r="I13" s="15">
        <v>0.15</v>
      </c>
      <c r="J13" s="15">
        <v>0.11</v>
      </c>
      <c r="K13" s="15">
        <v>0.11</v>
      </c>
      <c r="L13" s="15">
        <v>0.13</v>
      </c>
      <c r="M13" s="15">
        <v>0.21</v>
      </c>
      <c r="N13" s="15">
        <v>0.37</v>
      </c>
      <c r="O13" s="15">
        <v>0.12</v>
      </c>
      <c r="P13" s="15">
        <v>0.23</v>
      </c>
      <c r="Q13" s="15">
        <v>0.18</v>
      </c>
      <c r="R13" s="15">
        <v>0.48</v>
      </c>
      <c r="S13" s="15">
        <v>0.21</v>
      </c>
      <c r="T13" s="15">
        <v>0.2</v>
      </c>
      <c r="U13" s="15">
        <v>0.26</v>
      </c>
      <c r="V13" s="15">
        <v>0.16</v>
      </c>
      <c r="W13" s="15">
        <v>0.17</v>
      </c>
      <c r="X13" s="15">
        <v>0.23</v>
      </c>
      <c r="Y13" s="15">
        <v>0.26</v>
      </c>
      <c r="Z13" s="15">
        <v>0.12</v>
      </c>
      <c r="AA13" s="15">
        <v>0.2</v>
      </c>
      <c r="AB13" s="15">
        <v>0.15</v>
      </c>
      <c r="AC13" s="15">
        <v>0.19</v>
      </c>
      <c r="AD13" s="15">
        <v>0.21</v>
      </c>
      <c r="AE13" s="15">
        <v>0.09</v>
      </c>
      <c r="AF13" s="15">
        <v>0.05</v>
      </c>
    </row>
    <row r="14" spans="1:32" x14ac:dyDescent="0.35">
      <c r="A14" s="19"/>
      <c r="B14" s="11" t="s">
        <v>762</v>
      </c>
      <c r="C14" s="12">
        <v>10726</v>
      </c>
      <c r="D14" s="12">
        <v>481</v>
      </c>
      <c r="E14" s="12">
        <v>312</v>
      </c>
      <c r="F14" s="12">
        <v>350</v>
      </c>
      <c r="G14" s="12">
        <v>313</v>
      </c>
      <c r="H14" s="12">
        <v>456</v>
      </c>
      <c r="I14" s="12">
        <v>562</v>
      </c>
      <c r="J14" s="12">
        <v>105</v>
      </c>
      <c r="K14" s="12">
        <v>311</v>
      </c>
      <c r="L14" s="12">
        <v>288</v>
      </c>
      <c r="M14" s="12">
        <v>407</v>
      </c>
      <c r="N14" s="12">
        <v>406</v>
      </c>
      <c r="O14" s="12">
        <v>370</v>
      </c>
      <c r="P14" s="12">
        <v>483</v>
      </c>
      <c r="Q14" s="12">
        <v>514</v>
      </c>
      <c r="R14" s="12">
        <v>171</v>
      </c>
      <c r="S14" s="12">
        <v>407</v>
      </c>
      <c r="T14" s="12">
        <v>426</v>
      </c>
      <c r="U14" s="12">
        <v>223</v>
      </c>
      <c r="V14" s="12">
        <v>455</v>
      </c>
      <c r="W14" s="12">
        <v>208</v>
      </c>
      <c r="X14" s="12">
        <v>406</v>
      </c>
      <c r="Y14" s="12">
        <v>306</v>
      </c>
      <c r="Z14" s="12">
        <v>469</v>
      </c>
      <c r="AA14" s="12">
        <v>508</v>
      </c>
      <c r="AB14" s="12">
        <v>484</v>
      </c>
      <c r="AC14" s="12">
        <v>421</v>
      </c>
      <c r="AD14" s="12">
        <v>345</v>
      </c>
      <c r="AE14" s="12">
        <v>304</v>
      </c>
      <c r="AF14" s="12">
        <v>337</v>
      </c>
    </row>
    <row r="15" spans="1:32" x14ac:dyDescent="0.35">
      <c r="A15" s="19"/>
      <c r="B15" s="13" t="s">
        <v>763</v>
      </c>
      <c r="C15" s="15">
        <v>0.41</v>
      </c>
      <c r="D15" s="15">
        <v>0.47</v>
      </c>
      <c r="E15" s="15">
        <v>0.3</v>
      </c>
      <c r="F15" s="15">
        <v>0.32</v>
      </c>
      <c r="G15" s="15">
        <v>0.31</v>
      </c>
      <c r="H15" s="15">
        <v>0.37</v>
      </c>
      <c r="I15" s="15">
        <v>0.37</v>
      </c>
      <c r="J15" s="15">
        <v>0.36</v>
      </c>
      <c r="K15" s="15">
        <v>0.31</v>
      </c>
      <c r="L15" s="15">
        <v>0.28999999999999998</v>
      </c>
      <c r="M15" s="15">
        <v>0.4</v>
      </c>
      <c r="N15" s="15">
        <v>0.4</v>
      </c>
      <c r="O15" s="15">
        <v>0.37</v>
      </c>
      <c r="P15" s="15">
        <v>0.48</v>
      </c>
      <c r="Q15" s="15">
        <v>0.5</v>
      </c>
      <c r="R15" s="15">
        <v>0.34</v>
      </c>
      <c r="S15" s="15">
        <v>0.41</v>
      </c>
      <c r="T15" s="15">
        <v>0.42</v>
      </c>
      <c r="U15" s="15">
        <v>0.44</v>
      </c>
      <c r="V15" s="15">
        <v>0.45</v>
      </c>
      <c r="W15" s="15">
        <v>0.41</v>
      </c>
      <c r="X15" s="15">
        <v>0.4</v>
      </c>
      <c r="Y15" s="15">
        <v>0.31</v>
      </c>
      <c r="Z15" s="15">
        <v>0.46</v>
      </c>
      <c r="AA15" s="15">
        <v>0.49</v>
      </c>
      <c r="AB15" s="15">
        <v>0.46</v>
      </c>
      <c r="AC15" s="15">
        <v>0.42</v>
      </c>
      <c r="AD15" s="15">
        <v>0.34</v>
      </c>
      <c r="AE15" s="15">
        <v>0.3</v>
      </c>
      <c r="AF15" s="15">
        <v>0.32</v>
      </c>
    </row>
    <row r="16" spans="1:32" x14ac:dyDescent="0.35">
      <c r="A16" s="19"/>
      <c r="B16" s="11" t="s">
        <v>764</v>
      </c>
      <c r="C16" s="12">
        <v>6492</v>
      </c>
      <c r="D16" s="12">
        <v>228</v>
      </c>
      <c r="E16" s="12">
        <v>296</v>
      </c>
      <c r="F16" s="12">
        <v>348</v>
      </c>
      <c r="G16" s="12">
        <v>304</v>
      </c>
      <c r="H16" s="12">
        <v>361</v>
      </c>
      <c r="I16" s="12">
        <v>459</v>
      </c>
      <c r="J16" s="12">
        <v>99</v>
      </c>
      <c r="K16" s="12">
        <v>305</v>
      </c>
      <c r="L16" s="12">
        <v>341</v>
      </c>
      <c r="M16" s="12">
        <v>241</v>
      </c>
      <c r="N16" s="12">
        <v>122</v>
      </c>
      <c r="O16" s="12">
        <v>249</v>
      </c>
      <c r="P16" s="12">
        <v>200</v>
      </c>
      <c r="Q16" s="12">
        <v>211</v>
      </c>
      <c r="R16" s="12">
        <v>60</v>
      </c>
      <c r="S16" s="12">
        <v>211</v>
      </c>
      <c r="T16" s="12">
        <v>232</v>
      </c>
      <c r="U16" s="12">
        <v>80</v>
      </c>
      <c r="V16" s="12">
        <v>229</v>
      </c>
      <c r="W16" s="12">
        <v>161</v>
      </c>
      <c r="X16" s="12">
        <v>236</v>
      </c>
      <c r="Y16" s="12">
        <v>213</v>
      </c>
      <c r="Z16" s="12">
        <v>293</v>
      </c>
      <c r="AA16" s="12">
        <v>216</v>
      </c>
      <c r="AB16" s="12">
        <v>239</v>
      </c>
      <c r="AC16" s="12">
        <v>276</v>
      </c>
      <c r="AD16" s="12">
        <v>236</v>
      </c>
      <c r="AE16" s="12">
        <v>395</v>
      </c>
      <c r="AF16" s="12">
        <v>414</v>
      </c>
    </row>
    <row r="17" spans="1:32" x14ac:dyDescent="0.35">
      <c r="A17" s="19"/>
      <c r="B17" s="13" t="s">
        <v>765</v>
      </c>
      <c r="C17" s="15">
        <v>0.24</v>
      </c>
      <c r="D17" s="15">
        <v>0.22</v>
      </c>
      <c r="E17" s="15">
        <v>0.28999999999999998</v>
      </c>
      <c r="F17" s="15">
        <v>0.32</v>
      </c>
      <c r="G17" s="15">
        <v>0.3</v>
      </c>
      <c r="H17" s="15">
        <v>0.3</v>
      </c>
      <c r="I17" s="15">
        <v>0.3</v>
      </c>
      <c r="J17" s="15">
        <v>0.33</v>
      </c>
      <c r="K17" s="15">
        <v>0.3</v>
      </c>
      <c r="L17" s="15">
        <v>0.34</v>
      </c>
      <c r="M17" s="15">
        <v>0.24</v>
      </c>
      <c r="N17" s="15">
        <v>0.12</v>
      </c>
      <c r="O17" s="15">
        <v>0.25</v>
      </c>
      <c r="P17" s="15">
        <v>0.2</v>
      </c>
      <c r="Q17" s="15">
        <v>0.2</v>
      </c>
      <c r="R17" s="15">
        <v>0.12</v>
      </c>
      <c r="S17" s="15">
        <v>0.21</v>
      </c>
      <c r="T17" s="15">
        <v>0.23</v>
      </c>
      <c r="U17" s="15">
        <v>0.16</v>
      </c>
      <c r="V17" s="15">
        <v>0.23</v>
      </c>
      <c r="W17" s="15">
        <v>0.32</v>
      </c>
      <c r="X17" s="15">
        <v>0.24</v>
      </c>
      <c r="Y17" s="15">
        <v>0.21</v>
      </c>
      <c r="Z17" s="15">
        <v>0.28000000000000003</v>
      </c>
      <c r="AA17" s="15">
        <v>0.21</v>
      </c>
      <c r="AB17" s="15">
        <v>0.23</v>
      </c>
      <c r="AC17" s="15">
        <v>0.28000000000000003</v>
      </c>
      <c r="AD17" s="15">
        <v>0.23</v>
      </c>
      <c r="AE17" s="15">
        <v>0.39</v>
      </c>
      <c r="AF17" s="15">
        <v>0.4</v>
      </c>
    </row>
    <row r="18" spans="1:32" x14ac:dyDescent="0.35">
      <c r="A18" s="19"/>
      <c r="B18" s="11" t="s">
        <v>766</v>
      </c>
      <c r="C18" s="12">
        <v>3012</v>
      </c>
      <c r="D18" s="12">
        <v>59</v>
      </c>
      <c r="E18" s="12">
        <v>181</v>
      </c>
      <c r="F18" s="12">
        <v>213</v>
      </c>
      <c r="G18" s="12">
        <v>198</v>
      </c>
      <c r="H18" s="12">
        <v>151</v>
      </c>
      <c r="I18" s="12">
        <v>201</v>
      </c>
      <c r="J18" s="12">
        <v>50</v>
      </c>
      <c r="K18" s="12">
        <v>160</v>
      </c>
      <c r="L18" s="12">
        <v>171</v>
      </c>
      <c r="M18" s="12">
        <v>103</v>
      </c>
      <c r="N18" s="12">
        <v>41</v>
      </c>
      <c r="O18" s="12">
        <v>172</v>
      </c>
      <c r="P18" s="12">
        <v>67</v>
      </c>
      <c r="Q18" s="12">
        <v>72</v>
      </c>
      <c r="R18" s="12">
        <v>17</v>
      </c>
      <c r="S18" s="12">
        <v>99</v>
      </c>
      <c r="T18" s="12">
        <v>83</v>
      </c>
      <c r="U18" s="12">
        <v>52</v>
      </c>
      <c r="V18" s="12">
        <v>114</v>
      </c>
      <c r="W18" s="12">
        <v>41</v>
      </c>
      <c r="X18" s="12">
        <v>115</v>
      </c>
      <c r="Y18" s="12">
        <v>182</v>
      </c>
      <c r="Z18" s="12">
        <v>90</v>
      </c>
      <c r="AA18" s="12">
        <v>11</v>
      </c>
      <c r="AB18" s="12">
        <v>110</v>
      </c>
      <c r="AC18" s="12">
        <v>102</v>
      </c>
      <c r="AD18" s="12">
        <v>160</v>
      </c>
      <c r="AE18" s="12">
        <v>170</v>
      </c>
      <c r="AF18" s="12">
        <v>221</v>
      </c>
    </row>
    <row r="19" spans="1:32" x14ac:dyDescent="0.35">
      <c r="A19" s="19"/>
      <c r="B19" s="13" t="s">
        <v>767</v>
      </c>
      <c r="C19" s="15">
        <v>0.11</v>
      </c>
      <c r="D19" s="15">
        <v>0.06</v>
      </c>
      <c r="E19" s="15">
        <v>0.18</v>
      </c>
      <c r="F19" s="15">
        <v>0.19</v>
      </c>
      <c r="G19" s="15">
        <v>0.2</v>
      </c>
      <c r="H19" s="15">
        <v>0.13</v>
      </c>
      <c r="I19" s="15">
        <v>0.13</v>
      </c>
      <c r="J19" s="15">
        <v>0.17</v>
      </c>
      <c r="K19" s="15">
        <v>0.16</v>
      </c>
      <c r="L19" s="15">
        <v>0.17</v>
      </c>
      <c r="M19" s="15">
        <v>0.1</v>
      </c>
      <c r="N19" s="15">
        <v>0.04</v>
      </c>
      <c r="O19" s="15">
        <v>0.17</v>
      </c>
      <c r="P19" s="15">
        <v>7.0000000000000007E-2</v>
      </c>
      <c r="Q19" s="15">
        <v>7.0000000000000007E-2</v>
      </c>
      <c r="R19" s="15">
        <v>0.03</v>
      </c>
      <c r="S19" s="15">
        <v>0.1</v>
      </c>
      <c r="T19" s="15">
        <v>0.08</v>
      </c>
      <c r="U19" s="15">
        <v>0.1</v>
      </c>
      <c r="V19" s="15">
        <v>0.11</v>
      </c>
      <c r="W19" s="15">
        <v>0.08</v>
      </c>
      <c r="X19" s="15">
        <v>0.11</v>
      </c>
      <c r="Y19" s="15">
        <v>0.18</v>
      </c>
      <c r="Z19" s="15">
        <v>0.09</v>
      </c>
      <c r="AA19" s="15">
        <v>0.01</v>
      </c>
      <c r="AB19" s="15">
        <v>0.1</v>
      </c>
      <c r="AC19" s="15">
        <v>0.1</v>
      </c>
      <c r="AD19" s="15">
        <v>0.16</v>
      </c>
      <c r="AE19" s="15">
        <v>0.17</v>
      </c>
      <c r="AF19" s="15">
        <v>0.21</v>
      </c>
    </row>
    <row r="20" spans="1:32" x14ac:dyDescent="0.35">
      <c r="A20" s="19"/>
      <c r="B20" s="11" t="s">
        <v>485</v>
      </c>
      <c r="C20" s="12">
        <v>1482</v>
      </c>
      <c r="D20" s="12">
        <v>27</v>
      </c>
      <c r="E20" s="12">
        <v>88</v>
      </c>
      <c r="F20" s="12">
        <v>45</v>
      </c>
      <c r="G20" s="12">
        <v>73</v>
      </c>
      <c r="H20" s="12">
        <v>65</v>
      </c>
      <c r="I20" s="12">
        <v>74</v>
      </c>
      <c r="J20" s="12">
        <v>9</v>
      </c>
      <c r="K20" s="12">
        <v>121</v>
      </c>
      <c r="L20" s="12">
        <v>70</v>
      </c>
      <c r="M20" s="12">
        <v>50</v>
      </c>
      <c r="N20" s="12">
        <v>67</v>
      </c>
      <c r="O20" s="12">
        <v>88</v>
      </c>
      <c r="P20" s="12">
        <v>25</v>
      </c>
      <c r="Q20" s="12">
        <v>46</v>
      </c>
      <c r="R20" s="12">
        <v>15</v>
      </c>
      <c r="S20" s="12">
        <v>74</v>
      </c>
      <c r="T20" s="12">
        <v>68</v>
      </c>
      <c r="U20" s="12">
        <v>22</v>
      </c>
      <c r="V20" s="12">
        <v>52</v>
      </c>
      <c r="W20" s="12">
        <v>13</v>
      </c>
      <c r="X20" s="12">
        <v>15</v>
      </c>
      <c r="Y20" s="12">
        <v>41</v>
      </c>
      <c r="Z20" s="12">
        <v>52</v>
      </c>
      <c r="AA20" s="12">
        <v>95</v>
      </c>
      <c r="AB20" s="12">
        <v>65</v>
      </c>
      <c r="AC20" s="12">
        <v>15</v>
      </c>
      <c r="AD20" s="12">
        <v>58</v>
      </c>
      <c r="AE20" s="12">
        <v>53</v>
      </c>
      <c r="AF20" s="12">
        <v>17</v>
      </c>
    </row>
    <row r="21" spans="1:32" x14ac:dyDescent="0.35">
      <c r="A21" s="19"/>
      <c r="B21" s="13" t="s">
        <v>486</v>
      </c>
      <c r="C21" s="15">
        <v>0.06</v>
      </c>
      <c r="D21" s="15">
        <v>0.03</v>
      </c>
      <c r="E21" s="15">
        <v>0.08</v>
      </c>
      <c r="F21" s="15">
        <v>0.04</v>
      </c>
      <c r="G21" s="15">
        <v>7.0000000000000007E-2</v>
      </c>
      <c r="H21" s="15">
        <v>0.05</v>
      </c>
      <c r="I21" s="15">
        <v>0.05</v>
      </c>
      <c r="J21" s="15">
        <v>0.03</v>
      </c>
      <c r="K21" s="15">
        <v>0.12</v>
      </c>
      <c r="L21" s="15">
        <v>7.0000000000000007E-2</v>
      </c>
      <c r="M21" s="15">
        <v>0.05</v>
      </c>
      <c r="N21" s="15">
        <v>7.0000000000000007E-2</v>
      </c>
      <c r="O21" s="15">
        <v>0.09</v>
      </c>
      <c r="P21" s="15">
        <v>0.02</v>
      </c>
      <c r="Q21" s="15">
        <v>0.05</v>
      </c>
      <c r="R21" s="15">
        <v>0.03</v>
      </c>
      <c r="S21" s="15">
        <v>7.0000000000000007E-2</v>
      </c>
      <c r="T21" s="15">
        <v>7.0000000000000007E-2</v>
      </c>
      <c r="U21" s="15">
        <v>0.04</v>
      </c>
      <c r="V21" s="15">
        <v>0.05</v>
      </c>
      <c r="W21" s="15">
        <v>0.02</v>
      </c>
      <c r="X21" s="15">
        <v>0.02</v>
      </c>
      <c r="Y21" s="15">
        <v>0.04</v>
      </c>
      <c r="Z21" s="15">
        <v>0.05</v>
      </c>
      <c r="AA21" s="15">
        <v>0.09</v>
      </c>
      <c r="AB21" s="15">
        <v>0.06</v>
      </c>
      <c r="AC21" s="15">
        <v>0.01</v>
      </c>
      <c r="AD21" s="15">
        <v>0.06</v>
      </c>
      <c r="AE21" s="15">
        <v>0.05</v>
      </c>
      <c r="AF21" s="15">
        <v>0.02</v>
      </c>
    </row>
    <row r="22" spans="1:32" x14ac:dyDescent="0.35">
      <c r="A22" s="19"/>
      <c r="B22" s="11" t="s">
        <v>768</v>
      </c>
      <c r="C22" s="12">
        <v>15459</v>
      </c>
      <c r="D22" s="12">
        <v>699</v>
      </c>
      <c r="E22" s="12">
        <v>465</v>
      </c>
      <c r="F22" s="12">
        <v>496</v>
      </c>
      <c r="G22" s="12">
        <v>430</v>
      </c>
      <c r="H22" s="12">
        <v>643</v>
      </c>
      <c r="I22" s="12">
        <v>782</v>
      </c>
      <c r="J22" s="12">
        <v>137</v>
      </c>
      <c r="K22" s="12">
        <v>417</v>
      </c>
      <c r="L22" s="12">
        <v>421</v>
      </c>
      <c r="M22" s="12">
        <v>616</v>
      </c>
      <c r="N22" s="12">
        <v>773</v>
      </c>
      <c r="O22" s="12">
        <v>493</v>
      </c>
      <c r="P22" s="12">
        <v>713</v>
      </c>
      <c r="Q22" s="12">
        <v>697</v>
      </c>
      <c r="R22" s="12">
        <v>413</v>
      </c>
      <c r="S22" s="12">
        <v>618</v>
      </c>
      <c r="T22" s="12">
        <v>622</v>
      </c>
      <c r="U22" s="12">
        <v>351</v>
      </c>
      <c r="V22" s="12">
        <v>619</v>
      </c>
      <c r="W22" s="12">
        <v>293</v>
      </c>
      <c r="X22" s="12">
        <v>642</v>
      </c>
      <c r="Y22" s="12">
        <v>567</v>
      </c>
      <c r="Z22" s="12">
        <v>596</v>
      </c>
      <c r="AA22" s="12">
        <v>711</v>
      </c>
      <c r="AB22" s="12">
        <v>638</v>
      </c>
      <c r="AC22" s="12">
        <v>610</v>
      </c>
      <c r="AD22" s="12">
        <v>551</v>
      </c>
      <c r="AE22" s="12">
        <v>394</v>
      </c>
      <c r="AF22" s="12">
        <v>391</v>
      </c>
    </row>
    <row r="23" spans="1:32" x14ac:dyDescent="0.35">
      <c r="A23" s="19"/>
      <c r="B23" s="13" t="s">
        <v>769</v>
      </c>
      <c r="C23" s="15">
        <v>0.59</v>
      </c>
      <c r="D23" s="15">
        <v>0.69000000000000006</v>
      </c>
      <c r="E23" s="15">
        <v>0.45</v>
      </c>
      <c r="F23" s="15">
        <v>0.45</v>
      </c>
      <c r="G23" s="15">
        <v>0.43</v>
      </c>
      <c r="H23" s="15">
        <v>0.52</v>
      </c>
      <c r="I23" s="15">
        <v>0.52</v>
      </c>
      <c r="J23" s="15">
        <v>0.47</v>
      </c>
      <c r="K23" s="15">
        <v>0.42</v>
      </c>
      <c r="L23" s="15">
        <v>0.42</v>
      </c>
      <c r="M23" s="15">
        <v>0.61</v>
      </c>
      <c r="N23" s="15">
        <v>0.77</v>
      </c>
      <c r="O23" s="15">
        <v>0.49</v>
      </c>
      <c r="P23" s="15">
        <v>0.71</v>
      </c>
      <c r="Q23" s="15">
        <v>0.68</v>
      </c>
      <c r="R23" s="15">
        <v>0.82000000000000006</v>
      </c>
      <c r="S23" s="15">
        <v>0.62</v>
      </c>
      <c r="T23" s="15">
        <v>0.62</v>
      </c>
      <c r="U23" s="15">
        <v>0.70000000000000007</v>
      </c>
      <c r="V23" s="15">
        <v>0.61</v>
      </c>
      <c r="W23" s="15">
        <v>0.57999999999999996</v>
      </c>
      <c r="X23" s="15">
        <v>0.63</v>
      </c>
      <c r="Y23" s="15">
        <v>0.57000000000000006</v>
      </c>
      <c r="Z23" s="15">
        <v>0.57999999999999996</v>
      </c>
      <c r="AA23" s="15">
        <v>0.69000000000000006</v>
      </c>
      <c r="AB23" s="15">
        <v>0.61</v>
      </c>
      <c r="AC23" s="15">
        <v>0.61</v>
      </c>
      <c r="AD23" s="15">
        <v>0.55000000000000004</v>
      </c>
      <c r="AE23" s="15">
        <v>0.39</v>
      </c>
      <c r="AF23" s="15">
        <v>0.37</v>
      </c>
    </row>
    <row r="24" spans="1:32" x14ac:dyDescent="0.35">
      <c r="A24" s="19"/>
      <c r="B24" s="11" t="s">
        <v>770</v>
      </c>
      <c r="C24" s="12">
        <v>9504</v>
      </c>
      <c r="D24" s="12">
        <v>287</v>
      </c>
      <c r="E24" s="12">
        <v>477</v>
      </c>
      <c r="F24" s="12">
        <v>561</v>
      </c>
      <c r="G24" s="12">
        <v>502</v>
      </c>
      <c r="H24" s="12">
        <v>512</v>
      </c>
      <c r="I24" s="12">
        <v>660</v>
      </c>
      <c r="J24" s="12">
        <v>149</v>
      </c>
      <c r="K24" s="12">
        <v>465</v>
      </c>
      <c r="L24" s="12">
        <v>512</v>
      </c>
      <c r="M24" s="12">
        <v>344</v>
      </c>
      <c r="N24" s="12">
        <v>163</v>
      </c>
      <c r="O24" s="12">
        <v>421</v>
      </c>
      <c r="P24" s="12">
        <v>267</v>
      </c>
      <c r="Q24" s="12">
        <v>283</v>
      </c>
      <c r="R24" s="12">
        <v>77</v>
      </c>
      <c r="S24" s="12">
        <v>310</v>
      </c>
      <c r="T24" s="12">
        <v>315</v>
      </c>
      <c r="U24" s="12">
        <v>132</v>
      </c>
      <c r="V24" s="12">
        <v>343</v>
      </c>
      <c r="W24" s="12">
        <v>202</v>
      </c>
      <c r="X24" s="12">
        <v>351</v>
      </c>
      <c r="Y24" s="12">
        <v>395</v>
      </c>
      <c r="Z24" s="12">
        <v>383</v>
      </c>
      <c r="AA24" s="12">
        <v>227</v>
      </c>
      <c r="AB24" s="12">
        <v>349</v>
      </c>
      <c r="AC24" s="12">
        <v>378</v>
      </c>
      <c r="AD24" s="12">
        <v>396</v>
      </c>
      <c r="AE24" s="12">
        <v>565</v>
      </c>
      <c r="AF24" s="12">
        <v>635</v>
      </c>
    </row>
    <row r="25" spans="1:32" x14ac:dyDescent="0.35">
      <c r="A25" s="19"/>
      <c r="B25" s="13" t="s">
        <v>771</v>
      </c>
      <c r="C25" s="15">
        <v>0.35</v>
      </c>
      <c r="D25" s="15">
        <v>0.28000000000000003</v>
      </c>
      <c r="E25" s="15">
        <v>0.47</v>
      </c>
      <c r="F25" s="15">
        <v>0.51</v>
      </c>
      <c r="G25" s="15">
        <v>0.5</v>
      </c>
      <c r="H25" s="15">
        <v>0.43</v>
      </c>
      <c r="I25" s="15">
        <v>0.43</v>
      </c>
      <c r="J25" s="15">
        <v>0.5</v>
      </c>
      <c r="K25" s="15">
        <v>0.46</v>
      </c>
      <c r="L25" s="15">
        <v>0.51</v>
      </c>
      <c r="M25" s="15">
        <v>0.34</v>
      </c>
      <c r="N25" s="15">
        <v>0.16</v>
      </c>
      <c r="O25" s="15">
        <v>0.42</v>
      </c>
      <c r="P25" s="15">
        <v>0.27</v>
      </c>
      <c r="Q25" s="15">
        <v>0.27</v>
      </c>
      <c r="R25" s="15">
        <v>0.15</v>
      </c>
      <c r="S25" s="15">
        <v>0.31</v>
      </c>
      <c r="T25" s="15">
        <v>0.31</v>
      </c>
      <c r="U25" s="15">
        <v>0.26</v>
      </c>
      <c r="V25" s="15">
        <v>0.34</v>
      </c>
      <c r="W25" s="15">
        <v>0.4</v>
      </c>
      <c r="X25" s="15">
        <v>0.35</v>
      </c>
      <c r="Y25" s="15">
        <v>0.39</v>
      </c>
      <c r="Z25" s="15">
        <v>0.37</v>
      </c>
      <c r="AA25" s="15">
        <v>0.22</v>
      </c>
      <c r="AB25" s="15">
        <v>0.33</v>
      </c>
      <c r="AC25" s="15">
        <v>0.38</v>
      </c>
      <c r="AD25" s="15">
        <v>0.39</v>
      </c>
      <c r="AE25" s="15">
        <v>0.56000000000000005</v>
      </c>
      <c r="AF25" s="15">
        <v>0.61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123</v>
      </c>
      <c r="C3" s="18"/>
      <c r="D3" s="18"/>
      <c r="E3" s="18"/>
      <c r="F3" s="18"/>
      <c r="H3" s="18" t="s">
        <v>124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HYPERLINK("#Content!A64","&lt;&lt;Back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780</v>
      </c>
      <c r="C12" s="12">
        <v>1470</v>
      </c>
      <c r="D12" s="12">
        <v>29</v>
      </c>
      <c r="E12" s="12">
        <v>95</v>
      </c>
      <c r="F12" s="12">
        <v>72</v>
      </c>
      <c r="G12" s="12">
        <v>141</v>
      </c>
      <c r="H12" s="12">
        <v>36</v>
      </c>
      <c r="I12" s="12">
        <v>51</v>
      </c>
      <c r="J12" s="12">
        <v>15</v>
      </c>
      <c r="K12" s="12">
        <v>59</v>
      </c>
      <c r="L12" s="12">
        <v>181</v>
      </c>
      <c r="M12" s="12">
        <v>42</v>
      </c>
      <c r="N12" s="12">
        <v>84</v>
      </c>
      <c r="O12" s="12">
        <v>29</v>
      </c>
      <c r="P12" s="12">
        <v>100</v>
      </c>
      <c r="Q12" s="12">
        <v>41</v>
      </c>
      <c r="R12" s="12">
        <v>16</v>
      </c>
      <c r="S12" s="12">
        <v>81</v>
      </c>
      <c r="T12" s="12">
        <v>106</v>
      </c>
      <c r="U12" s="12">
        <v>45</v>
      </c>
      <c r="V12" s="12">
        <v>64</v>
      </c>
      <c r="W12" s="12">
        <v>40</v>
      </c>
      <c r="X12" s="12">
        <v>45</v>
      </c>
      <c r="Y12" s="12">
        <v>133</v>
      </c>
      <c r="Z12" s="12">
        <v>87</v>
      </c>
      <c r="AA12" s="12">
        <v>12</v>
      </c>
      <c r="AB12" s="12">
        <v>77</v>
      </c>
      <c r="AC12" s="12">
        <v>89</v>
      </c>
      <c r="AD12" s="12">
        <v>72</v>
      </c>
      <c r="AE12" s="12">
        <v>53</v>
      </c>
      <c r="AF12" s="12">
        <v>77</v>
      </c>
      <c r="AG12" s="12">
        <v>108</v>
      </c>
      <c r="AH12" s="12">
        <v>155</v>
      </c>
      <c r="AI12" s="12">
        <v>80</v>
      </c>
      <c r="AJ12" s="12">
        <v>145</v>
      </c>
      <c r="AK12" s="12">
        <v>231</v>
      </c>
      <c r="AL12" s="12">
        <v>218</v>
      </c>
      <c r="AM12" s="12">
        <v>52</v>
      </c>
      <c r="AN12" s="12">
        <v>157</v>
      </c>
      <c r="AO12" s="12">
        <v>443</v>
      </c>
      <c r="AP12" s="12">
        <v>119</v>
      </c>
      <c r="AQ12" s="12">
        <v>169</v>
      </c>
    </row>
    <row r="13" spans="1:43" x14ac:dyDescent="0.35">
      <c r="A13" s="19"/>
      <c r="B13" s="13" t="s">
        <v>781</v>
      </c>
      <c r="C13" s="15">
        <v>0.06</v>
      </c>
      <c r="D13" s="15">
        <v>0.03</v>
      </c>
      <c r="E13" s="15">
        <v>0.09</v>
      </c>
      <c r="F13" s="15">
        <v>0.06</v>
      </c>
      <c r="G13" s="15">
        <v>0.14000000000000001</v>
      </c>
      <c r="H13" s="15">
        <v>0.03</v>
      </c>
      <c r="I13" s="15">
        <v>0.04</v>
      </c>
      <c r="J13" s="15">
        <v>0.05</v>
      </c>
      <c r="K13" s="15">
        <v>0.06</v>
      </c>
      <c r="L13" s="15">
        <v>0.18</v>
      </c>
      <c r="M13" s="15">
        <v>0.04</v>
      </c>
      <c r="N13" s="15">
        <v>0.08</v>
      </c>
      <c r="O13" s="15">
        <v>0.03</v>
      </c>
      <c r="P13" s="15">
        <v>0.1</v>
      </c>
      <c r="Q13" s="15">
        <v>0.04</v>
      </c>
      <c r="R13" s="15">
        <v>0.03</v>
      </c>
      <c r="S13" s="15">
        <v>0.08</v>
      </c>
      <c r="T13" s="15">
        <v>0.11</v>
      </c>
      <c r="U13" s="15">
        <v>0.09</v>
      </c>
      <c r="V13" s="15">
        <v>0.06</v>
      </c>
      <c r="W13" s="15">
        <v>0.08</v>
      </c>
      <c r="X13" s="15">
        <v>0.04</v>
      </c>
      <c r="Y13" s="15">
        <v>0.13</v>
      </c>
      <c r="Z13" s="15">
        <v>0.08</v>
      </c>
      <c r="AA13" s="15">
        <v>0.01</v>
      </c>
      <c r="AB13" s="15">
        <v>7.0000000000000007E-2</v>
      </c>
      <c r="AC13" s="15">
        <v>0.09</v>
      </c>
      <c r="AD13" s="15">
        <v>7.0000000000000007E-2</v>
      </c>
      <c r="AE13" s="15">
        <v>0.05</v>
      </c>
      <c r="AF13" s="15">
        <v>0.08</v>
      </c>
      <c r="AG13" s="15">
        <v>0.11</v>
      </c>
      <c r="AH13" s="15">
        <v>0.15</v>
      </c>
      <c r="AI13" s="15">
        <v>0.15</v>
      </c>
      <c r="AJ13" s="15">
        <v>0.14000000000000001</v>
      </c>
      <c r="AK13" s="15">
        <v>0.23</v>
      </c>
      <c r="AL13" s="15">
        <v>0.22</v>
      </c>
      <c r="AM13" s="15">
        <v>0.05</v>
      </c>
      <c r="AN13" s="15">
        <v>0.16</v>
      </c>
      <c r="AO13" s="15">
        <v>0.44</v>
      </c>
      <c r="AP13" s="15">
        <v>0.23</v>
      </c>
      <c r="AQ13" s="15">
        <v>0.17</v>
      </c>
    </row>
    <row r="14" spans="1:43" x14ac:dyDescent="0.35">
      <c r="A14" s="19"/>
      <c r="B14" s="11" t="s">
        <v>782</v>
      </c>
      <c r="C14" s="12">
        <v>14031</v>
      </c>
      <c r="D14" s="12">
        <v>464</v>
      </c>
      <c r="E14" s="12">
        <v>434</v>
      </c>
      <c r="F14" s="12">
        <v>521</v>
      </c>
      <c r="G14" s="12">
        <v>629</v>
      </c>
      <c r="H14" s="12">
        <v>760</v>
      </c>
      <c r="I14" s="12">
        <v>867</v>
      </c>
      <c r="J14" s="12">
        <v>107</v>
      </c>
      <c r="K14" s="12">
        <v>528</v>
      </c>
      <c r="L14" s="12">
        <v>581</v>
      </c>
      <c r="M14" s="12">
        <v>406</v>
      </c>
      <c r="N14" s="12">
        <v>503</v>
      </c>
      <c r="O14" s="12">
        <v>382</v>
      </c>
      <c r="P14" s="12">
        <v>564</v>
      </c>
      <c r="Q14" s="12">
        <v>591</v>
      </c>
      <c r="R14" s="12">
        <v>253</v>
      </c>
      <c r="S14" s="12">
        <v>573</v>
      </c>
      <c r="T14" s="12">
        <v>603</v>
      </c>
      <c r="U14" s="12">
        <v>258</v>
      </c>
      <c r="V14" s="12">
        <v>531</v>
      </c>
      <c r="W14" s="12">
        <v>312</v>
      </c>
      <c r="X14" s="12">
        <v>626</v>
      </c>
      <c r="Y14" s="12">
        <v>451</v>
      </c>
      <c r="Z14" s="12">
        <v>661</v>
      </c>
      <c r="AA14" s="12">
        <v>672</v>
      </c>
      <c r="AB14" s="12">
        <v>554</v>
      </c>
      <c r="AC14" s="12">
        <v>553</v>
      </c>
      <c r="AD14" s="12">
        <v>560</v>
      </c>
      <c r="AE14" s="12">
        <v>640</v>
      </c>
      <c r="AF14" s="12">
        <v>628</v>
      </c>
      <c r="AG14" s="12">
        <v>427</v>
      </c>
      <c r="AH14" s="12">
        <v>573</v>
      </c>
      <c r="AI14" s="12">
        <v>206</v>
      </c>
      <c r="AJ14" s="12">
        <v>349</v>
      </c>
      <c r="AK14" s="12">
        <v>608</v>
      </c>
      <c r="AL14" s="12">
        <v>427</v>
      </c>
      <c r="AM14" s="12">
        <v>507</v>
      </c>
      <c r="AN14" s="12">
        <v>501</v>
      </c>
      <c r="AO14" s="12">
        <v>452</v>
      </c>
      <c r="AP14" s="12">
        <v>243</v>
      </c>
      <c r="AQ14" s="12">
        <v>470</v>
      </c>
    </row>
    <row r="15" spans="1:43" x14ac:dyDescent="0.35">
      <c r="A15" s="19"/>
      <c r="B15" s="13" t="s">
        <v>783</v>
      </c>
      <c r="C15" s="15">
        <v>0.53</v>
      </c>
      <c r="D15" s="15">
        <v>0.46</v>
      </c>
      <c r="E15" s="15">
        <v>0.42</v>
      </c>
      <c r="F15" s="15">
        <v>0.47</v>
      </c>
      <c r="G15" s="15">
        <v>0.63</v>
      </c>
      <c r="H15" s="15">
        <v>0.62</v>
      </c>
      <c r="I15" s="15">
        <v>0.57000000000000006</v>
      </c>
      <c r="J15" s="15">
        <v>0.36</v>
      </c>
      <c r="K15" s="15">
        <v>0.53</v>
      </c>
      <c r="L15" s="15">
        <v>0.57999999999999996</v>
      </c>
      <c r="M15" s="15">
        <v>0.4</v>
      </c>
      <c r="N15" s="15">
        <v>0.5</v>
      </c>
      <c r="O15" s="15">
        <v>0.38</v>
      </c>
      <c r="P15" s="15">
        <v>0.56000000000000005</v>
      </c>
      <c r="Q15" s="15">
        <v>0.57999999999999996</v>
      </c>
      <c r="R15" s="15">
        <v>0.5</v>
      </c>
      <c r="S15" s="15">
        <v>0.57000000000000006</v>
      </c>
      <c r="T15" s="15">
        <v>0.6</v>
      </c>
      <c r="U15" s="15">
        <v>0.51</v>
      </c>
      <c r="V15" s="15">
        <v>0.52</v>
      </c>
      <c r="W15" s="15">
        <v>0.61</v>
      </c>
      <c r="X15" s="15">
        <v>0.62</v>
      </c>
      <c r="Y15" s="15">
        <v>0.45</v>
      </c>
      <c r="Z15" s="15">
        <v>0.64</v>
      </c>
      <c r="AA15" s="15">
        <v>0.65</v>
      </c>
      <c r="AB15" s="15">
        <v>0.53</v>
      </c>
      <c r="AC15" s="15">
        <v>0.55000000000000004</v>
      </c>
      <c r="AD15" s="15">
        <v>0.56000000000000005</v>
      </c>
      <c r="AE15" s="15">
        <v>0.63</v>
      </c>
      <c r="AF15" s="15">
        <v>0.6</v>
      </c>
      <c r="AG15" s="15">
        <v>0.41</v>
      </c>
      <c r="AH15" s="15">
        <v>0.57000000000000006</v>
      </c>
      <c r="AI15" s="15">
        <v>0.39</v>
      </c>
      <c r="AJ15" s="15">
        <v>0.34</v>
      </c>
      <c r="AK15" s="15">
        <v>0.6</v>
      </c>
      <c r="AL15" s="15">
        <v>0.42</v>
      </c>
      <c r="AM15" s="15">
        <v>0.49</v>
      </c>
      <c r="AN15" s="15">
        <v>0.5</v>
      </c>
      <c r="AO15" s="15">
        <v>0.45</v>
      </c>
      <c r="AP15" s="15">
        <v>0.46</v>
      </c>
      <c r="AQ15" s="15">
        <v>0.47</v>
      </c>
    </row>
    <row r="16" spans="1:43" x14ac:dyDescent="0.35">
      <c r="A16" s="19"/>
      <c r="B16" s="11" t="s">
        <v>784</v>
      </c>
      <c r="C16" s="12">
        <v>8202</v>
      </c>
      <c r="D16" s="12">
        <v>422</v>
      </c>
      <c r="E16" s="12">
        <v>308</v>
      </c>
      <c r="F16" s="12">
        <v>382</v>
      </c>
      <c r="G16" s="12">
        <v>166</v>
      </c>
      <c r="H16" s="12">
        <v>334</v>
      </c>
      <c r="I16" s="12">
        <v>475</v>
      </c>
      <c r="J16" s="12">
        <v>140</v>
      </c>
      <c r="K16" s="12">
        <v>298</v>
      </c>
      <c r="L16" s="12">
        <v>148</v>
      </c>
      <c r="M16" s="12">
        <v>409</v>
      </c>
      <c r="N16" s="12">
        <v>281</v>
      </c>
      <c r="O16" s="12">
        <v>429</v>
      </c>
      <c r="P16" s="12">
        <v>252</v>
      </c>
      <c r="Q16" s="12">
        <v>310</v>
      </c>
      <c r="R16" s="12">
        <v>144</v>
      </c>
      <c r="S16" s="12">
        <v>273</v>
      </c>
      <c r="T16" s="12">
        <v>216</v>
      </c>
      <c r="U16" s="12">
        <v>152</v>
      </c>
      <c r="V16" s="12">
        <v>350</v>
      </c>
      <c r="W16" s="12">
        <v>131</v>
      </c>
      <c r="X16" s="12">
        <v>260</v>
      </c>
      <c r="Y16" s="12">
        <v>260</v>
      </c>
      <c r="Z16" s="12">
        <v>229</v>
      </c>
      <c r="AA16" s="12">
        <v>264</v>
      </c>
      <c r="AB16" s="12">
        <v>299</v>
      </c>
      <c r="AC16" s="12">
        <v>289</v>
      </c>
      <c r="AD16" s="12">
        <v>274</v>
      </c>
      <c r="AE16" s="12">
        <v>259</v>
      </c>
      <c r="AF16" s="12">
        <v>274</v>
      </c>
      <c r="AG16" s="12">
        <v>332</v>
      </c>
      <c r="AH16" s="12">
        <v>191</v>
      </c>
      <c r="AI16" s="12">
        <v>203</v>
      </c>
      <c r="AJ16" s="12">
        <v>374</v>
      </c>
      <c r="AK16" s="12">
        <v>132</v>
      </c>
      <c r="AL16" s="12">
        <v>180</v>
      </c>
      <c r="AM16" s="12">
        <v>298</v>
      </c>
      <c r="AN16" s="12">
        <v>252</v>
      </c>
      <c r="AO16" s="12">
        <v>58</v>
      </c>
      <c r="AP16" s="12">
        <v>123</v>
      </c>
      <c r="AQ16" s="12">
        <v>181</v>
      </c>
    </row>
    <row r="17" spans="1:43" x14ac:dyDescent="0.35">
      <c r="A17" s="19"/>
      <c r="B17" s="13" t="s">
        <v>785</v>
      </c>
      <c r="C17" s="15">
        <v>0.31</v>
      </c>
      <c r="D17" s="15">
        <v>0.42</v>
      </c>
      <c r="E17" s="15">
        <v>0.3</v>
      </c>
      <c r="F17" s="15">
        <v>0.35</v>
      </c>
      <c r="G17" s="15">
        <v>0.16</v>
      </c>
      <c r="H17" s="15">
        <v>0.27</v>
      </c>
      <c r="I17" s="15">
        <v>0.31</v>
      </c>
      <c r="J17" s="15">
        <v>0.48</v>
      </c>
      <c r="K17" s="15">
        <v>0.3</v>
      </c>
      <c r="L17" s="15">
        <v>0.15</v>
      </c>
      <c r="M17" s="15">
        <v>0.41</v>
      </c>
      <c r="N17" s="15">
        <v>0.28000000000000003</v>
      </c>
      <c r="O17" s="15">
        <v>0.43</v>
      </c>
      <c r="P17" s="15">
        <v>0.25</v>
      </c>
      <c r="Q17" s="15">
        <v>0.3</v>
      </c>
      <c r="R17" s="15">
        <v>0.28999999999999998</v>
      </c>
      <c r="S17" s="15">
        <v>0.27</v>
      </c>
      <c r="T17" s="15">
        <v>0.21</v>
      </c>
      <c r="U17" s="15">
        <v>0.3</v>
      </c>
      <c r="V17" s="15">
        <v>0.35</v>
      </c>
      <c r="W17" s="15">
        <v>0.26</v>
      </c>
      <c r="X17" s="15">
        <v>0.26</v>
      </c>
      <c r="Y17" s="15">
        <v>0.26</v>
      </c>
      <c r="Z17" s="15">
        <v>0.22</v>
      </c>
      <c r="AA17" s="15">
        <v>0.26</v>
      </c>
      <c r="AB17" s="15">
        <v>0.28000000000000003</v>
      </c>
      <c r="AC17" s="15">
        <v>0.28999999999999998</v>
      </c>
      <c r="AD17" s="15">
        <v>0.27</v>
      </c>
      <c r="AE17" s="15">
        <v>0.26</v>
      </c>
      <c r="AF17" s="15">
        <v>0.26</v>
      </c>
      <c r="AG17" s="15">
        <v>0.32</v>
      </c>
      <c r="AH17" s="15">
        <v>0.19</v>
      </c>
      <c r="AI17" s="15">
        <v>0.39</v>
      </c>
      <c r="AJ17" s="15">
        <v>0.36</v>
      </c>
      <c r="AK17" s="15">
        <v>0.13</v>
      </c>
      <c r="AL17" s="15">
        <v>0.18</v>
      </c>
      <c r="AM17" s="15">
        <v>0.28999999999999998</v>
      </c>
      <c r="AN17" s="15">
        <v>0.25</v>
      </c>
      <c r="AO17" s="15">
        <v>0.06</v>
      </c>
      <c r="AP17" s="15">
        <v>0.23</v>
      </c>
      <c r="AQ17" s="15">
        <v>0.18</v>
      </c>
    </row>
    <row r="18" spans="1:43" x14ac:dyDescent="0.35">
      <c r="A18" s="19"/>
      <c r="B18" s="11" t="s">
        <v>786</v>
      </c>
      <c r="C18" s="12">
        <v>1807</v>
      </c>
      <c r="D18" s="12">
        <v>87</v>
      </c>
      <c r="E18" s="12">
        <v>138</v>
      </c>
      <c r="F18" s="12">
        <v>105</v>
      </c>
      <c r="G18" s="12">
        <v>33</v>
      </c>
      <c r="H18" s="12">
        <v>60</v>
      </c>
      <c r="I18" s="12">
        <v>89</v>
      </c>
      <c r="J18" s="12">
        <v>29</v>
      </c>
      <c r="K18" s="12">
        <v>75</v>
      </c>
      <c r="L18" s="12">
        <v>36</v>
      </c>
      <c r="M18" s="12">
        <v>130</v>
      </c>
      <c r="N18" s="12">
        <v>66</v>
      </c>
      <c r="O18" s="12">
        <v>110</v>
      </c>
      <c r="P18" s="12">
        <v>81</v>
      </c>
      <c r="Q18" s="12">
        <v>52</v>
      </c>
      <c r="R18" s="12">
        <v>61</v>
      </c>
      <c r="S18" s="12">
        <v>38</v>
      </c>
      <c r="T18" s="12">
        <v>40</v>
      </c>
      <c r="U18" s="12">
        <v>40</v>
      </c>
      <c r="V18" s="12">
        <v>50</v>
      </c>
      <c r="W18" s="12">
        <v>11</v>
      </c>
      <c r="X18" s="12">
        <v>71</v>
      </c>
      <c r="Y18" s="12">
        <v>116</v>
      </c>
      <c r="Z18" s="12">
        <v>29</v>
      </c>
      <c r="AA18" s="12">
        <v>29</v>
      </c>
      <c r="AB18" s="12">
        <v>73</v>
      </c>
      <c r="AC18" s="12">
        <v>53</v>
      </c>
      <c r="AD18" s="12">
        <v>89</v>
      </c>
      <c r="AE18" s="12">
        <v>24</v>
      </c>
      <c r="AF18" s="12">
        <v>54</v>
      </c>
      <c r="AG18" s="12">
        <v>145</v>
      </c>
      <c r="AH18" s="12">
        <v>81</v>
      </c>
      <c r="AI18" s="12">
        <v>13</v>
      </c>
      <c r="AJ18" s="12">
        <v>141</v>
      </c>
      <c r="AK18" s="12">
        <v>28</v>
      </c>
      <c r="AL18" s="12">
        <v>113</v>
      </c>
      <c r="AM18" s="12">
        <v>74</v>
      </c>
      <c r="AN18" s="12">
        <v>72</v>
      </c>
      <c r="AO18" s="12">
        <v>23</v>
      </c>
      <c r="AP18" s="12">
        <v>34</v>
      </c>
      <c r="AQ18" s="12">
        <v>73</v>
      </c>
    </row>
    <row r="19" spans="1:43" x14ac:dyDescent="0.35">
      <c r="A19" s="19"/>
      <c r="B19" s="13" t="s">
        <v>787</v>
      </c>
      <c r="C19" s="15">
        <v>7.0000000000000007E-2</v>
      </c>
      <c r="D19" s="15">
        <v>0.08</v>
      </c>
      <c r="E19" s="15">
        <v>0.14000000000000001</v>
      </c>
      <c r="F19" s="15">
        <v>0.1</v>
      </c>
      <c r="G19" s="15">
        <v>0.03</v>
      </c>
      <c r="H19" s="15">
        <v>0.05</v>
      </c>
      <c r="I19" s="15">
        <v>0.06</v>
      </c>
      <c r="J19" s="15">
        <v>0.1</v>
      </c>
      <c r="K19" s="15">
        <v>7.0000000000000007E-2</v>
      </c>
      <c r="L19" s="15">
        <v>0.03</v>
      </c>
      <c r="M19" s="15">
        <v>0.13</v>
      </c>
      <c r="N19" s="15">
        <v>7.0000000000000007E-2</v>
      </c>
      <c r="O19" s="15">
        <v>0.11</v>
      </c>
      <c r="P19" s="15">
        <v>0.08</v>
      </c>
      <c r="Q19" s="15">
        <v>0.05</v>
      </c>
      <c r="R19" s="15">
        <v>0.12</v>
      </c>
      <c r="S19" s="15">
        <v>0.04</v>
      </c>
      <c r="T19" s="15">
        <v>0.04</v>
      </c>
      <c r="U19" s="15">
        <v>0.08</v>
      </c>
      <c r="V19" s="15">
        <v>0.05</v>
      </c>
      <c r="W19" s="15">
        <v>0.02</v>
      </c>
      <c r="X19" s="15">
        <v>7.0000000000000007E-2</v>
      </c>
      <c r="Y19" s="15">
        <v>0.12</v>
      </c>
      <c r="Z19" s="15">
        <v>0.03</v>
      </c>
      <c r="AA19" s="15">
        <v>0.03</v>
      </c>
      <c r="AB19" s="15">
        <v>7.0000000000000007E-2</v>
      </c>
      <c r="AC19" s="15">
        <v>0.05</v>
      </c>
      <c r="AD19" s="15">
        <v>0.09</v>
      </c>
      <c r="AE19" s="15">
        <v>0.02</v>
      </c>
      <c r="AF19" s="15">
        <v>0.05</v>
      </c>
      <c r="AG19" s="15">
        <v>0.14000000000000001</v>
      </c>
      <c r="AH19" s="15">
        <v>0.08</v>
      </c>
      <c r="AI19" s="15">
        <v>0.03</v>
      </c>
      <c r="AJ19" s="15">
        <v>0.13</v>
      </c>
      <c r="AK19" s="15">
        <v>0.03</v>
      </c>
      <c r="AL19" s="15">
        <v>0.11</v>
      </c>
      <c r="AM19" s="15">
        <v>7.0000000000000007E-2</v>
      </c>
      <c r="AN19" s="15">
        <v>7.0000000000000007E-2</v>
      </c>
      <c r="AO19" s="15">
        <v>0.02</v>
      </c>
      <c r="AP19" s="15">
        <v>7.0000000000000007E-2</v>
      </c>
      <c r="AQ19" s="15">
        <v>7.0000000000000007E-2</v>
      </c>
    </row>
    <row r="20" spans="1:43" x14ac:dyDescent="0.35">
      <c r="A20" s="19"/>
      <c r="B20" s="11" t="s">
        <v>485</v>
      </c>
      <c r="C20" s="12">
        <v>935</v>
      </c>
      <c r="D20" s="12">
        <v>11</v>
      </c>
      <c r="E20" s="12">
        <v>55</v>
      </c>
      <c r="F20" s="12">
        <v>22</v>
      </c>
      <c r="G20" s="12">
        <v>38</v>
      </c>
      <c r="H20" s="12">
        <v>31</v>
      </c>
      <c r="I20" s="12">
        <v>35</v>
      </c>
      <c r="J20" s="12">
        <v>3</v>
      </c>
      <c r="K20" s="12">
        <v>42</v>
      </c>
      <c r="L20" s="12">
        <v>56</v>
      </c>
      <c r="M20" s="12">
        <v>23</v>
      </c>
      <c r="N20" s="12">
        <v>69</v>
      </c>
      <c r="O20" s="12">
        <v>51</v>
      </c>
      <c r="P20" s="12">
        <v>7</v>
      </c>
      <c r="Q20" s="12">
        <v>33</v>
      </c>
      <c r="R20" s="12">
        <v>30</v>
      </c>
      <c r="S20" s="12">
        <v>36</v>
      </c>
      <c r="T20" s="12">
        <v>41</v>
      </c>
      <c r="U20" s="12">
        <v>10</v>
      </c>
      <c r="V20" s="12">
        <v>19</v>
      </c>
      <c r="W20" s="12">
        <v>15</v>
      </c>
      <c r="X20" s="12">
        <v>6</v>
      </c>
      <c r="Y20" s="12">
        <v>43</v>
      </c>
      <c r="Z20" s="12">
        <v>26</v>
      </c>
      <c r="AA20" s="12">
        <v>55</v>
      </c>
      <c r="AB20" s="12">
        <v>48</v>
      </c>
      <c r="AC20" s="12">
        <v>19</v>
      </c>
      <c r="AD20" s="12">
        <v>11</v>
      </c>
      <c r="AE20" s="12">
        <v>35</v>
      </c>
      <c r="AF20" s="12">
        <v>10</v>
      </c>
      <c r="AG20" s="12">
        <v>24</v>
      </c>
      <c r="AH20" s="12">
        <v>13</v>
      </c>
      <c r="AI20" s="12">
        <v>20</v>
      </c>
      <c r="AJ20" s="12">
        <v>28</v>
      </c>
      <c r="AK20" s="12">
        <v>7</v>
      </c>
      <c r="AL20" s="12">
        <v>75</v>
      </c>
      <c r="AM20" s="12">
        <v>109</v>
      </c>
      <c r="AN20" s="12">
        <v>21</v>
      </c>
      <c r="AO20" s="12">
        <v>30</v>
      </c>
      <c r="AP20" s="12">
        <v>5</v>
      </c>
      <c r="AQ20" s="12">
        <v>110</v>
      </c>
    </row>
    <row r="21" spans="1:43" x14ac:dyDescent="0.35">
      <c r="A21" s="19"/>
      <c r="B21" s="13" t="s">
        <v>788</v>
      </c>
      <c r="C21" s="15">
        <v>0.03</v>
      </c>
      <c r="D21" s="15">
        <v>0.01</v>
      </c>
      <c r="E21" s="15">
        <v>0.05</v>
      </c>
      <c r="F21" s="15">
        <v>0.02</v>
      </c>
      <c r="G21" s="15">
        <v>0.04</v>
      </c>
      <c r="H21" s="15">
        <v>0.03</v>
      </c>
      <c r="I21" s="15">
        <v>0.02</v>
      </c>
      <c r="J21" s="15">
        <v>0.01</v>
      </c>
      <c r="K21" s="15">
        <v>0.04</v>
      </c>
      <c r="L21" s="15">
        <v>0.06</v>
      </c>
      <c r="M21" s="15">
        <v>0.02</v>
      </c>
      <c r="N21" s="15">
        <v>7.0000000000000007E-2</v>
      </c>
      <c r="O21" s="15">
        <v>0.05</v>
      </c>
      <c r="P21" s="15">
        <v>0.01</v>
      </c>
      <c r="Q21" s="15">
        <v>0.03</v>
      </c>
      <c r="R21" s="15">
        <v>0.06</v>
      </c>
      <c r="S21" s="15">
        <v>0.04</v>
      </c>
      <c r="T21" s="15">
        <v>0.04</v>
      </c>
      <c r="U21" s="15">
        <v>0.02</v>
      </c>
      <c r="V21" s="15">
        <v>0.02</v>
      </c>
      <c r="W21" s="15">
        <v>0.03</v>
      </c>
      <c r="X21" s="15">
        <v>0.01</v>
      </c>
      <c r="Y21" s="15">
        <v>0.04</v>
      </c>
      <c r="Z21" s="15">
        <v>0.03</v>
      </c>
      <c r="AA21" s="15">
        <v>0.05</v>
      </c>
      <c r="AB21" s="15">
        <v>0.05</v>
      </c>
      <c r="AC21" s="15">
        <v>0.02</v>
      </c>
      <c r="AD21" s="15">
        <v>0.01</v>
      </c>
      <c r="AE21" s="15">
        <v>0.04</v>
      </c>
      <c r="AF21" s="15">
        <v>0.01</v>
      </c>
      <c r="AG21" s="15">
        <v>0.02</v>
      </c>
      <c r="AH21" s="15">
        <v>0.01</v>
      </c>
      <c r="AI21" s="15">
        <v>0.04</v>
      </c>
      <c r="AJ21" s="15">
        <v>0.03</v>
      </c>
      <c r="AK21" s="15">
        <v>0.01</v>
      </c>
      <c r="AL21" s="15">
        <v>7.0000000000000007E-2</v>
      </c>
      <c r="AM21" s="15">
        <v>0.1</v>
      </c>
      <c r="AN21" s="15">
        <v>0.02</v>
      </c>
      <c r="AO21" s="15">
        <v>0.03</v>
      </c>
      <c r="AP21" s="15">
        <v>0.01</v>
      </c>
      <c r="AQ21" s="15">
        <v>0.11</v>
      </c>
    </row>
    <row r="22" spans="1:43" x14ac:dyDescent="0.35">
      <c r="A22" s="19"/>
      <c r="B22" s="11" t="s">
        <v>789</v>
      </c>
      <c r="C22" s="12">
        <v>15501</v>
      </c>
      <c r="D22" s="12">
        <v>493</v>
      </c>
      <c r="E22" s="12">
        <v>529</v>
      </c>
      <c r="F22" s="12">
        <v>593</v>
      </c>
      <c r="G22" s="12">
        <v>770</v>
      </c>
      <c r="H22" s="12">
        <v>796</v>
      </c>
      <c r="I22" s="12">
        <v>918</v>
      </c>
      <c r="J22" s="12">
        <v>122</v>
      </c>
      <c r="K22" s="12">
        <v>587</v>
      </c>
      <c r="L22" s="12">
        <v>762</v>
      </c>
      <c r="M22" s="12">
        <v>448</v>
      </c>
      <c r="N22" s="12">
        <v>587</v>
      </c>
      <c r="O22" s="12">
        <v>411</v>
      </c>
      <c r="P22" s="12">
        <v>664</v>
      </c>
      <c r="Q22" s="12">
        <v>632</v>
      </c>
      <c r="R22" s="12">
        <v>269</v>
      </c>
      <c r="S22" s="12">
        <v>654</v>
      </c>
      <c r="T22" s="12">
        <v>709</v>
      </c>
      <c r="U22" s="12">
        <v>303</v>
      </c>
      <c r="V22" s="12">
        <v>595</v>
      </c>
      <c r="W22" s="12">
        <v>352</v>
      </c>
      <c r="X22" s="12">
        <v>671</v>
      </c>
      <c r="Y22" s="12">
        <v>584</v>
      </c>
      <c r="Z22" s="12">
        <v>748</v>
      </c>
      <c r="AA22" s="12">
        <v>684</v>
      </c>
      <c r="AB22" s="12">
        <v>631</v>
      </c>
      <c r="AC22" s="12">
        <v>642</v>
      </c>
      <c r="AD22" s="12">
        <v>632</v>
      </c>
      <c r="AE22" s="12">
        <v>693</v>
      </c>
      <c r="AF22" s="12">
        <v>705</v>
      </c>
      <c r="AG22" s="12">
        <v>535</v>
      </c>
      <c r="AH22" s="12">
        <v>728</v>
      </c>
      <c r="AI22" s="12">
        <v>286</v>
      </c>
      <c r="AJ22" s="12">
        <v>494</v>
      </c>
      <c r="AK22" s="12">
        <v>839</v>
      </c>
      <c r="AL22" s="12">
        <v>645</v>
      </c>
      <c r="AM22" s="12">
        <v>559</v>
      </c>
      <c r="AN22" s="12">
        <v>658</v>
      </c>
      <c r="AO22" s="12">
        <v>895</v>
      </c>
      <c r="AP22" s="12">
        <v>362</v>
      </c>
      <c r="AQ22" s="12">
        <v>639</v>
      </c>
    </row>
    <row r="23" spans="1:43" x14ac:dyDescent="0.35">
      <c r="A23" s="19"/>
      <c r="B23" s="13" t="s">
        <v>789</v>
      </c>
      <c r="C23" s="15">
        <v>0.59</v>
      </c>
      <c r="D23" s="15">
        <v>0.49</v>
      </c>
      <c r="E23" s="15">
        <v>0.51</v>
      </c>
      <c r="F23" s="15">
        <v>0.53</v>
      </c>
      <c r="G23" s="15">
        <v>0.77</v>
      </c>
      <c r="H23" s="15">
        <v>0.65</v>
      </c>
      <c r="I23" s="15">
        <v>0.61</v>
      </c>
      <c r="J23" s="15">
        <v>0.41</v>
      </c>
      <c r="K23" s="15">
        <v>0.59</v>
      </c>
      <c r="L23" s="15">
        <v>0.76</v>
      </c>
      <c r="M23" s="15">
        <v>0.44</v>
      </c>
      <c r="N23" s="15">
        <v>0.57999999999999996</v>
      </c>
      <c r="O23" s="15">
        <v>0.41</v>
      </c>
      <c r="P23" s="15">
        <v>0.66</v>
      </c>
      <c r="Q23" s="15">
        <v>0.62</v>
      </c>
      <c r="R23" s="15">
        <v>0.53</v>
      </c>
      <c r="S23" s="15">
        <v>0.65</v>
      </c>
      <c r="T23" s="15">
        <v>0.71</v>
      </c>
      <c r="U23" s="15">
        <v>0.6</v>
      </c>
      <c r="V23" s="15">
        <v>0.57999999999999996</v>
      </c>
      <c r="W23" s="15">
        <v>0.69000000000000006</v>
      </c>
      <c r="X23" s="15">
        <v>0.66</v>
      </c>
      <c r="Y23" s="15">
        <v>0.57999999999999996</v>
      </c>
      <c r="Z23" s="15">
        <v>0.72</v>
      </c>
      <c r="AA23" s="15">
        <v>0.66</v>
      </c>
      <c r="AB23" s="15">
        <v>0.6</v>
      </c>
      <c r="AC23" s="15">
        <v>0.64</v>
      </c>
      <c r="AD23" s="15">
        <v>0.63</v>
      </c>
      <c r="AE23" s="15">
        <v>0.68</v>
      </c>
      <c r="AF23" s="15">
        <v>0.68</v>
      </c>
      <c r="AG23" s="15">
        <v>0.52</v>
      </c>
      <c r="AH23" s="15">
        <v>0.72</v>
      </c>
      <c r="AI23" s="15">
        <v>0.54</v>
      </c>
      <c r="AJ23" s="15">
        <v>0.48</v>
      </c>
      <c r="AK23" s="15">
        <v>0.83000000000000007</v>
      </c>
      <c r="AL23" s="15">
        <v>0.64</v>
      </c>
      <c r="AM23" s="15">
        <v>0.54</v>
      </c>
      <c r="AN23" s="15">
        <v>0.66</v>
      </c>
      <c r="AO23" s="15">
        <v>0.89</v>
      </c>
      <c r="AP23" s="15">
        <v>0.69000000000000006</v>
      </c>
      <c r="AQ23" s="15">
        <v>0.64</v>
      </c>
    </row>
    <row r="24" spans="1:43" x14ac:dyDescent="0.35">
      <c r="A24" s="19"/>
      <c r="B24" s="11" t="s">
        <v>790</v>
      </c>
      <c r="C24" s="12">
        <v>10009</v>
      </c>
      <c r="D24" s="12">
        <v>509</v>
      </c>
      <c r="E24" s="12">
        <v>446</v>
      </c>
      <c r="F24" s="12">
        <v>487</v>
      </c>
      <c r="G24" s="12">
        <v>199</v>
      </c>
      <c r="H24" s="12">
        <v>394</v>
      </c>
      <c r="I24" s="12">
        <v>564</v>
      </c>
      <c r="J24" s="12">
        <v>169</v>
      </c>
      <c r="K24" s="12">
        <v>373</v>
      </c>
      <c r="L24" s="12">
        <v>184</v>
      </c>
      <c r="M24" s="12">
        <v>539</v>
      </c>
      <c r="N24" s="12">
        <v>347</v>
      </c>
      <c r="O24" s="12">
        <v>539</v>
      </c>
      <c r="P24" s="12">
        <v>333</v>
      </c>
      <c r="Q24" s="12">
        <v>362</v>
      </c>
      <c r="R24" s="12">
        <v>205</v>
      </c>
      <c r="S24" s="12">
        <v>311</v>
      </c>
      <c r="T24" s="12">
        <v>256</v>
      </c>
      <c r="U24" s="12">
        <v>192</v>
      </c>
      <c r="V24" s="12">
        <v>400</v>
      </c>
      <c r="W24" s="12">
        <v>142</v>
      </c>
      <c r="X24" s="12">
        <v>331</v>
      </c>
      <c r="Y24" s="12">
        <v>376</v>
      </c>
      <c r="Z24" s="12">
        <v>258</v>
      </c>
      <c r="AA24" s="12">
        <v>293</v>
      </c>
      <c r="AB24" s="12">
        <v>372</v>
      </c>
      <c r="AC24" s="12">
        <v>342</v>
      </c>
      <c r="AD24" s="12">
        <v>363</v>
      </c>
      <c r="AE24" s="12">
        <v>283</v>
      </c>
      <c r="AF24" s="12">
        <v>328</v>
      </c>
      <c r="AG24" s="12">
        <v>477</v>
      </c>
      <c r="AH24" s="12">
        <v>272</v>
      </c>
      <c r="AI24" s="12">
        <v>216</v>
      </c>
      <c r="AJ24" s="12">
        <v>515</v>
      </c>
      <c r="AK24" s="12">
        <v>160</v>
      </c>
      <c r="AL24" s="12">
        <v>293</v>
      </c>
      <c r="AM24" s="12">
        <v>372</v>
      </c>
      <c r="AN24" s="12">
        <v>324</v>
      </c>
      <c r="AO24" s="12">
        <v>81</v>
      </c>
      <c r="AP24" s="12">
        <v>157</v>
      </c>
      <c r="AQ24" s="12">
        <v>254</v>
      </c>
    </row>
    <row r="25" spans="1:43" x14ac:dyDescent="0.35">
      <c r="A25" s="19"/>
      <c r="B25" s="13" t="s">
        <v>790</v>
      </c>
      <c r="C25" s="15">
        <v>0.38</v>
      </c>
      <c r="D25" s="15">
        <v>0.5</v>
      </c>
      <c r="E25" s="15">
        <v>0.44</v>
      </c>
      <c r="F25" s="15">
        <v>0.45</v>
      </c>
      <c r="G25" s="15">
        <v>0.19</v>
      </c>
      <c r="H25" s="15">
        <v>0.32</v>
      </c>
      <c r="I25" s="15">
        <v>0.37</v>
      </c>
      <c r="J25" s="15">
        <v>0.57999999999999996</v>
      </c>
      <c r="K25" s="15">
        <v>0.37</v>
      </c>
      <c r="L25" s="15">
        <v>0.18</v>
      </c>
      <c r="M25" s="15">
        <v>0.54</v>
      </c>
      <c r="N25" s="15">
        <v>0.35</v>
      </c>
      <c r="O25" s="15">
        <v>0.54</v>
      </c>
      <c r="P25" s="15">
        <v>0.33</v>
      </c>
      <c r="Q25" s="15">
        <v>0.35</v>
      </c>
      <c r="R25" s="15">
        <v>0.41</v>
      </c>
      <c r="S25" s="15">
        <v>0.31</v>
      </c>
      <c r="T25" s="15">
        <v>0.25</v>
      </c>
      <c r="U25" s="15">
        <v>0.38</v>
      </c>
      <c r="V25" s="15">
        <v>0.4</v>
      </c>
      <c r="W25" s="15">
        <v>0.28000000000000003</v>
      </c>
      <c r="X25" s="15">
        <v>0.33</v>
      </c>
      <c r="Y25" s="15">
        <v>0.38</v>
      </c>
      <c r="Z25" s="15">
        <v>0.25</v>
      </c>
      <c r="AA25" s="15">
        <v>0.28999999999999998</v>
      </c>
      <c r="AB25" s="15">
        <v>0.35</v>
      </c>
      <c r="AC25" s="15">
        <v>0.34</v>
      </c>
      <c r="AD25" s="15">
        <v>0.36</v>
      </c>
      <c r="AE25" s="15">
        <v>0.28000000000000003</v>
      </c>
      <c r="AF25" s="15">
        <v>0.31</v>
      </c>
      <c r="AG25" s="15">
        <v>0.46</v>
      </c>
      <c r="AH25" s="15">
        <v>0.27</v>
      </c>
      <c r="AI25" s="15">
        <v>0.42</v>
      </c>
      <c r="AJ25" s="15">
        <v>0.49</v>
      </c>
      <c r="AK25" s="15">
        <v>0.16</v>
      </c>
      <c r="AL25" s="15">
        <v>0.28999999999999998</v>
      </c>
      <c r="AM25" s="15">
        <v>0.36</v>
      </c>
      <c r="AN25" s="15">
        <v>0.32</v>
      </c>
      <c r="AO25" s="15">
        <v>0.08</v>
      </c>
      <c r="AP25" s="15">
        <v>0.3</v>
      </c>
      <c r="AQ25" s="15">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125</v>
      </c>
      <c r="C3" s="18"/>
      <c r="D3" s="18"/>
      <c r="E3" s="18"/>
      <c r="F3" s="18"/>
      <c r="H3" s="18" t="s">
        <v>126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HYPERLINK("#Content!A65","&lt;&lt;Back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477</v>
      </c>
      <c r="C12" s="12">
        <v>1913</v>
      </c>
      <c r="D12" s="12">
        <v>44</v>
      </c>
      <c r="E12" s="12">
        <v>66</v>
      </c>
      <c r="F12" s="12">
        <v>59</v>
      </c>
      <c r="G12" s="12">
        <v>421</v>
      </c>
      <c r="H12" s="12">
        <v>85</v>
      </c>
      <c r="I12" s="12">
        <v>102</v>
      </c>
      <c r="J12" s="12">
        <v>17</v>
      </c>
      <c r="K12" s="12">
        <v>80</v>
      </c>
      <c r="L12" s="12">
        <v>202</v>
      </c>
      <c r="M12" s="12">
        <v>18</v>
      </c>
      <c r="N12" s="12">
        <v>74</v>
      </c>
      <c r="O12" s="12">
        <v>28</v>
      </c>
      <c r="P12" s="12">
        <v>50</v>
      </c>
      <c r="Q12" s="12">
        <v>70</v>
      </c>
      <c r="R12" s="12">
        <v>12</v>
      </c>
      <c r="S12" s="12">
        <v>72</v>
      </c>
      <c r="T12" s="12">
        <v>38</v>
      </c>
      <c r="U12" s="12">
        <v>130</v>
      </c>
      <c r="V12" s="12">
        <v>49</v>
      </c>
      <c r="W12" s="12">
        <v>18</v>
      </c>
      <c r="X12" s="12">
        <v>70</v>
      </c>
      <c r="Y12" s="12">
        <v>173</v>
      </c>
      <c r="Z12" s="12">
        <v>87</v>
      </c>
      <c r="AA12" s="12">
        <v>46</v>
      </c>
      <c r="AB12" s="12">
        <v>29</v>
      </c>
      <c r="AC12" s="12">
        <v>47</v>
      </c>
      <c r="AD12" s="12">
        <v>70</v>
      </c>
      <c r="AE12" s="12">
        <v>196</v>
      </c>
      <c r="AF12" s="12">
        <v>241</v>
      </c>
      <c r="AG12" s="12">
        <v>175</v>
      </c>
      <c r="AH12" s="12">
        <v>77</v>
      </c>
      <c r="AI12" s="12">
        <v>69</v>
      </c>
      <c r="AJ12" s="12">
        <v>117</v>
      </c>
      <c r="AK12" s="12">
        <v>35</v>
      </c>
      <c r="AL12" s="12">
        <v>45</v>
      </c>
      <c r="AM12" s="12">
        <v>54</v>
      </c>
      <c r="AN12" s="12">
        <v>77</v>
      </c>
      <c r="AO12" s="12">
        <v>332</v>
      </c>
      <c r="AP12" s="12">
        <v>98</v>
      </c>
      <c r="AQ12" s="12">
        <v>103</v>
      </c>
    </row>
    <row r="13" spans="1:43" x14ac:dyDescent="0.35">
      <c r="A13" s="19"/>
      <c r="B13" s="13" t="s">
        <v>478</v>
      </c>
      <c r="C13" s="15">
        <v>7.0000000000000007E-2</v>
      </c>
      <c r="D13" s="15">
        <v>0.04</v>
      </c>
      <c r="E13" s="15">
        <v>7.0000000000000007E-2</v>
      </c>
      <c r="F13" s="15">
        <v>0.05</v>
      </c>
      <c r="G13" s="15">
        <v>0.42</v>
      </c>
      <c r="H13" s="15">
        <v>7.0000000000000007E-2</v>
      </c>
      <c r="I13" s="15">
        <v>7.0000000000000007E-2</v>
      </c>
      <c r="J13" s="15">
        <v>0.06</v>
      </c>
      <c r="K13" s="15">
        <v>0.08</v>
      </c>
      <c r="L13" s="15">
        <v>0.2</v>
      </c>
      <c r="M13" s="15">
        <v>0.02</v>
      </c>
      <c r="N13" s="15">
        <v>7.0000000000000007E-2</v>
      </c>
      <c r="O13" s="15">
        <v>0.03</v>
      </c>
      <c r="P13" s="15">
        <v>0.05</v>
      </c>
      <c r="Q13" s="15">
        <v>7.0000000000000007E-2</v>
      </c>
      <c r="R13" s="15">
        <v>0.02</v>
      </c>
      <c r="S13" s="15">
        <v>7.0000000000000007E-2</v>
      </c>
      <c r="T13" s="15">
        <v>0.04</v>
      </c>
      <c r="U13" s="15">
        <v>0.26</v>
      </c>
      <c r="V13" s="15">
        <v>0.05</v>
      </c>
      <c r="W13" s="15">
        <v>0.03</v>
      </c>
      <c r="X13" s="15">
        <v>7.0000000000000007E-2</v>
      </c>
      <c r="Y13" s="15">
        <v>0.17</v>
      </c>
      <c r="Z13" s="15">
        <v>0.08</v>
      </c>
      <c r="AA13" s="15">
        <v>0.05</v>
      </c>
      <c r="AB13" s="15">
        <v>0.03</v>
      </c>
      <c r="AC13" s="15">
        <v>0.05</v>
      </c>
      <c r="AD13" s="15">
        <v>7.0000000000000007E-2</v>
      </c>
      <c r="AE13" s="15">
        <v>0.19</v>
      </c>
      <c r="AF13" s="15">
        <v>0.23</v>
      </c>
      <c r="AG13" s="15">
        <v>0.17</v>
      </c>
      <c r="AH13" s="15">
        <v>7.0000000000000007E-2</v>
      </c>
      <c r="AI13" s="15">
        <v>0.13</v>
      </c>
      <c r="AJ13" s="15">
        <v>0.11</v>
      </c>
      <c r="AK13" s="15">
        <v>0.03</v>
      </c>
      <c r="AL13" s="15">
        <v>0.05</v>
      </c>
      <c r="AM13" s="15">
        <v>0.05</v>
      </c>
      <c r="AN13" s="15">
        <v>0.08</v>
      </c>
      <c r="AO13" s="15">
        <v>0.33</v>
      </c>
      <c r="AP13" s="15">
        <v>0.19</v>
      </c>
      <c r="AQ13" s="15">
        <v>0.1</v>
      </c>
    </row>
    <row r="14" spans="1:43" x14ac:dyDescent="0.35">
      <c r="A14" s="19"/>
      <c r="B14" s="11" t="s">
        <v>479</v>
      </c>
      <c r="C14" s="12">
        <v>12453</v>
      </c>
      <c r="D14" s="12">
        <v>519</v>
      </c>
      <c r="E14" s="12">
        <v>360</v>
      </c>
      <c r="F14" s="12">
        <v>589</v>
      </c>
      <c r="G14" s="12">
        <v>465</v>
      </c>
      <c r="H14" s="12">
        <v>666</v>
      </c>
      <c r="I14" s="12">
        <v>766</v>
      </c>
      <c r="J14" s="12">
        <v>101</v>
      </c>
      <c r="K14" s="12">
        <v>430</v>
      </c>
      <c r="L14" s="12">
        <v>513</v>
      </c>
      <c r="M14" s="12">
        <v>226</v>
      </c>
      <c r="N14" s="12">
        <v>439</v>
      </c>
      <c r="O14" s="12">
        <v>337</v>
      </c>
      <c r="P14" s="12">
        <v>413</v>
      </c>
      <c r="Q14" s="12">
        <v>499</v>
      </c>
      <c r="R14" s="12">
        <v>155</v>
      </c>
      <c r="S14" s="12">
        <v>494</v>
      </c>
      <c r="T14" s="12">
        <v>509</v>
      </c>
      <c r="U14" s="12">
        <v>304</v>
      </c>
      <c r="V14" s="12">
        <v>448</v>
      </c>
      <c r="W14" s="12">
        <v>232</v>
      </c>
      <c r="X14" s="12">
        <v>511</v>
      </c>
      <c r="Y14" s="12">
        <v>441</v>
      </c>
      <c r="Z14" s="12">
        <v>703</v>
      </c>
      <c r="AA14" s="12">
        <v>635</v>
      </c>
      <c r="AB14" s="12">
        <v>410</v>
      </c>
      <c r="AC14" s="12">
        <v>463</v>
      </c>
      <c r="AD14" s="12">
        <v>345</v>
      </c>
      <c r="AE14" s="12">
        <v>618</v>
      </c>
      <c r="AF14" s="12">
        <v>613</v>
      </c>
      <c r="AG14" s="12">
        <v>368</v>
      </c>
      <c r="AH14" s="12">
        <v>513</v>
      </c>
      <c r="AI14" s="12">
        <v>166</v>
      </c>
      <c r="AJ14" s="12">
        <v>332</v>
      </c>
      <c r="AK14" s="12">
        <v>337</v>
      </c>
      <c r="AL14" s="12">
        <v>318</v>
      </c>
      <c r="AM14" s="12">
        <v>467</v>
      </c>
      <c r="AN14" s="12">
        <v>347</v>
      </c>
      <c r="AO14" s="12">
        <v>513</v>
      </c>
      <c r="AP14" s="12">
        <v>207</v>
      </c>
      <c r="AQ14" s="12">
        <v>328</v>
      </c>
    </row>
    <row r="15" spans="1:43" x14ac:dyDescent="0.35">
      <c r="A15" s="19"/>
      <c r="B15" s="13" t="s">
        <v>480</v>
      </c>
      <c r="C15" s="15">
        <v>0.47</v>
      </c>
      <c r="D15" s="15">
        <v>0.51</v>
      </c>
      <c r="E15" s="15">
        <v>0.35</v>
      </c>
      <c r="F15" s="15">
        <v>0.54</v>
      </c>
      <c r="G15" s="15">
        <v>0.46</v>
      </c>
      <c r="H15" s="15">
        <v>0.54</v>
      </c>
      <c r="I15" s="15">
        <v>0.51</v>
      </c>
      <c r="J15" s="15">
        <v>0.34</v>
      </c>
      <c r="K15" s="15">
        <v>0.43</v>
      </c>
      <c r="L15" s="15">
        <v>0.51</v>
      </c>
      <c r="M15" s="15">
        <v>0.23</v>
      </c>
      <c r="N15" s="15">
        <v>0.44</v>
      </c>
      <c r="O15" s="15">
        <v>0.34</v>
      </c>
      <c r="P15" s="15">
        <v>0.41</v>
      </c>
      <c r="Q15" s="15">
        <v>0.49</v>
      </c>
      <c r="R15" s="15">
        <v>0.31</v>
      </c>
      <c r="S15" s="15">
        <v>0.49</v>
      </c>
      <c r="T15" s="15">
        <v>0.51</v>
      </c>
      <c r="U15" s="15">
        <v>0.6</v>
      </c>
      <c r="V15" s="15">
        <v>0.44</v>
      </c>
      <c r="W15" s="15">
        <v>0.46</v>
      </c>
      <c r="X15" s="15">
        <v>0.51</v>
      </c>
      <c r="Y15" s="15">
        <v>0.44</v>
      </c>
      <c r="Z15" s="15">
        <v>0.68</v>
      </c>
      <c r="AA15" s="15">
        <v>0.61</v>
      </c>
      <c r="AB15" s="15">
        <v>0.39</v>
      </c>
      <c r="AC15" s="15">
        <v>0.46</v>
      </c>
      <c r="AD15" s="15">
        <v>0.34</v>
      </c>
      <c r="AE15" s="15">
        <v>0.61</v>
      </c>
      <c r="AF15" s="15">
        <v>0.59</v>
      </c>
      <c r="AG15" s="15">
        <v>0.35</v>
      </c>
      <c r="AH15" s="15">
        <v>0.51</v>
      </c>
      <c r="AI15" s="15">
        <v>0.32</v>
      </c>
      <c r="AJ15" s="15">
        <v>0.32</v>
      </c>
      <c r="AK15" s="15">
        <v>0.34</v>
      </c>
      <c r="AL15" s="15">
        <v>0.31</v>
      </c>
      <c r="AM15" s="15">
        <v>0.45</v>
      </c>
      <c r="AN15" s="15">
        <v>0.35</v>
      </c>
      <c r="AO15" s="15">
        <v>0.51</v>
      </c>
      <c r="AP15" s="15">
        <v>0.39</v>
      </c>
      <c r="AQ15" s="15">
        <v>0.33</v>
      </c>
    </row>
    <row r="16" spans="1:43" x14ac:dyDescent="0.35">
      <c r="A16" s="19"/>
      <c r="B16" s="11" t="s">
        <v>481</v>
      </c>
      <c r="C16" s="12">
        <v>8600</v>
      </c>
      <c r="D16" s="12">
        <v>298</v>
      </c>
      <c r="E16" s="12">
        <v>303</v>
      </c>
      <c r="F16" s="12">
        <v>349</v>
      </c>
      <c r="G16" s="12">
        <v>89</v>
      </c>
      <c r="H16" s="12">
        <v>375</v>
      </c>
      <c r="I16" s="12">
        <v>505</v>
      </c>
      <c r="J16" s="12">
        <v>131</v>
      </c>
      <c r="K16" s="12">
        <v>361</v>
      </c>
      <c r="L16" s="12">
        <v>197</v>
      </c>
      <c r="M16" s="12">
        <v>387</v>
      </c>
      <c r="N16" s="12">
        <v>350</v>
      </c>
      <c r="O16" s="12">
        <v>416</v>
      </c>
      <c r="P16" s="12">
        <v>416</v>
      </c>
      <c r="Q16" s="12">
        <v>357</v>
      </c>
      <c r="R16" s="12">
        <v>212</v>
      </c>
      <c r="S16" s="12">
        <v>262</v>
      </c>
      <c r="T16" s="12">
        <v>344</v>
      </c>
      <c r="U16" s="12">
        <v>49</v>
      </c>
      <c r="V16" s="12">
        <v>272</v>
      </c>
      <c r="W16" s="12">
        <v>187</v>
      </c>
      <c r="X16" s="12">
        <v>328</v>
      </c>
      <c r="Y16" s="12">
        <v>243</v>
      </c>
      <c r="Z16" s="12">
        <v>192</v>
      </c>
      <c r="AA16" s="12">
        <v>284</v>
      </c>
      <c r="AB16" s="12">
        <v>438</v>
      </c>
      <c r="AC16" s="12">
        <v>386</v>
      </c>
      <c r="AD16" s="12">
        <v>421</v>
      </c>
      <c r="AE16" s="12">
        <v>150</v>
      </c>
      <c r="AF16" s="12">
        <v>149</v>
      </c>
      <c r="AG16" s="12">
        <v>318</v>
      </c>
      <c r="AH16" s="12">
        <v>293</v>
      </c>
      <c r="AI16" s="12">
        <v>195</v>
      </c>
      <c r="AJ16" s="12">
        <v>318</v>
      </c>
      <c r="AK16" s="12">
        <v>392</v>
      </c>
      <c r="AL16" s="12">
        <v>360</v>
      </c>
      <c r="AM16" s="12">
        <v>350</v>
      </c>
      <c r="AN16" s="12">
        <v>405</v>
      </c>
      <c r="AO16" s="12">
        <v>75</v>
      </c>
      <c r="AP16" s="12">
        <v>142</v>
      </c>
      <c r="AQ16" s="12">
        <v>338</v>
      </c>
    </row>
    <row r="17" spans="1:43" x14ac:dyDescent="0.35">
      <c r="A17" s="19"/>
      <c r="B17" s="13" t="s">
        <v>482</v>
      </c>
      <c r="C17" s="15">
        <v>0.33</v>
      </c>
      <c r="D17" s="15">
        <v>0.28999999999999998</v>
      </c>
      <c r="E17" s="15">
        <v>0.28999999999999998</v>
      </c>
      <c r="F17" s="15">
        <v>0.32</v>
      </c>
      <c r="G17" s="15">
        <v>0.09</v>
      </c>
      <c r="H17" s="15">
        <v>0.31</v>
      </c>
      <c r="I17" s="15">
        <v>0.33</v>
      </c>
      <c r="J17" s="15">
        <v>0.44</v>
      </c>
      <c r="K17" s="15">
        <v>0.36</v>
      </c>
      <c r="L17" s="15">
        <v>0.2</v>
      </c>
      <c r="M17" s="15">
        <v>0.38</v>
      </c>
      <c r="N17" s="15">
        <v>0.35</v>
      </c>
      <c r="O17" s="15">
        <v>0.41</v>
      </c>
      <c r="P17" s="15">
        <v>0.42</v>
      </c>
      <c r="Q17" s="15">
        <v>0.35</v>
      </c>
      <c r="R17" s="15">
        <v>0.42</v>
      </c>
      <c r="S17" s="15">
        <v>0.26</v>
      </c>
      <c r="T17" s="15">
        <v>0.34</v>
      </c>
      <c r="U17" s="15">
        <v>0.1</v>
      </c>
      <c r="V17" s="15">
        <v>0.27</v>
      </c>
      <c r="W17" s="15">
        <v>0.37</v>
      </c>
      <c r="X17" s="15">
        <v>0.32</v>
      </c>
      <c r="Y17" s="15">
        <v>0.24</v>
      </c>
      <c r="Z17" s="15">
        <v>0.19</v>
      </c>
      <c r="AA17" s="15">
        <v>0.27</v>
      </c>
      <c r="AB17" s="15">
        <v>0.42</v>
      </c>
      <c r="AC17" s="15">
        <v>0.38</v>
      </c>
      <c r="AD17" s="15">
        <v>0.42</v>
      </c>
      <c r="AE17" s="15">
        <v>0.15</v>
      </c>
      <c r="AF17" s="15">
        <v>0.14000000000000001</v>
      </c>
      <c r="AG17" s="15">
        <v>0.31</v>
      </c>
      <c r="AH17" s="15">
        <v>0.28999999999999998</v>
      </c>
      <c r="AI17" s="15">
        <v>0.37</v>
      </c>
      <c r="AJ17" s="15">
        <v>0.31</v>
      </c>
      <c r="AK17" s="15">
        <v>0.39</v>
      </c>
      <c r="AL17" s="15">
        <v>0.36</v>
      </c>
      <c r="AM17" s="15">
        <v>0.34</v>
      </c>
      <c r="AN17" s="15">
        <v>0.4</v>
      </c>
      <c r="AO17" s="15">
        <v>7.0000000000000007E-2</v>
      </c>
      <c r="AP17" s="15">
        <v>0.27</v>
      </c>
      <c r="AQ17" s="15">
        <v>0.34</v>
      </c>
    </row>
    <row r="18" spans="1:43" x14ac:dyDescent="0.35">
      <c r="A18" s="19"/>
      <c r="B18" s="11" t="s">
        <v>483</v>
      </c>
      <c r="C18" s="12">
        <v>3217</v>
      </c>
      <c r="D18" s="12">
        <v>146</v>
      </c>
      <c r="E18" s="12">
        <v>288</v>
      </c>
      <c r="F18" s="12">
        <v>92</v>
      </c>
      <c r="G18" s="12">
        <v>26</v>
      </c>
      <c r="H18" s="12">
        <v>93</v>
      </c>
      <c r="I18" s="12">
        <v>138</v>
      </c>
      <c r="J18" s="12">
        <v>46</v>
      </c>
      <c r="K18" s="12">
        <v>113</v>
      </c>
      <c r="L18" s="12">
        <v>77</v>
      </c>
      <c r="M18" s="12">
        <v>376</v>
      </c>
      <c r="N18" s="12">
        <v>128</v>
      </c>
      <c r="O18" s="12">
        <v>202</v>
      </c>
      <c r="P18" s="12">
        <v>122</v>
      </c>
      <c r="Q18" s="12">
        <v>96</v>
      </c>
      <c r="R18" s="12">
        <v>125</v>
      </c>
      <c r="S18" s="12">
        <v>124</v>
      </c>
      <c r="T18" s="12">
        <v>83</v>
      </c>
      <c r="U18" s="12">
        <v>16</v>
      </c>
      <c r="V18" s="12">
        <v>240</v>
      </c>
      <c r="W18" s="12">
        <v>68</v>
      </c>
      <c r="X18" s="12">
        <v>98</v>
      </c>
      <c r="Y18" s="12">
        <v>135</v>
      </c>
      <c r="Z18" s="12">
        <v>30</v>
      </c>
      <c r="AA18" s="12">
        <v>50</v>
      </c>
      <c r="AB18" s="12">
        <v>157</v>
      </c>
      <c r="AC18" s="12">
        <v>102</v>
      </c>
      <c r="AD18" s="12">
        <v>169</v>
      </c>
      <c r="AE18" s="12">
        <v>24</v>
      </c>
      <c r="AF18" s="12">
        <v>39</v>
      </c>
      <c r="AG18" s="12">
        <v>168</v>
      </c>
      <c r="AH18" s="12">
        <v>130</v>
      </c>
      <c r="AI18" s="12">
        <v>86</v>
      </c>
      <c r="AJ18" s="12">
        <v>268</v>
      </c>
      <c r="AK18" s="12">
        <v>242</v>
      </c>
      <c r="AL18" s="12">
        <v>236</v>
      </c>
      <c r="AM18" s="12">
        <v>133</v>
      </c>
      <c r="AN18" s="12">
        <v>170</v>
      </c>
      <c r="AO18" s="12">
        <v>77</v>
      </c>
      <c r="AP18" s="12">
        <v>77</v>
      </c>
      <c r="AQ18" s="12">
        <v>198</v>
      </c>
    </row>
    <row r="19" spans="1:43" x14ac:dyDescent="0.35">
      <c r="A19" s="19"/>
      <c r="B19" s="13" t="s">
        <v>484</v>
      </c>
      <c r="C19" s="15">
        <v>0.12</v>
      </c>
      <c r="D19" s="15">
        <v>0.15</v>
      </c>
      <c r="E19" s="15">
        <v>0.28000000000000003</v>
      </c>
      <c r="F19" s="15">
        <v>0.08</v>
      </c>
      <c r="G19" s="15">
        <v>0.03</v>
      </c>
      <c r="H19" s="15">
        <v>0.08</v>
      </c>
      <c r="I19" s="15">
        <v>0.09</v>
      </c>
      <c r="J19" s="15">
        <v>0.16</v>
      </c>
      <c r="K19" s="15">
        <v>0.11</v>
      </c>
      <c r="L19" s="15">
        <v>0.08</v>
      </c>
      <c r="M19" s="15">
        <v>0.37</v>
      </c>
      <c r="N19" s="15">
        <v>0.13</v>
      </c>
      <c r="O19" s="15">
        <v>0.2</v>
      </c>
      <c r="P19" s="15">
        <v>0.12</v>
      </c>
      <c r="Q19" s="15">
        <v>0.09</v>
      </c>
      <c r="R19" s="15">
        <v>0.25</v>
      </c>
      <c r="S19" s="15">
        <v>0.13</v>
      </c>
      <c r="T19" s="15">
        <v>0.08</v>
      </c>
      <c r="U19" s="15">
        <v>0.03</v>
      </c>
      <c r="V19" s="15">
        <v>0.24</v>
      </c>
      <c r="W19" s="15">
        <v>0.13</v>
      </c>
      <c r="X19" s="15">
        <v>0.1</v>
      </c>
      <c r="Y19" s="15">
        <v>0.14000000000000001</v>
      </c>
      <c r="Z19" s="15">
        <v>0.03</v>
      </c>
      <c r="AA19" s="15">
        <v>0.05</v>
      </c>
      <c r="AB19" s="15">
        <v>0.15</v>
      </c>
      <c r="AC19" s="15">
        <v>0.1</v>
      </c>
      <c r="AD19" s="15">
        <v>0.17</v>
      </c>
      <c r="AE19" s="15">
        <v>0.03</v>
      </c>
      <c r="AF19" s="15">
        <v>0.04</v>
      </c>
      <c r="AG19" s="15">
        <v>0.16</v>
      </c>
      <c r="AH19" s="15">
        <v>0.13</v>
      </c>
      <c r="AI19" s="15">
        <v>0.17</v>
      </c>
      <c r="AJ19" s="15">
        <v>0.26</v>
      </c>
      <c r="AK19" s="15">
        <v>0.24</v>
      </c>
      <c r="AL19" s="15">
        <v>0.23</v>
      </c>
      <c r="AM19" s="15">
        <v>0.13</v>
      </c>
      <c r="AN19" s="15">
        <v>0.17</v>
      </c>
      <c r="AO19" s="15">
        <v>0.08</v>
      </c>
      <c r="AP19" s="15">
        <v>0.15</v>
      </c>
      <c r="AQ19" s="15">
        <v>0.2</v>
      </c>
    </row>
    <row r="20" spans="1:43" x14ac:dyDescent="0.35">
      <c r="A20" s="19"/>
      <c r="B20" s="11" t="s">
        <v>485</v>
      </c>
      <c r="C20" s="12">
        <v>263</v>
      </c>
      <c r="D20" s="12">
        <v>5</v>
      </c>
      <c r="E20" s="12">
        <v>13</v>
      </c>
      <c r="F20" s="12">
        <v>13</v>
      </c>
      <c r="G20" s="12">
        <v>5</v>
      </c>
      <c r="H20" s="12">
        <v>3</v>
      </c>
      <c r="I20" s="12">
        <v>4</v>
      </c>
      <c r="J20" s="12">
        <v>1</v>
      </c>
      <c r="K20" s="12">
        <v>18</v>
      </c>
      <c r="L20" s="12">
        <v>13</v>
      </c>
      <c r="M20" s="12">
        <v>3</v>
      </c>
      <c r="N20" s="12">
        <v>13</v>
      </c>
      <c r="O20" s="12">
        <v>18</v>
      </c>
      <c r="P20" s="12">
        <v>3</v>
      </c>
      <c r="Q20" s="12">
        <v>5</v>
      </c>
      <c r="R20" s="12">
        <v>0</v>
      </c>
      <c r="S20" s="12">
        <v>50</v>
      </c>
      <c r="T20" s="12">
        <v>32</v>
      </c>
      <c r="U20" s="12">
        <v>6</v>
      </c>
      <c r="V20" s="12">
        <v>5</v>
      </c>
      <c r="W20" s="12">
        <v>3</v>
      </c>
      <c r="X20" s="12">
        <v>3</v>
      </c>
      <c r="Y20" s="12">
        <v>11</v>
      </c>
      <c r="Z20" s="12">
        <v>19</v>
      </c>
      <c r="AA20" s="12">
        <v>18</v>
      </c>
      <c r="AB20" s="12">
        <v>17</v>
      </c>
      <c r="AC20" s="12">
        <v>5</v>
      </c>
      <c r="AD20" s="12">
        <v>0</v>
      </c>
      <c r="AE20" s="12">
        <v>24</v>
      </c>
      <c r="AF20" s="12">
        <v>0</v>
      </c>
      <c r="AG20" s="12">
        <v>6</v>
      </c>
      <c r="AH20" s="12">
        <v>0</v>
      </c>
      <c r="AI20" s="12">
        <v>7</v>
      </c>
      <c r="AJ20" s="12">
        <v>2</v>
      </c>
      <c r="AK20" s="12">
        <v>1</v>
      </c>
      <c r="AL20" s="12">
        <v>54</v>
      </c>
      <c r="AM20" s="12">
        <v>35</v>
      </c>
      <c r="AN20" s="12">
        <v>5</v>
      </c>
      <c r="AO20" s="12">
        <v>8</v>
      </c>
      <c r="AP20" s="12">
        <v>0</v>
      </c>
      <c r="AQ20" s="12">
        <v>35</v>
      </c>
    </row>
    <row r="21" spans="1:43" x14ac:dyDescent="0.35">
      <c r="A21" s="19"/>
      <c r="B21" s="13" t="s">
        <v>486</v>
      </c>
      <c r="C21" s="15">
        <v>0.01</v>
      </c>
      <c r="D21" s="15">
        <v>0.01</v>
      </c>
      <c r="E21" s="15">
        <v>0.01</v>
      </c>
      <c r="F21" s="15">
        <v>0.01</v>
      </c>
      <c r="G21" s="14" t="s">
        <v>475</v>
      </c>
      <c r="H21" s="14" t="s">
        <v>475</v>
      </c>
      <c r="I21" s="14" t="s">
        <v>475</v>
      </c>
      <c r="J21" s="14" t="s">
        <v>475</v>
      </c>
      <c r="K21" s="15">
        <v>0.02</v>
      </c>
      <c r="L21" s="15">
        <v>0.01</v>
      </c>
      <c r="M21" s="14" t="s">
        <v>475</v>
      </c>
      <c r="N21" s="15">
        <v>0.01</v>
      </c>
      <c r="O21" s="15">
        <v>0.02</v>
      </c>
      <c r="P21" s="14" t="s">
        <v>475</v>
      </c>
      <c r="Q21" s="14" t="s">
        <v>475</v>
      </c>
      <c r="R21" s="14" t="s">
        <v>475</v>
      </c>
      <c r="S21" s="15">
        <v>0.05</v>
      </c>
      <c r="T21" s="15">
        <v>0.03</v>
      </c>
      <c r="U21" s="15">
        <v>0.01</v>
      </c>
      <c r="V21" s="14" t="s">
        <v>475</v>
      </c>
      <c r="W21" s="15">
        <v>0.01</v>
      </c>
      <c r="X21" s="14" t="s">
        <v>475</v>
      </c>
      <c r="Y21" s="15">
        <v>0.01</v>
      </c>
      <c r="Z21" s="15">
        <v>0.02</v>
      </c>
      <c r="AA21" s="15">
        <v>0.02</v>
      </c>
      <c r="AB21" s="15">
        <v>0.01</v>
      </c>
      <c r="AC21" s="15">
        <v>0.01</v>
      </c>
      <c r="AD21" s="14" t="s">
        <v>475</v>
      </c>
      <c r="AE21" s="15">
        <v>0.02</v>
      </c>
      <c r="AF21" s="14" t="s">
        <v>475</v>
      </c>
      <c r="AG21" s="15">
        <v>0.01</v>
      </c>
      <c r="AH21" s="14" t="s">
        <v>475</v>
      </c>
      <c r="AI21" s="15">
        <v>0.01</v>
      </c>
      <c r="AJ21" s="14" t="s">
        <v>475</v>
      </c>
      <c r="AK21" s="14" t="s">
        <v>475</v>
      </c>
      <c r="AL21" s="15">
        <v>0.05</v>
      </c>
      <c r="AM21" s="15">
        <v>0.03</v>
      </c>
      <c r="AN21" s="14" t="s">
        <v>475</v>
      </c>
      <c r="AO21" s="15">
        <v>0.01</v>
      </c>
      <c r="AP21" s="14" t="s">
        <v>475</v>
      </c>
      <c r="AQ21" s="15">
        <v>0.03</v>
      </c>
    </row>
    <row r="22" spans="1:43" x14ac:dyDescent="0.35">
      <c r="A22" s="19"/>
      <c r="B22" s="11" t="s">
        <v>487</v>
      </c>
      <c r="C22" s="12">
        <v>14366</v>
      </c>
      <c r="D22" s="12">
        <v>563</v>
      </c>
      <c r="E22" s="12">
        <v>426</v>
      </c>
      <c r="F22" s="12">
        <v>648</v>
      </c>
      <c r="G22" s="12">
        <v>886</v>
      </c>
      <c r="H22" s="12">
        <v>751</v>
      </c>
      <c r="I22" s="12">
        <v>868</v>
      </c>
      <c r="J22" s="12">
        <v>118</v>
      </c>
      <c r="K22" s="12">
        <v>510</v>
      </c>
      <c r="L22" s="12">
        <v>715</v>
      </c>
      <c r="M22" s="12">
        <v>244</v>
      </c>
      <c r="N22" s="12">
        <v>513</v>
      </c>
      <c r="O22" s="12">
        <v>365</v>
      </c>
      <c r="P22" s="12">
        <v>463</v>
      </c>
      <c r="Q22" s="12">
        <v>569</v>
      </c>
      <c r="R22" s="12">
        <v>167</v>
      </c>
      <c r="S22" s="12">
        <v>566</v>
      </c>
      <c r="T22" s="12">
        <v>547</v>
      </c>
      <c r="U22" s="12">
        <v>434</v>
      </c>
      <c r="V22" s="12">
        <v>497</v>
      </c>
      <c r="W22" s="12">
        <v>250</v>
      </c>
      <c r="X22" s="12">
        <v>581</v>
      </c>
      <c r="Y22" s="12">
        <v>614</v>
      </c>
      <c r="Z22" s="12">
        <v>790</v>
      </c>
      <c r="AA22" s="12">
        <v>681</v>
      </c>
      <c r="AB22" s="12">
        <v>439</v>
      </c>
      <c r="AC22" s="12">
        <v>510</v>
      </c>
      <c r="AD22" s="12">
        <v>415</v>
      </c>
      <c r="AE22" s="12">
        <v>814</v>
      </c>
      <c r="AF22" s="12">
        <v>854</v>
      </c>
      <c r="AG22" s="12">
        <v>543</v>
      </c>
      <c r="AH22" s="12">
        <v>590</v>
      </c>
      <c r="AI22" s="12">
        <v>235</v>
      </c>
      <c r="AJ22" s="12">
        <v>449</v>
      </c>
      <c r="AK22" s="12">
        <v>372</v>
      </c>
      <c r="AL22" s="12">
        <v>363</v>
      </c>
      <c r="AM22" s="12">
        <v>521</v>
      </c>
      <c r="AN22" s="12">
        <v>424</v>
      </c>
      <c r="AO22" s="12">
        <v>845</v>
      </c>
      <c r="AP22" s="12">
        <v>305</v>
      </c>
      <c r="AQ22" s="12">
        <v>431</v>
      </c>
    </row>
    <row r="23" spans="1:43" x14ac:dyDescent="0.35">
      <c r="A23" s="19"/>
      <c r="B23" s="13" t="s">
        <v>488</v>
      </c>
      <c r="C23" s="15">
        <v>0.54</v>
      </c>
      <c r="D23" s="15">
        <v>0.55000000000000004</v>
      </c>
      <c r="E23" s="15">
        <v>0.42</v>
      </c>
      <c r="F23" s="15">
        <v>0.59</v>
      </c>
      <c r="G23" s="15">
        <v>0.88</v>
      </c>
      <c r="H23" s="15">
        <v>0.61</v>
      </c>
      <c r="I23" s="15">
        <v>0.57999999999999996</v>
      </c>
      <c r="J23" s="15">
        <v>0.4</v>
      </c>
      <c r="K23" s="15">
        <v>0.51</v>
      </c>
      <c r="L23" s="15">
        <v>0.71</v>
      </c>
      <c r="M23" s="15">
        <v>0.25</v>
      </c>
      <c r="N23" s="15">
        <v>0.51</v>
      </c>
      <c r="O23" s="15">
        <v>0.37</v>
      </c>
      <c r="P23" s="15">
        <v>0.46</v>
      </c>
      <c r="Q23" s="15">
        <v>0.56000000000000005</v>
      </c>
      <c r="R23" s="15">
        <v>0.33</v>
      </c>
      <c r="S23" s="15">
        <v>0.56000000000000005</v>
      </c>
      <c r="T23" s="15">
        <v>0.55000000000000004</v>
      </c>
      <c r="U23" s="15">
        <v>0.86</v>
      </c>
      <c r="V23" s="15">
        <v>0.49</v>
      </c>
      <c r="W23" s="15">
        <v>0.49</v>
      </c>
      <c r="X23" s="15">
        <v>0.57999999999999996</v>
      </c>
      <c r="Y23" s="15">
        <v>0.61</v>
      </c>
      <c r="Z23" s="15">
        <v>0.76</v>
      </c>
      <c r="AA23" s="15">
        <v>0.66</v>
      </c>
      <c r="AB23" s="15">
        <v>0.42</v>
      </c>
      <c r="AC23" s="15">
        <v>0.51</v>
      </c>
      <c r="AD23" s="15">
        <v>0.41</v>
      </c>
      <c r="AE23" s="15">
        <v>0.8</v>
      </c>
      <c r="AF23" s="15">
        <v>0.82000000000000006</v>
      </c>
      <c r="AG23" s="15">
        <v>0.52</v>
      </c>
      <c r="AH23" s="15">
        <v>0.57999999999999996</v>
      </c>
      <c r="AI23" s="15">
        <v>0.45</v>
      </c>
      <c r="AJ23" s="15">
        <v>0.43</v>
      </c>
      <c r="AK23" s="15">
        <v>0.37</v>
      </c>
      <c r="AL23" s="15">
        <v>0.36</v>
      </c>
      <c r="AM23" s="15">
        <v>0.5</v>
      </c>
      <c r="AN23" s="15">
        <v>0.43</v>
      </c>
      <c r="AO23" s="15">
        <v>0.84</v>
      </c>
      <c r="AP23" s="15">
        <v>0.57999999999999996</v>
      </c>
      <c r="AQ23" s="15">
        <v>0.43</v>
      </c>
    </row>
    <row r="24" spans="1:43" x14ac:dyDescent="0.35">
      <c r="A24" s="19"/>
      <c r="B24" s="11" t="s">
        <v>489</v>
      </c>
      <c r="C24" s="12">
        <v>11817</v>
      </c>
      <c r="D24" s="12">
        <v>444</v>
      </c>
      <c r="E24" s="12">
        <v>591</v>
      </c>
      <c r="F24" s="12">
        <v>441</v>
      </c>
      <c r="G24" s="12">
        <v>115</v>
      </c>
      <c r="H24" s="12">
        <v>468</v>
      </c>
      <c r="I24" s="12">
        <v>643</v>
      </c>
      <c r="J24" s="12">
        <v>177</v>
      </c>
      <c r="K24" s="12">
        <v>474</v>
      </c>
      <c r="L24" s="12">
        <v>274</v>
      </c>
      <c r="M24" s="12">
        <v>763</v>
      </c>
      <c r="N24" s="12">
        <v>478</v>
      </c>
      <c r="O24" s="12">
        <v>618</v>
      </c>
      <c r="P24" s="12">
        <v>538</v>
      </c>
      <c r="Q24" s="12">
        <v>453</v>
      </c>
      <c r="R24" s="12">
        <v>337</v>
      </c>
      <c r="S24" s="12">
        <v>386</v>
      </c>
      <c r="T24" s="12">
        <v>427</v>
      </c>
      <c r="U24" s="12">
        <v>65</v>
      </c>
      <c r="V24" s="12">
        <v>512</v>
      </c>
      <c r="W24" s="12">
        <v>255</v>
      </c>
      <c r="X24" s="12">
        <v>426</v>
      </c>
      <c r="Y24" s="12">
        <v>378</v>
      </c>
      <c r="Z24" s="12">
        <v>222</v>
      </c>
      <c r="AA24" s="12">
        <v>334</v>
      </c>
      <c r="AB24" s="12">
        <v>595</v>
      </c>
      <c r="AC24" s="12">
        <v>488</v>
      </c>
      <c r="AD24" s="12">
        <v>590</v>
      </c>
      <c r="AE24" s="12">
        <v>174</v>
      </c>
      <c r="AF24" s="12">
        <v>188</v>
      </c>
      <c r="AG24" s="12">
        <v>486</v>
      </c>
      <c r="AH24" s="12">
        <v>423</v>
      </c>
      <c r="AI24" s="12">
        <v>281</v>
      </c>
      <c r="AJ24" s="12">
        <v>586</v>
      </c>
      <c r="AK24" s="12">
        <v>634</v>
      </c>
      <c r="AL24" s="12">
        <v>596</v>
      </c>
      <c r="AM24" s="12">
        <v>483</v>
      </c>
      <c r="AN24" s="12">
        <v>575</v>
      </c>
      <c r="AO24" s="12">
        <v>152</v>
      </c>
      <c r="AP24" s="12">
        <v>219</v>
      </c>
      <c r="AQ24" s="12">
        <v>536</v>
      </c>
    </row>
    <row r="25" spans="1:43" x14ac:dyDescent="0.35">
      <c r="A25" s="19"/>
      <c r="B25" s="13" t="s">
        <v>490</v>
      </c>
      <c r="C25" s="15">
        <v>0.45</v>
      </c>
      <c r="D25" s="15">
        <v>0.44</v>
      </c>
      <c r="E25" s="15">
        <v>0.57000000000000006</v>
      </c>
      <c r="F25" s="15">
        <v>0.4</v>
      </c>
      <c r="G25" s="15">
        <v>0.12</v>
      </c>
      <c r="H25" s="15">
        <v>0.39</v>
      </c>
      <c r="I25" s="15">
        <v>0.42</v>
      </c>
      <c r="J25" s="15">
        <v>0.6</v>
      </c>
      <c r="K25" s="15">
        <v>0.47</v>
      </c>
      <c r="L25" s="15">
        <v>0.28000000000000003</v>
      </c>
      <c r="M25" s="15">
        <v>0.75</v>
      </c>
      <c r="N25" s="15">
        <v>0.48</v>
      </c>
      <c r="O25" s="15">
        <v>0.61</v>
      </c>
      <c r="P25" s="15">
        <v>0.54</v>
      </c>
      <c r="Q25" s="15">
        <v>0.44</v>
      </c>
      <c r="R25" s="15">
        <v>0.67</v>
      </c>
      <c r="S25" s="15">
        <v>0.39</v>
      </c>
      <c r="T25" s="15">
        <v>0.42</v>
      </c>
      <c r="U25" s="15">
        <v>0.13</v>
      </c>
      <c r="V25" s="15">
        <v>0.51</v>
      </c>
      <c r="W25" s="15">
        <v>0.5</v>
      </c>
      <c r="X25" s="15">
        <v>0.42</v>
      </c>
      <c r="Y25" s="15">
        <v>0.38</v>
      </c>
      <c r="Z25" s="15">
        <v>0.22</v>
      </c>
      <c r="AA25" s="15">
        <v>0.32</v>
      </c>
      <c r="AB25" s="15">
        <v>0.57000000000000006</v>
      </c>
      <c r="AC25" s="15">
        <v>0.48</v>
      </c>
      <c r="AD25" s="15">
        <v>0.59</v>
      </c>
      <c r="AE25" s="15">
        <v>0.18</v>
      </c>
      <c r="AF25" s="15">
        <v>0.18</v>
      </c>
      <c r="AG25" s="15">
        <v>0.47</v>
      </c>
      <c r="AH25" s="15">
        <v>0.42</v>
      </c>
      <c r="AI25" s="15">
        <v>0.54</v>
      </c>
      <c r="AJ25" s="15">
        <v>0.57000000000000006</v>
      </c>
      <c r="AK25" s="15">
        <v>0.63</v>
      </c>
      <c r="AL25" s="15">
        <v>0.59</v>
      </c>
      <c r="AM25" s="15">
        <v>0.47</v>
      </c>
      <c r="AN25" s="15">
        <v>0.57000000000000006</v>
      </c>
      <c r="AO25" s="15">
        <v>0.15</v>
      </c>
      <c r="AP25" s="15">
        <v>0.42</v>
      </c>
      <c r="AQ25" s="15">
        <v>0.54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127</v>
      </c>
      <c r="C3" s="18"/>
      <c r="D3" s="18"/>
      <c r="E3" s="18"/>
      <c r="F3" s="18"/>
      <c r="H3" s="18" t="s">
        <v>128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HYPERLINK("#Content!A66","&lt;&lt;Back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477</v>
      </c>
      <c r="C12" s="12">
        <v>1174</v>
      </c>
      <c r="D12" s="12">
        <v>28</v>
      </c>
      <c r="E12" s="12">
        <v>125</v>
      </c>
      <c r="F12" s="12">
        <v>52</v>
      </c>
      <c r="G12" s="12">
        <v>142</v>
      </c>
      <c r="H12" s="12">
        <v>31</v>
      </c>
      <c r="I12" s="12">
        <v>45</v>
      </c>
      <c r="J12" s="12">
        <v>14</v>
      </c>
      <c r="K12" s="12">
        <v>65</v>
      </c>
      <c r="L12" s="12">
        <v>159</v>
      </c>
      <c r="M12" s="12">
        <v>22</v>
      </c>
      <c r="N12" s="12">
        <v>53</v>
      </c>
      <c r="O12" s="12">
        <v>22</v>
      </c>
      <c r="P12" s="12">
        <v>65</v>
      </c>
      <c r="Q12" s="12">
        <v>36</v>
      </c>
      <c r="R12" s="12">
        <v>18</v>
      </c>
      <c r="S12" s="12">
        <v>82</v>
      </c>
      <c r="T12" s="12">
        <v>45</v>
      </c>
      <c r="U12" s="12">
        <v>41</v>
      </c>
      <c r="V12" s="12">
        <v>50</v>
      </c>
      <c r="W12" s="12">
        <v>28</v>
      </c>
      <c r="X12" s="12">
        <v>25</v>
      </c>
      <c r="Y12" s="12">
        <v>134</v>
      </c>
      <c r="Z12" s="12">
        <v>58</v>
      </c>
      <c r="AA12" s="12">
        <v>56</v>
      </c>
      <c r="AB12" s="12">
        <v>50</v>
      </c>
      <c r="AC12" s="12">
        <v>37</v>
      </c>
      <c r="AD12" s="12">
        <v>60</v>
      </c>
      <c r="AE12" s="12">
        <v>52</v>
      </c>
      <c r="AF12" s="12">
        <v>61</v>
      </c>
      <c r="AG12" s="12">
        <v>102</v>
      </c>
      <c r="AH12" s="12">
        <v>120</v>
      </c>
      <c r="AI12" s="12">
        <v>84</v>
      </c>
      <c r="AJ12" s="12">
        <v>128</v>
      </c>
      <c r="AK12" s="12">
        <v>171</v>
      </c>
      <c r="AL12" s="12">
        <v>108</v>
      </c>
      <c r="AM12" s="12">
        <v>27</v>
      </c>
      <c r="AN12" s="12">
        <v>125</v>
      </c>
      <c r="AO12" s="12">
        <v>307</v>
      </c>
      <c r="AP12" s="12">
        <v>141</v>
      </c>
      <c r="AQ12" s="12">
        <v>121</v>
      </c>
    </row>
    <row r="13" spans="1:43" x14ac:dyDescent="0.35">
      <c r="A13" s="19"/>
      <c r="B13" s="13" t="s">
        <v>478</v>
      </c>
      <c r="C13" s="15">
        <v>0.05</v>
      </c>
      <c r="D13" s="15">
        <v>0.03</v>
      </c>
      <c r="E13" s="15">
        <v>0.12</v>
      </c>
      <c r="F13" s="15">
        <v>0.05</v>
      </c>
      <c r="G13" s="15">
        <v>0.14000000000000001</v>
      </c>
      <c r="H13" s="15">
        <v>0.02</v>
      </c>
      <c r="I13" s="15">
        <v>0.03</v>
      </c>
      <c r="J13" s="15">
        <v>0.05</v>
      </c>
      <c r="K13" s="15">
        <v>7.0000000000000007E-2</v>
      </c>
      <c r="L13" s="15">
        <v>0.16</v>
      </c>
      <c r="M13" s="15">
        <v>0.02</v>
      </c>
      <c r="N13" s="15">
        <v>0.05</v>
      </c>
      <c r="O13" s="15">
        <v>0.02</v>
      </c>
      <c r="P13" s="15">
        <v>0.06</v>
      </c>
      <c r="Q13" s="15">
        <v>0.03</v>
      </c>
      <c r="R13" s="15">
        <v>0.04</v>
      </c>
      <c r="S13" s="15">
        <v>0.08</v>
      </c>
      <c r="T13" s="15">
        <v>0.04</v>
      </c>
      <c r="U13" s="15">
        <v>0.08</v>
      </c>
      <c r="V13" s="15">
        <v>0.05</v>
      </c>
      <c r="W13" s="15">
        <v>0.05</v>
      </c>
      <c r="X13" s="15">
        <v>0.03</v>
      </c>
      <c r="Y13" s="15">
        <v>0.13</v>
      </c>
      <c r="Z13" s="15">
        <v>0.06</v>
      </c>
      <c r="AA13" s="15">
        <v>0.06</v>
      </c>
      <c r="AB13" s="15">
        <v>0.05</v>
      </c>
      <c r="AC13" s="15">
        <v>0.04</v>
      </c>
      <c r="AD13" s="15">
        <v>0.06</v>
      </c>
      <c r="AE13" s="15">
        <v>0.05</v>
      </c>
      <c r="AF13" s="15">
        <v>0.06</v>
      </c>
      <c r="AG13" s="15">
        <v>0.1</v>
      </c>
      <c r="AH13" s="15">
        <v>0.12</v>
      </c>
      <c r="AI13" s="15">
        <v>0.16</v>
      </c>
      <c r="AJ13" s="15">
        <v>0.12</v>
      </c>
      <c r="AK13" s="15">
        <v>0.17</v>
      </c>
      <c r="AL13" s="15">
        <v>0.11</v>
      </c>
      <c r="AM13" s="15">
        <v>0.03</v>
      </c>
      <c r="AN13" s="15">
        <v>0.12</v>
      </c>
      <c r="AO13" s="15">
        <v>0.3</v>
      </c>
      <c r="AP13" s="15">
        <v>0.27</v>
      </c>
      <c r="AQ13" s="15">
        <v>0.12</v>
      </c>
    </row>
    <row r="14" spans="1:43" x14ac:dyDescent="0.35">
      <c r="A14" s="19"/>
      <c r="B14" s="11" t="s">
        <v>479</v>
      </c>
      <c r="C14" s="12">
        <v>12802</v>
      </c>
      <c r="D14" s="12">
        <v>497</v>
      </c>
      <c r="E14" s="12">
        <v>393</v>
      </c>
      <c r="F14" s="12">
        <v>525</v>
      </c>
      <c r="G14" s="12">
        <v>602</v>
      </c>
      <c r="H14" s="12">
        <v>608</v>
      </c>
      <c r="I14" s="12">
        <v>689</v>
      </c>
      <c r="J14" s="12">
        <v>81</v>
      </c>
      <c r="K14" s="12">
        <v>432</v>
      </c>
      <c r="L14" s="12">
        <v>550</v>
      </c>
      <c r="M14" s="12">
        <v>328</v>
      </c>
      <c r="N14" s="12">
        <v>492</v>
      </c>
      <c r="O14" s="12">
        <v>363</v>
      </c>
      <c r="P14" s="12">
        <v>513</v>
      </c>
      <c r="Q14" s="12">
        <v>516</v>
      </c>
      <c r="R14" s="12">
        <v>216</v>
      </c>
      <c r="S14" s="12">
        <v>533</v>
      </c>
      <c r="T14" s="12">
        <v>630</v>
      </c>
      <c r="U14" s="12">
        <v>255</v>
      </c>
      <c r="V14" s="12">
        <v>566</v>
      </c>
      <c r="W14" s="12">
        <v>310</v>
      </c>
      <c r="X14" s="12">
        <v>558</v>
      </c>
      <c r="Y14" s="12">
        <v>423</v>
      </c>
      <c r="Z14" s="12">
        <v>682</v>
      </c>
      <c r="AA14" s="12">
        <v>634</v>
      </c>
      <c r="AB14" s="12">
        <v>497</v>
      </c>
      <c r="AC14" s="12">
        <v>477</v>
      </c>
      <c r="AD14" s="12">
        <v>459</v>
      </c>
      <c r="AE14" s="12">
        <v>533</v>
      </c>
      <c r="AF14" s="12">
        <v>592</v>
      </c>
      <c r="AG14" s="12">
        <v>383</v>
      </c>
      <c r="AH14" s="12">
        <v>575</v>
      </c>
      <c r="AI14" s="12">
        <v>158</v>
      </c>
      <c r="AJ14" s="12">
        <v>388</v>
      </c>
      <c r="AK14" s="12">
        <v>650</v>
      </c>
      <c r="AL14" s="12">
        <v>395</v>
      </c>
      <c r="AM14" s="12">
        <v>463</v>
      </c>
      <c r="AN14" s="12">
        <v>448</v>
      </c>
      <c r="AO14" s="12">
        <v>517</v>
      </c>
      <c r="AP14" s="12">
        <v>215</v>
      </c>
      <c r="AQ14" s="12">
        <v>319</v>
      </c>
    </row>
    <row r="15" spans="1:43" x14ac:dyDescent="0.35">
      <c r="A15" s="19"/>
      <c r="B15" s="13" t="s">
        <v>480</v>
      </c>
      <c r="C15" s="15">
        <v>0.48</v>
      </c>
      <c r="D15" s="15">
        <v>0.49</v>
      </c>
      <c r="E15" s="15">
        <v>0.38</v>
      </c>
      <c r="F15" s="15">
        <v>0.47</v>
      </c>
      <c r="G15" s="15">
        <v>0.6</v>
      </c>
      <c r="H15" s="15">
        <v>0.5</v>
      </c>
      <c r="I15" s="15">
        <v>0.45</v>
      </c>
      <c r="J15" s="15">
        <v>0.27</v>
      </c>
      <c r="K15" s="15">
        <v>0.43</v>
      </c>
      <c r="L15" s="15">
        <v>0.55000000000000004</v>
      </c>
      <c r="M15" s="15">
        <v>0.32</v>
      </c>
      <c r="N15" s="15">
        <v>0.49</v>
      </c>
      <c r="O15" s="15">
        <v>0.36</v>
      </c>
      <c r="P15" s="15">
        <v>0.51</v>
      </c>
      <c r="Q15" s="15">
        <v>0.5</v>
      </c>
      <c r="R15" s="15">
        <v>0.43</v>
      </c>
      <c r="S15" s="15">
        <v>0.53</v>
      </c>
      <c r="T15" s="15">
        <v>0.63</v>
      </c>
      <c r="U15" s="15">
        <v>0.51</v>
      </c>
      <c r="V15" s="15">
        <v>0.56000000000000005</v>
      </c>
      <c r="W15" s="15">
        <v>0.61</v>
      </c>
      <c r="X15" s="15">
        <v>0.55000000000000004</v>
      </c>
      <c r="Y15" s="15">
        <v>0.42</v>
      </c>
      <c r="Z15" s="15">
        <v>0.66</v>
      </c>
      <c r="AA15" s="15">
        <v>0.61</v>
      </c>
      <c r="AB15" s="15">
        <v>0.47</v>
      </c>
      <c r="AC15" s="15">
        <v>0.47</v>
      </c>
      <c r="AD15" s="15">
        <v>0.46</v>
      </c>
      <c r="AE15" s="15">
        <v>0.53</v>
      </c>
      <c r="AF15" s="15">
        <v>0.57000000000000006</v>
      </c>
      <c r="AG15" s="15">
        <v>0.37</v>
      </c>
      <c r="AH15" s="15">
        <v>0.57000000000000006</v>
      </c>
      <c r="AI15" s="15">
        <v>0.3</v>
      </c>
      <c r="AJ15" s="15">
        <v>0.37</v>
      </c>
      <c r="AK15" s="15">
        <v>0.64</v>
      </c>
      <c r="AL15" s="15">
        <v>0.39</v>
      </c>
      <c r="AM15" s="15">
        <v>0.45</v>
      </c>
      <c r="AN15" s="15">
        <v>0.45</v>
      </c>
      <c r="AO15" s="15">
        <v>0.51</v>
      </c>
      <c r="AP15" s="15">
        <v>0.41</v>
      </c>
      <c r="AQ15" s="15">
        <v>0.32</v>
      </c>
    </row>
    <row r="16" spans="1:43" x14ac:dyDescent="0.35">
      <c r="A16" s="19"/>
      <c r="B16" s="11" t="s">
        <v>481</v>
      </c>
      <c r="C16" s="12">
        <v>8557</v>
      </c>
      <c r="D16" s="12">
        <v>323</v>
      </c>
      <c r="E16" s="12">
        <v>232</v>
      </c>
      <c r="F16" s="12">
        <v>371</v>
      </c>
      <c r="G16" s="12">
        <v>161</v>
      </c>
      <c r="H16" s="12">
        <v>475</v>
      </c>
      <c r="I16" s="12">
        <v>619</v>
      </c>
      <c r="J16" s="12">
        <v>144</v>
      </c>
      <c r="K16" s="12">
        <v>313</v>
      </c>
      <c r="L16" s="12">
        <v>166</v>
      </c>
      <c r="M16" s="12">
        <v>401</v>
      </c>
      <c r="N16" s="12">
        <v>307</v>
      </c>
      <c r="O16" s="12">
        <v>368</v>
      </c>
      <c r="P16" s="12">
        <v>317</v>
      </c>
      <c r="Q16" s="12">
        <v>336</v>
      </c>
      <c r="R16" s="12">
        <v>173</v>
      </c>
      <c r="S16" s="12">
        <v>203</v>
      </c>
      <c r="T16" s="12">
        <v>205</v>
      </c>
      <c r="U16" s="12">
        <v>133</v>
      </c>
      <c r="V16" s="12">
        <v>299</v>
      </c>
      <c r="W16" s="12">
        <v>120</v>
      </c>
      <c r="X16" s="12">
        <v>301</v>
      </c>
      <c r="Y16" s="12">
        <v>237</v>
      </c>
      <c r="Z16" s="12">
        <v>220</v>
      </c>
      <c r="AA16" s="12">
        <v>247</v>
      </c>
      <c r="AB16" s="12">
        <v>328</v>
      </c>
      <c r="AC16" s="12">
        <v>387</v>
      </c>
      <c r="AD16" s="12">
        <v>347</v>
      </c>
      <c r="AE16" s="12">
        <v>310</v>
      </c>
      <c r="AF16" s="12">
        <v>266</v>
      </c>
      <c r="AG16" s="12">
        <v>313</v>
      </c>
      <c r="AH16" s="12">
        <v>220</v>
      </c>
      <c r="AI16" s="12">
        <v>137</v>
      </c>
      <c r="AJ16" s="12">
        <v>360</v>
      </c>
      <c r="AK16" s="12">
        <v>129</v>
      </c>
      <c r="AL16" s="12">
        <v>184</v>
      </c>
      <c r="AM16" s="12">
        <v>261</v>
      </c>
      <c r="AN16" s="12">
        <v>316</v>
      </c>
      <c r="AO16" s="12">
        <v>71</v>
      </c>
      <c r="AP16" s="12">
        <v>122</v>
      </c>
      <c r="AQ16" s="12">
        <v>243</v>
      </c>
    </row>
    <row r="17" spans="1:43" x14ac:dyDescent="0.35">
      <c r="A17" s="19"/>
      <c r="B17" s="13" t="s">
        <v>482</v>
      </c>
      <c r="C17" s="15">
        <v>0.32</v>
      </c>
      <c r="D17" s="15">
        <v>0.32</v>
      </c>
      <c r="E17" s="15">
        <v>0.23</v>
      </c>
      <c r="F17" s="15">
        <v>0.34</v>
      </c>
      <c r="G17" s="15">
        <v>0.16</v>
      </c>
      <c r="H17" s="15">
        <v>0.39</v>
      </c>
      <c r="I17" s="15">
        <v>0.41</v>
      </c>
      <c r="J17" s="15">
        <v>0.49</v>
      </c>
      <c r="K17" s="15">
        <v>0.31</v>
      </c>
      <c r="L17" s="15">
        <v>0.17</v>
      </c>
      <c r="M17" s="15">
        <v>0.4</v>
      </c>
      <c r="N17" s="15">
        <v>0.31</v>
      </c>
      <c r="O17" s="15">
        <v>0.37</v>
      </c>
      <c r="P17" s="15">
        <v>0.32</v>
      </c>
      <c r="Q17" s="15">
        <v>0.33</v>
      </c>
      <c r="R17" s="15">
        <v>0.34</v>
      </c>
      <c r="S17" s="15">
        <v>0.2</v>
      </c>
      <c r="T17" s="15">
        <v>0.2</v>
      </c>
      <c r="U17" s="15">
        <v>0.26</v>
      </c>
      <c r="V17" s="15">
        <v>0.28999999999999998</v>
      </c>
      <c r="W17" s="15">
        <v>0.24</v>
      </c>
      <c r="X17" s="15">
        <v>0.3</v>
      </c>
      <c r="Y17" s="15">
        <v>0.24</v>
      </c>
      <c r="Z17" s="15">
        <v>0.21</v>
      </c>
      <c r="AA17" s="15">
        <v>0.24</v>
      </c>
      <c r="AB17" s="15">
        <v>0.31</v>
      </c>
      <c r="AC17" s="15">
        <v>0.39</v>
      </c>
      <c r="AD17" s="15">
        <v>0.34</v>
      </c>
      <c r="AE17" s="15">
        <v>0.31</v>
      </c>
      <c r="AF17" s="15">
        <v>0.25</v>
      </c>
      <c r="AG17" s="15">
        <v>0.3</v>
      </c>
      <c r="AH17" s="15">
        <v>0.22</v>
      </c>
      <c r="AI17" s="15">
        <v>0.26</v>
      </c>
      <c r="AJ17" s="15">
        <v>0.35</v>
      </c>
      <c r="AK17" s="15">
        <v>0.13</v>
      </c>
      <c r="AL17" s="15">
        <v>0.18</v>
      </c>
      <c r="AM17" s="15">
        <v>0.25</v>
      </c>
      <c r="AN17" s="15">
        <v>0.31</v>
      </c>
      <c r="AO17" s="15">
        <v>7.0000000000000007E-2</v>
      </c>
      <c r="AP17" s="15">
        <v>0.23</v>
      </c>
      <c r="AQ17" s="15">
        <v>0.24</v>
      </c>
    </row>
    <row r="18" spans="1:43" x14ac:dyDescent="0.35">
      <c r="A18" s="19"/>
      <c r="B18" s="11" t="s">
        <v>483</v>
      </c>
      <c r="C18" s="12">
        <v>2639</v>
      </c>
      <c r="D18" s="12">
        <v>151</v>
      </c>
      <c r="E18" s="12">
        <v>179</v>
      </c>
      <c r="F18" s="12">
        <v>120</v>
      </c>
      <c r="G18" s="12">
        <v>56</v>
      </c>
      <c r="H18" s="12">
        <v>82</v>
      </c>
      <c r="I18" s="12">
        <v>123</v>
      </c>
      <c r="J18" s="12">
        <v>41</v>
      </c>
      <c r="K18" s="12">
        <v>82</v>
      </c>
      <c r="L18" s="12">
        <v>75</v>
      </c>
      <c r="M18" s="12">
        <v>217</v>
      </c>
      <c r="N18" s="12">
        <v>82</v>
      </c>
      <c r="O18" s="12">
        <v>157</v>
      </c>
      <c r="P18" s="12">
        <v>72</v>
      </c>
      <c r="Q18" s="12">
        <v>100</v>
      </c>
      <c r="R18" s="12">
        <v>66</v>
      </c>
      <c r="S18" s="12">
        <v>78</v>
      </c>
      <c r="T18" s="12">
        <v>39</v>
      </c>
      <c r="U18" s="12">
        <v>62</v>
      </c>
      <c r="V18" s="12">
        <v>77</v>
      </c>
      <c r="W18" s="12">
        <v>25</v>
      </c>
      <c r="X18" s="12">
        <v>100</v>
      </c>
      <c r="Y18" s="12">
        <v>183</v>
      </c>
      <c r="Z18" s="12">
        <v>38</v>
      </c>
      <c r="AA18" s="12">
        <v>35</v>
      </c>
      <c r="AB18" s="12">
        <v>116</v>
      </c>
      <c r="AC18" s="12">
        <v>86</v>
      </c>
      <c r="AD18" s="12">
        <v>96</v>
      </c>
      <c r="AE18" s="12">
        <v>50</v>
      </c>
      <c r="AF18" s="12">
        <v>74</v>
      </c>
      <c r="AG18" s="12">
        <v>216</v>
      </c>
      <c r="AH18" s="12">
        <v>67</v>
      </c>
      <c r="AI18" s="12">
        <v>117</v>
      </c>
      <c r="AJ18" s="12">
        <v>112</v>
      </c>
      <c r="AK18" s="12">
        <v>28</v>
      </c>
      <c r="AL18" s="12">
        <v>94</v>
      </c>
      <c r="AM18" s="12">
        <v>78</v>
      </c>
      <c r="AN18" s="12">
        <v>89</v>
      </c>
      <c r="AO18" s="12">
        <v>35</v>
      </c>
      <c r="AP18" s="12">
        <v>40</v>
      </c>
      <c r="AQ18" s="12">
        <v>120</v>
      </c>
    </row>
    <row r="19" spans="1:43" x14ac:dyDescent="0.35">
      <c r="A19" s="19"/>
      <c r="B19" s="13" t="s">
        <v>484</v>
      </c>
      <c r="C19" s="15">
        <v>0.1</v>
      </c>
      <c r="D19" s="15">
        <v>0.15</v>
      </c>
      <c r="E19" s="15">
        <v>0.17</v>
      </c>
      <c r="F19" s="15">
        <v>0.11</v>
      </c>
      <c r="G19" s="15">
        <v>0.06</v>
      </c>
      <c r="H19" s="15">
        <v>7.0000000000000007E-2</v>
      </c>
      <c r="I19" s="15">
        <v>0.08</v>
      </c>
      <c r="J19" s="15">
        <v>0.14000000000000001</v>
      </c>
      <c r="K19" s="15">
        <v>0.08</v>
      </c>
      <c r="L19" s="15">
        <v>7.0000000000000007E-2</v>
      </c>
      <c r="M19" s="15">
        <v>0.22</v>
      </c>
      <c r="N19" s="15">
        <v>0.08</v>
      </c>
      <c r="O19" s="15">
        <v>0.16</v>
      </c>
      <c r="P19" s="15">
        <v>7.0000000000000007E-2</v>
      </c>
      <c r="Q19" s="15">
        <v>0.1</v>
      </c>
      <c r="R19" s="15">
        <v>0.13</v>
      </c>
      <c r="S19" s="15">
        <v>0.08</v>
      </c>
      <c r="T19" s="15">
        <v>0.04</v>
      </c>
      <c r="U19" s="15">
        <v>0.12</v>
      </c>
      <c r="V19" s="15">
        <v>0.08</v>
      </c>
      <c r="W19" s="15">
        <v>0.05</v>
      </c>
      <c r="X19" s="15">
        <v>0.1</v>
      </c>
      <c r="Y19" s="15">
        <v>0.18</v>
      </c>
      <c r="Z19" s="15">
        <v>0.04</v>
      </c>
      <c r="AA19" s="15">
        <v>0.03</v>
      </c>
      <c r="AB19" s="15">
        <v>0.11</v>
      </c>
      <c r="AC19" s="15">
        <v>0.08</v>
      </c>
      <c r="AD19" s="15">
        <v>0.1</v>
      </c>
      <c r="AE19" s="15">
        <v>0.05</v>
      </c>
      <c r="AF19" s="15">
        <v>7.0000000000000007E-2</v>
      </c>
      <c r="AG19" s="15">
        <v>0.21</v>
      </c>
      <c r="AH19" s="15">
        <v>0.06</v>
      </c>
      <c r="AI19" s="15">
        <v>0.23</v>
      </c>
      <c r="AJ19" s="15">
        <v>0.11</v>
      </c>
      <c r="AK19" s="15">
        <v>0.03</v>
      </c>
      <c r="AL19" s="15">
        <v>0.09</v>
      </c>
      <c r="AM19" s="15">
        <v>7.0000000000000007E-2</v>
      </c>
      <c r="AN19" s="15">
        <v>0.09</v>
      </c>
      <c r="AO19" s="15">
        <v>0.04</v>
      </c>
      <c r="AP19" s="15">
        <v>0.08</v>
      </c>
      <c r="AQ19" s="15">
        <v>0.12</v>
      </c>
    </row>
    <row r="20" spans="1:43" x14ac:dyDescent="0.35">
      <c r="A20" s="19"/>
      <c r="B20" s="11" t="s">
        <v>485</v>
      </c>
      <c r="C20" s="12">
        <v>1273</v>
      </c>
      <c r="D20" s="12">
        <v>15</v>
      </c>
      <c r="E20" s="12">
        <v>101</v>
      </c>
      <c r="F20" s="12">
        <v>34</v>
      </c>
      <c r="G20" s="12">
        <v>44</v>
      </c>
      <c r="H20" s="12">
        <v>25</v>
      </c>
      <c r="I20" s="12">
        <v>39</v>
      </c>
      <c r="J20" s="12">
        <v>15</v>
      </c>
      <c r="K20" s="12">
        <v>110</v>
      </c>
      <c r="L20" s="12">
        <v>52</v>
      </c>
      <c r="M20" s="12">
        <v>42</v>
      </c>
      <c r="N20" s="12">
        <v>68</v>
      </c>
      <c r="O20" s="12">
        <v>90</v>
      </c>
      <c r="P20" s="12">
        <v>37</v>
      </c>
      <c r="Q20" s="12">
        <v>38</v>
      </c>
      <c r="R20" s="12">
        <v>31</v>
      </c>
      <c r="S20" s="12">
        <v>106</v>
      </c>
      <c r="T20" s="12">
        <v>87</v>
      </c>
      <c r="U20" s="12">
        <v>13</v>
      </c>
      <c r="V20" s="12">
        <v>23</v>
      </c>
      <c r="W20" s="12">
        <v>26</v>
      </c>
      <c r="X20" s="12">
        <v>25</v>
      </c>
      <c r="Y20" s="12">
        <v>26</v>
      </c>
      <c r="Z20" s="12">
        <v>33</v>
      </c>
      <c r="AA20" s="12">
        <v>61</v>
      </c>
      <c r="AB20" s="12">
        <v>61</v>
      </c>
      <c r="AC20" s="12">
        <v>17</v>
      </c>
      <c r="AD20" s="12">
        <v>42</v>
      </c>
      <c r="AE20" s="12">
        <v>67</v>
      </c>
      <c r="AF20" s="12">
        <v>50</v>
      </c>
      <c r="AG20" s="12">
        <v>20</v>
      </c>
      <c r="AH20" s="12">
        <v>31</v>
      </c>
      <c r="AI20" s="12">
        <v>28</v>
      </c>
      <c r="AJ20" s="12">
        <v>49</v>
      </c>
      <c r="AK20" s="12">
        <v>28</v>
      </c>
      <c r="AL20" s="12">
        <v>232</v>
      </c>
      <c r="AM20" s="12">
        <v>212</v>
      </c>
      <c r="AN20" s="12">
        <v>25</v>
      </c>
      <c r="AO20" s="12">
        <v>76</v>
      </c>
      <c r="AP20" s="12">
        <v>6</v>
      </c>
      <c r="AQ20" s="12">
        <v>199</v>
      </c>
    </row>
    <row r="21" spans="1:43" x14ac:dyDescent="0.35">
      <c r="A21" s="19"/>
      <c r="B21" s="13" t="s">
        <v>486</v>
      </c>
      <c r="C21" s="15">
        <v>0.05</v>
      </c>
      <c r="D21" s="15">
        <v>0.01</v>
      </c>
      <c r="E21" s="15">
        <v>0.1</v>
      </c>
      <c r="F21" s="15">
        <v>0.03</v>
      </c>
      <c r="G21" s="15">
        <v>0.04</v>
      </c>
      <c r="H21" s="15">
        <v>0.02</v>
      </c>
      <c r="I21" s="15">
        <v>0.03</v>
      </c>
      <c r="J21" s="15">
        <v>0.05</v>
      </c>
      <c r="K21" s="15">
        <v>0.11</v>
      </c>
      <c r="L21" s="15">
        <v>0.05</v>
      </c>
      <c r="M21" s="15">
        <v>0.04</v>
      </c>
      <c r="N21" s="15">
        <v>7.0000000000000007E-2</v>
      </c>
      <c r="O21" s="15">
        <v>0.09</v>
      </c>
      <c r="P21" s="15">
        <v>0.04</v>
      </c>
      <c r="Q21" s="15">
        <v>0.04</v>
      </c>
      <c r="R21" s="15">
        <v>0.06</v>
      </c>
      <c r="S21" s="15">
        <v>0.11</v>
      </c>
      <c r="T21" s="15">
        <v>0.09</v>
      </c>
      <c r="U21" s="15">
        <v>0.03</v>
      </c>
      <c r="V21" s="15">
        <v>0.02</v>
      </c>
      <c r="W21" s="15">
        <v>0.05</v>
      </c>
      <c r="X21" s="15">
        <v>0.02</v>
      </c>
      <c r="Y21" s="15">
        <v>0.03</v>
      </c>
      <c r="Z21" s="15">
        <v>0.03</v>
      </c>
      <c r="AA21" s="15">
        <v>0.06</v>
      </c>
      <c r="AB21" s="15">
        <v>0.06</v>
      </c>
      <c r="AC21" s="15">
        <v>0.02</v>
      </c>
      <c r="AD21" s="15">
        <v>0.04</v>
      </c>
      <c r="AE21" s="15">
        <v>0.06</v>
      </c>
      <c r="AF21" s="15">
        <v>0.05</v>
      </c>
      <c r="AG21" s="15">
        <v>0.02</v>
      </c>
      <c r="AH21" s="15">
        <v>0.03</v>
      </c>
      <c r="AI21" s="15">
        <v>0.05</v>
      </c>
      <c r="AJ21" s="15">
        <v>0.05</v>
      </c>
      <c r="AK21" s="15">
        <v>0.03</v>
      </c>
      <c r="AL21" s="15">
        <v>0.23</v>
      </c>
      <c r="AM21" s="15">
        <v>0.2</v>
      </c>
      <c r="AN21" s="15">
        <v>0.03</v>
      </c>
      <c r="AO21" s="15">
        <v>0.08</v>
      </c>
      <c r="AP21" s="15">
        <v>0.01</v>
      </c>
      <c r="AQ21" s="15">
        <v>0.2</v>
      </c>
    </row>
    <row r="22" spans="1:43" x14ac:dyDescent="0.35">
      <c r="A22" s="19"/>
      <c r="B22" s="11" t="s">
        <v>487</v>
      </c>
      <c r="C22" s="12">
        <v>13976</v>
      </c>
      <c r="D22" s="12">
        <v>525</v>
      </c>
      <c r="E22" s="12">
        <v>518</v>
      </c>
      <c r="F22" s="12">
        <v>577</v>
      </c>
      <c r="G22" s="12">
        <v>744</v>
      </c>
      <c r="H22" s="12">
        <v>639</v>
      </c>
      <c r="I22" s="12">
        <v>734</v>
      </c>
      <c r="J22" s="12">
        <v>95</v>
      </c>
      <c r="K22" s="12">
        <v>497</v>
      </c>
      <c r="L22" s="12">
        <v>709</v>
      </c>
      <c r="M22" s="12">
        <v>350</v>
      </c>
      <c r="N22" s="12">
        <v>545</v>
      </c>
      <c r="O22" s="12">
        <v>385</v>
      </c>
      <c r="P22" s="12">
        <v>578</v>
      </c>
      <c r="Q22" s="12">
        <v>552</v>
      </c>
      <c r="R22" s="12">
        <v>234</v>
      </c>
      <c r="S22" s="12">
        <v>615</v>
      </c>
      <c r="T22" s="12">
        <v>675</v>
      </c>
      <c r="U22" s="12">
        <v>296</v>
      </c>
      <c r="V22" s="12">
        <v>616</v>
      </c>
      <c r="W22" s="12">
        <v>338</v>
      </c>
      <c r="X22" s="12">
        <v>583</v>
      </c>
      <c r="Y22" s="12">
        <v>557</v>
      </c>
      <c r="Z22" s="12">
        <v>740</v>
      </c>
      <c r="AA22" s="12">
        <v>690</v>
      </c>
      <c r="AB22" s="12">
        <v>547</v>
      </c>
      <c r="AC22" s="12">
        <v>514</v>
      </c>
      <c r="AD22" s="12">
        <v>519</v>
      </c>
      <c r="AE22" s="12">
        <v>585</v>
      </c>
      <c r="AF22" s="12">
        <v>653</v>
      </c>
      <c r="AG22" s="12">
        <v>485</v>
      </c>
      <c r="AH22" s="12">
        <v>695</v>
      </c>
      <c r="AI22" s="12">
        <v>242</v>
      </c>
      <c r="AJ22" s="12">
        <v>516</v>
      </c>
      <c r="AK22" s="12">
        <v>821</v>
      </c>
      <c r="AL22" s="12">
        <v>503</v>
      </c>
      <c r="AM22" s="12">
        <v>490</v>
      </c>
      <c r="AN22" s="12">
        <v>573</v>
      </c>
      <c r="AO22" s="12">
        <v>824</v>
      </c>
      <c r="AP22" s="12">
        <v>356</v>
      </c>
      <c r="AQ22" s="12">
        <v>440</v>
      </c>
    </row>
    <row r="23" spans="1:43" x14ac:dyDescent="0.35">
      <c r="A23" s="19"/>
      <c r="B23" s="13" t="s">
        <v>488</v>
      </c>
      <c r="C23" s="15">
        <v>0.53</v>
      </c>
      <c r="D23" s="15">
        <v>0.52</v>
      </c>
      <c r="E23" s="15">
        <v>0.5</v>
      </c>
      <c r="F23" s="15">
        <v>0.52</v>
      </c>
      <c r="G23" s="15">
        <v>0.74</v>
      </c>
      <c r="H23" s="15">
        <v>0.52</v>
      </c>
      <c r="I23" s="15">
        <v>0.48</v>
      </c>
      <c r="J23" s="15">
        <v>0.32</v>
      </c>
      <c r="K23" s="15">
        <v>0.5</v>
      </c>
      <c r="L23" s="15">
        <v>0.71</v>
      </c>
      <c r="M23" s="15">
        <v>0.34</v>
      </c>
      <c r="N23" s="15">
        <v>0.54</v>
      </c>
      <c r="O23" s="15">
        <v>0.38</v>
      </c>
      <c r="P23" s="15">
        <v>0.57000000000000006</v>
      </c>
      <c r="Q23" s="15">
        <v>0.53</v>
      </c>
      <c r="R23" s="15">
        <v>0.47</v>
      </c>
      <c r="S23" s="15">
        <v>0.61</v>
      </c>
      <c r="T23" s="15">
        <v>0.67</v>
      </c>
      <c r="U23" s="15">
        <v>0.59</v>
      </c>
      <c r="V23" s="15">
        <v>0.61</v>
      </c>
      <c r="W23" s="15">
        <v>0.66</v>
      </c>
      <c r="X23" s="15">
        <v>0.57999999999999996</v>
      </c>
      <c r="Y23" s="15">
        <v>0.55000000000000004</v>
      </c>
      <c r="Z23" s="15">
        <v>0.72</v>
      </c>
      <c r="AA23" s="15">
        <v>0.67</v>
      </c>
      <c r="AB23" s="15">
        <v>0.52</v>
      </c>
      <c r="AC23" s="15">
        <v>0.51</v>
      </c>
      <c r="AD23" s="15">
        <v>0.52</v>
      </c>
      <c r="AE23" s="15">
        <v>0.57999999999999996</v>
      </c>
      <c r="AF23" s="15">
        <v>0.63</v>
      </c>
      <c r="AG23" s="15">
        <v>0.47</v>
      </c>
      <c r="AH23" s="15">
        <v>0.69000000000000006</v>
      </c>
      <c r="AI23" s="15">
        <v>0.46</v>
      </c>
      <c r="AJ23" s="15">
        <v>0.49</v>
      </c>
      <c r="AK23" s="15">
        <v>0.81</v>
      </c>
      <c r="AL23" s="15">
        <v>0.5</v>
      </c>
      <c r="AM23" s="15">
        <v>0.48</v>
      </c>
      <c r="AN23" s="15">
        <v>0.57000000000000006</v>
      </c>
      <c r="AO23" s="15">
        <v>0.81</v>
      </c>
      <c r="AP23" s="15">
        <v>0.68</v>
      </c>
      <c r="AQ23" s="15">
        <v>0.44</v>
      </c>
    </row>
    <row r="24" spans="1:43" x14ac:dyDescent="0.35">
      <c r="A24" s="19"/>
      <c r="B24" s="11" t="s">
        <v>489</v>
      </c>
      <c r="C24" s="12">
        <v>11196</v>
      </c>
      <c r="D24" s="12">
        <v>474</v>
      </c>
      <c r="E24" s="12">
        <v>411</v>
      </c>
      <c r="F24" s="12">
        <v>491</v>
      </c>
      <c r="G24" s="12">
        <v>217</v>
      </c>
      <c r="H24" s="12">
        <v>557</v>
      </c>
      <c r="I24" s="12">
        <v>742</v>
      </c>
      <c r="J24" s="12">
        <v>185</v>
      </c>
      <c r="K24" s="12">
        <v>395</v>
      </c>
      <c r="L24" s="12">
        <v>241</v>
      </c>
      <c r="M24" s="12">
        <v>618</v>
      </c>
      <c r="N24" s="12">
        <v>389</v>
      </c>
      <c r="O24" s="12">
        <v>525</v>
      </c>
      <c r="P24" s="12">
        <v>389</v>
      </c>
      <c r="Q24" s="12">
        <v>436</v>
      </c>
      <c r="R24" s="12">
        <v>239</v>
      </c>
      <c r="S24" s="12">
        <v>281</v>
      </c>
      <c r="T24" s="12">
        <v>244</v>
      </c>
      <c r="U24" s="12">
        <v>195</v>
      </c>
      <c r="V24" s="12">
        <v>376</v>
      </c>
      <c r="W24" s="12">
        <v>145</v>
      </c>
      <c r="X24" s="12">
        <v>401</v>
      </c>
      <c r="Y24" s="12">
        <v>420</v>
      </c>
      <c r="Z24" s="12">
        <v>258</v>
      </c>
      <c r="AA24" s="12">
        <v>282</v>
      </c>
      <c r="AB24" s="12">
        <v>444</v>
      </c>
      <c r="AC24" s="12">
        <v>473</v>
      </c>
      <c r="AD24" s="12">
        <v>443</v>
      </c>
      <c r="AE24" s="12">
        <v>360</v>
      </c>
      <c r="AF24" s="12">
        <v>340</v>
      </c>
      <c r="AG24" s="12">
        <v>529</v>
      </c>
      <c r="AH24" s="12">
        <v>287</v>
      </c>
      <c r="AI24" s="12">
        <v>254</v>
      </c>
      <c r="AJ24" s="12">
        <v>472</v>
      </c>
      <c r="AK24" s="12">
        <v>157</v>
      </c>
      <c r="AL24" s="12">
        <v>278</v>
      </c>
      <c r="AM24" s="12">
        <v>339</v>
      </c>
      <c r="AN24" s="12">
        <v>405</v>
      </c>
      <c r="AO24" s="12">
        <v>106</v>
      </c>
      <c r="AP24" s="12">
        <v>162</v>
      </c>
      <c r="AQ24" s="12">
        <v>363</v>
      </c>
    </row>
    <row r="25" spans="1:43" x14ac:dyDescent="0.35">
      <c r="A25" s="19"/>
      <c r="B25" s="13" t="s">
        <v>791</v>
      </c>
      <c r="C25" s="15">
        <v>0.42</v>
      </c>
      <c r="D25" s="15">
        <v>0.47</v>
      </c>
      <c r="E25" s="15">
        <v>0.4</v>
      </c>
      <c r="F25" s="15">
        <v>0.45</v>
      </c>
      <c r="G25" s="15">
        <v>0.22</v>
      </c>
      <c r="H25" s="15">
        <v>0.46</v>
      </c>
      <c r="I25" s="15">
        <v>0.49</v>
      </c>
      <c r="J25" s="15">
        <v>0.63</v>
      </c>
      <c r="K25" s="15">
        <v>0.39</v>
      </c>
      <c r="L25" s="15">
        <v>0.24</v>
      </c>
      <c r="M25" s="15">
        <v>0.62</v>
      </c>
      <c r="N25" s="15">
        <v>0.39</v>
      </c>
      <c r="O25" s="15">
        <v>0.53</v>
      </c>
      <c r="P25" s="15">
        <v>0.39</v>
      </c>
      <c r="Q25" s="15">
        <v>0.43</v>
      </c>
      <c r="R25" s="15">
        <v>0.47</v>
      </c>
      <c r="S25" s="15">
        <v>0.28000000000000003</v>
      </c>
      <c r="T25" s="15">
        <v>0.24</v>
      </c>
      <c r="U25" s="15">
        <v>0.38</v>
      </c>
      <c r="V25" s="15">
        <v>0.37</v>
      </c>
      <c r="W25" s="15">
        <v>0.28999999999999998</v>
      </c>
      <c r="X25" s="15">
        <v>0.4</v>
      </c>
      <c r="Y25" s="15">
        <v>0.42</v>
      </c>
      <c r="Z25" s="15">
        <v>0.25</v>
      </c>
      <c r="AA25" s="15">
        <v>0.27</v>
      </c>
      <c r="AB25" s="15">
        <v>0.42</v>
      </c>
      <c r="AC25" s="15">
        <v>0.47</v>
      </c>
      <c r="AD25" s="15">
        <v>0.44</v>
      </c>
      <c r="AE25" s="15">
        <v>0.36</v>
      </c>
      <c r="AF25" s="15">
        <v>0.32</v>
      </c>
      <c r="AG25" s="15">
        <v>0.51</v>
      </c>
      <c r="AH25" s="15">
        <v>0.28000000000000003</v>
      </c>
      <c r="AI25" s="15">
        <v>0.49</v>
      </c>
      <c r="AJ25" s="15">
        <v>0.46</v>
      </c>
      <c r="AK25" s="15">
        <v>0.16</v>
      </c>
      <c r="AL25" s="15">
        <v>0.27</v>
      </c>
      <c r="AM25" s="15">
        <v>0.32</v>
      </c>
      <c r="AN25" s="15">
        <v>0.4</v>
      </c>
      <c r="AO25" s="15">
        <v>0.11</v>
      </c>
      <c r="AP25" s="15">
        <v>0.31</v>
      </c>
      <c r="AQ25" s="15">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792</v>
      </c>
      <c r="C3" s="18"/>
      <c r="D3" s="18"/>
      <c r="E3" s="18"/>
      <c r="F3" s="18"/>
      <c r="H3" s="18" t="s">
        <v>793</v>
      </c>
      <c r="I3" s="18"/>
      <c r="J3" s="18"/>
      <c r="K3" s="18"/>
      <c r="L3" s="18"/>
    </row>
    <row r="4" spans="1:43" ht="27" customHeight="1" x14ac:dyDescent="0.35">
      <c r="B4" s="18" t="s">
        <v>794</v>
      </c>
      <c r="C4" s="18"/>
      <c r="D4" s="18"/>
      <c r="E4" s="18"/>
      <c r="F4" s="18"/>
      <c r="H4" s="18" t="s">
        <v>795</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HYPERLINK("#Content!A67","&lt;&lt;Back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796</v>
      </c>
      <c r="C12" s="12">
        <v>5393</v>
      </c>
      <c r="D12" s="12">
        <v>126</v>
      </c>
      <c r="E12" s="12">
        <v>184</v>
      </c>
      <c r="F12" s="12">
        <v>193</v>
      </c>
      <c r="G12" s="12">
        <v>627</v>
      </c>
      <c r="H12" s="12">
        <v>342</v>
      </c>
      <c r="I12" s="12">
        <v>403</v>
      </c>
      <c r="J12" s="12">
        <v>60</v>
      </c>
      <c r="K12" s="12">
        <v>95</v>
      </c>
      <c r="L12" s="12">
        <v>229</v>
      </c>
      <c r="M12" s="12">
        <v>79</v>
      </c>
      <c r="N12" s="12">
        <v>163</v>
      </c>
      <c r="O12" s="12">
        <v>170</v>
      </c>
      <c r="P12" s="12">
        <v>283</v>
      </c>
      <c r="Q12" s="12">
        <v>84</v>
      </c>
      <c r="R12" s="12">
        <v>20</v>
      </c>
      <c r="S12" s="12">
        <v>184</v>
      </c>
      <c r="T12" s="12">
        <v>59</v>
      </c>
      <c r="U12" s="12">
        <v>133</v>
      </c>
      <c r="V12" s="12">
        <v>109</v>
      </c>
      <c r="W12" s="12">
        <v>46</v>
      </c>
      <c r="X12" s="12">
        <v>374</v>
      </c>
      <c r="Y12" s="12">
        <v>377</v>
      </c>
      <c r="Z12" s="12">
        <v>206</v>
      </c>
      <c r="AA12" s="12">
        <v>187</v>
      </c>
      <c r="AB12" s="12">
        <v>104</v>
      </c>
      <c r="AC12" s="12">
        <v>198</v>
      </c>
      <c r="AD12" s="12">
        <v>273</v>
      </c>
      <c r="AE12" s="12">
        <v>420</v>
      </c>
      <c r="AF12" s="12">
        <v>659</v>
      </c>
      <c r="AG12" s="12">
        <v>181</v>
      </c>
      <c r="AH12" s="12">
        <v>267</v>
      </c>
      <c r="AI12" s="12">
        <v>71</v>
      </c>
      <c r="AJ12" s="12">
        <v>326</v>
      </c>
      <c r="AK12" s="12">
        <v>36</v>
      </c>
      <c r="AL12" s="12">
        <v>287</v>
      </c>
      <c r="AM12" s="12">
        <v>60</v>
      </c>
      <c r="AN12" s="12">
        <v>103</v>
      </c>
      <c r="AO12" s="12">
        <v>351</v>
      </c>
      <c r="AP12" s="12">
        <v>152</v>
      </c>
      <c r="AQ12" s="12">
        <v>447</v>
      </c>
    </row>
    <row r="13" spans="1:43" x14ac:dyDescent="0.35">
      <c r="A13" s="19"/>
      <c r="B13" s="13" t="s">
        <v>761</v>
      </c>
      <c r="C13" s="15">
        <v>0.21</v>
      </c>
      <c r="D13" s="15">
        <v>0.13</v>
      </c>
      <c r="E13" s="15">
        <v>0.18</v>
      </c>
      <c r="F13" s="15">
        <v>0.17</v>
      </c>
      <c r="G13" s="15">
        <v>0.62</v>
      </c>
      <c r="H13" s="15">
        <v>0.28000000000000003</v>
      </c>
      <c r="I13" s="15">
        <v>0.27</v>
      </c>
      <c r="J13" s="15">
        <v>0.21</v>
      </c>
      <c r="K13" s="15">
        <v>0.09</v>
      </c>
      <c r="L13" s="15">
        <v>0.23</v>
      </c>
      <c r="M13" s="15">
        <v>0.08</v>
      </c>
      <c r="N13" s="15">
        <v>0.16</v>
      </c>
      <c r="O13" s="15">
        <v>0.17</v>
      </c>
      <c r="P13" s="15">
        <v>0.28000000000000003</v>
      </c>
      <c r="Q13" s="15">
        <v>0.08</v>
      </c>
      <c r="R13" s="15">
        <v>0.04</v>
      </c>
      <c r="S13" s="15">
        <v>0.18</v>
      </c>
      <c r="T13" s="15">
        <v>0.06</v>
      </c>
      <c r="U13" s="15">
        <v>0.27</v>
      </c>
      <c r="V13" s="15">
        <v>0.11</v>
      </c>
      <c r="W13" s="15">
        <v>0.09</v>
      </c>
      <c r="X13" s="15">
        <v>0.37</v>
      </c>
      <c r="Y13" s="15">
        <v>0.37</v>
      </c>
      <c r="Z13" s="15">
        <v>0.2</v>
      </c>
      <c r="AA13" s="15">
        <v>0.18</v>
      </c>
      <c r="AB13" s="15">
        <v>0.1</v>
      </c>
      <c r="AC13" s="15">
        <v>0.2</v>
      </c>
      <c r="AD13" s="15">
        <v>0.27</v>
      </c>
      <c r="AE13" s="15">
        <v>0.41</v>
      </c>
      <c r="AF13" s="15">
        <v>0.63</v>
      </c>
      <c r="AG13" s="15">
        <v>0.18</v>
      </c>
      <c r="AH13" s="15">
        <v>0.26</v>
      </c>
      <c r="AI13" s="15">
        <v>0.14000000000000001</v>
      </c>
      <c r="AJ13" s="15">
        <v>0.31</v>
      </c>
      <c r="AK13" s="15">
        <v>0.04</v>
      </c>
      <c r="AL13" s="15">
        <v>0.28000000000000003</v>
      </c>
      <c r="AM13" s="15">
        <v>0.06</v>
      </c>
      <c r="AN13" s="15">
        <v>0.1</v>
      </c>
      <c r="AO13" s="15">
        <v>0.35</v>
      </c>
      <c r="AP13" s="15">
        <v>0.28999999999999998</v>
      </c>
      <c r="AQ13" s="15">
        <v>0.45</v>
      </c>
    </row>
    <row r="14" spans="1:43" x14ac:dyDescent="0.35">
      <c r="A14" s="19"/>
      <c r="B14" s="11" t="s">
        <v>797</v>
      </c>
      <c r="C14" s="12">
        <v>10941</v>
      </c>
      <c r="D14" s="12">
        <v>450</v>
      </c>
      <c r="E14" s="12">
        <v>388</v>
      </c>
      <c r="F14" s="12">
        <v>543</v>
      </c>
      <c r="G14" s="12">
        <v>284</v>
      </c>
      <c r="H14" s="12">
        <v>617</v>
      </c>
      <c r="I14" s="12">
        <v>729</v>
      </c>
      <c r="J14" s="12">
        <v>112</v>
      </c>
      <c r="K14" s="12">
        <v>385</v>
      </c>
      <c r="L14" s="12">
        <v>419</v>
      </c>
      <c r="M14" s="12">
        <v>227</v>
      </c>
      <c r="N14" s="12">
        <v>386</v>
      </c>
      <c r="O14" s="12">
        <v>363</v>
      </c>
      <c r="P14" s="12">
        <v>518</v>
      </c>
      <c r="Q14" s="12">
        <v>356</v>
      </c>
      <c r="R14" s="12">
        <v>143</v>
      </c>
      <c r="S14" s="12">
        <v>363</v>
      </c>
      <c r="T14" s="12">
        <v>364</v>
      </c>
      <c r="U14" s="12">
        <v>214</v>
      </c>
      <c r="V14" s="12">
        <v>365</v>
      </c>
      <c r="W14" s="12">
        <v>206</v>
      </c>
      <c r="X14" s="12">
        <v>421</v>
      </c>
      <c r="Y14" s="12">
        <v>379</v>
      </c>
      <c r="Z14" s="12">
        <v>607</v>
      </c>
      <c r="AA14" s="12">
        <v>450</v>
      </c>
      <c r="AB14" s="12">
        <v>434</v>
      </c>
      <c r="AC14" s="12">
        <v>423</v>
      </c>
      <c r="AD14" s="12">
        <v>435</v>
      </c>
      <c r="AE14" s="12">
        <v>440</v>
      </c>
      <c r="AF14" s="12">
        <v>327</v>
      </c>
      <c r="AG14" s="12">
        <v>355</v>
      </c>
      <c r="AH14" s="12">
        <v>397</v>
      </c>
      <c r="AI14" s="12">
        <v>146</v>
      </c>
      <c r="AJ14" s="12">
        <v>320</v>
      </c>
      <c r="AK14" s="12">
        <v>252</v>
      </c>
      <c r="AL14" s="12">
        <v>301</v>
      </c>
      <c r="AM14" s="12">
        <v>326</v>
      </c>
      <c r="AN14" s="12">
        <v>380</v>
      </c>
      <c r="AO14" s="12">
        <v>281</v>
      </c>
      <c r="AP14" s="12">
        <v>146</v>
      </c>
      <c r="AQ14" s="12">
        <v>257</v>
      </c>
    </row>
    <row r="15" spans="1:43" x14ac:dyDescent="0.35">
      <c r="A15" s="19"/>
      <c r="B15" s="13" t="s">
        <v>763</v>
      </c>
      <c r="C15" s="15">
        <v>0.41</v>
      </c>
      <c r="D15" s="15">
        <v>0.44</v>
      </c>
      <c r="E15" s="15">
        <v>0.38</v>
      </c>
      <c r="F15" s="15">
        <v>0.49</v>
      </c>
      <c r="G15" s="15">
        <v>0.28000000000000003</v>
      </c>
      <c r="H15" s="15">
        <v>0.5</v>
      </c>
      <c r="I15" s="15">
        <v>0.48</v>
      </c>
      <c r="J15" s="15">
        <v>0.38</v>
      </c>
      <c r="K15" s="15">
        <v>0.39</v>
      </c>
      <c r="L15" s="15">
        <v>0.42</v>
      </c>
      <c r="M15" s="15">
        <v>0.23</v>
      </c>
      <c r="N15" s="15">
        <v>0.38</v>
      </c>
      <c r="O15" s="15">
        <v>0.36</v>
      </c>
      <c r="P15" s="15">
        <v>0.52</v>
      </c>
      <c r="Q15" s="15">
        <v>0.35</v>
      </c>
      <c r="R15" s="15">
        <v>0.28000000000000003</v>
      </c>
      <c r="S15" s="15">
        <v>0.36</v>
      </c>
      <c r="T15" s="15">
        <v>0.36</v>
      </c>
      <c r="U15" s="15">
        <v>0.42</v>
      </c>
      <c r="V15" s="15">
        <v>0.36</v>
      </c>
      <c r="W15" s="15">
        <v>0.41</v>
      </c>
      <c r="X15" s="15">
        <v>0.42</v>
      </c>
      <c r="Y15" s="15">
        <v>0.38</v>
      </c>
      <c r="Z15" s="15">
        <v>0.59</v>
      </c>
      <c r="AA15" s="15">
        <v>0.44</v>
      </c>
      <c r="AB15" s="15">
        <v>0.41</v>
      </c>
      <c r="AC15" s="15">
        <v>0.42</v>
      </c>
      <c r="AD15" s="15">
        <v>0.43</v>
      </c>
      <c r="AE15" s="15">
        <v>0.44</v>
      </c>
      <c r="AF15" s="15">
        <v>0.31</v>
      </c>
      <c r="AG15" s="15">
        <v>0.34</v>
      </c>
      <c r="AH15" s="15">
        <v>0.39</v>
      </c>
      <c r="AI15" s="15">
        <v>0.28000000000000003</v>
      </c>
      <c r="AJ15" s="15">
        <v>0.31</v>
      </c>
      <c r="AK15" s="15">
        <v>0.25</v>
      </c>
      <c r="AL15" s="15">
        <v>0.3</v>
      </c>
      <c r="AM15" s="15">
        <v>0.31</v>
      </c>
      <c r="AN15" s="15">
        <v>0.38</v>
      </c>
      <c r="AO15" s="15">
        <v>0.28000000000000003</v>
      </c>
      <c r="AP15" s="15">
        <v>0.28000000000000003</v>
      </c>
      <c r="AQ15" s="15">
        <v>0.26</v>
      </c>
    </row>
    <row r="16" spans="1:43" x14ac:dyDescent="0.35">
      <c r="A16" s="19"/>
      <c r="B16" s="11" t="s">
        <v>798</v>
      </c>
      <c r="C16" s="12">
        <v>6355</v>
      </c>
      <c r="D16" s="12">
        <v>271</v>
      </c>
      <c r="E16" s="12">
        <v>248</v>
      </c>
      <c r="F16" s="12">
        <v>220</v>
      </c>
      <c r="G16" s="12">
        <v>54</v>
      </c>
      <c r="H16" s="12">
        <v>167</v>
      </c>
      <c r="I16" s="12">
        <v>262</v>
      </c>
      <c r="J16" s="12">
        <v>95</v>
      </c>
      <c r="K16" s="12">
        <v>309</v>
      </c>
      <c r="L16" s="12">
        <v>236</v>
      </c>
      <c r="M16" s="12">
        <v>397</v>
      </c>
      <c r="N16" s="12">
        <v>267</v>
      </c>
      <c r="O16" s="12">
        <v>284</v>
      </c>
      <c r="P16" s="12">
        <v>153</v>
      </c>
      <c r="Q16" s="12">
        <v>345</v>
      </c>
      <c r="R16" s="12">
        <v>181</v>
      </c>
      <c r="S16" s="12">
        <v>271</v>
      </c>
      <c r="T16" s="12">
        <v>342</v>
      </c>
      <c r="U16" s="12">
        <v>106</v>
      </c>
      <c r="V16" s="12">
        <v>279</v>
      </c>
      <c r="W16" s="12">
        <v>197</v>
      </c>
      <c r="X16" s="12">
        <v>159</v>
      </c>
      <c r="Y16" s="12">
        <v>136</v>
      </c>
      <c r="Z16" s="12">
        <v>182</v>
      </c>
      <c r="AA16" s="12">
        <v>331</v>
      </c>
      <c r="AB16" s="12">
        <v>346</v>
      </c>
      <c r="AC16" s="12">
        <v>275</v>
      </c>
      <c r="AD16" s="12">
        <v>198</v>
      </c>
      <c r="AE16" s="12">
        <v>106</v>
      </c>
      <c r="AF16" s="12">
        <v>35</v>
      </c>
      <c r="AG16" s="12">
        <v>364</v>
      </c>
      <c r="AH16" s="12">
        <v>216</v>
      </c>
      <c r="AI16" s="12">
        <v>129</v>
      </c>
      <c r="AJ16" s="12">
        <v>209</v>
      </c>
      <c r="AK16" s="12">
        <v>372</v>
      </c>
      <c r="AL16" s="12">
        <v>180</v>
      </c>
      <c r="AM16" s="12">
        <v>406</v>
      </c>
      <c r="AN16" s="12">
        <v>322</v>
      </c>
      <c r="AO16" s="12">
        <v>145</v>
      </c>
      <c r="AP16" s="12">
        <v>126</v>
      </c>
      <c r="AQ16" s="12">
        <v>100</v>
      </c>
    </row>
    <row r="17" spans="1:43" x14ac:dyDescent="0.35">
      <c r="A17" s="19"/>
      <c r="B17" s="13" t="s">
        <v>765</v>
      </c>
      <c r="C17" s="15">
        <v>0.24</v>
      </c>
      <c r="D17" s="15">
        <v>0.27</v>
      </c>
      <c r="E17" s="15">
        <v>0.24</v>
      </c>
      <c r="F17" s="15">
        <v>0.2</v>
      </c>
      <c r="G17" s="15">
        <v>0.05</v>
      </c>
      <c r="H17" s="15">
        <v>0.14000000000000001</v>
      </c>
      <c r="I17" s="15">
        <v>0.17</v>
      </c>
      <c r="J17" s="15">
        <v>0.32</v>
      </c>
      <c r="K17" s="15">
        <v>0.31</v>
      </c>
      <c r="L17" s="15">
        <v>0.23</v>
      </c>
      <c r="M17" s="15">
        <v>0.39</v>
      </c>
      <c r="N17" s="15">
        <v>0.27</v>
      </c>
      <c r="O17" s="15">
        <v>0.28000000000000003</v>
      </c>
      <c r="P17" s="15">
        <v>0.15</v>
      </c>
      <c r="Q17" s="15">
        <v>0.34</v>
      </c>
      <c r="R17" s="15">
        <v>0.36</v>
      </c>
      <c r="S17" s="15">
        <v>0.27</v>
      </c>
      <c r="T17" s="15">
        <v>0.34</v>
      </c>
      <c r="U17" s="15">
        <v>0.21</v>
      </c>
      <c r="V17" s="15">
        <v>0.27</v>
      </c>
      <c r="W17" s="15">
        <v>0.39</v>
      </c>
      <c r="X17" s="15">
        <v>0.16</v>
      </c>
      <c r="Y17" s="15">
        <v>0.14000000000000001</v>
      </c>
      <c r="Z17" s="15">
        <v>0.18</v>
      </c>
      <c r="AA17" s="15">
        <v>0.32</v>
      </c>
      <c r="AB17" s="15">
        <v>0.33</v>
      </c>
      <c r="AC17" s="15">
        <v>0.28000000000000003</v>
      </c>
      <c r="AD17" s="15">
        <v>0.2</v>
      </c>
      <c r="AE17" s="15">
        <v>0.11</v>
      </c>
      <c r="AF17" s="15">
        <v>0.04</v>
      </c>
      <c r="AG17" s="15">
        <v>0.35</v>
      </c>
      <c r="AH17" s="15">
        <v>0.22</v>
      </c>
      <c r="AI17" s="15">
        <v>0.25</v>
      </c>
      <c r="AJ17" s="15">
        <v>0.2</v>
      </c>
      <c r="AK17" s="15">
        <v>0.37</v>
      </c>
      <c r="AL17" s="15">
        <v>0.18</v>
      </c>
      <c r="AM17" s="15">
        <v>0.39</v>
      </c>
      <c r="AN17" s="15">
        <v>0.32</v>
      </c>
      <c r="AO17" s="15">
        <v>0.14000000000000001</v>
      </c>
      <c r="AP17" s="15">
        <v>0.24</v>
      </c>
      <c r="AQ17" s="15">
        <v>0.1</v>
      </c>
    </row>
    <row r="18" spans="1:43" x14ac:dyDescent="0.35">
      <c r="A18" s="19"/>
      <c r="B18" s="11" t="s">
        <v>799</v>
      </c>
      <c r="C18" s="12">
        <v>3444</v>
      </c>
      <c r="D18" s="12">
        <v>162</v>
      </c>
      <c r="E18" s="12">
        <v>181</v>
      </c>
      <c r="F18" s="12">
        <v>117</v>
      </c>
      <c r="G18" s="12">
        <v>35</v>
      </c>
      <c r="H18" s="12">
        <v>69</v>
      </c>
      <c r="I18" s="12">
        <v>96</v>
      </c>
      <c r="J18" s="12">
        <v>26</v>
      </c>
      <c r="K18" s="12">
        <v>183</v>
      </c>
      <c r="L18" s="12">
        <v>101</v>
      </c>
      <c r="M18" s="12">
        <v>304</v>
      </c>
      <c r="N18" s="12">
        <v>171</v>
      </c>
      <c r="O18" s="12">
        <v>169</v>
      </c>
      <c r="P18" s="12">
        <v>46</v>
      </c>
      <c r="Q18" s="12">
        <v>239</v>
      </c>
      <c r="R18" s="12">
        <v>148</v>
      </c>
      <c r="S18" s="12">
        <v>169</v>
      </c>
      <c r="T18" s="12">
        <v>212</v>
      </c>
      <c r="U18" s="12">
        <v>39</v>
      </c>
      <c r="V18" s="12">
        <v>254</v>
      </c>
      <c r="W18" s="12">
        <v>58</v>
      </c>
      <c r="X18" s="12">
        <v>53</v>
      </c>
      <c r="Y18" s="12">
        <v>108</v>
      </c>
      <c r="Z18" s="12">
        <v>24</v>
      </c>
      <c r="AA18" s="12">
        <v>56</v>
      </c>
      <c r="AB18" s="12">
        <v>153</v>
      </c>
      <c r="AC18" s="12">
        <v>103</v>
      </c>
      <c r="AD18" s="12">
        <v>91</v>
      </c>
      <c r="AE18" s="12">
        <v>43</v>
      </c>
      <c r="AF18" s="12">
        <v>19</v>
      </c>
      <c r="AG18" s="12">
        <v>131</v>
      </c>
      <c r="AH18" s="12">
        <v>130</v>
      </c>
      <c r="AI18" s="12">
        <v>160</v>
      </c>
      <c r="AJ18" s="12">
        <v>181</v>
      </c>
      <c r="AK18" s="12">
        <v>342</v>
      </c>
      <c r="AL18" s="12">
        <v>208</v>
      </c>
      <c r="AM18" s="12">
        <v>216</v>
      </c>
      <c r="AN18" s="12">
        <v>191</v>
      </c>
      <c r="AO18" s="12">
        <v>199</v>
      </c>
      <c r="AP18" s="12">
        <v>99</v>
      </c>
      <c r="AQ18" s="12">
        <v>172</v>
      </c>
    </row>
    <row r="19" spans="1:43" x14ac:dyDescent="0.35">
      <c r="A19" s="19"/>
      <c r="B19" s="13" t="s">
        <v>767</v>
      </c>
      <c r="C19" s="15">
        <v>0.13</v>
      </c>
      <c r="D19" s="15">
        <v>0.16</v>
      </c>
      <c r="E19" s="15">
        <v>0.17</v>
      </c>
      <c r="F19" s="15">
        <v>0.11</v>
      </c>
      <c r="G19" s="15">
        <v>0.04</v>
      </c>
      <c r="H19" s="15">
        <v>0.06</v>
      </c>
      <c r="I19" s="15">
        <v>0.06</v>
      </c>
      <c r="J19" s="15">
        <v>0.09</v>
      </c>
      <c r="K19" s="15">
        <v>0.18</v>
      </c>
      <c r="L19" s="15">
        <v>0.1</v>
      </c>
      <c r="M19" s="15">
        <v>0.3</v>
      </c>
      <c r="N19" s="15">
        <v>0.17</v>
      </c>
      <c r="O19" s="15">
        <v>0.17</v>
      </c>
      <c r="P19" s="15">
        <v>0.05</v>
      </c>
      <c r="Q19" s="15">
        <v>0.23</v>
      </c>
      <c r="R19" s="15">
        <v>0.3</v>
      </c>
      <c r="S19" s="15">
        <v>0.17</v>
      </c>
      <c r="T19" s="15">
        <v>0.21</v>
      </c>
      <c r="U19" s="15">
        <v>0.08</v>
      </c>
      <c r="V19" s="15">
        <v>0.25</v>
      </c>
      <c r="W19" s="15">
        <v>0.11</v>
      </c>
      <c r="X19" s="15">
        <v>0.05</v>
      </c>
      <c r="Y19" s="15">
        <v>0.11</v>
      </c>
      <c r="Z19" s="15">
        <v>0.02</v>
      </c>
      <c r="AA19" s="15">
        <v>0.05</v>
      </c>
      <c r="AB19" s="15">
        <v>0.15</v>
      </c>
      <c r="AC19" s="15">
        <v>0.1</v>
      </c>
      <c r="AD19" s="15">
        <v>0.09</v>
      </c>
      <c r="AE19" s="15">
        <v>0.04</v>
      </c>
      <c r="AF19" s="15">
        <v>0.02</v>
      </c>
      <c r="AG19" s="15">
        <v>0.13</v>
      </c>
      <c r="AH19" s="15">
        <v>0.13</v>
      </c>
      <c r="AI19" s="15">
        <v>0.3</v>
      </c>
      <c r="AJ19" s="15">
        <v>0.18</v>
      </c>
      <c r="AK19" s="15">
        <v>0.34</v>
      </c>
      <c r="AL19" s="15">
        <v>0.2</v>
      </c>
      <c r="AM19" s="15">
        <v>0.21</v>
      </c>
      <c r="AN19" s="15">
        <v>0.19</v>
      </c>
      <c r="AO19" s="15">
        <v>0.2</v>
      </c>
      <c r="AP19" s="15">
        <v>0.19</v>
      </c>
      <c r="AQ19" s="15">
        <v>0.17</v>
      </c>
    </row>
    <row r="20" spans="1:43" x14ac:dyDescent="0.35">
      <c r="A20" s="19"/>
      <c r="B20" s="11" t="s">
        <v>485</v>
      </c>
      <c r="C20" s="12">
        <v>311</v>
      </c>
      <c r="D20" s="12">
        <v>4</v>
      </c>
      <c r="E20" s="12">
        <v>28</v>
      </c>
      <c r="F20" s="12">
        <v>28</v>
      </c>
      <c r="G20" s="12">
        <v>5</v>
      </c>
      <c r="H20" s="12">
        <v>25</v>
      </c>
      <c r="I20" s="12">
        <v>26</v>
      </c>
      <c r="J20" s="12">
        <v>1</v>
      </c>
      <c r="K20" s="12">
        <v>29</v>
      </c>
      <c r="L20" s="12">
        <v>17</v>
      </c>
      <c r="M20" s="12">
        <v>3</v>
      </c>
      <c r="N20" s="12">
        <v>17</v>
      </c>
      <c r="O20" s="12">
        <v>15</v>
      </c>
      <c r="P20" s="12">
        <v>4</v>
      </c>
      <c r="Q20" s="12">
        <v>3</v>
      </c>
      <c r="R20" s="12">
        <v>11</v>
      </c>
      <c r="S20" s="12">
        <v>14</v>
      </c>
      <c r="T20" s="12">
        <v>28</v>
      </c>
      <c r="U20" s="12">
        <v>12</v>
      </c>
      <c r="V20" s="12">
        <v>7</v>
      </c>
      <c r="W20" s="12">
        <v>2</v>
      </c>
      <c r="X20" s="12">
        <v>2</v>
      </c>
      <c r="Y20" s="12">
        <v>3</v>
      </c>
      <c r="Z20" s="12">
        <v>11</v>
      </c>
      <c r="AA20" s="12">
        <v>10</v>
      </c>
      <c r="AB20" s="12">
        <v>13</v>
      </c>
      <c r="AC20" s="12">
        <v>4</v>
      </c>
      <c r="AD20" s="12">
        <v>8</v>
      </c>
      <c r="AE20" s="12">
        <v>3</v>
      </c>
      <c r="AF20" s="12">
        <v>3</v>
      </c>
      <c r="AG20" s="12">
        <v>4</v>
      </c>
      <c r="AH20" s="12">
        <v>3</v>
      </c>
      <c r="AI20" s="12">
        <v>17</v>
      </c>
      <c r="AJ20" s="12">
        <v>0</v>
      </c>
      <c r="AK20" s="12">
        <v>5</v>
      </c>
      <c r="AL20" s="12">
        <v>37</v>
      </c>
      <c r="AM20" s="12">
        <v>34</v>
      </c>
      <c r="AN20" s="12">
        <v>7</v>
      </c>
      <c r="AO20" s="12">
        <v>29</v>
      </c>
      <c r="AP20" s="12">
        <v>1</v>
      </c>
      <c r="AQ20" s="12">
        <v>26</v>
      </c>
    </row>
    <row r="21" spans="1:43" x14ac:dyDescent="0.35">
      <c r="A21" s="19"/>
      <c r="B21" s="13" t="s">
        <v>486</v>
      </c>
      <c r="C21" s="15">
        <v>0.01</v>
      </c>
      <c r="D21" s="14" t="s">
        <v>475</v>
      </c>
      <c r="E21" s="15">
        <v>0.03</v>
      </c>
      <c r="F21" s="15">
        <v>0.03</v>
      </c>
      <c r="G21" s="15">
        <v>0.01</v>
      </c>
      <c r="H21" s="15">
        <v>0.02</v>
      </c>
      <c r="I21" s="15">
        <v>0.02</v>
      </c>
      <c r="J21" s="14" t="s">
        <v>475</v>
      </c>
      <c r="K21" s="15">
        <v>0.03</v>
      </c>
      <c r="L21" s="15">
        <v>0.02</v>
      </c>
      <c r="M21" s="14" t="s">
        <v>475</v>
      </c>
      <c r="N21" s="15">
        <v>0.02</v>
      </c>
      <c r="O21" s="15">
        <v>0.02</v>
      </c>
      <c r="P21" s="14" t="s">
        <v>475</v>
      </c>
      <c r="Q21" s="14" t="s">
        <v>475</v>
      </c>
      <c r="R21" s="15">
        <v>0.02</v>
      </c>
      <c r="S21" s="15">
        <v>0.02</v>
      </c>
      <c r="T21" s="15">
        <v>0.03</v>
      </c>
      <c r="U21" s="15">
        <v>0.02</v>
      </c>
      <c r="V21" s="15">
        <v>0.01</v>
      </c>
      <c r="W21" s="14" t="s">
        <v>475</v>
      </c>
      <c r="X21" s="14" t="s">
        <v>475</v>
      </c>
      <c r="Y21" s="14" t="s">
        <v>475</v>
      </c>
      <c r="Z21" s="15">
        <v>0.01</v>
      </c>
      <c r="AA21" s="15">
        <v>0.01</v>
      </c>
      <c r="AB21" s="15">
        <v>0.01</v>
      </c>
      <c r="AC21" s="14" t="s">
        <v>475</v>
      </c>
      <c r="AD21" s="15">
        <v>0.01</v>
      </c>
      <c r="AE21" s="14" t="s">
        <v>475</v>
      </c>
      <c r="AF21" s="14" t="s">
        <v>475</v>
      </c>
      <c r="AG21" s="14" t="s">
        <v>475</v>
      </c>
      <c r="AH21" s="14" t="s">
        <v>475</v>
      </c>
      <c r="AI21" s="15">
        <v>0.03</v>
      </c>
      <c r="AJ21" s="14" t="s">
        <v>475</v>
      </c>
      <c r="AK21" s="14" t="s">
        <v>475</v>
      </c>
      <c r="AL21" s="15">
        <v>0.04</v>
      </c>
      <c r="AM21" s="15">
        <v>0.03</v>
      </c>
      <c r="AN21" s="15">
        <v>0.01</v>
      </c>
      <c r="AO21" s="15">
        <v>0.03</v>
      </c>
      <c r="AP21" s="14" t="s">
        <v>475</v>
      </c>
      <c r="AQ21" s="15">
        <v>0.02</v>
      </c>
    </row>
    <row r="22" spans="1:43" x14ac:dyDescent="0.35">
      <c r="A22" s="19"/>
      <c r="B22" s="11" t="s">
        <v>768</v>
      </c>
      <c r="C22" s="12">
        <v>16334</v>
      </c>
      <c r="D22" s="12">
        <v>576</v>
      </c>
      <c r="E22" s="12">
        <v>572</v>
      </c>
      <c r="F22" s="12">
        <v>736</v>
      </c>
      <c r="G22" s="12">
        <v>911</v>
      </c>
      <c r="H22" s="12">
        <v>959</v>
      </c>
      <c r="I22" s="12">
        <v>1132</v>
      </c>
      <c r="J22" s="12">
        <v>172</v>
      </c>
      <c r="K22" s="12">
        <v>480</v>
      </c>
      <c r="L22" s="12">
        <v>648</v>
      </c>
      <c r="M22" s="12">
        <v>306</v>
      </c>
      <c r="N22" s="12">
        <v>549</v>
      </c>
      <c r="O22" s="12">
        <v>533</v>
      </c>
      <c r="P22" s="12">
        <v>801</v>
      </c>
      <c r="Q22" s="12">
        <v>440</v>
      </c>
      <c r="R22" s="12">
        <v>163</v>
      </c>
      <c r="S22" s="12">
        <v>547</v>
      </c>
      <c r="T22" s="12">
        <v>423</v>
      </c>
      <c r="U22" s="12">
        <v>347</v>
      </c>
      <c r="V22" s="12">
        <v>474</v>
      </c>
      <c r="W22" s="12">
        <v>252</v>
      </c>
      <c r="X22" s="12">
        <v>795</v>
      </c>
      <c r="Y22" s="12">
        <v>756</v>
      </c>
      <c r="Z22" s="12">
        <v>813</v>
      </c>
      <c r="AA22" s="12">
        <v>637</v>
      </c>
      <c r="AB22" s="12">
        <v>538</v>
      </c>
      <c r="AC22" s="12">
        <v>621</v>
      </c>
      <c r="AD22" s="12">
        <v>708</v>
      </c>
      <c r="AE22" s="12">
        <v>860</v>
      </c>
      <c r="AF22" s="12">
        <v>986</v>
      </c>
      <c r="AG22" s="12">
        <v>536</v>
      </c>
      <c r="AH22" s="12">
        <v>664</v>
      </c>
      <c r="AI22" s="12">
        <v>217</v>
      </c>
      <c r="AJ22" s="12">
        <v>646</v>
      </c>
      <c r="AK22" s="12">
        <v>288</v>
      </c>
      <c r="AL22" s="12">
        <v>588</v>
      </c>
      <c r="AM22" s="12">
        <v>386</v>
      </c>
      <c r="AN22" s="12">
        <v>483</v>
      </c>
      <c r="AO22" s="12">
        <v>632</v>
      </c>
      <c r="AP22" s="12">
        <v>298</v>
      </c>
      <c r="AQ22" s="12">
        <v>704</v>
      </c>
    </row>
    <row r="23" spans="1:43" x14ac:dyDescent="0.35">
      <c r="A23" s="19"/>
      <c r="B23" s="13" t="s">
        <v>769</v>
      </c>
      <c r="C23" s="15">
        <v>0.62</v>
      </c>
      <c r="D23" s="15">
        <v>0.57000000000000006</v>
      </c>
      <c r="E23" s="15">
        <v>0.56000000000000005</v>
      </c>
      <c r="F23" s="15">
        <v>0.66</v>
      </c>
      <c r="G23" s="15">
        <v>0.9</v>
      </c>
      <c r="H23" s="15">
        <v>0.78</v>
      </c>
      <c r="I23" s="15">
        <v>0.75</v>
      </c>
      <c r="J23" s="15">
        <v>0.59</v>
      </c>
      <c r="K23" s="15">
        <v>0.48</v>
      </c>
      <c r="L23" s="15">
        <v>0.65</v>
      </c>
      <c r="M23" s="15">
        <v>0.31</v>
      </c>
      <c r="N23" s="15">
        <v>0.54</v>
      </c>
      <c r="O23" s="15">
        <v>0.53</v>
      </c>
      <c r="P23" s="15">
        <v>0.8</v>
      </c>
      <c r="Q23" s="15">
        <v>0.43</v>
      </c>
      <c r="R23" s="15">
        <v>0.32</v>
      </c>
      <c r="S23" s="15">
        <v>0.54</v>
      </c>
      <c r="T23" s="15">
        <v>0.42</v>
      </c>
      <c r="U23" s="15">
        <v>0.69000000000000006</v>
      </c>
      <c r="V23" s="15">
        <v>0.47</v>
      </c>
      <c r="W23" s="15">
        <v>0.5</v>
      </c>
      <c r="X23" s="15">
        <v>0.79</v>
      </c>
      <c r="Y23" s="15">
        <v>0.75</v>
      </c>
      <c r="Z23" s="15">
        <v>0.79</v>
      </c>
      <c r="AA23" s="15">
        <v>0.62</v>
      </c>
      <c r="AB23" s="15">
        <v>0.51</v>
      </c>
      <c r="AC23" s="15">
        <v>0.62</v>
      </c>
      <c r="AD23" s="15">
        <v>0.70000000000000007</v>
      </c>
      <c r="AE23" s="15">
        <v>0.85</v>
      </c>
      <c r="AF23" s="15">
        <v>0.94000000000000006</v>
      </c>
      <c r="AG23" s="15">
        <v>0.52</v>
      </c>
      <c r="AH23" s="15">
        <v>0.65</v>
      </c>
      <c r="AI23" s="15">
        <v>0.42</v>
      </c>
      <c r="AJ23" s="15">
        <v>0.62</v>
      </c>
      <c r="AK23" s="15">
        <v>0.28999999999999998</v>
      </c>
      <c r="AL23" s="15">
        <v>0.57999999999999996</v>
      </c>
      <c r="AM23" s="15">
        <v>0.37</v>
      </c>
      <c r="AN23" s="15">
        <v>0.48</v>
      </c>
      <c r="AO23" s="15">
        <v>0.63</v>
      </c>
      <c r="AP23" s="15">
        <v>0.57000000000000006</v>
      </c>
      <c r="AQ23" s="15">
        <v>0.71</v>
      </c>
    </row>
    <row r="24" spans="1:43" x14ac:dyDescent="0.35">
      <c r="A24" s="19"/>
      <c r="B24" s="11" t="s">
        <v>770</v>
      </c>
      <c r="C24" s="12">
        <v>9799</v>
      </c>
      <c r="D24" s="12">
        <v>433</v>
      </c>
      <c r="E24" s="12">
        <v>429</v>
      </c>
      <c r="F24" s="12">
        <v>337</v>
      </c>
      <c r="G24" s="12">
        <v>89</v>
      </c>
      <c r="H24" s="12">
        <v>236</v>
      </c>
      <c r="I24" s="12">
        <v>358</v>
      </c>
      <c r="J24" s="12">
        <v>121</v>
      </c>
      <c r="K24" s="12">
        <v>492</v>
      </c>
      <c r="L24" s="12">
        <v>337</v>
      </c>
      <c r="M24" s="12">
        <v>701</v>
      </c>
      <c r="N24" s="12">
        <v>438</v>
      </c>
      <c r="O24" s="12">
        <v>453</v>
      </c>
      <c r="P24" s="12">
        <v>199</v>
      </c>
      <c r="Q24" s="12">
        <v>584</v>
      </c>
      <c r="R24" s="12">
        <v>329</v>
      </c>
      <c r="S24" s="12">
        <v>440</v>
      </c>
      <c r="T24" s="12">
        <v>554</v>
      </c>
      <c r="U24" s="12">
        <v>145</v>
      </c>
      <c r="V24" s="12">
        <v>533</v>
      </c>
      <c r="W24" s="12">
        <v>255</v>
      </c>
      <c r="X24" s="12">
        <v>212</v>
      </c>
      <c r="Y24" s="12">
        <v>244</v>
      </c>
      <c r="Z24" s="12">
        <v>206</v>
      </c>
      <c r="AA24" s="12">
        <v>387</v>
      </c>
      <c r="AB24" s="12">
        <v>499</v>
      </c>
      <c r="AC24" s="12">
        <v>378</v>
      </c>
      <c r="AD24" s="12">
        <v>289</v>
      </c>
      <c r="AE24" s="12">
        <v>149</v>
      </c>
      <c r="AF24" s="12">
        <v>54</v>
      </c>
      <c r="AG24" s="12">
        <v>495</v>
      </c>
      <c r="AH24" s="12">
        <v>346</v>
      </c>
      <c r="AI24" s="12">
        <v>289</v>
      </c>
      <c r="AJ24" s="12">
        <v>390</v>
      </c>
      <c r="AK24" s="12">
        <v>714</v>
      </c>
      <c r="AL24" s="12">
        <v>388</v>
      </c>
      <c r="AM24" s="12">
        <v>622</v>
      </c>
      <c r="AN24" s="12">
        <v>513</v>
      </c>
      <c r="AO24" s="12">
        <v>344</v>
      </c>
      <c r="AP24" s="12">
        <v>225</v>
      </c>
      <c r="AQ24" s="12">
        <v>272</v>
      </c>
    </row>
    <row r="25" spans="1:43" x14ac:dyDescent="0.35">
      <c r="A25" s="19"/>
      <c r="B25" s="13" t="s">
        <v>771</v>
      </c>
      <c r="C25" s="15">
        <v>0.37</v>
      </c>
      <c r="D25" s="15">
        <v>0.43</v>
      </c>
      <c r="E25" s="15">
        <v>0.41</v>
      </c>
      <c r="F25" s="15">
        <v>0.31</v>
      </c>
      <c r="G25" s="15">
        <v>0.09</v>
      </c>
      <c r="H25" s="15">
        <v>0.2</v>
      </c>
      <c r="I25" s="15">
        <v>0.23</v>
      </c>
      <c r="J25" s="15">
        <v>0.41</v>
      </c>
      <c r="K25" s="15">
        <v>0.49</v>
      </c>
      <c r="L25" s="15">
        <v>0.33</v>
      </c>
      <c r="M25" s="15">
        <v>0.69000000000000006</v>
      </c>
      <c r="N25" s="15">
        <v>0.44</v>
      </c>
      <c r="O25" s="15">
        <v>0.45</v>
      </c>
      <c r="P25" s="15">
        <v>0.2</v>
      </c>
      <c r="Q25" s="15">
        <v>0.57000000000000006</v>
      </c>
      <c r="R25" s="15">
        <v>0.66</v>
      </c>
      <c r="S25" s="15">
        <v>0.44</v>
      </c>
      <c r="T25" s="15">
        <v>0.55000000000000004</v>
      </c>
      <c r="U25" s="15">
        <v>0.28999999999999998</v>
      </c>
      <c r="V25" s="15">
        <v>0.52</v>
      </c>
      <c r="W25" s="15">
        <v>0.5</v>
      </c>
      <c r="X25" s="15">
        <v>0.21</v>
      </c>
      <c r="Y25" s="15">
        <v>0.25</v>
      </c>
      <c r="Z25" s="15">
        <v>0.2</v>
      </c>
      <c r="AA25" s="15">
        <v>0.37</v>
      </c>
      <c r="AB25" s="15">
        <v>0.48</v>
      </c>
      <c r="AC25" s="15">
        <v>0.38</v>
      </c>
      <c r="AD25" s="15">
        <v>0.28999999999999998</v>
      </c>
      <c r="AE25" s="15">
        <v>0.15</v>
      </c>
      <c r="AF25" s="15">
        <v>0.06</v>
      </c>
      <c r="AG25" s="15">
        <v>0.48</v>
      </c>
      <c r="AH25" s="15">
        <v>0.35</v>
      </c>
      <c r="AI25" s="15">
        <v>0.55000000000000004</v>
      </c>
      <c r="AJ25" s="15">
        <v>0.38</v>
      </c>
      <c r="AK25" s="15">
        <v>0.71</v>
      </c>
      <c r="AL25" s="15">
        <v>0.38</v>
      </c>
      <c r="AM25" s="15">
        <v>0.6</v>
      </c>
      <c r="AN25" s="15">
        <v>0.51</v>
      </c>
      <c r="AO25" s="15">
        <v>0.34</v>
      </c>
      <c r="AP25" s="15">
        <v>0.43</v>
      </c>
      <c r="AQ25" s="15">
        <v>0.27</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800</v>
      </c>
      <c r="C3" s="18"/>
      <c r="D3" s="18"/>
      <c r="E3" s="18"/>
      <c r="F3" s="18"/>
      <c r="H3" s="18" t="s">
        <v>801</v>
      </c>
      <c r="I3" s="18"/>
      <c r="J3" s="18"/>
      <c r="K3" s="18"/>
      <c r="L3" s="18"/>
    </row>
    <row r="4" spans="1:32" ht="27" customHeight="1" x14ac:dyDescent="0.35">
      <c r="B4" s="18" t="s">
        <v>802</v>
      </c>
      <c r="C4" s="18"/>
      <c r="D4" s="18"/>
      <c r="E4" s="18"/>
      <c r="F4" s="18"/>
      <c r="H4" s="18" t="s">
        <v>803</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HYPERLINK("#Content!A68","&lt;&lt;Back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796</v>
      </c>
      <c r="C12" s="12">
        <v>3364</v>
      </c>
      <c r="D12" s="12">
        <v>92</v>
      </c>
      <c r="E12" s="12">
        <v>133</v>
      </c>
      <c r="F12" s="12">
        <v>110</v>
      </c>
      <c r="G12" s="12">
        <v>338</v>
      </c>
      <c r="H12" s="12">
        <v>248</v>
      </c>
      <c r="I12" s="12">
        <v>279</v>
      </c>
      <c r="J12" s="12">
        <v>31</v>
      </c>
      <c r="K12" s="12">
        <v>66</v>
      </c>
      <c r="L12" s="12">
        <v>153</v>
      </c>
      <c r="M12" s="12">
        <v>59</v>
      </c>
      <c r="N12" s="12">
        <v>87</v>
      </c>
      <c r="O12" s="12">
        <v>96</v>
      </c>
      <c r="P12" s="12">
        <v>164</v>
      </c>
      <c r="Q12" s="12">
        <v>60</v>
      </c>
      <c r="R12" s="12">
        <v>13</v>
      </c>
      <c r="S12" s="12">
        <v>219</v>
      </c>
      <c r="T12" s="12">
        <v>113</v>
      </c>
      <c r="U12" s="12">
        <v>87</v>
      </c>
      <c r="V12" s="12">
        <v>89</v>
      </c>
      <c r="W12" s="12">
        <v>44</v>
      </c>
      <c r="X12" s="12">
        <v>225</v>
      </c>
      <c r="Y12" s="12">
        <v>258</v>
      </c>
      <c r="Z12" s="12">
        <v>98</v>
      </c>
      <c r="AA12" s="12">
        <v>105</v>
      </c>
      <c r="AB12" s="12">
        <v>106</v>
      </c>
      <c r="AC12" s="12">
        <v>158</v>
      </c>
      <c r="AD12" s="12">
        <v>153</v>
      </c>
      <c r="AE12" s="12">
        <v>159</v>
      </c>
      <c r="AF12" s="12">
        <v>392</v>
      </c>
    </row>
    <row r="13" spans="1:32" x14ac:dyDescent="0.35">
      <c r="A13" s="19"/>
      <c r="B13" s="13" t="s">
        <v>761</v>
      </c>
      <c r="C13" s="15">
        <v>0.13</v>
      </c>
      <c r="D13" s="15">
        <v>0.09</v>
      </c>
      <c r="E13" s="15">
        <v>0.13</v>
      </c>
      <c r="F13" s="15">
        <v>0.1</v>
      </c>
      <c r="G13" s="15">
        <v>0.34</v>
      </c>
      <c r="H13" s="15">
        <v>0.2</v>
      </c>
      <c r="I13" s="15">
        <v>0.18</v>
      </c>
      <c r="J13" s="15">
        <v>0.11</v>
      </c>
      <c r="K13" s="15">
        <v>7.0000000000000007E-2</v>
      </c>
      <c r="L13" s="15">
        <v>0.15</v>
      </c>
      <c r="M13" s="15">
        <v>0.06</v>
      </c>
      <c r="N13" s="15">
        <v>0.09</v>
      </c>
      <c r="O13" s="15">
        <v>0.09</v>
      </c>
      <c r="P13" s="15">
        <v>0.16</v>
      </c>
      <c r="Q13" s="15">
        <v>0.06</v>
      </c>
      <c r="R13" s="15">
        <v>0.03</v>
      </c>
      <c r="S13" s="15">
        <v>0.22</v>
      </c>
      <c r="T13" s="15">
        <v>0.11</v>
      </c>
      <c r="U13" s="15">
        <v>0.17</v>
      </c>
      <c r="V13" s="15">
        <v>0.09</v>
      </c>
      <c r="W13" s="15">
        <v>0.09</v>
      </c>
      <c r="X13" s="15">
        <v>0.22</v>
      </c>
      <c r="Y13" s="15">
        <v>0.26</v>
      </c>
      <c r="Z13" s="15">
        <v>0.09</v>
      </c>
      <c r="AA13" s="15">
        <v>0.1</v>
      </c>
      <c r="AB13" s="15">
        <v>0.1</v>
      </c>
      <c r="AC13" s="15">
        <v>0.16</v>
      </c>
      <c r="AD13" s="15">
        <v>0.15</v>
      </c>
      <c r="AE13" s="15">
        <v>0.16</v>
      </c>
      <c r="AF13" s="15">
        <v>0.38</v>
      </c>
    </row>
    <row r="14" spans="1:32" x14ac:dyDescent="0.35">
      <c r="A14" s="19"/>
      <c r="B14" s="11" t="s">
        <v>797</v>
      </c>
      <c r="C14" s="12">
        <v>9828</v>
      </c>
      <c r="D14" s="12">
        <v>388</v>
      </c>
      <c r="E14" s="12">
        <v>338</v>
      </c>
      <c r="F14" s="12">
        <v>389</v>
      </c>
      <c r="G14" s="12">
        <v>374</v>
      </c>
      <c r="H14" s="12">
        <v>542</v>
      </c>
      <c r="I14" s="12">
        <v>618</v>
      </c>
      <c r="J14" s="12">
        <v>76</v>
      </c>
      <c r="K14" s="12">
        <v>262</v>
      </c>
      <c r="L14" s="12">
        <v>350</v>
      </c>
      <c r="M14" s="12">
        <v>242</v>
      </c>
      <c r="N14" s="12">
        <v>355</v>
      </c>
      <c r="O14" s="12">
        <v>332</v>
      </c>
      <c r="P14" s="12">
        <v>465</v>
      </c>
      <c r="Q14" s="12">
        <v>338</v>
      </c>
      <c r="R14" s="12">
        <v>117</v>
      </c>
      <c r="S14" s="12">
        <v>333</v>
      </c>
      <c r="T14" s="12">
        <v>361</v>
      </c>
      <c r="U14" s="12">
        <v>238</v>
      </c>
      <c r="V14" s="12">
        <v>358</v>
      </c>
      <c r="W14" s="12">
        <v>234</v>
      </c>
      <c r="X14" s="12">
        <v>419</v>
      </c>
      <c r="Y14" s="12">
        <v>371</v>
      </c>
      <c r="Z14" s="12">
        <v>500</v>
      </c>
      <c r="AA14" s="12">
        <v>426</v>
      </c>
      <c r="AB14" s="12">
        <v>350</v>
      </c>
      <c r="AC14" s="12">
        <v>344</v>
      </c>
      <c r="AD14" s="12">
        <v>404</v>
      </c>
      <c r="AE14" s="12">
        <v>379</v>
      </c>
      <c r="AF14" s="12">
        <v>416</v>
      </c>
    </row>
    <row r="15" spans="1:32" x14ac:dyDescent="0.35">
      <c r="A15" s="19"/>
      <c r="B15" s="13" t="s">
        <v>763</v>
      </c>
      <c r="C15" s="15">
        <v>0.37</v>
      </c>
      <c r="D15" s="15">
        <v>0.38</v>
      </c>
      <c r="E15" s="15">
        <v>0.33</v>
      </c>
      <c r="F15" s="15">
        <v>0.35</v>
      </c>
      <c r="G15" s="15">
        <v>0.37</v>
      </c>
      <c r="H15" s="15">
        <v>0.45</v>
      </c>
      <c r="I15" s="15">
        <v>0.41</v>
      </c>
      <c r="J15" s="15">
        <v>0.26</v>
      </c>
      <c r="K15" s="15">
        <v>0.26</v>
      </c>
      <c r="L15" s="15">
        <v>0.35</v>
      </c>
      <c r="M15" s="15">
        <v>0.24</v>
      </c>
      <c r="N15" s="15">
        <v>0.36</v>
      </c>
      <c r="O15" s="15">
        <v>0.33</v>
      </c>
      <c r="P15" s="15">
        <v>0.46</v>
      </c>
      <c r="Q15" s="15">
        <v>0.33</v>
      </c>
      <c r="R15" s="15">
        <v>0.23</v>
      </c>
      <c r="S15" s="15">
        <v>0.33</v>
      </c>
      <c r="T15" s="15">
        <v>0.36</v>
      </c>
      <c r="U15" s="15">
        <v>0.47</v>
      </c>
      <c r="V15" s="15">
        <v>0.35</v>
      </c>
      <c r="W15" s="15">
        <v>0.46</v>
      </c>
      <c r="X15" s="15">
        <v>0.42</v>
      </c>
      <c r="Y15" s="15">
        <v>0.37</v>
      </c>
      <c r="Z15" s="15">
        <v>0.48</v>
      </c>
      <c r="AA15" s="15">
        <v>0.41</v>
      </c>
      <c r="AB15" s="15">
        <v>0.33</v>
      </c>
      <c r="AC15" s="15">
        <v>0.34</v>
      </c>
      <c r="AD15" s="15">
        <v>0.4</v>
      </c>
      <c r="AE15" s="15">
        <v>0.37</v>
      </c>
      <c r="AF15" s="15">
        <v>0.4</v>
      </c>
    </row>
    <row r="16" spans="1:32" x14ac:dyDescent="0.35">
      <c r="A16" s="19"/>
      <c r="B16" s="11" t="s">
        <v>798</v>
      </c>
      <c r="C16" s="12">
        <v>7820</v>
      </c>
      <c r="D16" s="12">
        <v>353</v>
      </c>
      <c r="E16" s="12">
        <v>238</v>
      </c>
      <c r="F16" s="12">
        <v>330</v>
      </c>
      <c r="G16" s="12">
        <v>186</v>
      </c>
      <c r="H16" s="12">
        <v>291</v>
      </c>
      <c r="I16" s="12">
        <v>419</v>
      </c>
      <c r="J16" s="12">
        <v>128</v>
      </c>
      <c r="K16" s="12">
        <v>373</v>
      </c>
      <c r="L16" s="12">
        <v>274</v>
      </c>
      <c r="M16" s="12">
        <v>391</v>
      </c>
      <c r="N16" s="12">
        <v>314</v>
      </c>
      <c r="O16" s="12">
        <v>326</v>
      </c>
      <c r="P16" s="12">
        <v>242</v>
      </c>
      <c r="Q16" s="12">
        <v>315</v>
      </c>
      <c r="R16" s="12">
        <v>186</v>
      </c>
      <c r="S16" s="12">
        <v>252</v>
      </c>
      <c r="T16" s="12">
        <v>282</v>
      </c>
      <c r="U16" s="12">
        <v>93</v>
      </c>
      <c r="V16" s="12">
        <v>294</v>
      </c>
      <c r="W16" s="12">
        <v>158</v>
      </c>
      <c r="X16" s="12">
        <v>234</v>
      </c>
      <c r="Y16" s="12">
        <v>196</v>
      </c>
      <c r="Z16" s="12">
        <v>306</v>
      </c>
      <c r="AA16" s="12">
        <v>384</v>
      </c>
      <c r="AB16" s="12">
        <v>367</v>
      </c>
      <c r="AC16" s="12">
        <v>287</v>
      </c>
      <c r="AD16" s="12">
        <v>288</v>
      </c>
      <c r="AE16" s="12">
        <v>305</v>
      </c>
      <c r="AF16" s="12">
        <v>122</v>
      </c>
    </row>
    <row r="17" spans="1:32" x14ac:dyDescent="0.35">
      <c r="A17" s="19"/>
      <c r="B17" s="13" t="s">
        <v>765</v>
      </c>
      <c r="C17" s="15">
        <v>0.28999999999999998</v>
      </c>
      <c r="D17" s="15">
        <v>0.35</v>
      </c>
      <c r="E17" s="15">
        <v>0.23</v>
      </c>
      <c r="F17" s="15">
        <v>0.3</v>
      </c>
      <c r="G17" s="15">
        <v>0.18</v>
      </c>
      <c r="H17" s="15">
        <v>0.24</v>
      </c>
      <c r="I17" s="15">
        <v>0.28000000000000003</v>
      </c>
      <c r="J17" s="15">
        <v>0.43</v>
      </c>
      <c r="K17" s="15">
        <v>0.37</v>
      </c>
      <c r="L17" s="15">
        <v>0.27</v>
      </c>
      <c r="M17" s="15">
        <v>0.39</v>
      </c>
      <c r="N17" s="15">
        <v>0.31</v>
      </c>
      <c r="O17" s="15">
        <v>0.33</v>
      </c>
      <c r="P17" s="15">
        <v>0.24</v>
      </c>
      <c r="Q17" s="15">
        <v>0.3</v>
      </c>
      <c r="R17" s="15">
        <v>0.37</v>
      </c>
      <c r="S17" s="15">
        <v>0.25</v>
      </c>
      <c r="T17" s="15">
        <v>0.28000000000000003</v>
      </c>
      <c r="U17" s="15">
        <v>0.18</v>
      </c>
      <c r="V17" s="15">
        <v>0.28999999999999998</v>
      </c>
      <c r="W17" s="15">
        <v>0.31</v>
      </c>
      <c r="X17" s="15">
        <v>0.23</v>
      </c>
      <c r="Y17" s="15">
        <v>0.19</v>
      </c>
      <c r="Z17" s="15">
        <v>0.3</v>
      </c>
      <c r="AA17" s="15">
        <v>0.37</v>
      </c>
      <c r="AB17" s="15">
        <v>0.35</v>
      </c>
      <c r="AC17" s="15">
        <v>0.28999999999999998</v>
      </c>
      <c r="AD17" s="15">
        <v>0.28999999999999998</v>
      </c>
      <c r="AE17" s="15">
        <v>0.3</v>
      </c>
      <c r="AF17" s="15">
        <v>0.12</v>
      </c>
    </row>
    <row r="18" spans="1:32" x14ac:dyDescent="0.35">
      <c r="A18" s="19"/>
      <c r="B18" s="11" t="s">
        <v>799</v>
      </c>
      <c r="C18" s="12">
        <v>4752</v>
      </c>
      <c r="D18" s="12">
        <v>157</v>
      </c>
      <c r="E18" s="12">
        <v>254</v>
      </c>
      <c r="F18" s="12">
        <v>228</v>
      </c>
      <c r="G18" s="12">
        <v>86</v>
      </c>
      <c r="H18" s="12">
        <v>111</v>
      </c>
      <c r="I18" s="12">
        <v>165</v>
      </c>
      <c r="J18" s="12">
        <v>54</v>
      </c>
      <c r="K18" s="12">
        <v>266</v>
      </c>
      <c r="L18" s="12">
        <v>188</v>
      </c>
      <c r="M18" s="12">
        <v>306</v>
      </c>
      <c r="N18" s="12">
        <v>214</v>
      </c>
      <c r="O18" s="12">
        <v>206</v>
      </c>
      <c r="P18" s="12">
        <v>109</v>
      </c>
      <c r="Q18" s="12">
        <v>306</v>
      </c>
      <c r="R18" s="12">
        <v>168</v>
      </c>
      <c r="S18" s="12">
        <v>161</v>
      </c>
      <c r="T18" s="12">
        <v>214</v>
      </c>
      <c r="U18" s="12">
        <v>74</v>
      </c>
      <c r="V18" s="12">
        <v>263</v>
      </c>
      <c r="W18" s="12">
        <v>67</v>
      </c>
      <c r="X18" s="12">
        <v>112</v>
      </c>
      <c r="Y18" s="12">
        <v>169</v>
      </c>
      <c r="Z18" s="12">
        <v>90</v>
      </c>
      <c r="AA18" s="12">
        <v>90</v>
      </c>
      <c r="AB18" s="12">
        <v>201</v>
      </c>
      <c r="AC18" s="12">
        <v>195</v>
      </c>
      <c r="AD18" s="12">
        <v>143</v>
      </c>
      <c r="AE18" s="12">
        <v>148</v>
      </c>
      <c r="AF18" s="12">
        <v>108</v>
      </c>
    </row>
    <row r="19" spans="1:32" x14ac:dyDescent="0.35">
      <c r="A19" s="19"/>
      <c r="B19" s="13" t="s">
        <v>767</v>
      </c>
      <c r="C19" s="15">
        <v>0.18</v>
      </c>
      <c r="D19" s="15">
        <v>0.16</v>
      </c>
      <c r="E19" s="15">
        <v>0.25</v>
      </c>
      <c r="F19" s="15">
        <v>0.21</v>
      </c>
      <c r="G19" s="15">
        <v>0.09</v>
      </c>
      <c r="H19" s="15">
        <v>0.09</v>
      </c>
      <c r="I19" s="15">
        <v>0.11</v>
      </c>
      <c r="J19" s="15">
        <v>0.18</v>
      </c>
      <c r="K19" s="15">
        <v>0.26</v>
      </c>
      <c r="L19" s="15">
        <v>0.19</v>
      </c>
      <c r="M19" s="15">
        <v>0.3</v>
      </c>
      <c r="N19" s="15">
        <v>0.21</v>
      </c>
      <c r="O19" s="15">
        <v>0.21</v>
      </c>
      <c r="P19" s="15">
        <v>0.11</v>
      </c>
      <c r="Q19" s="15">
        <v>0.3</v>
      </c>
      <c r="R19" s="15">
        <v>0.33</v>
      </c>
      <c r="S19" s="15">
        <v>0.16</v>
      </c>
      <c r="T19" s="15">
        <v>0.21</v>
      </c>
      <c r="U19" s="15">
        <v>0.15</v>
      </c>
      <c r="V19" s="15">
        <v>0.26</v>
      </c>
      <c r="W19" s="15">
        <v>0.13</v>
      </c>
      <c r="X19" s="15">
        <v>0.11</v>
      </c>
      <c r="Y19" s="15">
        <v>0.17</v>
      </c>
      <c r="Z19" s="15">
        <v>0.09</v>
      </c>
      <c r="AA19" s="15">
        <v>0.09</v>
      </c>
      <c r="AB19" s="15">
        <v>0.19</v>
      </c>
      <c r="AC19" s="15">
        <v>0.19</v>
      </c>
      <c r="AD19" s="15">
        <v>0.14000000000000001</v>
      </c>
      <c r="AE19" s="15">
        <v>0.15</v>
      </c>
      <c r="AF19" s="15">
        <v>0.1</v>
      </c>
    </row>
    <row r="20" spans="1:32" x14ac:dyDescent="0.35">
      <c r="A20" s="19"/>
      <c r="B20" s="11" t="s">
        <v>485</v>
      </c>
      <c r="C20" s="12">
        <v>681</v>
      </c>
      <c r="D20" s="12">
        <v>23</v>
      </c>
      <c r="E20" s="12">
        <v>67</v>
      </c>
      <c r="F20" s="12">
        <v>46</v>
      </c>
      <c r="G20" s="12">
        <v>22</v>
      </c>
      <c r="H20" s="12">
        <v>29</v>
      </c>
      <c r="I20" s="12">
        <v>35</v>
      </c>
      <c r="J20" s="12">
        <v>6</v>
      </c>
      <c r="K20" s="12">
        <v>36</v>
      </c>
      <c r="L20" s="12">
        <v>37</v>
      </c>
      <c r="M20" s="12">
        <v>11</v>
      </c>
      <c r="N20" s="12">
        <v>32</v>
      </c>
      <c r="O20" s="12">
        <v>41</v>
      </c>
      <c r="P20" s="12">
        <v>25</v>
      </c>
      <c r="Q20" s="12">
        <v>8</v>
      </c>
      <c r="R20" s="12">
        <v>19</v>
      </c>
      <c r="S20" s="12">
        <v>36</v>
      </c>
      <c r="T20" s="12">
        <v>37</v>
      </c>
      <c r="U20" s="12">
        <v>13</v>
      </c>
      <c r="V20" s="12">
        <v>11</v>
      </c>
      <c r="W20" s="12">
        <v>6</v>
      </c>
      <c r="X20" s="12">
        <v>19</v>
      </c>
      <c r="Y20" s="12">
        <v>10</v>
      </c>
      <c r="Z20" s="12">
        <v>38</v>
      </c>
      <c r="AA20" s="12">
        <v>28</v>
      </c>
      <c r="AB20" s="12">
        <v>27</v>
      </c>
      <c r="AC20" s="12">
        <v>19</v>
      </c>
      <c r="AD20" s="12">
        <v>16</v>
      </c>
      <c r="AE20" s="12">
        <v>21</v>
      </c>
      <c r="AF20" s="12">
        <v>5</v>
      </c>
    </row>
    <row r="21" spans="1:32" x14ac:dyDescent="0.35">
      <c r="A21" s="19"/>
      <c r="B21" s="13" t="s">
        <v>486</v>
      </c>
      <c r="C21" s="15">
        <v>0.03</v>
      </c>
      <c r="D21" s="15">
        <v>0.02</v>
      </c>
      <c r="E21" s="15">
        <v>0.06</v>
      </c>
      <c r="F21" s="15">
        <v>0.04</v>
      </c>
      <c r="G21" s="15">
        <v>0.02</v>
      </c>
      <c r="H21" s="15">
        <v>0.02</v>
      </c>
      <c r="I21" s="15">
        <v>0.02</v>
      </c>
      <c r="J21" s="15">
        <v>0.02</v>
      </c>
      <c r="K21" s="15">
        <v>0.04</v>
      </c>
      <c r="L21" s="15">
        <v>0.04</v>
      </c>
      <c r="M21" s="15">
        <v>0.01</v>
      </c>
      <c r="N21" s="15">
        <v>0.03</v>
      </c>
      <c r="O21" s="15">
        <v>0.04</v>
      </c>
      <c r="P21" s="15">
        <v>0.03</v>
      </c>
      <c r="Q21" s="15">
        <v>0.01</v>
      </c>
      <c r="R21" s="15">
        <v>0.04</v>
      </c>
      <c r="S21" s="15">
        <v>0.04</v>
      </c>
      <c r="T21" s="15">
        <v>0.04</v>
      </c>
      <c r="U21" s="15">
        <v>0.03</v>
      </c>
      <c r="V21" s="15">
        <v>0.01</v>
      </c>
      <c r="W21" s="15">
        <v>0.01</v>
      </c>
      <c r="X21" s="15">
        <v>0.02</v>
      </c>
      <c r="Y21" s="15">
        <v>0.01</v>
      </c>
      <c r="Z21" s="15">
        <v>0.04</v>
      </c>
      <c r="AA21" s="15">
        <v>0.03</v>
      </c>
      <c r="AB21" s="15">
        <v>0.03</v>
      </c>
      <c r="AC21" s="15">
        <v>0.02</v>
      </c>
      <c r="AD21" s="15">
        <v>0.02</v>
      </c>
      <c r="AE21" s="15">
        <v>0.02</v>
      </c>
      <c r="AF21" s="14" t="s">
        <v>475</v>
      </c>
    </row>
    <row r="22" spans="1:32" x14ac:dyDescent="0.35">
      <c r="A22" s="19"/>
      <c r="B22" s="11" t="s">
        <v>768</v>
      </c>
      <c r="C22" s="12">
        <v>13192</v>
      </c>
      <c r="D22" s="12">
        <v>480</v>
      </c>
      <c r="E22" s="12">
        <v>471</v>
      </c>
      <c r="F22" s="12">
        <v>499</v>
      </c>
      <c r="G22" s="12">
        <v>712</v>
      </c>
      <c r="H22" s="12">
        <v>790</v>
      </c>
      <c r="I22" s="12">
        <v>897</v>
      </c>
      <c r="J22" s="12">
        <v>107</v>
      </c>
      <c r="K22" s="12">
        <v>328</v>
      </c>
      <c r="L22" s="12">
        <v>503</v>
      </c>
      <c r="M22" s="12">
        <v>301</v>
      </c>
      <c r="N22" s="12">
        <v>442</v>
      </c>
      <c r="O22" s="12">
        <v>428</v>
      </c>
      <c r="P22" s="12">
        <v>629</v>
      </c>
      <c r="Q22" s="12">
        <v>398</v>
      </c>
      <c r="R22" s="12">
        <v>130</v>
      </c>
      <c r="S22" s="12">
        <v>552</v>
      </c>
      <c r="T22" s="12">
        <v>474</v>
      </c>
      <c r="U22" s="12">
        <v>325</v>
      </c>
      <c r="V22" s="12">
        <v>447</v>
      </c>
      <c r="W22" s="12">
        <v>278</v>
      </c>
      <c r="X22" s="12">
        <v>644</v>
      </c>
      <c r="Y22" s="12">
        <v>629</v>
      </c>
      <c r="Z22" s="12">
        <v>598</v>
      </c>
      <c r="AA22" s="12">
        <v>531</v>
      </c>
      <c r="AB22" s="12">
        <v>456</v>
      </c>
      <c r="AC22" s="12">
        <v>502</v>
      </c>
      <c r="AD22" s="12">
        <v>557</v>
      </c>
      <c r="AE22" s="12">
        <v>538</v>
      </c>
      <c r="AF22" s="12">
        <v>808</v>
      </c>
    </row>
    <row r="23" spans="1:32" x14ac:dyDescent="0.35">
      <c r="A23" s="19"/>
      <c r="B23" s="13" t="s">
        <v>769</v>
      </c>
      <c r="C23" s="15">
        <v>0.5</v>
      </c>
      <c r="D23" s="15">
        <v>0.47</v>
      </c>
      <c r="E23" s="15">
        <v>0.46</v>
      </c>
      <c r="F23" s="15">
        <v>0.45</v>
      </c>
      <c r="G23" s="15">
        <v>0.71</v>
      </c>
      <c r="H23" s="15">
        <v>0.65</v>
      </c>
      <c r="I23" s="15">
        <v>0.59</v>
      </c>
      <c r="J23" s="15">
        <v>0.37</v>
      </c>
      <c r="K23" s="15">
        <v>0.33</v>
      </c>
      <c r="L23" s="15">
        <v>0.5</v>
      </c>
      <c r="M23" s="15">
        <v>0.3</v>
      </c>
      <c r="N23" s="15">
        <v>0.45</v>
      </c>
      <c r="O23" s="15">
        <v>0.42</v>
      </c>
      <c r="P23" s="15">
        <v>0.62</v>
      </c>
      <c r="Q23" s="15">
        <v>0.39</v>
      </c>
      <c r="R23" s="15">
        <v>0.26</v>
      </c>
      <c r="S23" s="15">
        <v>0.55000000000000004</v>
      </c>
      <c r="T23" s="15">
        <v>0.47</v>
      </c>
      <c r="U23" s="15">
        <v>0.64</v>
      </c>
      <c r="V23" s="15">
        <v>0.44</v>
      </c>
      <c r="W23" s="15">
        <v>0.55000000000000004</v>
      </c>
      <c r="X23" s="15">
        <v>0.64</v>
      </c>
      <c r="Y23" s="15">
        <v>0.63</v>
      </c>
      <c r="Z23" s="15">
        <v>0.57000000000000006</v>
      </c>
      <c r="AA23" s="15">
        <v>0.51</v>
      </c>
      <c r="AB23" s="15">
        <v>0.43</v>
      </c>
      <c r="AC23" s="15">
        <v>0.5</v>
      </c>
      <c r="AD23" s="15">
        <v>0.55000000000000004</v>
      </c>
      <c r="AE23" s="15">
        <v>0.53</v>
      </c>
      <c r="AF23" s="15">
        <v>0.78</v>
      </c>
    </row>
    <row r="24" spans="1:32" x14ac:dyDescent="0.35">
      <c r="A24" s="19"/>
      <c r="B24" s="11" t="s">
        <v>770</v>
      </c>
      <c r="C24" s="12">
        <v>12572</v>
      </c>
      <c r="D24" s="12">
        <v>510</v>
      </c>
      <c r="E24" s="12">
        <v>492</v>
      </c>
      <c r="F24" s="12">
        <v>558</v>
      </c>
      <c r="G24" s="12">
        <v>272</v>
      </c>
      <c r="H24" s="12">
        <v>402</v>
      </c>
      <c r="I24" s="12">
        <v>584</v>
      </c>
      <c r="J24" s="12">
        <v>182</v>
      </c>
      <c r="K24" s="12">
        <v>639</v>
      </c>
      <c r="L24" s="12">
        <v>462</v>
      </c>
      <c r="M24" s="12">
        <v>697</v>
      </c>
      <c r="N24" s="12">
        <v>528</v>
      </c>
      <c r="O24" s="12">
        <v>532</v>
      </c>
      <c r="P24" s="12">
        <v>351</v>
      </c>
      <c r="Q24" s="12">
        <v>621</v>
      </c>
      <c r="R24" s="12">
        <v>354</v>
      </c>
      <c r="S24" s="12">
        <v>413</v>
      </c>
      <c r="T24" s="12">
        <v>496</v>
      </c>
      <c r="U24" s="12">
        <v>167</v>
      </c>
      <c r="V24" s="12">
        <v>557</v>
      </c>
      <c r="W24" s="12">
        <v>225</v>
      </c>
      <c r="X24" s="12">
        <v>346</v>
      </c>
      <c r="Y24" s="12">
        <v>365</v>
      </c>
      <c r="Z24" s="12">
        <v>396</v>
      </c>
      <c r="AA24" s="12">
        <v>474</v>
      </c>
      <c r="AB24" s="12">
        <v>568</v>
      </c>
      <c r="AC24" s="12">
        <v>482</v>
      </c>
      <c r="AD24" s="12">
        <v>431</v>
      </c>
      <c r="AE24" s="12">
        <v>453</v>
      </c>
      <c r="AF24" s="12">
        <v>230</v>
      </c>
    </row>
    <row r="25" spans="1:32" x14ac:dyDescent="0.35">
      <c r="A25" s="19"/>
      <c r="B25" s="13" t="s">
        <v>771</v>
      </c>
      <c r="C25" s="15">
        <v>0.47</v>
      </c>
      <c r="D25" s="15">
        <v>0.51</v>
      </c>
      <c r="E25" s="15">
        <v>0.48</v>
      </c>
      <c r="F25" s="15">
        <v>0.51</v>
      </c>
      <c r="G25" s="15">
        <v>0.27</v>
      </c>
      <c r="H25" s="15">
        <v>0.33</v>
      </c>
      <c r="I25" s="15">
        <v>0.39</v>
      </c>
      <c r="J25" s="15">
        <v>0.61</v>
      </c>
      <c r="K25" s="15">
        <v>0.63</v>
      </c>
      <c r="L25" s="15">
        <v>0.46</v>
      </c>
      <c r="M25" s="15">
        <v>0.69000000000000006</v>
      </c>
      <c r="N25" s="15">
        <v>0.52</v>
      </c>
      <c r="O25" s="15">
        <v>0.54</v>
      </c>
      <c r="P25" s="15">
        <v>0.35</v>
      </c>
      <c r="Q25" s="15">
        <v>0.6</v>
      </c>
      <c r="R25" s="15">
        <v>0.70000000000000007</v>
      </c>
      <c r="S25" s="15">
        <v>0.41</v>
      </c>
      <c r="T25" s="15">
        <v>0.49</v>
      </c>
      <c r="U25" s="15">
        <v>0.33</v>
      </c>
      <c r="V25" s="15">
        <v>0.55000000000000004</v>
      </c>
      <c r="W25" s="15">
        <v>0.44</v>
      </c>
      <c r="X25" s="15">
        <v>0.34</v>
      </c>
      <c r="Y25" s="15">
        <v>0.36</v>
      </c>
      <c r="Z25" s="15">
        <v>0.39</v>
      </c>
      <c r="AA25" s="15">
        <v>0.46</v>
      </c>
      <c r="AB25" s="15">
        <v>0.54</v>
      </c>
      <c r="AC25" s="15">
        <v>0.48</v>
      </c>
      <c r="AD25" s="15">
        <v>0.43</v>
      </c>
      <c r="AE25" s="15">
        <v>0.45</v>
      </c>
      <c r="AF25" s="15">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804</v>
      </c>
      <c r="C3" s="18"/>
      <c r="D3" s="18"/>
      <c r="E3" s="18"/>
      <c r="F3" s="18"/>
      <c r="H3" s="18" t="s">
        <v>805</v>
      </c>
      <c r="I3" s="18"/>
      <c r="J3" s="18"/>
      <c r="K3" s="18"/>
      <c r="L3" s="18"/>
    </row>
    <row r="4" spans="1:43" ht="27" customHeight="1" x14ac:dyDescent="0.35">
      <c r="B4" s="18" t="s">
        <v>806</v>
      </c>
      <c r="C4" s="18"/>
      <c r="D4" s="18"/>
      <c r="E4" s="18"/>
      <c r="F4" s="18"/>
      <c r="H4" s="18" t="s">
        <v>807</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HYPERLINK("#Content!A69","&lt;&lt;Back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796</v>
      </c>
      <c r="C12" s="12">
        <v>5150</v>
      </c>
      <c r="D12" s="12">
        <v>121</v>
      </c>
      <c r="E12" s="12">
        <v>247</v>
      </c>
      <c r="F12" s="12">
        <v>215</v>
      </c>
      <c r="G12" s="12">
        <v>430</v>
      </c>
      <c r="H12" s="12">
        <v>189</v>
      </c>
      <c r="I12" s="12">
        <v>228</v>
      </c>
      <c r="J12" s="12">
        <v>40</v>
      </c>
      <c r="K12" s="12">
        <v>153</v>
      </c>
      <c r="L12" s="12">
        <v>285</v>
      </c>
      <c r="M12" s="12">
        <v>202</v>
      </c>
      <c r="N12" s="12">
        <v>314</v>
      </c>
      <c r="O12" s="12">
        <v>132</v>
      </c>
      <c r="P12" s="12">
        <v>229</v>
      </c>
      <c r="Q12" s="12">
        <v>149</v>
      </c>
      <c r="R12" s="12">
        <v>80</v>
      </c>
      <c r="S12" s="12">
        <v>203</v>
      </c>
      <c r="T12" s="12">
        <v>112</v>
      </c>
      <c r="U12" s="12">
        <v>86</v>
      </c>
      <c r="V12" s="12">
        <v>199</v>
      </c>
      <c r="W12" s="12">
        <v>82</v>
      </c>
      <c r="X12" s="12">
        <v>246</v>
      </c>
      <c r="Y12" s="12">
        <v>264</v>
      </c>
      <c r="Z12" s="12">
        <v>209</v>
      </c>
      <c r="AA12" s="12">
        <v>242</v>
      </c>
      <c r="AB12" s="12">
        <v>205</v>
      </c>
      <c r="AC12" s="12">
        <v>147</v>
      </c>
      <c r="AD12" s="12">
        <v>262</v>
      </c>
      <c r="AE12" s="12">
        <v>238</v>
      </c>
      <c r="AF12" s="12">
        <v>331</v>
      </c>
      <c r="AG12" s="12">
        <v>157</v>
      </c>
      <c r="AH12" s="12">
        <v>269</v>
      </c>
      <c r="AI12" s="12">
        <v>73</v>
      </c>
      <c r="AJ12" s="12">
        <v>302</v>
      </c>
      <c r="AK12" s="12">
        <v>241</v>
      </c>
      <c r="AL12" s="12">
        <v>358</v>
      </c>
      <c r="AM12" s="12">
        <v>108</v>
      </c>
      <c r="AN12" s="12">
        <v>235</v>
      </c>
      <c r="AO12" s="12">
        <v>577</v>
      </c>
      <c r="AP12" s="12">
        <v>269</v>
      </c>
      <c r="AQ12" s="12">
        <v>297</v>
      </c>
    </row>
    <row r="13" spans="1:43" x14ac:dyDescent="0.35">
      <c r="A13" s="19"/>
      <c r="B13" s="13" t="s">
        <v>761</v>
      </c>
      <c r="C13" s="15">
        <v>0.19</v>
      </c>
      <c r="D13" s="15">
        <v>0.12</v>
      </c>
      <c r="E13" s="15">
        <v>0.24</v>
      </c>
      <c r="F13" s="15">
        <v>0.19</v>
      </c>
      <c r="G13" s="15">
        <v>0.43</v>
      </c>
      <c r="H13" s="15">
        <v>0.16</v>
      </c>
      <c r="I13" s="15">
        <v>0.15</v>
      </c>
      <c r="J13" s="15">
        <v>0.13</v>
      </c>
      <c r="K13" s="15">
        <v>0.15</v>
      </c>
      <c r="L13" s="15">
        <v>0.28000000000000003</v>
      </c>
      <c r="M13" s="15">
        <v>0.2</v>
      </c>
      <c r="N13" s="15">
        <v>0.31</v>
      </c>
      <c r="O13" s="15">
        <v>0.13</v>
      </c>
      <c r="P13" s="15">
        <v>0.23</v>
      </c>
      <c r="Q13" s="15">
        <v>0.14000000000000001</v>
      </c>
      <c r="R13" s="15">
        <v>0.16</v>
      </c>
      <c r="S13" s="15">
        <v>0.2</v>
      </c>
      <c r="T13" s="15">
        <v>0.11</v>
      </c>
      <c r="U13" s="15">
        <v>0.17</v>
      </c>
      <c r="V13" s="15">
        <v>0.2</v>
      </c>
      <c r="W13" s="15">
        <v>0.16</v>
      </c>
      <c r="X13" s="15">
        <v>0.24</v>
      </c>
      <c r="Y13" s="15">
        <v>0.26</v>
      </c>
      <c r="Z13" s="15">
        <v>0.2</v>
      </c>
      <c r="AA13" s="15">
        <v>0.23</v>
      </c>
      <c r="AB13" s="15">
        <v>0.19</v>
      </c>
      <c r="AC13" s="15">
        <v>0.15</v>
      </c>
      <c r="AD13" s="15">
        <v>0.26</v>
      </c>
      <c r="AE13" s="15">
        <v>0.23</v>
      </c>
      <c r="AF13" s="15">
        <v>0.32</v>
      </c>
      <c r="AG13" s="15">
        <v>0.15</v>
      </c>
      <c r="AH13" s="15">
        <v>0.27</v>
      </c>
      <c r="AI13" s="15">
        <v>0.14000000000000001</v>
      </c>
      <c r="AJ13" s="15">
        <v>0.28999999999999998</v>
      </c>
      <c r="AK13" s="15">
        <v>0.24</v>
      </c>
      <c r="AL13" s="15">
        <v>0.35</v>
      </c>
      <c r="AM13" s="15">
        <v>0.11</v>
      </c>
      <c r="AN13" s="15">
        <v>0.24</v>
      </c>
      <c r="AO13" s="15">
        <v>0.57000000000000006</v>
      </c>
      <c r="AP13" s="15">
        <v>0.51</v>
      </c>
      <c r="AQ13" s="15">
        <v>0.3</v>
      </c>
    </row>
    <row r="14" spans="1:43" x14ac:dyDescent="0.35">
      <c r="A14" s="19"/>
      <c r="B14" s="11" t="s">
        <v>797</v>
      </c>
      <c r="C14" s="12">
        <v>12840</v>
      </c>
      <c r="D14" s="12">
        <v>528</v>
      </c>
      <c r="E14" s="12">
        <v>432</v>
      </c>
      <c r="F14" s="12">
        <v>502</v>
      </c>
      <c r="G14" s="12">
        <v>450</v>
      </c>
      <c r="H14" s="12">
        <v>638</v>
      </c>
      <c r="I14" s="12">
        <v>757</v>
      </c>
      <c r="J14" s="12">
        <v>119</v>
      </c>
      <c r="K14" s="12">
        <v>525</v>
      </c>
      <c r="L14" s="12">
        <v>548</v>
      </c>
      <c r="M14" s="12">
        <v>472</v>
      </c>
      <c r="N14" s="12">
        <v>401</v>
      </c>
      <c r="O14" s="12">
        <v>477</v>
      </c>
      <c r="P14" s="12">
        <v>539</v>
      </c>
      <c r="Q14" s="12">
        <v>472</v>
      </c>
      <c r="R14" s="12">
        <v>241</v>
      </c>
      <c r="S14" s="12">
        <v>535</v>
      </c>
      <c r="T14" s="12">
        <v>581</v>
      </c>
      <c r="U14" s="12">
        <v>259</v>
      </c>
      <c r="V14" s="12">
        <v>499</v>
      </c>
      <c r="W14" s="12">
        <v>338</v>
      </c>
      <c r="X14" s="12">
        <v>444</v>
      </c>
      <c r="Y14" s="12">
        <v>413</v>
      </c>
      <c r="Z14" s="12">
        <v>608</v>
      </c>
      <c r="AA14" s="12">
        <v>670</v>
      </c>
      <c r="AB14" s="12">
        <v>504</v>
      </c>
      <c r="AC14" s="12">
        <v>420</v>
      </c>
      <c r="AD14" s="12">
        <v>509</v>
      </c>
      <c r="AE14" s="12">
        <v>544</v>
      </c>
      <c r="AF14" s="12">
        <v>578</v>
      </c>
      <c r="AG14" s="12">
        <v>407</v>
      </c>
      <c r="AH14" s="12">
        <v>516</v>
      </c>
      <c r="AI14" s="12">
        <v>163</v>
      </c>
      <c r="AJ14" s="12">
        <v>459</v>
      </c>
      <c r="AK14" s="12">
        <v>615</v>
      </c>
      <c r="AL14" s="12">
        <v>341</v>
      </c>
      <c r="AM14" s="12">
        <v>501</v>
      </c>
      <c r="AN14" s="12">
        <v>454</v>
      </c>
      <c r="AO14" s="12">
        <v>280</v>
      </c>
      <c r="AP14" s="12">
        <v>148</v>
      </c>
      <c r="AQ14" s="12">
        <v>366</v>
      </c>
    </row>
    <row r="15" spans="1:43" x14ac:dyDescent="0.35">
      <c r="A15" s="19"/>
      <c r="B15" s="13" t="s">
        <v>763</v>
      </c>
      <c r="C15" s="15">
        <v>0.49</v>
      </c>
      <c r="D15" s="15">
        <v>0.52</v>
      </c>
      <c r="E15" s="15">
        <v>0.42</v>
      </c>
      <c r="F15" s="15">
        <v>0.46</v>
      </c>
      <c r="G15" s="15">
        <v>0.45</v>
      </c>
      <c r="H15" s="15">
        <v>0.52</v>
      </c>
      <c r="I15" s="15">
        <v>0.5</v>
      </c>
      <c r="J15" s="15">
        <v>0.41</v>
      </c>
      <c r="K15" s="15">
        <v>0.52</v>
      </c>
      <c r="L15" s="15">
        <v>0.55000000000000004</v>
      </c>
      <c r="M15" s="15">
        <v>0.47</v>
      </c>
      <c r="N15" s="15">
        <v>0.4</v>
      </c>
      <c r="O15" s="15">
        <v>0.48</v>
      </c>
      <c r="P15" s="15">
        <v>0.54</v>
      </c>
      <c r="Q15" s="15">
        <v>0.46</v>
      </c>
      <c r="R15" s="15">
        <v>0.48</v>
      </c>
      <c r="S15" s="15">
        <v>0.53</v>
      </c>
      <c r="T15" s="15">
        <v>0.57999999999999996</v>
      </c>
      <c r="U15" s="15">
        <v>0.51</v>
      </c>
      <c r="V15" s="15">
        <v>0.49</v>
      </c>
      <c r="W15" s="15">
        <v>0.67</v>
      </c>
      <c r="X15" s="15">
        <v>0.44</v>
      </c>
      <c r="Y15" s="15">
        <v>0.41</v>
      </c>
      <c r="Z15" s="15">
        <v>0.59</v>
      </c>
      <c r="AA15" s="15">
        <v>0.65</v>
      </c>
      <c r="AB15" s="15">
        <v>0.48</v>
      </c>
      <c r="AC15" s="15">
        <v>0.42</v>
      </c>
      <c r="AD15" s="15">
        <v>0.51</v>
      </c>
      <c r="AE15" s="15">
        <v>0.54</v>
      </c>
      <c r="AF15" s="15">
        <v>0.55000000000000004</v>
      </c>
      <c r="AG15" s="15">
        <v>0.39</v>
      </c>
      <c r="AH15" s="15">
        <v>0.51</v>
      </c>
      <c r="AI15" s="15">
        <v>0.31</v>
      </c>
      <c r="AJ15" s="15">
        <v>0.44</v>
      </c>
      <c r="AK15" s="15">
        <v>0.61</v>
      </c>
      <c r="AL15" s="15">
        <v>0.34</v>
      </c>
      <c r="AM15" s="15">
        <v>0.48</v>
      </c>
      <c r="AN15" s="15">
        <v>0.45</v>
      </c>
      <c r="AO15" s="15">
        <v>0.28000000000000003</v>
      </c>
      <c r="AP15" s="15">
        <v>0.28000000000000003</v>
      </c>
      <c r="AQ15" s="15">
        <v>0.37</v>
      </c>
    </row>
    <row r="16" spans="1:43" x14ac:dyDescent="0.35">
      <c r="A16" s="19"/>
      <c r="B16" s="11" t="s">
        <v>798</v>
      </c>
      <c r="C16" s="12">
        <v>6043</v>
      </c>
      <c r="D16" s="12">
        <v>280</v>
      </c>
      <c r="E16" s="12">
        <v>195</v>
      </c>
      <c r="F16" s="12">
        <v>274</v>
      </c>
      <c r="G16" s="12">
        <v>86</v>
      </c>
      <c r="H16" s="12">
        <v>321</v>
      </c>
      <c r="I16" s="12">
        <v>424</v>
      </c>
      <c r="J16" s="12">
        <v>103</v>
      </c>
      <c r="K16" s="12">
        <v>221</v>
      </c>
      <c r="L16" s="12">
        <v>105</v>
      </c>
      <c r="M16" s="12">
        <v>217</v>
      </c>
      <c r="N16" s="12">
        <v>194</v>
      </c>
      <c r="O16" s="12">
        <v>256</v>
      </c>
      <c r="P16" s="12">
        <v>168</v>
      </c>
      <c r="Q16" s="12">
        <v>273</v>
      </c>
      <c r="R16" s="12">
        <v>108</v>
      </c>
      <c r="S16" s="12">
        <v>173</v>
      </c>
      <c r="T16" s="12">
        <v>222</v>
      </c>
      <c r="U16" s="12">
        <v>115</v>
      </c>
      <c r="V16" s="12">
        <v>236</v>
      </c>
      <c r="W16" s="12">
        <v>65</v>
      </c>
      <c r="X16" s="12">
        <v>255</v>
      </c>
      <c r="Y16" s="12">
        <v>220</v>
      </c>
      <c r="Z16" s="12">
        <v>173</v>
      </c>
      <c r="AA16" s="12">
        <v>80</v>
      </c>
      <c r="AB16" s="12">
        <v>243</v>
      </c>
      <c r="AC16" s="12">
        <v>336</v>
      </c>
      <c r="AD16" s="12">
        <v>164</v>
      </c>
      <c r="AE16" s="12">
        <v>182</v>
      </c>
      <c r="AF16" s="12">
        <v>99</v>
      </c>
      <c r="AG16" s="12">
        <v>316</v>
      </c>
      <c r="AH16" s="12">
        <v>143</v>
      </c>
      <c r="AI16" s="12">
        <v>101</v>
      </c>
      <c r="AJ16" s="12">
        <v>189</v>
      </c>
      <c r="AK16" s="12">
        <v>96</v>
      </c>
      <c r="AL16" s="12">
        <v>114</v>
      </c>
      <c r="AM16" s="12">
        <v>253</v>
      </c>
      <c r="AN16" s="12">
        <v>231</v>
      </c>
      <c r="AO16" s="12">
        <v>56</v>
      </c>
      <c r="AP16" s="12">
        <v>82</v>
      </c>
      <c r="AQ16" s="12">
        <v>105</v>
      </c>
    </row>
    <row r="17" spans="1:43" x14ac:dyDescent="0.35">
      <c r="A17" s="19"/>
      <c r="B17" s="13" t="s">
        <v>765</v>
      </c>
      <c r="C17" s="15">
        <v>0.23</v>
      </c>
      <c r="D17" s="15">
        <v>0.28000000000000003</v>
      </c>
      <c r="E17" s="15">
        <v>0.19</v>
      </c>
      <c r="F17" s="15">
        <v>0.25</v>
      </c>
      <c r="G17" s="15">
        <v>0.08</v>
      </c>
      <c r="H17" s="15">
        <v>0.26</v>
      </c>
      <c r="I17" s="15">
        <v>0.28000000000000003</v>
      </c>
      <c r="J17" s="15">
        <v>0.35</v>
      </c>
      <c r="K17" s="15">
        <v>0.22</v>
      </c>
      <c r="L17" s="15">
        <v>0.1</v>
      </c>
      <c r="M17" s="15">
        <v>0.21</v>
      </c>
      <c r="N17" s="15">
        <v>0.19</v>
      </c>
      <c r="O17" s="15">
        <v>0.26</v>
      </c>
      <c r="P17" s="15">
        <v>0.17</v>
      </c>
      <c r="Q17" s="15">
        <v>0.27</v>
      </c>
      <c r="R17" s="15">
        <v>0.22</v>
      </c>
      <c r="S17" s="15">
        <v>0.17</v>
      </c>
      <c r="T17" s="15">
        <v>0.22</v>
      </c>
      <c r="U17" s="15">
        <v>0.23</v>
      </c>
      <c r="V17" s="15">
        <v>0.23</v>
      </c>
      <c r="W17" s="15">
        <v>0.13</v>
      </c>
      <c r="X17" s="15">
        <v>0.25</v>
      </c>
      <c r="Y17" s="15">
        <v>0.22</v>
      </c>
      <c r="Z17" s="15">
        <v>0.17</v>
      </c>
      <c r="AA17" s="15">
        <v>0.08</v>
      </c>
      <c r="AB17" s="15">
        <v>0.23</v>
      </c>
      <c r="AC17" s="15">
        <v>0.33</v>
      </c>
      <c r="AD17" s="15">
        <v>0.16</v>
      </c>
      <c r="AE17" s="15">
        <v>0.18</v>
      </c>
      <c r="AF17" s="15">
        <v>0.1</v>
      </c>
      <c r="AG17" s="15">
        <v>0.31</v>
      </c>
      <c r="AH17" s="15">
        <v>0.14000000000000001</v>
      </c>
      <c r="AI17" s="15">
        <v>0.19</v>
      </c>
      <c r="AJ17" s="15">
        <v>0.18</v>
      </c>
      <c r="AK17" s="15">
        <v>0.1</v>
      </c>
      <c r="AL17" s="15">
        <v>0.11</v>
      </c>
      <c r="AM17" s="15">
        <v>0.24</v>
      </c>
      <c r="AN17" s="15">
        <v>0.23</v>
      </c>
      <c r="AO17" s="15">
        <v>0.06</v>
      </c>
      <c r="AP17" s="15">
        <v>0.16</v>
      </c>
      <c r="AQ17" s="15">
        <v>0.1</v>
      </c>
    </row>
    <row r="18" spans="1:43" x14ac:dyDescent="0.35">
      <c r="A18" s="19"/>
      <c r="B18" s="11" t="s">
        <v>799</v>
      </c>
      <c r="C18" s="12">
        <v>1776</v>
      </c>
      <c r="D18" s="12">
        <v>70</v>
      </c>
      <c r="E18" s="12">
        <v>87</v>
      </c>
      <c r="F18" s="12">
        <v>78</v>
      </c>
      <c r="G18" s="12">
        <v>18</v>
      </c>
      <c r="H18" s="12">
        <v>54</v>
      </c>
      <c r="I18" s="12">
        <v>80</v>
      </c>
      <c r="J18" s="12">
        <v>26</v>
      </c>
      <c r="K18" s="12">
        <v>55</v>
      </c>
      <c r="L18" s="12">
        <v>37</v>
      </c>
      <c r="M18" s="12">
        <v>98</v>
      </c>
      <c r="N18" s="12">
        <v>65</v>
      </c>
      <c r="O18" s="12">
        <v>102</v>
      </c>
      <c r="P18" s="12">
        <v>52</v>
      </c>
      <c r="Q18" s="12">
        <v>110</v>
      </c>
      <c r="R18" s="12">
        <v>58</v>
      </c>
      <c r="S18" s="12">
        <v>45</v>
      </c>
      <c r="T18" s="12">
        <v>42</v>
      </c>
      <c r="U18" s="12">
        <v>33</v>
      </c>
      <c r="V18" s="12">
        <v>75</v>
      </c>
      <c r="W18" s="12">
        <v>17</v>
      </c>
      <c r="X18" s="12">
        <v>46</v>
      </c>
      <c r="Y18" s="12">
        <v>85</v>
      </c>
      <c r="Z18" s="12">
        <v>24</v>
      </c>
      <c r="AA18" s="12">
        <v>14</v>
      </c>
      <c r="AB18" s="12">
        <v>59</v>
      </c>
      <c r="AC18" s="12">
        <v>80</v>
      </c>
      <c r="AD18" s="12">
        <v>49</v>
      </c>
      <c r="AE18" s="12">
        <v>27</v>
      </c>
      <c r="AF18" s="12">
        <v>23</v>
      </c>
      <c r="AG18" s="12">
        <v>142</v>
      </c>
      <c r="AH18" s="12">
        <v>72</v>
      </c>
      <c r="AI18" s="12">
        <v>143</v>
      </c>
      <c r="AJ18" s="12">
        <v>78</v>
      </c>
      <c r="AK18" s="12">
        <v>34</v>
      </c>
      <c r="AL18" s="12">
        <v>73</v>
      </c>
      <c r="AM18" s="12">
        <v>77</v>
      </c>
      <c r="AN18" s="12">
        <v>74</v>
      </c>
      <c r="AO18" s="12">
        <v>37</v>
      </c>
      <c r="AP18" s="12">
        <v>22</v>
      </c>
      <c r="AQ18" s="12">
        <v>130</v>
      </c>
    </row>
    <row r="19" spans="1:43" x14ac:dyDescent="0.35">
      <c r="A19" s="19"/>
      <c r="B19" s="13" t="s">
        <v>767</v>
      </c>
      <c r="C19" s="15">
        <v>7.0000000000000007E-2</v>
      </c>
      <c r="D19" s="15">
        <v>7.0000000000000007E-2</v>
      </c>
      <c r="E19" s="15">
        <v>0.08</v>
      </c>
      <c r="F19" s="15">
        <v>7.0000000000000007E-2</v>
      </c>
      <c r="G19" s="15">
        <v>0.02</v>
      </c>
      <c r="H19" s="15">
        <v>0.04</v>
      </c>
      <c r="I19" s="15">
        <v>0.05</v>
      </c>
      <c r="J19" s="15">
        <v>0.09</v>
      </c>
      <c r="K19" s="15">
        <v>0.06</v>
      </c>
      <c r="L19" s="15">
        <v>0.04</v>
      </c>
      <c r="M19" s="15">
        <v>0.1</v>
      </c>
      <c r="N19" s="15">
        <v>7.0000000000000007E-2</v>
      </c>
      <c r="O19" s="15">
        <v>0.1</v>
      </c>
      <c r="P19" s="15">
        <v>0.05</v>
      </c>
      <c r="Q19" s="15">
        <v>0.11</v>
      </c>
      <c r="R19" s="15">
        <v>0.11</v>
      </c>
      <c r="S19" s="15">
        <v>0.05</v>
      </c>
      <c r="T19" s="15">
        <v>0.04</v>
      </c>
      <c r="U19" s="15">
        <v>7.0000000000000007E-2</v>
      </c>
      <c r="V19" s="15">
        <v>7.0000000000000007E-2</v>
      </c>
      <c r="W19" s="15">
        <v>0.03</v>
      </c>
      <c r="X19" s="15">
        <v>0.05</v>
      </c>
      <c r="Y19" s="15">
        <v>0.09</v>
      </c>
      <c r="Z19" s="15">
        <v>0.02</v>
      </c>
      <c r="AA19" s="15">
        <v>0.01</v>
      </c>
      <c r="AB19" s="15">
        <v>0.06</v>
      </c>
      <c r="AC19" s="15">
        <v>0.08</v>
      </c>
      <c r="AD19" s="15">
        <v>0.05</v>
      </c>
      <c r="AE19" s="15">
        <v>0.03</v>
      </c>
      <c r="AF19" s="15">
        <v>0.02</v>
      </c>
      <c r="AG19" s="15">
        <v>0.14000000000000001</v>
      </c>
      <c r="AH19" s="15">
        <v>7.0000000000000007E-2</v>
      </c>
      <c r="AI19" s="15">
        <v>0.27</v>
      </c>
      <c r="AJ19" s="15">
        <v>0.08</v>
      </c>
      <c r="AK19" s="15">
        <v>0.03</v>
      </c>
      <c r="AL19" s="15">
        <v>7.0000000000000007E-2</v>
      </c>
      <c r="AM19" s="15">
        <v>7.0000000000000007E-2</v>
      </c>
      <c r="AN19" s="15">
        <v>7.0000000000000007E-2</v>
      </c>
      <c r="AO19" s="15">
        <v>0.04</v>
      </c>
      <c r="AP19" s="15">
        <v>0.04</v>
      </c>
      <c r="AQ19" s="15">
        <v>0.13</v>
      </c>
    </row>
    <row r="20" spans="1:43" x14ac:dyDescent="0.35">
      <c r="A20" s="19"/>
      <c r="B20" s="11" t="s">
        <v>485</v>
      </c>
      <c r="C20" s="12">
        <v>636</v>
      </c>
      <c r="D20" s="12">
        <v>15</v>
      </c>
      <c r="E20" s="12">
        <v>69</v>
      </c>
      <c r="F20" s="12">
        <v>34</v>
      </c>
      <c r="G20" s="12">
        <v>22</v>
      </c>
      <c r="H20" s="12">
        <v>20</v>
      </c>
      <c r="I20" s="12">
        <v>27</v>
      </c>
      <c r="J20" s="12">
        <v>7</v>
      </c>
      <c r="K20" s="12">
        <v>48</v>
      </c>
      <c r="L20" s="12">
        <v>27</v>
      </c>
      <c r="M20" s="12">
        <v>20</v>
      </c>
      <c r="N20" s="12">
        <v>29</v>
      </c>
      <c r="O20" s="12">
        <v>33</v>
      </c>
      <c r="P20" s="12">
        <v>15</v>
      </c>
      <c r="Q20" s="12">
        <v>22</v>
      </c>
      <c r="R20" s="12">
        <v>17</v>
      </c>
      <c r="S20" s="12">
        <v>47</v>
      </c>
      <c r="T20" s="12">
        <v>49</v>
      </c>
      <c r="U20" s="12">
        <v>10</v>
      </c>
      <c r="V20" s="12">
        <v>7</v>
      </c>
      <c r="W20" s="12">
        <v>7</v>
      </c>
      <c r="X20" s="12">
        <v>17</v>
      </c>
      <c r="Y20" s="12">
        <v>22</v>
      </c>
      <c r="Z20" s="12">
        <v>17</v>
      </c>
      <c r="AA20" s="12">
        <v>27</v>
      </c>
      <c r="AB20" s="12">
        <v>40</v>
      </c>
      <c r="AC20" s="12">
        <v>21</v>
      </c>
      <c r="AD20" s="12">
        <v>20</v>
      </c>
      <c r="AE20" s="12">
        <v>22</v>
      </c>
      <c r="AF20" s="12">
        <v>12</v>
      </c>
      <c r="AG20" s="12">
        <v>13</v>
      </c>
      <c r="AH20" s="12">
        <v>13</v>
      </c>
      <c r="AI20" s="12">
        <v>43</v>
      </c>
      <c r="AJ20" s="12">
        <v>10</v>
      </c>
      <c r="AK20" s="12">
        <v>21</v>
      </c>
      <c r="AL20" s="12">
        <v>126</v>
      </c>
      <c r="AM20" s="12">
        <v>101</v>
      </c>
      <c r="AN20" s="12">
        <v>8</v>
      </c>
      <c r="AO20" s="12">
        <v>55</v>
      </c>
      <c r="AP20" s="12">
        <v>3</v>
      </c>
      <c r="AQ20" s="12">
        <v>104</v>
      </c>
    </row>
    <row r="21" spans="1:43" x14ac:dyDescent="0.35">
      <c r="A21" s="19"/>
      <c r="B21" s="13" t="s">
        <v>486</v>
      </c>
      <c r="C21" s="15">
        <v>0.02</v>
      </c>
      <c r="D21" s="15">
        <v>0.01</v>
      </c>
      <c r="E21" s="15">
        <v>7.0000000000000007E-2</v>
      </c>
      <c r="F21" s="15">
        <v>0.03</v>
      </c>
      <c r="G21" s="15">
        <v>0.02</v>
      </c>
      <c r="H21" s="15">
        <v>0.02</v>
      </c>
      <c r="I21" s="15">
        <v>0.02</v>
      </c>
      <c r="J21" s="15">
        <v>0.02</v>
      </c>
      <c r="K21" s="15">
        <v>0.05</v>
      </c>
      <c r="L21" s="15">
        <v>0.03</v>
      </c>
      <c r="M21" s="15">
        <v>0.02</v>
      </c>
      <c r="N21" s="15">
        <v>0.03</v>
      </c>
      <c r="O21" s="15">
        <v>0.03</v>
      </c>
      <c r="P21" s="15">
        <v>0.01</v>
      </c>
      <c r="Q21" s="15">
        <v>0.02</v>
      </c>
      <c r="R21" s="15">
        <v>0.03</v>
      </c>
      <c r="S21" s="15">
        <v>0.05</v>
      </c>
      <c r="T21" s="15">
        <v>0.05</v>
      </c>
      <c r="U21" s="15">
        <v>0.02</v>
      </c>
      <c r="V21" s="15">
        <v>0.01</v>
      </c>
      <c r="W21" s="15">
        <v>0.01</v>
      </c>
      <c r="X21" s="15">
        <v>0.02</v>
      </c>
      <c r="Y21" s="15">
        <v>0.02</v>
      </c>
      <c r="Z21" s="15">
        <v>0.02</v>
      </c>
      <c r="AA21" s="15">
        <v>0.03</v>
      </c>
      <c r="AB21" s="15">
        <v>0.04</v>
      </c>
      <c r="AC21" s="15">
        <v>0.02</v>
      </c>
      <c r="AD21" s="15">
        <v>0.02</v>
      </c>
      <c r="AE21" s="15">
        <v>0.02</v>
      </c>
      <c r="AF21" s="15">
        <v>0.01</v>
      </c>
      <c r="AG21" s="15">
        <v>0.01</v>
      </c>
      <c r="AH21" s="15">
        <v>0.01</v>
      </c>
      <c r="AI21" s="15">
        <v>0.09</v>
      </c>
      <c r="AJ21" s="15">
        <v>0.01</v>
      </c>
      <c r="AK21" s="15">
        <v>0.02</v>
      </c>
      <c r="AL21" s="15">
        <v>0.13</v>
      </c>
      <c r="AM21" s="15">
        <v>0.1</v>
      </c>
      <c r="AN21" s="15">
        <v>0.01</v>
      </c>
      <c r="AO21" s="15">
        <v>0.05</v>
      </c>
      <c r="AP21" s="15">
        <v>0.01</v>
      </c>
      <c r="AQ21" s="15">
        <v>0.1</v>
      </c>
    </row>
    <row r="22" spans="1:43" x14ac:dyDescent="0.35">
      <c r="A22" s="19"/>
      <c r="B22" s="11" t="s">
        <v>768</v>
      </c>
      <c r="C22" s="12">
        <v>17990</v>
      </c>
      <c r="D22" s="12">
        <v>649</v>
      </c>
      <c r="E22" s="12">
        <v>679</v>
      </c>
      <c r="F22" s="12">
        <v>717</v>
      </c>
      <c r="G22" s="12">
        <v>880</v>
      </c>
      <c r="H22" s="12">
        <v>827</v>
      </c>
      <c r="I22" s="12">
        <v>985</v>
      </c>
      <c r="J22" s="12">
        <v>159</v>
      </c>
      <c r="K22" s="12">
        <v>678</v>
      </c>
      <c r="L22" s="12">
        <v>833</v>
      </c>
      <c r="M22" s="12">
        <v>674</v>
      </c>
      <c r="N22" s="12">
        <v>715</v>
      </c>
      <c r="O22" s="12">
        <v>609</v>
      </c>
      <c r="P22" s="12">
        <v>768</v>
      </c>
      <c r="Q22" s="12">
        <v>621</v>
      </c>
      <c r="R22" s="12">
        <v>321</v>
      </c>
      <c r="S22" s="12">
        <v>738</v>
      </c>
      <c r="T22" s="12">
        <v>693</v>
      </c>
      <c r="U22" s="12">
        <v>345</v>
      </c>
      <c r="V22" s="12">
        <v>698</v>
      </c>
      <c r="W22" s="12">
        <v>420</v>
      </c>
      <c r="X22" s="12">
        <v>690</v>
      </c>
      <c r="Y22" s="12">
        <v>677</v>
      </c>
      <c r="Z22" s="12">
        <v>817</v>
      </c>
      <c r="AA22" s="12">
        <v>912</v>
      </c>
      <c r="AB22" s="12">
        <v>709</v>
      </c>
      <c r="AC22" s="12">
        <v>567</v>
      </c>
      <c r="AD22" s="12">
        <v>771</v>
      </c>
      <c r="AE22" s="12">
        <v>782</v>
      </c>
      <c r="AF22" s="12">
        <v>909</v>
      </c>
      <c r="AG22" s="12">
        <v>564</v>
      </c>
      <c r="AH22" s="12">
        <v>785</v>
      </c>
      <c r="AI22" s="12">
        <v>236</v>
      </c>
      <c r="AJ22" s="12">
        <v>761</v>
      </c>
      <c r="AK22" s="12">
        <v>856</v>
      </c>
      <c r="AL22" s="12">
        <v>699</v>
      </c>
      <c r="AM22" s="12">
        <v>609</v>
      </c>
      <c r="AN22" s="12">
        <v>689</v>
      </c>
      <c r="AO22" s="12">
        <v>857</v>
      </c>
      <c r="AP22" s="12">
        <v>417</v>
      </c>
      <c r="AQ22" s="12">
        <v>663</v>
      </c>
    </row>
    <row r="23" spans="1:43" x14ac:dyDescent="0.35">
      <c r="A23" s="19"/>
      <c r="B23" s="13" t="s">
        <v>769</v>
      </c>
      <c r="C23" s="15">
        <v>0.68</v>
      </c>
      <c r="D23" s="15">
        <v>0.64</v>
      </c>
      <c r="E23" s="15">
        <v>0.66</v>
      </c>
      <c r="F23" s="15">
        <v>0.65</v>
      </c>
      <c r="G23" s="15">
        <v>0.88</v>
      </c>
      <c r="H23" s="15">
        <v>0.68</v>
      </c>
      <c r="I23" s="15">
        <v>0.65</v>
      </c>
      <c r="J23" s="15">
        <v>0.54</v>
      </c>
      <c r="K23" s="15">
        <v>0.67</v>
      </c>
      <c r="L23" s="15">
        <v>0.83000000000000007</v>
      </c>
      <c r="M23" s="15">
        <v>0.67</v>
      </c>
      <c r="N23" s="15">
        <v>0.71</v>
      </c>
      <c r="O23" s="15">
        <v>0.61</v>
      </c>
      <c r="P23" s="15">
        <v>0.77</v>
      </c>
      <c r="Q23" s="15">
        <v>0.6</v>
      </c>
      <c r="R23" s="15">
        <v>0.64</v>
      </c>
      <c r="S23" s="15">
        <v>0.73</v>
      </c>
      <c r="T23" s="15">
        <v>0.69000000000000006</v>
      </c>
      <c r="U23" s="15">
        <v>0.68</v>
      </c>
      <c r="V23" s="15">
        <v>0.69000000000000006</v>
      </c>
      <c r="W23" s="15">
        <v>0.83000000000000007</v>
      </c>
      <c r="X23" s="15">
        <v>0.68</v>
      </c>
      <c r="Y23" s="15">
        <v>0.67</v>
      </c>
      <c r="Z23" s="15">
        <v>0.79</v>
      </c>
      <c r="AA23" s="15">
        <v>0.88</v>
      </c>
      <c r="AB23" s="15">
        <v>0.67</v>
      </c>
      <c r="AC23" s="15">
        <v>0.57000000000000006</v>
      </c>
      <c r="AD23" s="15">
        <v>0.77</v>
      </c>
      <c r="AE23" s="15">
        <v>0.77</v>
      </c>
      <c r="AF23" s="15">
        <v>0.87</v>
      </c>
      <c r="AG23" s="15">
        <v>0.54</v>
      </c>
      <c r="AH23" s="15">
        <v>0.78</v>
      </c>
      <c r="AI23" s="15">
        <v>0.45</v>
      </c>
      <c r="AJ23" s="15">
        <v>0.73</v>
      </c>
      <c r="AK23" s="15">
        <v>0.85</v>
      </c>
      <c r="AL23" s="15">
        <v>0.69000000000000006</v>
      </c>
      <c r="AM23" s="15">
        <v>0.59</v>
      </c>
      <c r="AN23" s="15">
        <v>0.69000000000000006</v>
      </c>
      <c r="AO23" s="15">
        <v>0.85</v>
      </c>
      <c r="AP23" s="15">
        <v>0.79</v>
      </c>
      <c r="AQ23" s="15">
        <v>0.67</v>
      </c>
    </row>
    <row r="24" spans="1:43" x14ac:dyDescent="0.35">
      <c r="A24" s="19"/>
      <c r="B24" s="11" t="s">
        <v>770</v>
      </c>
      <c r="C24" s="12">
        <v>7819</v>
      </c>
      <c r="D24" s="12">
        <v>350</v>
      </c>
      <c r="E24" s="12">
        <v>282</v>
      </c>
      <c r="F24" s="12">
        <v>352</v>
      </c>
      <c r="G24" s="12">
        <v>104</v>
      </c>
      <c r="H24" s="12">
        <v>375</v>
      </c>
      <c r="I24" s="12">
        <v>504</v>
      </c>
      <c r="J24" s="12">
        <v>129</v>
      </c>
      <c r="K24" s="12">
        <v>276</v>
      </c>
      <c r="L24" s="12">
        <v>142</v>
      </c>
      <c r="M24" s="12">
        <v>315</v>
      </c>
      <c r="N24" s="12">
        <v>259</v>
      </c>
      <c r="O24" s="12">
        <v>358</v>
      </c>
      <c r="P24" s="12">
        <v>220</v>
      </c>
      <c r="Q24" s="12">
        <v>383</v>
      </c>
      <c r="R24" s="12">
        <v>166</v>
      </c>
      <c r="S24" s="12">
        <v>218</v>
      </c>
      <c r="T24" s="12">
        <v>264</v>
      </c>
      <c r="U24" s="12">
        <v>148</v>
      </c>
      <c r="V24" s="12">
        <v>311</v>
      </c>
      <c r="W24" s="12">
        <v>82</v>
      </c>
      <c r="X24" s="12">
        <v>301</v>
      </c>
      <c r="Y24" s="12">
        <v>305</v>
      </c>
      <c r="Z24" s="12">
        <v>197</v>
      </c>
      <c r="AA24" s="12">
        <v>94</v>
      </c>
      <c r="AB24" s="12">
        <v>302</v>
      </c>
      <c r="AC24" s="12">
        <v>416</v>
      </c>
      <c r="AD24" s="12">
        <v>213</v>
      </c>
      <c r="AE24" s="12">
        <v>209</v>
      </c>
      <c r="AF24" s="12">
        <v>122</v>
      </c>
      <c r="AG24" s="12">
        <v>458</v>
      </c>
      <c r="AH24" s="12">
        <v>215</v>
      </c>
      <c r="AI24" s="12">
        <v>244</v>
      </c>
      <c r="AJ24" s="12">
        <v>267</v>
      </c>
      <c r="AK24" s="12">
        <v>130</v>
      </c>
      <c r="AL24" s="12">
        <v>187</v>
      </c>
      <c r="AM24" s="12">
        <v>330</v>
      </c>
      <c r="AN24" s="12">
        <v>305</v>
      </c>
      <c r="AO24" s="12">
        <v>93</v>
      </c>
      <c r="AP24" s="12">
        <v>104</v>
      </c>
      <c r="AQ24" s="12">
        <v>235</v>
      </c>
    </row>
    <row r="25" spans="1:43" x14ac:dyDescent="0.35">
      <c r="A25" s="19"/>
      <c r="B25" s="13" t="s">
        <v>771</v>
      </c>
      <c r="C25" s="15">
        <v>0.3</v>
      </c>
      <c r="D25" s="15">
        <v>0.35</v>
      </c>
      <c r="E25" s="15">
        <v>0.27</v>
      </c>
      <c r="F25" s="15">
        <v>0.32</v>
      </c>
      <c r="G25" s="15">
        <v>0.1</v>
      </c>
      <c r="H25" s="15">
        <v>0.3</v>
      </c>
      <c r="I25" s="15">
        <v>0.33</v>
      </c>
      <c r="J25" s="15">
        <v>0.44</v>
      </c>
      <c r="K25" s="15">
        <v>0.28000000000000003</v>
      </c>
      <c r="L25" s="15">
        <v>0.14000000000000001</v>
      </c>
      <c r="M25" s="15">
        <v>0.31</v>
      </c>
      <c r="N25" s="15">
        <v>0.26</v>
      </c>
      <c r="O25" s="15">
        <v>0.36</v>
      </c>
      <c r="P25" s="15">
        <v>0.22</v>
      </c>
      <c r="Q25" s="15">
        <v>0.38</v>
      </c>
      <c r="R25" s="15">
        <v>0.33</v>
      </c>
      <c r="S25" s="15">
        <v>0.22</v>
      </c>
      <c r="T25" s="15">
        <v>0.26</v>
      </c>
      <c r="U25" s="15">
        <v>0.3</v>
      </c>
      <c r="V25" s="15">
        <v>0.3</v>
      </c>
      <c r="W25" s="15">
        <v>0.16</v>
      </c>
      <c r="X25" s="15">
        <v>0.3</v>
      </c>
      <c r="Y25" s="15">
        <v>0.31</v>
      </c>
      <c r="Z25" s="15">
        <v>0.19</v>
      </c>
      <c r="AA25" s="15">
        <v>0.09</v>
      </c>
      <c r="AB25" s="15">
        <v>0.28999999999999998</v>
      </c>
      <c r="AC25" s="15">
        <v>0.41</v>
      </c>
      <c r="AD25" s="15">
        <v>0.21</v>
      </c>
      <c r="AE25" s="15">
        <v>0.21</v>
      </c>
      <c r="AF25" s="15">
        <v>0.12</v>
      </c>
      <c r="AG25" s="15">
        <v>0.45</v>
      </c>
      <c r="AH25" s="15">
        <v>0.21</v>
      </c>
      <c r="AI25" s="15">
        <v>0.46</v>
      </c>
      <c r="AJ25" s="15">
        <v>0.26</v>
      </c>
      <c r="AK25" s="15">
        <v>0.13</v>
      </c>
      <c r="AL25" s="15">
        <v>0.18</v>
      </c>
      <c r="AM25" s="15">
        <v>0.31</v>
      </c>
      <c r="AN25" s="15">
        <v>0.3</v>
      </c>
      <c r="AO25" s="15">
        <v>0.1</v>
      </c>
      <c r="AP25" s="15">
        <v>0.2</v>
      </c>
      <c r="AQ25" s="15">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135</v>
      </c>
      <c r="C3" s="18"/>
      <c r="D3" s="18"/>
      <c r="E3" s="18"/>
      <c r="F3" s="18"/>
      <c r="H3" s="18" t="s">
        <v>136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HYPERLINK("#Content!A70","&lt;&lt;Back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808</v>
      </c>
      <c r="C12" s="12">
        <v>3108</v>
      </c>
      <c r="D12" s="12">
        <v>109</v>
      </c>
      <c r="E12" s="12">
        <v>111</v>
      </c>
      <c r="F12" s="12">
        <v>114</v>
      </c>
      <c r="G12" s="12">
        <v>224</v>
      </c>
      <c r="H12" s="12">
        <v>115</v>
      </c>
      <c r="I12" s="12">
        <v>151</v>
      </c>
      <c r="J12" s="12">
        <v>36</v>
      </c>
      <c r="K12" s="12">
        <v>118</v>
      </c>
      <c r="L12" s="12">
        <v>160</v>
      </c>
      <c r="M12" s="12">
        <v>61</v>
      </c>
      <c r="N12" s="12">
        <v>155</v>
      </c>
      <c r="O12" s="12">
        <v>65</v>
      </c>
      <c r="P12" s="12">
        <v>155</v>
      </c>
      <c r="Q12" s="12">
        <v>85</v>
      </c>
      <c r="R12" s="12">
        <v>65</v>
      </c>
      <c r="S12" s="12">
        <v>229</v>
      </c>
      <c r="T12" s="12">
        <v>180</v>
      </c>
      <c r="U12" s="12">
        <v>74</v>
      </c>
      <c r="V12" s="12">
        <v>56</v>
      </c>
      <c r="W12" s="12">
        <v>134</v>
      </c>
      <c r="X12" s="12">
        <v>231</v>
      </c>
      <c r="Y12" s="12">
        <v>140</v>
      </c>
      <c r="Z12" s="12">
        <v>167</v>
      </c>
      <c r="AA12" s="12">
        <v>136</v>
      </c>
      <c r="AB12" s="12">
        <v>74</v>
      </c>
      <c r="AC12" s="12">
        <v>128</v>
      </c>
      <c r="AD12" s="12">
        <v>104</v>
      </c>
      <c r="AE12" s="12">
        <v>237</v>
      </c>
      <c r="AF12" s="12">
        <v>296</v>
      </c>
      <c r="AG12" s="12">
        <v>252</v>
      </c>
      <c r="AH12" s="12">
        <v>217</v>
      </c>
      <c r="AI12" s="12">
        <v>81</v>
      </c>
      <c r="AJ12" s="12">
        <v>172</v>
      </c>
      <c r="AK12" s="12">
        <v>214</v>
      </c>
      <c r="AL12" s="12">
        <v>251</v>
      </c>
      <c r="AM12" s="12">
        <v>147</v>
      </c>
      <c r="AN12" s="12">
        <v>149</v>
      </c>
      <c r="AO12" s="12">
        <v>386</v>
      </c>
      <c r="AP12" s="12">
        <v>146</v>
      </c>
      <c r="AQ12" s="12">
        <v>330</v>
      </c>
    </row>
    <row r="13" spans="1:43" x14ac:dyDescent="0.35">
      <c r="A13" s="19"/>
      <c r="B13" s="13" t="s">
        <v>809</v>
      </c>
      <c r="C13" s="15">
        <v>0.12</v>
      </c>
      <c r="D13" s="15">
        <v>0.11</v>
      </c>
      <c r="E13" s="15">
        <v>0.11</v>
      </c>
      <c r="F13" s="15">
        <v>0.1</v>
      </c>
      <c r="G13" s="15">
        <v>0.22</v>
      </c>
      <c r="H13" s="15">
        <v>0.09</v>
      </c>
      <c r="I13" s="15">
        <v>0.1</v>
      </c>
      <c r="J13" s="15">
        <v>0.12</v>
      </c>
      <c r="K13" s="15">
        <v>0.12</v>
      </c>
      <c r="L13" s="15">
        <v>0.16</v>
      </c>
      <c r="M13" s="15">
        <v>0.06</v>
      </c>
      <c r="N13" s="15">
        <v>0.15</v>
      </c>
      <c r="O13" s="15">
        <v>0.06</v>
      </c>
      <c r="P13" s="15">
        <v>0.15</v>
      </c>
      <c r="Q13" s="15">
        <v>0.08</v>
      </c>
      <c r="R13" s="15">
        <v>0.13</v>
      </c>
      <c r="S13" s="15">
        <v>0.23</v>
      </c>
      <c r="T13" s="15">
        <v>0.18</v>
      </c>
      <c r="U13" s="15">
        <v>0.15</v>
      </c>
      <c r="V13" s="15">
        <v>0.06</v>
      </c>
      <c r="W13" s="15">
        <v>0.26</v>
      </c>
      <c r="X13" s="15">
        <v>0.23</v>
      </c>
      <c r="Y13" s="15">
        <v>0.14000000000000001</v>
      </c>
      <c r="Z13" s="15">
        <v>0.16</v>
      </c>
      <c r="AA13" s="15">
        <v>0.13</v>
      </c>
      <c r="AB13" s="15">
        <v>7.0000000000000007E-2</v>
      </c>
      <c r="AC13" s="15">
        <v>0.13</v>
      </c>
      <c r="AD13" s="15">
        <v>0.1</v>
      </c>
      <c r="AE13" s="15">
        <v>0.24</v>
      </c>
      <c r="AF13" s="15">
        <v>0.28000000000000003</v>
      </c>
      <c r="AG13" s="15">
        <v>0.24</v>
      </c>
      <c r="AH13" s="15">
        <v>0.21</v>
      </c>
      <c r="AI13" s="15">
        <v>0.15</v>
      </c>
      <c r="AJ13" s="15">
        <v>0.17</v>
      </c>
      <c r="AK13" s="15">
        <v>0.21</v>
      </c>
      <c r="AL13" s="15">
        <v>0.25</v>
      </c>
      <c r="AM13" s="15">
        <v>0.14000000000000001</v>
      </c>
      <c r="AN13" s="15">
        <v>0.15</v>
      </c>
      <c r="AO13" s="15">
        <v>0.39</v>
      </c>
      <c r="AP13" s="15">
        <v>0.28000000000000003</v>
      </c>
      <c r="AQ13" s="15">
        <v>0.33</v>
      </c>
    </row>
    <row r="14" spans="1:43" x14ac:dyDescent="0.35">
      <c r="A14" s="19"/>
      <c r="B14" s="11" t="s">
        <v>810</v>
      </c>
      <c r="C14" s="12">
        <v>16837</v>
      </c>
      <c r="D14" s="12">
        <v>627</v>
      </c>
      <c r="E14" s="12">
        <v>609</v>
      </c>
      <c r="F14" s="12">
        <v>724</v>
      </c>
      <c r="G14" s="12">
        <v>633</v>
      </c>
      <c r="H14" s="12">
        <v>762</v>
      </c>
      <c r="I14" s="12">
        <v>930</v>
      </c>
      <c r="J14" s="12">
        <v>168</v>
      </c>
      <c r="K14" s="12">
        <v>578</v>
      </c>
      <c r="L14" s="12">
        <v>611</v>
      </c>
      <c r="M14" s="12">
        <v>577</v>
      </c>
      <c r="N14" s="12">
        <v>692</v>
      </c>
      <c r="O14" s="12">
        <v>547</v>
      </c>
      <c r="P14" s="12">
        <v>590</v>
      </c>
      <c r="Q14" s="12">
        <v>750</v>
      </c>
      <c r="R14" s="12">
        <v>278</v>
      </c>
      <c r="S14" s="12">
        <v>616</v>
      </c>
      <c r="T14" s="12">
        <v>724</v>
      </c>
      <c r="U14" s="12">
        <v>299</v>
      </c>
      <c r="V14" s="12">
        <v>776</v>
      </c>
      <c r="W14" s="12">
        <v>264</v>
      </c>
      <c r="X14" s="12">
        <v>658</v>
      </c>
      <c r="Y14" s="12">
        <v>500</v>
      </c>
      <c r="Z14" s="12">
        <v>760</v>
      </c>
      <c r="AA14" s="12">
        <v>552</v>
      </c>
      <c r="AB14" s="12">
        <v>639</v>
      </c>
      <c r="AC14" s="12">
        <v>657</v>
      </c>
      <c r="AD14" s="12">
        <v>575</v>
      </c>
      <c r="AE14" s="12">
        <v>621</v>
      </c>
      <c r="AF14" s="12">
        <v>588</v>
      </c>
      <c r="AG14" s="12">
        <v>547</v>
      </c>
      <c r="AH14" s="12">
        <v>623</v>
      </c>
      <c r="AI14" s="12">
        <v>328</v>
      </c>
      <c r="AJ14" s="12">
        <v>570</v>
      </c>
      <c r="AK14" s="12">
        <v>693</v>
      </c>
      <c r="AL14" s="12">
        <v>578</v>
      </c>
      <c r="AM14" s="12">
        <v>651</v>
      </c>
      <c r="AN14" s="12">
        <v>736</v>
      </c>
      <c r="AO14" s="12">
        <v>464</v>
      </c>
      <c r="AP14" s="12">
        <v>263</v>
      </c>
      <c r="AQ14" s="12">
        <v>520</v>
      </c>
    </row>
    <row r="15" spans="1:43" x14ac:dyDescent="0.35">
      <c r="A15" s="19"/>
      <c r="B15" s="13" t="s">
        <v>811</v>
      </c>
      <c r="C15" s="15">
        <v>0.64</v>
      </c>
      <c r="D15" s="15">
        <v>0.62</v>
      </c>
      <c r="E15" s="15">
        <v>0.59</v>
      </c>
      <c r="F15" s="15">
        <v>0.66</v>
      </c>
      <c r="G15" s="15">
        <v>0.63</v>
      </c>
      <c r="H15" s="15">
        <v>0.63</v>
      </c>
      <c r="I15" s="15">
        <v>0.61</v>
      </c>
      <c r="J15" s="15">
        <v>0.57000000000000006</v>
      </c>
      <c r="K15" s="15">
        <v>0.57999999999999996</v>
      </c>
      <c r="L15" s="15">
        <v>0.61</v>
      </c>
      <c r="M15" s="15">
        <v>0.57000000000000006</v>
      </c>
      <c r="N15" s="15">
        <v>0.69000000000000006</v>
      </c>
      <c r="O15" s="15">
        <v>0.55000000000000004</v>
      </c>
      <c r="P15" s="15">
        <v>0.59</v>
      </c>
      <c r="Q15" s="15">
        <v>0.73</v>
      </c>
      <c r="R15" s="15">
        <v>0.55000000000000004</v>
      </c>
      <c r="S15" s="15">
        <v>0.61</v>
      </c>
      <c r="T15" s="15">
        <v>0.72</v>
      </c>
      <c r="U15" s="15">
        <v>0.59</v>
      </c>
      <c r="V15" s="15">
        <v>0.76</v>
      </c>
      <c r="W15" s="15">
        <v>0.52</v>
      </c>
      <c r="X15" s="15">
        <v>0.65</v>
      </c>
      <c r="Y15" s="15">
        <v>0.5</v>
      </c>
      <c r="Z15" s="15">
        <v>0.74</v>
      </c>
      <c r="AA15" s="15">
        <v>0.54</v>
      </c>
      <c r="AB15" s="15">
        <v>0.61</v>
      </c>
      <c r="AC15" s="15">
        <v>0.65</v>
      </c>
      <c r="AD15" s="15">
        <v>0.57000000000000006</v>
      </c>
      <c r="AE15" s="15">
        <v>0.61</v>
      </c>
      <c r="AF15" s="15">
        <v>0.57000000000000006</v>
      </c>
      <c r="AG15" s="15">
        <v>0.53</v>
      </c>
      <c r="AH15" s="15">
        <v>0.62</v>
      </c>
      <c r="AI15" s="15">
        <v>0.63</v>
      </c>
      <c r="AJ15" s="15">
        <v>0.55000000000000004</v>
      </c>
      <c r="AK15" s="15">
        <v>0.69000000000000006</v>
      </c>
      <c r="AL15" s="15">
        <v>0.57000000000000006</v>
      </c>
      <c r="AM15" s="15">
        <v>0.63</v>
      </c>
      <c r="AN15" s="15">
        <v>0.73</v>
      </c>
      <c r="AO15" s="15">
        <v>0.46</v>
      </c>
      <c r="AP15" s="15">
        <v>0.5</v>
      </c>
      <c r="AQ15" s="15">
        <v>0.52</v>
      </c>
    </row>
    <row r="16" spans="1:43" x14ac:dyDescent="0.35">
      <c r="A16" s="19"/>
      <c r="B16" s="11" t="s">
        <v>812</v>
      </c>
      <c r="C16" s="12">
        <v>6447</v>
      </c>
      <c r="D16" s="12">
        <v>275</v>
      </c>
      <c r="E16" s="12">
        <v>306</v>
      </c>
      <c r="F16" s="12">
        <v>261</v>
      </c>
      <c r="G16" s="12">
        <v>141</v>
      </c>
      <c r="H16" s="12">
        <v>341</v>
      </c>
      <c r="I16" s="12">
        <v>432</v>
      </c>
      <c r="J16" s="12">
        <v>90</v>
      </c>
      <c r="K16" s="12">
        <v>303</v>
      </c>
      <c r="L16" s="12">
        <v>222</v>
      </c>
      <c r="M16" s="12">
        <v>372</v>
      </c>
      <c r="N16" s="12">
        <v>156</v>
      </c>
      <c r="O16" s="12">
        <v>385</v>
      </c>
      <c r="P16" s="12">
        <v>258</v>
      </c>
      <c r="Q16" s="12">
        <v>191</v>
      </c>
      <c r="R16" s="12">
        <v>157</v>
      </c>
      <c r="S16" s="12">
        <v>156</v>
      </c>
      <c r="T16" s="12">
        <v>102</v>
      </c>
      <c r="U16" s="12">
        <v>124</v>
      </c>
      <c r="V16" s="12">
        <v>182</v>
      </c>
      <c r="W16" s="12">
        <v>110</v>
      </c>
      <c r="X16" s="12">
        <v>118</v>
      </c>
      <c r="Y16" s="12">
        <v>362</v>
      </c>
      <c r="Z16" s="12">
        <v>104</v>
      </c>
      <c r="AA16" s="12">
        <v>342</v>
      </c>
      <c r="AB16" s="12">
        <v>332</v>
      </c>
      <c r="AC16" s="12">
        <v>218</v>
      </c>
      <c r="AD16" s="12">
        <v>325</v>
      </c>
      <c r="AE16" s="12">
        <v>154</v>
      </c>
      <c r="AF16" s="12">
        <v>159</v>
      </c>
      <c r="AG16" s="12">
        <v>235</v>
      </c>
      <c r="AH16" s="12">
        <v>173</v>
      </c>
      <c r="AI16" s="12">
        <v>98</v>
      </c>
      <c r="AJ16" s="12">
        <v>295</v>
      </c>
      <c r="AK16" s="12">
        <v>100</v>
      </c>
      <c r="AL16" s="12">
        <v>175</v>
      </c>
      <c r="AM16" s="12">
        <v>239</v>
      </c>
      <c r="AN16" s="12">
        <v>117</v>
      </c>
      <c r="AO16" s="12">
        <v>154</v>
      </c>
      <c r="AP16" s="12">
        <v>115</v>
      </c>
      <c r="AQ16" s="12">
        <v>148</v>
      </c>
    </row>
    <row r="17" spans="1:43" x14ac:dyDescent="0.35">
      <c r="A17" s="19"/>
      <c r="B17" s="13" t="s">
        <v>813</v>
      </c>
      <c r="C17" s="15">
        <v>0.24</v>
      </c>
      <c r="D17" s="15">
        <v>0.27</v>
      </c>
      <c r="E17" s="15">
        <v>0.3</v>
      </c>
      <c r="F17" s="15">
        <v>0.24</v>
      </c>
      <c r="G17" s="15">
        <v>0.14000000000000001</v>
      </c>
      <c r="H17" s="15">
        <v>0.28000000000000003</v>
      </c>
      <c r="I17" s="15">
        <v>0.28999999999999998</v>
      </c>
      <c r="J17" s="15">
        <v>0.31</v>
      </c>
      <c r="K17" s="15">
        <v>0.3</v>
      </c>
      <c r="L17" s="15">
        <v>0.22</v>
      </c>
      <c r="M17" s="15">
        <v>0.37</v>
      </c>
      <c r="N17" s="15">
        <v>0.16</v>
      </c>
      <c r="O17" s="15">
        <v>0.39</v>
      </c>
      <c r="P17" s="15">
        <v>0.26</v>
      </c>
      <c r="Q17" s="15">
        <v>0.19</v>
      </c>
      <c r="R17" s="15">
        <v>0.31</v>
      </c>
      <c r="S17" s="15">
        <v>0.16</v>
      </c>
      <c r="T17" s="15">
        <v>0.1</v>
      </c>
      <c r="U17" s="15">
        <v>0.25</v>
      </c>
      <c r="V17" s="15">
        <v>0.18</v>
      </c>
      <c r="W17" s="15">
        <v>0.22</v>
      </c>
      <c r="X17" s="15">
        <v>0.12</v>
      </c>
      <c r="Y17" s="15">
        <v>0.36</v>
      </c>
      <c r="Z17" s="15">
        <v>0.1</v>
      </c>
      <c r="AA17" s="15">
        <v>0.33</v>
      </c>
      <c r="AB17" s="15">
        <v>0.32</v>
      </c>
      <c r="AC17" s="15">
        <v>0.22</v>
      </c>
      <c r="AD17" s="15">
        <v>0.33</v>
      </c>
      <c r="AE17" s="15">
        <v>0.15</v>
      </c>
      <c r="AF17" s="15">
        <v>0.15</v>
      </c>
      <c r="AG17" s="15">
        <v>0.23</v>
      </c>
      <c r="AH17" s="15">
        <v>0.17</v>
      </c>
      <c r="AI17" s="15">
        <v>0.19</v>
      </c>
      <c r="AJ17" s="15">
        <v>0.28000000000000003</v>
      </c>
      <c r="AK17" s="15">
        <v>0.1</v>
      </c>
      <c r="AL17" s="15">
        <v>0.17</v>
      </c>
      <c r="AM17" s="15">
        <v>0.23</v>
      </c>
      <c r="AN17" s="15">
        <v>0.12</v>
      </c>
      <c r="AO17" s="15">
        <v>0.15</v>
      </c>
      <c r="AP17" s="15">
        <v>0.22</v>
      </c>
      <c r="AQ17" s="15">
        <v>0.15</v>
      </c>
    </row>
    <row r="18" spans="1:43" x14ac:dyDescent="0.35">
      <c r="A18" s="19"/>
      <c r="B18" s="11" t="s">
        <v>485</v>
      </c>
      <c r="C18" s="12">
        <v>52</v>
      </c>
      <c r="D18" s="12">
        <v>2</v>
      </c>
      <c r="E18" s="12">
        <v>4</v>
      </c>
      <c r="F18" s="12">
        <v>3</v>
      </c>
      <c r="G18" s="12">
        <v>7</v>
      </c>
      <c r="H18" s="12">
        <v>3</v>
      </c>
      <c r="I18" s="12">
        <v>3</v>
      </c>
      <c r="J18" s="12">
        <v>1</v>
      </c>
      <c r="K18" s="12">
        <v>3</v>
      </c>
      <c r="L18" s="12">
        <v>9</v>
      </c>
      <c r="M18" s="12">
        <v>0</v>
      </c>
      <c r="N18" s="12">
        <v>0</v>
      </c>
      <c r="O18" s="12">
        <v>4</v>
      </c>
      <c r="P18" s="12">
        <v>1</v>
      </c>
      <c r="Q18" s="12">
        <v>1</v>
      </c>
      <c r="R18" s="12">
        <v>4</v>
      </c>
      <c r="S18" s="12">
        <v>1</v>
      </c>
      <c r="T18" s="12">
        <v>0</v>
      </c>
      <c r="U18" s="12">
        <v>6</v>
      </c>
      <c r="V18" s="12">
        <v>1</v>
      </c>
      <c r="W18" s="12">
        <v>0</v>
      </c>
      <c r="X18" s="12">
        <v>2</v>
      </c>
      <c r="Y18" s="12">
        <v>1</v>
      </c>
      <c r="Z18" s="12">
        <v>0</v>
      </c>
      <c r="AA18" s="12">
        <v>3</v>
      </c>
      <c r="AB18" s="12">
        <v>5</v>
      </c>
      <c r="AC18" s="12">
        <v>0</v>
      </c>
      <c r="AD18" s="12">
        <v>0</v>
      </c>
      <c r="AE18" s="12">
        <v>0</v>
      </c>
      <c r="AF18" s="12">
        <v>0</v>
      </c>
      <c r="AG18" s="12">
        <v>1</v>
      </c>
      <c r="AH18" s="12">
        <v>0</v>
      </c>
      <c r="AI18" s="12">
        <v>16</v>
      </c>
      <c r="AJ18" s="12">
        <v>0</v>
      </c>
      <c r="AK18" s="12">
        <v>0</v>
      </c>
      <c r="AL18" s="12">
        <v>7</v>
      </c>
      <c r="AM18" s="12">
        <v>3</v>
      </c>
      <c r="AN18" s="12">
        <v>1</v>
      </c>
      <c r="AO18" s="12">
        <v>1</v>
      </c>
      <c r="AP18" s="12">
        <v>0</v>
      </c>
      <c r="AQ18" s="12">
        <v>4</v>
      </c>
    </row>
    <row r="19" spans="1:43" x14ac:dyDescent="0.35">
      <c r="A19" s="19"/>
      <c r="B19" s="13" t="s">
        <v>486</v>
      </c>
      <c r="C19" s="14" t="s">
        <v>475</v>
      </c>
      <c r="D19" s="14" t="s">
        <v>475</v>
      </c>
      <c r="E19" s="14" t="s">
        <v>475</v>
      </c>
      <c r="F19" s="14" t="s">
        <v>475</v>
      </c>
      <c r="G19" s="15">
        <v>0.01</v>
      </c>
      <c r="H19" s="14" t="s">
        <v>475</v>
      </c>
      <c r="I19" s="14" t="s">
        <v>475</v>
      </c>
      <c r="J19" s="14" t="s">
        <v>475</v>
      </c>
      <c r="K19" s="14" t="s">
        <v>475</v>
      </c>
      <c r="L19" s="15">
        <v>0.01</v>
      </c>
      <c r="M19" s="14" t="s">
        <v>475</v>
      </c>
      <c r="N19" s="14" t="s">
        <v>475</v>
      </c>
      <c r="O19" s="14" t="s">
        <v>475</v>
      </c>
      <c r="P19" s="14" t="s">
        <v>475</v>
      </c>
      <c r="Q19" s="14" t="s">
        <v>475</v>
      </c>
      <c r="R19" s="15">
        <v>0.01</v>
      </c>
      <c r="S19" s="14" t="s">
        <v>475</v>
      </c>
      <c r="T19" s="14" t="s">
        <v>475</v>
      </c>
      <c r="U19" s="15">
        <v>0.01</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5">
        <v>0.03</v>
      </c>
      <c r="AJ19" s="14" t="s">
        <v>475</v>
      </c>
      <c r="AK19" s="14" t="s">
        <v>475</v>
      </c>
      <c r="AL19" s="15">
        <v>0.01</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814</v>
      </c>
      <c r="C3" s="18"/>
      <c r="D3" s="18"/>
      <c r="E3" s="18"/>
      <c r="F3" s="18"/>
      <c r="H3" s="18" t="s">
        <v>815</v>
      </c>
      <c r="I3" s="18"/>
      <c r="J3" s="18"/>
      <c r="K3" s="18"/>
      <c r="L3" s="18"/>
    </row>
    <row r="4" spans="1:32" ht="27" customHeight="1" x14ac:dyDescent="0.35">
      <c r="B4" s="18" t="s">
        <v>816</v>
      </c>
      <c r="C4" s="18"/>
      <c r="D4" s="18"/>
      <c r="E4" s="18"/>
      <c r="F4" s="18"/>
      <c r="H4" s="18" t="s">
        <v>817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19133</v>
      </c>
      <c r="D12" s="12">
        <v>741</v>
      </c>
      <c r="E12" s="12">
        <v>573</v>
      </c>
      <c r="F12" s="12">
        <v>721</v>
      </c>
      <c r="G12" s="12">
        <v>644</v>
      </c>
      <c r="H12" s="12">
        <v>1028</v>
      </c>
      <c r="I12" s="12">
        <v>1241</v>
      </c>
      <c r="J12" s="12">
        <v>214</v>
      </c>
      <c r="K12" s="12">
        <v>654</v>
      </c>
      <c r="L12" s="12">
        <v>714</v>
      </c>
      <c r="M12" s="12">
        <v>754</v>
      </c>
      <c r="N12" s="12">
        <v>800</v>
      </c>
      <c r="O12" s="12">
        <v>608</v>
      </c>
      <c r="P12" s="12">
        <v>710</v>
      </c>
      <c r="Q12" s="12">
        <v>797</v>
      </c>
      <c r="R12" s="12">
        <v>399</v>
      </c>
      <c r="S12" s="12">
        <v>743</v>
      </c>
      <c r="T12" s="12">
        <v>830</v>
      </c>
      <c r="U12" s="12">
        <v>367</v>
      </c>
      <c r="V12" s="12">
        <v>674</v>
      </c>
      <c r="W12" s="12">
        <v>337</v>
      </c>
      <c r="X12" s="12">
        <v>792</v>
      </c>
      <c r="Y12" s="12">
        <v>618</v>
      </c>
      <c r="Z12" s="12">
        <v>703</v>
      </c>
      <c r="AA12" s="12">
        <v>702</v>
      </c>
      <c r="AB12" s="12">
        <v>666</v>
      </c>
      <c r="AC12" s="12">
        <v>742</v>
      </c>
      <c r="AD12" s="12">
        <v>681</v>
      </c>
      <c r="AE12" s="12">
        <v>756</v>
      </c>
      <c r="AF12" s="12">
        <v>644</v>
      </c>
    </row>
    <row r="13" spans="1:32" x14ac:dyDescent="0.35">
      <c r="A13" s="19"/>
      <c r="B13" s="13" t="s">
        <v>819</v>
      </c>
      <c r="C13" s="15">
        <v>0.72</v>
      </c>
      <c r="D13" s="15">
        <v>0.73</v>
      </c>
      <c r="E13" s="15">
        <v>0.56000000000000005</v>
      </c>
      <c r="F13" s="15">
        <v>0.66</v>
      </c>
      <c r="G13" s="15">
        <v>0.64</v>
      </c>
      <c r="H13" s="15">
        <v>0.84</v>
      </c>
      <c r="I13" s="15">
        <v>0.82000000000000006</v>
      </c>
      <c r="J13" s="15">
        <v>0.72</v>
      </c>
      <c r="K13" s="15">
        <v>0.65</v>
      </c>
      <c r="L13" s="15">
        <v>0.71</v>
      </c>
      <c r="M13" s="15">
        <v>0.75</v>
      </c>
      <c r="N13" s="15">
        <v>0.8</v>
      </c>
      <c r="O13" s="15">
        <v>0.61</v>
      </c>
      <c r="P13" s="15">
        <v>0.71</v>
      </c>
      <c r="Q13" s="15">
        <v>0.78</v>
      </c>
      <c r="R13" s="15">
        <v>0.79</v>
      </c>
      <c r="S13" s="15">
        <v>0.74</v>
      </c>
      <c r="T13" s="15">
        <v>0.83000000000000007</v>
      </c>
      <c r="U13" s="15">
        <v>0.73</v>
      </c>
      <c r="V13" s="15">
        <v>0.67</v>
      </c>
      <c r="W13" s="15">
        <v>0.66</v>
      </c>
      <c r="X13" s="15">
        <v>0.79</v>
      </c>
      <c r="Y13" s="15">
        <v>0.62</v>
      </c>
      <c r="Z13" s="15">
        <v>0.68</v>
      </c>
      <c r="AA13" s="15">
        <v>0.68</v>
      </c>
      <c r="AB13" s="15">
        <v>0.63</v>
      </c>
      <c r="AC13" s="15">
        <v>0.74</v>
      </c>
      <c r="AD13" s="15">
        <v>0.68</v>
      </c>
      <c r="AE13" s="15">
        <v>0.75</v>
      </c>
      <c r="AF13" s="15">
        <v>0.62</v>
      </c>
    </row>
    <row r="14" spans="1:32" x14ac:dyDescent="0.35">
      <c r="A14" s="19"/>
      <c r="B14" s="11" t="s">
        <v>820</v>
      </c>
      <c r="C14" s="12">
        <v>5832</v>
      </c>
      <c r="D14" s="12">
        <v>249</v>
      </c>
      <c r="E14" s="12">
        <v>335</v>
      </c>
      <c r="F14" s="12">
        <v>344</v>
      </c>
      <c r="G14" s="12">
        <v>280</v>
      </c>
      <c r="H14" s="12">
        <v>160</v>
      </c>
      <c r="I14" s="12">
        <v>236</v>
      </c>
      <c r="J14" s="12">
        <v>76</v>
      </c>
      <c r="K14" s="12">
        <v>241</v>
      </c>
      <c r="L14" s="12">
        <v>193</v>
      </c>
      <c r="M14" s="12">
        <v>223</v>
      </c>
      <c r="N14" s="12">
        <v>124</v>
      </c>
      <c r="O14" s="12">
        <v>287</v>
      </c>
      <c r="P14" s="12">
        <v>252</v>
      </c>
      <c r="Q14" s="12">
        <v>193</v>
      </c>
      <c r="R14" s="12">
        <v>76</v>
      </c>
      <c r="S14" s="12">
        <v>180</v>
      </c>
      <c r="T14" s="12">
        <v>94</v>
      </c>
      <c r="U14" s="12">
        <v>107</v>
      </c>
      <c r="V14" s="12">
        <v>287</v>
      </c>
      <c r="W14" s="12">
        <v>154</v>
      </c>
      <c r="X14" s="12">
        <v>193</v>
      </c>
      <c r="Y14" s="12">
        <v>355</v>
      </c>
      <c r="Z14" s="12">
        <v>281</v>
      </c>
      <c r="AA14" s="12">
        <v>202</v>
      </c>
      <c r="AB14" s="12">
        <v>322</v>
      </c>
      <c r="AC14" s="12">
        <v>237</v>
      </c>
      <c r="AD14" s="12">
        <v>284</v>
      </c>
      <c r="AE14" s="12">
        <v>168</v>
      </c>
      <c r="AF14" s="12">
        <v>371</v>
      </c>
    </row>
    <row r="15" spans="1:32" x14ac:dyDescent="0.35">
      <c r="A15" s="19"/>
      <c r="B15" s="13" t="s">
        <v>821</v>
      </c>
      <c r="C15" s="15">
        <v>0.22</v>
      </c>
      <c r="D15" s="15">
        <v>0.25</v>
      </c>
      <c r="E15" s="15">
        <v>0.32</v>
      </c>
      <c r="F15" s="15">
        <v>0.31</v>
      </c>
      <c r="G15" s="15">
        <v>0.28000000000000003</v>
      </c>
      <c r="H15" s="15">
        <v>0.13</v>
      </c>
      <c r="I15" s="15">
        <v>0.16</v>
      </c>
      <c r="J15" s="15">
        <v>0.26</v>
      </c>
      <c r="K15" s="15">
        <v>0.24</v>
      </c>
      <c r="L15" s="15">
        <v>0.19</v>
      </c>
      <c r="M15" s="15">
        <v>0.22</v>
      </c>
      <c r="N15" s="15">
        <v>0.12</v>
      </c>
      <c r="O15" s="15">
        <v>0.28999999999999998</v>
      </c>
      <c r="P15" s="15">
        <v>0.25</v>
      </c>
      <c r="Q15" s="15">
        <v>0.19</v>
      </c>
      <c r="R15" s="15">
        <v>0.15</v>
      </c>
      <c r="S15" s="15">
        <v>0.18</v>
      </c>
      <c r="T15" s="15">
        <v>0.09</v>
      </c>
      <c r="U15" s="15">
        <v>0.21</v>
      </c>
      <c r="V15" s="15">
        <v>0.28000000000000003</v>
      </c>
      <c r="W15" s="15">
        <v>0.3</v>
      </c>
      <c r="X15" s="15">
        <v>0.19</v>
      </c>
      <c r="Y15" s="15">
        <v>0.35</v>
      </c>
      <c r="Z15" s="15">
        <v>0.27</v>
      </c>
      <c r="AA15" s="15">
        <v>0.2</v>
      </c>
      <c r="AB15" s="15">
        <v>0.31</v>
      </c>
      <c r="AC15" s="15">
        <v>0.24</v>
      </c>
      <c r="AD15" s="15">
        <v>0.28000000000000003</v>
      </c>
      <c r="AE15" s="15">
        <v>0.16</v>
      </c>
      <c r="AF15" s="15">
        <v>0.35</v>
      </c>
    </row>
    <row r="16" spans="1:32" x14ac:dyDescent="0.35">
      <c r="A16" s="19"/>
      <c r="B16" s="11" t="s">
        <v>485</v>
      </c>
      <c r="C16" s="12">
        <v>1480</v>
      </c>
      <c r="D16" s="12">
        <v>23</v>
      </c>
      <c r="E16" s="12">
        <v>122</v>
      </c>
      <c r="F16" s="12">
        <v>38</v>
      </c>
      <c r="G16" s="12">
        <v>82</v>
      </c>
      <c r="H16" s="12">
        <v>33</v>
      </c>
      <c r="I16" s="12">
        <v>38</v>
      </c>
      <c r="J16" s="12">
        <v>5</v>
      </c>
      <c r="K16" s="12">
        <v>107</v>
      </c>
      <c r="L16" s="12">
        <v>95</v>
      </c>
      <c r="M16" s="12">
        <v>32</v>
      </c>
      <c r="N16" s="12">
        <v>79</v>
      </c>
      <c r="O16" s="12">
        <v>106</v>
      </c>
      <c r="P16" s="12">
        <v>42</v>
      </c>
      <c r="Q16" s="12">
        <v>37</v>
      </c>
      <c r="R16" s="12">
        <v>29</v>
      </c>
      <c r="S16" s="12">
        <v>79</v>
      </c>
      <c r="T16" s="12">
        <v>82</v>
      </c>
      <c r="U16" s="12">
        <v>30</v>
      </c>
      <c r="V16" s="12">
        <v>54</v>
      </c>
      <c r="W16" s="12">
        <v>18</v>
      </c>
      <c r="X16" s="12">
        <v>24</v>
      </c>
      <c r="Y16" s="12">
        <v>30</v>
      </c>
      <c r="Z16" s="12">
        <v>47</v>
      </c>
      <c r="AA16" s="12">
        <v>129</v>
      </c>
      <c r="AB16" s="12">
        <v>62</v>
      </c>
      <c r="AC16" s="12">
        <v>25</v>
      </c>
      <c r="AD16" s="12">
        <v>41</v>
      </c>
      <c r="AE16" s="12">
        <v>88</v>
      </c>
      <c r="AF16" s="12">
        <v>28</v>
      </c>
    </row>
    <row r="17" spans="1:32" x14ac:dyDescent="0.35">
      <c r="A17" s="19"/>
      <c r="B17" s="13" t="s">
        <v>486</v>
      </c>
      <c r="C17" s="15">
        <v>0.06</v>
      </c>
      <c r="D17" s="15">
        <v>0.02</v>
      </c>
      <c r="E17" s="15">
        <v>0.12</v>
      </c>
      <c r="F17" s="15">
        <v>0.03</v>
      </c>
      <c r="G17" s="15">
        <v>0.08</v>
      </c>
      <c r="H17" s="15">
        <v>0.03</v>
      </c>
      <c r="I17" s="15">
        <v>0.02</v>
      </c>
      <c r="J17" s="15">
        <v>0.02</v>
      </c>
      <c r="K17" s="15">
        <v>0.11</v>
      </c>
      <c r="L17" s="15">
        <v>0.1</v>
      </c>
      <c r="M17" s="15">
        <v>0.03</v>
      </c>
      <c r="N17" s="15">
        <v>0.08</v>
      </c>
      <c r="O17" s="15">
        <v>0.1</v>
      </c>
      <c r="P17" s="15">
        <v>0.04</v>
      </c>
      <c r="Q17" s="15">
        <v>0.03</v>
      </c>
      <c r="R17" s="15">
        <v>0.06</v>
      </c>
      <c r="S17" s="15">
        <v>0.08</v>
      </c>
      <c r="T17" s="15">
        <v>0.08</v>
      </c>
      <c r="U17" s="15">
        <v>0.06</v>
      </c>
      <c r="V17" s="15">
        <v>0.05</v>
      </c>
      <c r="W17" s="15">
        <v>0.04</v>
      </c>
      <c r="X17" s="15">
        <v>0.02</v>
      </c>
      <c r="Y17" s="15">
        <v>0.03</v>
      </c>
      <c r="Z17" s="15">
        <v>0.05</v>
      </c>
      <c r="AA17" s="15">
        <v>0.12</v>
      </c>
      <c r="AB17" s="15">
        <v>0.06</v>
      </c>
      <c r="AC17" s="15">
        <v>0.02</v>
      </c>
      <c r="AD17" s="15">
        <v>0.04</v>
      </c>
      <c r="AE17" s="15">
        <v>0.09</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822</v>
      </c>
      <c r="C3" s="18"/>
      <c r="D3" s="18"/>
      <c r="E3" s="18"/>
      <c r="F3" s="18"/>
      <c r="H3" s="18" t="s">
        <v>823</v>
      </c>
      <c r="I3" s="18"/>
      <c r="J3" s="18"/>
      <c r="K3" s="18"/>
      <c r="L3" s="18"/>
    </row>
    <row r="4" spans="1:32" ht="27" customHeight="1" x14ac:dyDescent="0.35">
      <c r="B4" s="18" t="s">
        <v>824</v>
      </c>
      <c r="C4" s="18"/>
      <c r="D4" s="18"/>
      <c r="E4" s="18"/>
      <c r="F4" s="18"/>
      <c r="H4" s="18" t="s">
        <v>825</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20937</v>
      </c>
      <c r="D12" s="12">
        <v>836</v>
      </c>
      <c r="E12" s="12">
        <v>664</v>
      </c>
      <c r="F12" s="12">
        <v>801</v>
      </c>
      <c r="G12" s="12">
        <v>831</v>
      </c>
      <c r="H12" s="12">
        <v>1075</v>
      </c>
      <c r="I12" s="12">
        <v>1299</v>
      </c>
      <c r="J12" s="12">
        <v>225</v>
      </c>
      <c r="K12" s="12">
        <v>791</v>
      </c>
      <c r="L12" s="12">
        <v>664</v>
      </c>
      <c r="M12" s="12">
        <v>786</v>
      </c>
      <c r="N12" s="12">
        <v>839</v>
      </c>
      <c r="O12" s="12">
        <v>744</v>
      </c>
      <c r="P12" s="12">
        <v>766</v>
      </c>
      <c r="Q12" s="12">
        <v>829</v>
      </c>
      <c r="R12" s="12">
        <v>435</v>
      </c>
      <c r="S12" s="12">
        <v>847</v>
      </c>
      <c r="T12" s="12">
        <v>879</v>
      </c>
      <c r="U12" s="12">
        <v>447</v>
      </c>
      <c r="V12" s="12">
        <v>726</v>
      </c>
      <c r="W12" s="12">
        <v>350</v>
      </c>
      <c r="X12" s="12">
        <v>844</v>
      </c>
      <c r="Y12" s="12">
        <v>630</v>
      </c>
      <c r="Z12" s="12">
        <v>835</v>
      </c>
      <c r="AA12" s="12">
        <v>747</v>
      </c>
      <c r="AB12" s="12">
        <v>695</v>
      </c>
      <c r="AC12" s="12">
        <v>803</v>
      </c>
      <c r="AD12" s="12">
        <v>769</v>
      </c>
      <c r="AE12" s="12">
        <v>896</v>
      </c>
      <c r="AF12" s="12">
        <v>801</v>
      </c>
    </row>
    <row r="13" spans="1:32" x14ac:dyDescent="0.35">
      <c r="A13" s="19"/>
      <c r="B13" s="13" t="s">
        <v>819</v>
      </c>
      <c r="C13" s="15">
        <v>0.79</v>
      </c>
      <c r="D13" s="15">
        <v>0.83000000000000007</v>
      </c>
      <c r="E13" s="15">
        <v>0.64</v>
      </c>
      <c r="F13" s="15">
        <v>0.73</v>
      </c>
      <c r="G13" s="15">
        <v>0.83000000000000007</v>
      </c>
      <c r="H13" s="15">
        <v>0.88</v>
      </c>
      <c r="I13" s="15">
        <v>0.86</v>
      </c>
      <c r="J13" s="15">
        <v>0.76</v>
      </c>
      <c r="K13" s="15">
        <v>0.79</v>
      </c>
      <c r="L13" s="15">
        <v>0.66</v>
      </c>
      <c r="M13" s="15">
        <v>0.78</v>
      </c>
      <c r="N13" s="15">
        <v>0.84</v>
      </c>
      <c r="O13" s="15">
        <v>0.74</v>
      </c>
      <c r="P13" s="15">
        <v>0.76</v>
      </c>
      <c r="Q13" s="15">
        <v>0.81</v>
      </c>
      <c r="R13" s="15">
        <v>0.86</v>
      </c>
      <c r="S13" s="15">
        <v>0.84</v>
      </c>
      <c r="T13" s="15">
        <v>0.87</v>
      </c>
      <c r="U13" s="15">
        <v>0.89</v>
      </c>
      <c r="V13" s="15">
        <v>0.72</v>
      </c>
      <c r="W13" s="15">
        <v>0.69000000000000006</v>
      </c>
      <c r="X13" s="15">
        <v>0.84</v>
      </c>
      <c r="Y13" s="15">
        <v>0.63</v>
      </c>
      <c r="Z13" s="15">
        <v>0.81</v>
      </c>
      <c r="AA13" s="15">
        <v>0.72</v>
      </c>
      <c r="AB13" s="15">
        <v>0.66</v>
      </c>
      <c r="AC13" s="15">
        <v>0.8</v>
      </c>
      <c r="AD13" s="15">
        <v>0.76</v>
      </c>
      <c r="AE13" s="15">
        <v>0.89</v>
      </c>
      <c r="AF13" s="15">
        <v>0.77</v>
      </c>
    </row>
    <row r="14" spans="1:32" x14ac:dyDescent="0.35">
      <c r="A14" s="19"/>
      <c r="B14" s="11" t="s">
        <v>820</v>
      </c>
      <c r="C14" s="12">
        <v>4475</v>
      </c>
      <c r="D14" s="12">
        <v>166</v>
      </c>
      <c r="E14" s="12">
        <v>256</v>
      </c>
      <c r="F14" s="12">
        <v>272</v>
      </c>
      <c r="G14" s="12">
        <v>134</v>
      </c>
      <c r="H14" s="12">
        <v>108</v>
      </c>
      <c r="I14" s="12">
        <v>177</v>
      </c>
      <c r="J14" s="12">
        <v>69</v>
      </c>
      <c r="K14" s="12">
        <v>142</v>
      </c>
      <c r="L14" s="12">
        <v>255</v>
      </c>
      <c r="M14" s="12">
        <v>208</v>
      </c>
      <c r="N14" s="12">
        <v>112</v>
      </c>
      <c r="O14" s="12">
        <v>196</v>
      </c>
      <c r="P14" s="12">
        <v>205</v>
      </c>
      <c r="Q14" s="12">
        <v>168</v>
      </c>
      <c r="R14" s="12">
        <v>52</v>
      </c>
      <c r="S14" s="12">
        <v>97</v>
      </c>
      <c r="T14" s="12">
        <v>72</v>
      </c>
      <c r="U14" s="12">
        <v>43</v>
      </c>
      <c r="V14" s="12">
        <v>248</v>
      </c>
      <c r="W14" s="12">
        <v>149</v>
      </c>
      <c r="X14" s="12">
        <v>147</v>
      </c>
      <c r="Y14" s="12">
        <v>342</v>
      </c>
      <c r="Z14" s="12">
        <v>173</v>
      </c>
      <c r="AA14" s="12">
        <v>186</v>
      </c>
      <c r="AB14" s="12">
        <v>299</v>
      </c>
      <c r="AC14" s="12">
        <v>180</v>
      </c>
      <c r="AD14" s="12">
        <v>207</v>
      </c>
      <c r="AE14" s="12">
        <v>72</v>
      </c>
      <c r="AF14" s="12">
        <v>228</v>
      </c>
    </row>
    <row r="15" spans="1:32" x14ac:dyDescent="0.35">
      <c r="A15" s="19"/>
      <c r="B15" s="13" t="s">
        <v>821</v>
      </c>
      <c r="C15" s="15">
        <v>0.17</v>
      </c>
      <c r="D15" s="15">
        <v>0.16</v>
      </c>
      <c r="E15" s="15">
        <v>0.25</v>
      </c>
      <c r="F15" s="15">
        <v>0.25</v>
      </c>
      <c r="G15" s="15">
        <v>0.13</v>
      </c>
      <c r="H15" s="15">
        <v>0.09</v>
      </c>
      <c r="I15" s="15">
        <v>0.12</v>
      </c>
      <c r="J15" s="15">
        <v>0.23</v>
      </c>
      <c r="K15" s="15">
        <v>0.14000000000000001</v>
      </c>
      <c r="L15" s="15">
        <v>0.26</v>
      </c>
      <c r="M15" s="15">
        <v>0.21</v>
      </c>
      <c r="N15" s="15">
        <v>0.11</v>
      </c>
      <c r="O15" s="15">
        <v>0.2</v>
      </c>
      <c r="P15" s="15">
        <v>0.21</v>
      </c>
      <c r="Q15" s="15">
        <v>0.16</v>
      </c>
      <c r="R15" s="15">
        <v>0.1</v>
      </c>
      <c r="S15" s="15">
        <v>0.1</v>
      </c>
      <c r="T15" s="15">
        <v>7.0000000000000007E-2</v>
      </c>
      <c r="U15" s="15">
        <v>0.08</v>
      </c>
      <c r="V15" s="15">
        <v>0.24</v>
      </c>
      <c r="W15" s="15">
        <v>0.28999999999999998</v>
      </c>
      <c r="X15" s="15">
        <v>0.14000000000000001</v>
      </c>
      <c r="Y15" s="15">
        <v>0.34</v>
      </c>
      <c r="Z15" s="15">
        <v>0.17</v>
      </c>
      <c r="AA15" s="15">
        <v>0.18</v>
      </c>
      <c r="AB15" s="15">
        <v>0.28999999999999998</v>
      </c>
      <c r="AC15" s="15">
        <v>0.18</v>
      </c>
      <c r="AD15" s="15">
        <v>0.21</v>
      </c>
      <c r="AE15" s="15">
        <v>7.0000000000000007E-2</v>
      </c>
      <c r="AF15" s="15">
        <v>0.22</v>
      </c>
    </row>
    <row r="16" spans="1:32" x14ac:dyDescent="0.35">
      <c r="A16" s="19"/>
      <c r="B16" s="11" t="s">
        <v>485</v>
      </c>
      <c r="C16" s="12">
        <v>1033</v>
      </c>
      <c r="D16" s="12">
        <v>11</v>
      </c>
      <c r="E16" s="12">
        <v>109</v>
      </c>
      <c r="F16" s="12">
        <v>29</v>
      </c>
      <c r="G16" s="12">
        <v>40</v>
      </c>
      <c r="H16" s="12">
        <v>38</v>
      </c>
      <c r="I16" s="12">
        <v>40</v>
      </c>
      <c r="J16" s="12">
        <v>2</v>
      </c>
      <c r="K16" s="12">
        <v>69</v>
      </c>
      <c r="L16" s="12">
        <v>83</v>
      </c>
      <c r="M16" s="12">
        <v>16</v>
      </c>
      <c r="N16" s="12">
        <v>52</v>
      </c>
      <c r="O16" s="12">
        <v>61</v>
      </c>
      <c r="P16" s="12">
        <v>33</v>
      </c>
      <c r="Q16" s="12">
        <v>30</v>
      </c>
      <c r="R16" s="12">
        <v>17</v>
      </c>
      <c r="S16" s="12">
        <v>58</v>
      </c>
      <c r="T16" s="12">
        <v>55</v>
      </c>
      <c r="U16" s="12">
        <v>14</v>
      </c>
      <c r="V16" s="12">
        <v>41</v>
      </c>
      <c r="W16" s="12">
        <v>9</v>
      </c>
      <c r="X16" s="12">
        <v>18</v>
      </c>
      <c r="Y16" s="12">
        <v>31</v>
      </c>
      <c r="Z16" s="12">
        <v>23</v>
      </c>
      <c r="AA16" s="12">
        <v>100</v>
      </c>
      <c r="AB16" s="12">
        <v>57</v>
      </c>
      <c r="AC16" s="12">
        <v>19</v>
      </c>
      <c r="AD16" s="12">
        <v>29</v>
      </c>
      <c r="AE16" s="12">
        <v>44</v>
      </c>
      <c r="AF16" s="12">
        <v>14</v>
      </c>
    </row>
    <row r="17" spans="1:32" x14ac:dyDescent="0.35">
      <c r="A17" s="19"/>
      <c r="B17" s="13" t="s">
        <v>486</v>
      </c>
      <c r="C17" s="15">
        <v>0.04</v>
      </c>
      <c r="D17" s="15">
        <v>0.01</v>
      </c>
      <c r="E17" s="15">
        <v>0.11</v>
      </c>
      <c r="F17" s="15">
        <v>0.02</v>
      </c>
      <c r="G17" s="15">
        <v>0.04</v>
      </c>
      <c r="H17" s="15">
        <v>0.03</v>
      </c>
      <c r="I17" s="15">
        <v>0.02</v>
      </c>
      <c r="J17" s="15">
        <v>0.01</v>
      </c>
      <c r="K17" s="15">
        <v>7.0000000000000007E-2</v>
      </c>
      <c r="L17" s="15">
        <v>0.08</v>
      </c>
      <c r="M17" s="15">
        <v>0.01</v>
      </c>
      <c r="N17" s="15">
        <v>0.05</v>
      </c>
      <c r="O17" s="15">
        <v>0.06</v>
      </c>
      <c r="P17" s="15">
        <v>0.03</v>
      </c>
      <c r="Q17" s="15">
        <v>0.03</v>
      </c>
      <c r="R17" s="15">
        <v>0.04</v>
      </c>
      <c r="S17" s="15">
        <v>0.06</v>
      </c>
      <c r="T17" s="15">
        <v>0.06</v>
      </c>
      <c r="U17" s="15">
        <v>0.03</v>
      </c>
      <c r="V17" s="15">
        <v>0.04</v>
      </c>
      <c r="W17" s="15">
        <v>0.02</v>
      </c>
      <c r="X17" s="15">
        <v>0.02</v>
      </c>
      <c r="Y17" s="15">
        <v>0.03</v>
      </c>
      <c r="Z17" s="15">
        <v>0.02</v>
      </c>
      <c r="AA17" s="15">
        <v>0.1</v>
      </c>
      <c r="AB17" s="15">
        <v>0.05</v>
      </c>
      <c r="AC17" s="15">
        <v>0.02</v>
      </c>
      <c r="AD17" s="15">
        <v>0.03</v>
      </c>
      <c r="AE17" s="15">
        <v>0.04</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826</v>
      </c>
      <c r="C3" s="18"/>
      <c r="D3" s="18"/>
      <c r="E3" s="18"/>
      <c r="F3" s="18"/>
      <c r="H3" s="18" t="s">
        <v>827</v>
      </c>
      <c r="I3" s="18"/>
      <c r="J3" s="18"/>
      <c r="K3" s="18"/>
      <c r="L3" s="18"/>
    </row>
    <row r="4" spans="1:32" ht="27" customHeight="1" x14ac:dyDescent="0.35">
      <c r="B4" s="18" t="s">
        <v>828</v>
      </c>
      <c r="C4" s="18"/>
      <c r="D4" s="18"/>
      <c r="E4" s="18"/>
      <c r="F4" s="18"/>
      <c r="H4" s="18" t="s">
        <v>829</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19751</v>
      </c>
      <c r="D12" s="12">
        <v>781</v>
      </c>
      <c r="E12" s="12">
        <v>629</v>
      </c>
      <c r="F12" s="12">
        <v>705</v>
      </c>
      <c r="G12" s="12">
        <v>820</v>
      </c>
      <c r="H12" s="12">
        <v>1049</v>
      </c>
      <c r="I12" s="12">
        <v>1282</v>
      </c>
      <c r="J12" s="12">
        <v>233</v>
      </c>
      <c r="K12" s="12">
        <v>751</v>
      </c>
      <c r="L12" s="12">
        <v>816</v>
      </c>
      <c r="M12" s="12">
        <v>772</v>
      </c>
      <c r="N12" s="12">
        <v>803</v>
      </c>
      <c r="O12" s="12">
        <v>621</v>
      </c>
      <c r="P12" s="12">
        <v>736</v>
      </c>
      <c r="Q12" s="12">
        <v>749</v>
      </c>
      <c r="R12" s="12">
        <v>419</v>
      </c>
      <c r="S12" s="12">
        <v>803</v>
      </c>
      <c r="T12" s="12">
        <v>841</v>
      </c>
      <c r="U12" s="12">
        <v>400</v>
      </c>
      <c r="V12" s="12">
        <v>760</v>
      </c>
      <c r="W12" s="12">
        <v>414</v>
      </c>
      <c r="X12" s="12">
        <v>821</v>
      </c>
      <c r="Y12" s="12">
        <v>729</v>
      </c>
      <c r="Z12" s="12">
        <v>719</v>
      </c>
      <c r="AA12" s="12">
        <v>889</v>
      </c>
      <c r="AB12" s="12">
        <v>645</v>
      </c>
      <c r="AC12" s="12">
        <v>798</v>
      </c>
      <c r="AD12" s="12">
        <v>733</v>
      </c>
      <c r="AE12" s="12">
        <v>795</v>
      </c>
      <c r="AF12" s="12">
        <v>847</v>
      </c>
    </row>
    <row r="13" spans="1:32" x14ac:dyDescent="0.35">
      <c r="A13" s="19"/>
      <c r="B13" s="13" t="s">
        <v>819</v>
      </c>
      <c r="C13" s="15">
        <v>0.75</v>
      </c>
      <c r="D13" s="15">
        <v>0.77</v>
      </c>
      <c r="E13" s="15">
        <v>0.61</v>
      </c>
      <c r="F13" s="15">
        <v>0.64</v>
      </c>
      <c r="G13" s="15">
        <v>0.81</v>
      </c>
      <c r="H13" s="15">
        <v>0.86</v>
      </c>
      <c r="I13" s="15">
        <v>0.85</v>
      </c>
      <c r="J13" s="15">
        <v>0.79</v>
      </c>
      <c r="K13" s="15">
        <v>0.75</v>
      </c>
      <c r="L13" s="15">
        <v>0.82000000000000006</v>
      </c>
      <c r="M13" s="15">
        <v>0.76</v>
      </c>
      <c r="N13" s="15">
        <v>0.8</v>
      </c>
      <c r="O13" s="15">
        <v>0.62</v>
      </c>
      <c r="P13" s="15">
        <v>0.73</v>
      </c>
      <c r="Q13" s="15">
        <v>0.73</v>
      </c>
      <c r="R13" s="15">
        <v>0.83000000000000007</v>
      </c>
      <c r="S13" s="15">
        <v>0.8</v>
      </c>
      <c r="T13" s="15">
        <v>0.84</v>
      </c>
      <c r="U13" s="15">
        <v>0.79</v>
      </c>
      <c r="V13" s="15">
        <v>0.75</v>
      </c>
      <c r="W13" s="15">
        <v>0.81</v>
      </c>
      <c r="X13" s="15">
        <v>0.82000000000000006</v>
      </c>
      <c r="Y13" s="15">
        <v>0.73</v>
      </c>
      <c r="Z13" s="15">
        <v>0.70000000000000007</v>
      </c>
      <c r="AA13" s="15">
        <v>0.86</v>
      </c>
      <c r="AB13" s="15">
        <v>0.61</v>
      </c>
      <c r="AC13" s="15">
        <v>0.8</v>
      </c>
      <c r="AD13" s="15">
        <v>0.73</v>
      </c>
      <c r="AE13" s="15">
        <v>0.79</v>
      </c>
      <c r="AF13" s="15">
        <v>0.81</v>
      </c>
    </row>
    <row r="14" spans="1:32" x14ac:dyDescent="0.35">
      <c r="A14" s="19"/>
      <c r="B14" s="11" t="s">
        <v>820</v>
      </c>
      <c r="C14" s="12">
        <v>5313</v>
      </c>
      <c r="D14" s="12">
        <v>206</v>
      </c>
      <c r="E14" s="12">
        <v>281</v>
      </c>
      <c r="F14" s="12">
        <v>356</v>
      </c>
      <c r="G14" s="12">
        <v>139</v>
      </c>
      <c r="H14" s="12">
        <v>140</v>
      </c>
      <c r="I14" s="12">
        <v>196</v>
      </c>
      <c r="J14" s="12">
        <v>56</v>
      </c>
      <c r="K14" s="12">
        <v>180</v>
      </c>
      <c r="L14" s="12">
        <v>94</v>
      </c>
      <c r="M14" s="12">
        <v>189</v>
      </c>
      <c r="N14" s="12">
        <v>128</v>
      </c>
      <c r="O14" s="12">
        <v>289</v>
      </c>
      <c r="P14" s="12">
        <v>236</v>
      </c>
      <c r="Q14" s="12">
        <v>241</v>
      </c>
      <c r="R14" s="12">
        <v>58</v>
      </c>
      <c r="S14" s="12">
        <v>126</v>
      </c>
      <c r="T14" s="12">
        <v>72</v>
      </c>
      <c r="U14" s="12">
        <v>83</v>
      </c>
      <c r="V14" s="12">
        <v>213</v>
      </c>
      <c r="W14" s="12">
        <v>75</v>
      </c>
      <c r="X14" s="12">
        <v>164</v>
      </c>
      <c r="Y14" s="12">
        <v>245</v>
      </c>
      <c r="Z14" s="12">
        <v>263</v>
      </c>
      <c r="AA14" s="12">
        <v>46</v>
      </c>
      <c r="AB14" s="12">
        <v>341</v>
      </c>
      <c r="AC14" s="12">
        <v>185</v>
      </c>
      <c r="AD14" s="12">
        <v>219</v>
      </c>
      <c r="AE14" s="12">
        <v>123</v>
      </c>
      <c r="AF14" s="12">
        <v>167</v>
      </c>
    </row>
    <row r="15" spans="1:32" x14ac:dyDescent="0.35">
      <c r="A15" s="19"/>
      <c r="B15" s="13" t="s">
        <v>821</v>
      </c>
      <c r="C15" s="15">
        <v>0.2</v>
      </c>
      <c r="D15" s="15">
        <v>0.2</v>
      </c>
      <c r="E15" s="15">
        <v>0.27</v>
      </c>
      <c r="F15" s="15">
        <v>0.32</v>
      </c>
      <c r="G15" s="15">
        <v>0.14000000000000001</v>
      </c>
      <c r="H15" s="15">
        <v>0.11</v>
      </c>
      <c r="I15" s="15">
        <v>0.13</v>
      </c>
      <c r="J15" s="15">
        <v>0.19</v>
      </c>
      <c r="K15" s="15">
        <v>0.18</v>
      </c>
      <c r="L15" s="15">
        <v>0.09</v>
      </c>
      <c r="M15" s="15">
        <v>0.19</v>
      </c>
      <c r="N15" s="15">
        <v>0.13</v>
      </c>
      <c r="O15" s="15">
        <v>0.28999999999999998</v>
      </c>
      <c r="P15" s="15">
        <v>0.24</v>
      </c>
      <c r="Q15" s="15">
        <v>0.23</v>
      </c>
      <c r="R15" s="15">
        <v>0.12</v>
      </c>
      <c r="S15" s="15">
        <v>0.13</v>
      </c>
      <c r="T15" s="15">
        <v>7.0000000000000007E-2</v>
      </c>
      <c r="U15" s="15">
        <v>0.17</v>
      </c>
      <c r="V15" s="15">
        <v>0.21</v>
      </c>
      <c r="W15" s="15">
        <v>0.15</v>
      </c>
      <c r="X15" s="15">
        <v>0.16</v>
      </c>
      <c r="Y15" s="15">
        <v>0.24</v>
      </c>
      <c r="Z15" s="15">
        <v>0.25</v>
      </c>
      <c r="AA15" s="15">
        <v>0.05</v>
      </c>
      <c r="AB15" s="15">
        <v>0.33</v>
      </c>
      <c r="AC15" s="15">
        <v>0.18</v>
      </c>
      <c r="AD15" s="15">
        <v>0.22</v>
      </c>
      <c r="AE15" s="15">
        <v>0.12</v>
      </c>
      <c r="AF15" s="15">
        <v>0.16</v>
      </c>
    </row>
    <row r="16" spans="1:32" x14ac:dyDescent="0.35">
      <c r="A16" s="19"/>
      <c r="B16" s="11" t="s">
        <v>485</v>
      </c>
      <c r="C16" s="12">
        <v>1381</v>
      </c>
      <c r="D16" s="12">
        <v>25</v>
      </c>
      <c r="E16" s="12">
        <v>120</v>
      </c>
      <c r="F16" s="12">
        <v>40</v>
      </c>
      <c r="G16" s="12">
        <v>46</v>
      </c>
      <c r="H16" s="12">
        <v>32</v>
      </c>
      <c r="I16" s="12">
        <v>38</v>
      </c>
      <c r="J16" s="12">
        <v>6</v>
      </c>
      <c r="K16" s="12">
        <v>71</v>
      </c>
      <c r="L16" s="12">
        <v>92</v>
      </c>
      <c r="M16" s="12">
        <v>49</v>
      </c>
      <c r="N16" s="12">
        <v>72</v>
      </c>
      <c r="O16" s="12">
        <v>92</v>
      </c>
      <c r="P16" s="12">
        <v>32</v>
      </c>
      <c r="Q16" s="12">
        <v>37</v>
      </c>
      <c r="R16" s="12">
        <v>27</v>
      </c>
      <c r="S16" s="12">
        <v>73</v>
      </c>
      <c r="T16" s="12">
        <v>93</v>
      </c>
      <c r="U16" s="12">
        <v>21</v>
      </c>
      <c r="V16" s="12">
        <v>42</v>
      </c>
      <c r="W16" s="12">
        <v>19</v>
      </c>
      <c r="X16" s="12">
        <v>24</v>
      </c>
      <c r="Y16" s="12">
        <v>29</v>
      </c>
      <c r="Z16" s="12">
        <v>49</v>
      </c>
      <c r="AA16" s="12">
        <v>98</v>
      </c>
      <c r="AB16" s="12">
        <v>65</v>
      </c>
      <c r="AC16" s="12">
        <v>20</v>
      </c>
      <c r="AD16" s="12">
        <v>53</v>
      </c>
      <c r="AE16" s="12">
        <v>93</v>
      </c>
      <c r="AF16" s="12">
        <v>29</v>
      </c>
    </row>
    <row r="17" spans="1:32" x14ac:dyDescent="0.35">
      <c r="A17" s="19"/>
      <c r="B17" s="13" t="s">
        <v>486</v>
      </c>
      <c r="C17" s="15">
        <v>0.05</v>
      </c>
      <c r="D17" s="15">
        <v>0.03</v>
      </c>
      <c r="E17" s="15">
        <v>0.12</v>
      </c>
      <c r="F17" s="15">
        <v>0.04</v>
      </c>
      <c r="G17" s="15">
        <v>0.05</v>
      </c>
      <c r="H17" s="15">
        <v>0.03</v>
      </c>
      <c r="I17" s="15">
        <v>0.02</v>
      </c>
      <c r="J17" s="15">
        <v>0.02</v>
      </c>
      <c r="K17" s="15">
        <v>7.0000000000000007E-2</v>
      </c>
      <c r="L17" s="15">
        <v>0.09</v>
      </c>
      <c r="M17" s="15">
        <v>0.05</v>
      </c>
      <c r="N17" s="15">
        <v>7.0000000000000007E-2</v>
      </c>
      <c r="O17" s="15">
        <v>0.09</v>
      </c>
      <c r="P17" s="15">
        <v>0.03</v>
      </c>
      <c r="Q17" s="15">
        <v>0.04</v>
      </c>
      <c r="R17" s="15">
        <v>0.05</v>
      </c>
      <c r="S17" s="15">
        <v>7.0000000000000007E-2</v>
      </c>
      <c r="T17" s="15">
        <v>0.09</v>
      </c>
      <c r="U17" s="15">
        <v>0.04</v>
      </c>
      <c r="V17" s="15">
        <v>0.04</v>
      </c>
      <c r="W17" s="15">
        <v>0.04</v>
      </c>
      <c r="X17" s="15">
        <v>0.02</v>
      </c>
      <c r="Y17" s="15">
        <v>0.03</v>
      </c>
      <c r="Z17" s="15">
        <v>0.05</v>
      </c>
      <c r="AA17" s="15">
        <v>0.09</v>
      </c>
      <c r="AB17" s="15">
        <v>0.06</v>
      </c>
      <c r="AC17" s="15">
        <v>0.02</v>
      </c>
      <c r="AD17" s="15">
        <v>0.05</v>
      </c>
      <c r="AE17" s="15">
        <v>0.09</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830</v>
      </c>
      <c r="C3" s="18"/>
      <c r="D3" s="18"/>
      <c r="E3" s="18"/>
      <c r="F3" s="18"/>
      <c r="H3" s="18" t="s">
        <v>831</v>
      </c>
      <c r="I3" s="18"/>
      <c r="J3" s="18"/>
      <c r="K3" s="18"/>
      <c r="L3" s="18"/>
    </row>
    <row r="4" spans="1:32" ht="27" customHeight="1" x14ac:dyDescent="0.35">
      <c r="B4" s="18" t="s">
        <v>832</v>
      </c>
      <c r="C4" s="18"/>
      <c r="D4" s="18"/>
      <c r="E4" s="18"/>
      <c r="F4" s="18"/>
      <c r="H4" s="18" t="s">
        <v>833</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18087</v>
      </c>
      <c r="D12" s="12">
        <v>703</v>
      </c>
      <c r="E12" s="12">
        <v>571</v>
      </c>
      <c r="F12" s="12">
        <v>456</v>
      </c>
      <c r="G12" s="12">
        <v>567</v>
      </c>
      <c r="H12" s="12">
        <v>969</v>
      </c>
      <c r="I12" s="12">
        <v>1156</v>
      </c>
      <c r="J12" s="12">
        <v>187</v>
      </c>
      <c r="K12" s="12">
        <v>411</v>
      </c>
      <c r="L12" s="12">
        <v>669</v>
      </c>
      <c r="M12" s="12">
        <v>732</v>
      </c>
      <c r="N12" s="12">
        <v>802</v>
      </c>
      <c r="O12" s="12">
        <v>621</v>
      </c>
      <c r="P12" s="12">
        <v>680</v>
      </c>
      <c r="Q12" s="12">
        <v>813</v>
      </c>
      <c r="R12" s="12">
        <v>378</v>
      </c>
      <c r="S12" s="12">
        <v>469</v>
      </c>
      <c r="T12" s="12">
        <v>621</v>
      </c>
      <c r="U12" s="12">
        <v>378</v>
      </c>
      <c r="V12" s="12">
        <v>438</v>
      </c>
      <c r="W12" s="12">
        <v>322</v>
      </c>
      <c r="X12" s="12">
        <v>776</v>
      </c>
      <c r="Y12" s="12">
        <v>552</v>
      </c>
      <c r="Z12" s="12">
        <v>587</v>
      </c>
      <c r="AA12" s="12">
        <v>748</v>
      </c>
      <c r="AB12" s="12">
        <v>583</v>
      </c>
      <c r="AC12" s="12">
        <v>622</v>
      </c>
      <c r="AD12" s="12">
        <v>486</v>
      </c>
      <c r="AE12" s="12">
        <v>600</v>
      </c>
      <c r="AF12" s="12">
        <v>742</v>
      </c>
    </row>
    <row r="13" spans="1:32" x14ac:dyDescent="0.35">
      <c r="A13" s="19"/>
      <c r="B13" s="13" t="s">
        <v>819</v>
      </c>
      <c r="C13" s="15">
        <v>0.68</v>
      </c>
      <c r="D13" s="15">
        <v>0.69000000000000006</v>
      </c>
      <c r="E13" s="15">
        <v>0.55000000000000004</v>
      </c>
      <c r="F13" s="15">
        <v>0.41</v>
      </c>
      <c r="G13" s="15">
        <v>0.56000000000000005</v>
      </c>
      <c r="H13" s="15">
        <v>0.79</v>
      </c>
      <c r="I13" s="15">
        <v>0.76</v>
      </c>
      <c r="J13" s="15">
        <v>0.64</v>
      </c>
      <c r="K13" s="15">
        <v>0.41</v>
      </c>
      <c r="L13" s="15">
        <v>0.67</v>
      </c>
      <c r="M13" s="15">
        <v>0.73</v>
      </c>
      <c r="N13" s="15">
        <v>0.8</v>
      </c>
      <c r="O13" s="15">
        <v>0.62</v>
      </c>
      <c r="P13" s="15">
        <v>0.68</v>
      </c>
      <c r="Q13" s="15">
        <v>0.79</v>
      </c>
      <c r="R13" s="15">
        <v>0.75</v>
      </c>
      <c r="S13" s="15">
        <v>0.47</v>
      </c>
      <c r="T13" s="15">
        <v>0.62</v>
      </c>
      <c r="U13" s="15">
        <v>0.75</v>
      </c>
      <c r="V13" s="15">
        <v>0.43</v>
      </c>
      <c r="W13" s="15">
        <v>0.64</v>
      </c>
      <c r="X13" s="15">
        <v>0.77</v>
      </c>
      <c r="Y13" s="15">
        <v>0.55000000000000004</v>
      </c>
      <c r="Z13" s="15">
        <v>0.57000000000000006</v>
      </c>
      <c r="AA13" s="15">
        <v>0.72</v>
      </c>
      <c r="AB13" s="15">
        <v>0.56000000000000005</v>
      </c>
      <c r="AC13" s="15">
        <v>0.62</v>
      </c>
      <c r="AD13" s="15">
        <v>0.48</v>
      </c>
      <c r="AE13" s="15">
        <v>0.59</v>
      </c>
      <c r="AF13" s="15">
        <v>0.71</v>
      </c>
    </row>
    <row r="14" spans="1:32" x14ac:dyDescent="0.35">
      <c r="A14" s="19"/>
      <c r="B14" s="11" t="s">
        <v>820</v>
      </c>
      <c r="C14" s="12">
        <v>7191</v>
      </c>
      <c r="D14" s="12">
        <v>294</v>
      </c>
      <c r="E14" s="12">
        <v>359</v>
      </c>
      <c r="F14" s="12">
        <v>605</v>
      </c>
      <c r="G14" s="12">
        <v>366</v>
      </c>
      <c r="H14" s="12">
        <v>225</v>
      </c>
      <c r="I14" s="12">
        <v>326</v>
      </c>
      <c r="J14" s="12">
        <v>101</v>
      </c>
      <c r="K14" s="12">
        <v>494</v>
      </c>
      <c r="L14" s="12">
        <v>256</v>
      </c>
      <c r="M14" s="12">
        <v>246</v>
      </c>
      <c r="N14" s="12">
        <v>154</v>
      </c>
      <c r="O14" s="12">
        <v>291</v>
      </c>
      <c r="P14" s="12">
        <v>296</v>
      </c>
      <c r="Q14" s="12">
        <v>194</v>
      </c>
      <c r="R14" s="12">
        <v>104</v>
      </c>
      <c r="S14" s="12">
        <v>449</v>
      </c>
      <c r="T14" s="12">
        <v>311</v>
      </c>
      <c r="U14" s="12">
        <v>109</v>
      </c>
      <c r="V14" s="12">
        <v>550</v>
      </c>
      <c r="W14" s="12">
        <v>174</v>
      </c>
      <c r="X14" s="12">
        <v>225</v>
      </c>
      <c r="Y14" s="12">
        <v>425</v>
      </c>
      <c r="Z14" s="12">
        <v>399</v>
      </c>
      <c r="AA14" s="12">
        <v>206</v>
      </c>
      <c r="AB14" s="12">
        <v>401</v>
      </c>
      <c r="AC14" s="12">
        <v>358</v>
      </c>
      <c r="AD14" s="12">
        <v>488</v>
      </c>
      <c r="AE14" s="12">
        <v>273</v>
      </c>
      <c r="AF14" s="12">
        <v>274</v>
      </c>
    </row>
    <row r="15" spans="1:32" x14ac:dyDescent="0.35">
      <c r="A15" s="19"/>
      <c r="B15" s="13" t="s">
        <v>821</v>
      </c>
      <c r="C15" s="15">
        <v>0.27</v>
      </c>
      <c r="D15" s="15">
        <v>0.28999999999999998</v>
      </c>
      <c r="E15" s="15">
        <v>0.35</v>
      </c>
      <c r="F15" s="15">
        <v>0.55000000000000004</v>
      </c>
      <c r="G15" s="15">
        <v>0.37</v>
      </c>
      <c r="H15" s="15">
        <v>0.19</v>
      </c>
      <c r="I15" s="15">
        <v>0.22</v>
      </c>
      <c r="J15" s="15">
        <v>0.34</v>
      </c>
      <c r="K15" s="15">
        <v>0.49</v>
      </c>
      <c r="L15" s="15">
        <v>0.25</v>
      </c>
      <c r="M15" s="15">
        <v>0.24</v>
      </c>
      <c r="N15" s="15">
        <v>0.15</v>
      </c>
      <c r="O15" s="15">
        <v>0.28999999999999998</v>
      </c>
      <c r="P15" s="15">
        <v>0.28999999999999998</v>
      </c>
      <c r="Q15" s="15">
        <v>0.19</v>
      </c>
      <c r="R15" s="15">
        <v>0.21</v>
      </c>
      <c r="S15" s="15">
        <v>0.45</v>
      </c>
      <c r="T15" s="15">
        <v>0.31</v>
      </c>
      <c r="U15" s="15">
        <v>0.22</v>
      </c>
      <c r="V15" s="15">
        <v>0.54</v>
      </c>
      <c r="W15" s="15">
        <v>0.34</v>
      </c>
      <c r="X15" s="15">
        <v>0.22</v>
      </c>
      <c r="Y15" s="15">
        <v>0.42</v>
      </c>
      <c r="Z15" s="15">
        <v>0.39</v>
      </c>
      <c r="AA15" s="15">
        <v>0.2</v>
      </c>
      <c r="AB15" s="15">
        <v>0.38</v>
      </c>
      <c r="AC15" s="15">
        <v>0.36</v>
      </c>
      <c r="AD15" s="15">
        <v>0.49</v>
      </c>
      <c r="AE15" s="15">
        <v>0.27</v>
      </c>
      <c r="AF15" s="15">
        <v>0.26</v>
      </c>
    </row>
    <row r="16" spans="1:32" x14ac:dyDescent="0.35">
      <c r="A16" s="19"/>
      <c r="B16" s="11" t="s">
        <v>485</v>
      </c>
      <c r="C16" s="12">
        <v>1167</v>
      </c>
      <c r="D16" s="12">
        <v>16</v>
      </c>
      <c r="E16" s="12">
        <v>100</v>
      </c>
      <c r="F16" s="12">
        <v>41</v>
      </c>
      <c r="G16" s="12">
        <v>73</v>
      </c>
      <c r="H16" s="12">
        <v>27</v>
      </c>
      <c r="I16" s="12">
        <v>34</v>
      </c>
      <c r="J16" s="12">
        <v>7</v>
      </c>
      <c r="K16" s="12">
        <v>97</v>
      </c>
      <c r="L16" s="12">
        <v>77</v>
      </c>
      <c r="M16" s="12">
        <v>33</v>
      </c>
      <c r="N16" s="12">
        <v>47</v>
      </c>
      <c r="O16" s="12">
        <v>90</v>
      </c>
      <c r="P16" s="12">
        <v>28</v>
      </c>
      <c r="Q16" s="12">
        <v>20</v>
      </c>
      <c r="R16" s="12">
        <v>23</v>
      </c>
      <c r="S16" s="12">
        <v>84</v>
      </c>
      <c r="T16" s="12">
        <v>74</v>
      </c>
      <c r="U16" s="12">
        <v>17</v>
      </c>
      <c r="V16" s="12">
        <v>28</v>
      </c>
      <c r="W16" s="12">
        <v>12</v>
      </c>
      <c r="X16" s="12">
        <v>8</v>
      </c>
      <c r="Y16" s="12">
        <v>26</v>
      </c>
      <c r="Z16" s="12">
        <v>44</v>
      </c>
      <c r="AA16" s="12">
        <v>79</v>
      </c>
      <c r="AB16" s="12">
        <v>66</v>
      </c>
      <c r="AC16" s="12">
        <v>23</v>
      </c>
      <c r="AD16" s="12">
        <v>31</v>
      </c>
      <c r="AE16" s="12">
        <v>139</v>
      </c>
      <c r="AF16" s="12">
        <v>27</v>
      </c>
    </row>
    <row r="17" spans="1:32" x14ac:dyDescent="0.35">
      <c r="A17" s="19"/>
      <c r="B17" s="13" t="s">
        <v>486</v>
      </c>
      <c r="C17" s="15">
        <v>0.05</v>
      </c>
      <c r="D17" s="15">
        <v>0.02</v>
      </c>
      <c r="E17" s="15">
        <v>0.1</v>
      </c>
      <c r="F17" s="15">
        <v>0.04</v>
      </c>
      <c r="G17" s="15">
        <v>7.0000000000000007E-2</v>
      </c>
      <c r="H17" s="15">
        <v>0.02</v>
      </c>
      <c r="I17" s="15">
        <v>0.02</v>
      </c>
      <c r="J17" s="15">
        <v>0.02</v>
      </c>
      <c r="K17" s="15">
        <v>0.1</v>
      </c>
      <c r="L17" s="15">
        <v>0.08</v>
      </c>
      <c r="M17" s="15">
        <v>0.03</v>
      </c>
      <c r="N17" s="15">
        <v>0.05</v>
      </c>
      <c r="O17" s="15">
        <v>0.09</v>
      </c>
      <c r="P17" s="15">
        <v>0.03</v>
      </c>
      <c r="Q17" s="15">
        <v>0.02</v>
      </c>
      <c r="R17" s="15">
        <v>0.04</v>
      </c>
      <c r="S17" s="15">
        <v>0.08</v>
      </c>
      <c r="T17" s="15">
        <v>7.0000000000000007E-2</v>
      </c>
      <c r="U17" s="15">
        <v>0.03</v>
      </c>
      <c r="V17" s="15">
        <v>0.03</v>
      </c>
      <c r="W17" s="15">
        <v>0.02</v>
      </c>
      <c r="X17" s="15">
        <v>0.01</v>
      </c>
      <c r="Y17" s="15">
        <v>0.03</v>
      </c>
      <c r="Z17" s="15">
        <v>0.04</v>
      </c>
      <c r="AA17" s="15">
        <v>0.08</v>
      </c>
      <c r="AB17" s="15">
        <v>0.06</v>
      </c>
      <c r="AC17" s="15">
        <v>0.02</v>
      </c>
      <c r="AD17" s="15">
        <v>0.03</v>
      </c>
      <c r="AE17" s="15">
        <v>0.14000000000000001</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834</v>
      </c>
      <c r="C3" s="18"/>
      <c r="D3" s="18"/>
      <c r="E3" s="18"/>
      <c r="F3" s="18"/>
      <c r="H3" s="18" t="s">
        <v>835</v>
      </c>
      <c r="I3" s="18"/>
      <c r="J3" s="18"/>
      <c r="K3" s="18"/>
      <c r="L3" s="18"/>
    </row>
    <row r="4" spans="1:32" ht="27" customHeight="1" x14ac:dyDescent="0.35">
      <c r="B4" s="18" t="s">
        <v>836</v>
      </c>
      <c r="C4" s="18"/>
      <c r="D4" s="18"/>
      <c r="E4" s="18"/>
      <c r="F4" s="18"/>
      <c r="H4" s="18" t="s">
        <v>837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19097</v>
      </c>
      <c r="D12" s="12">
        <v>767</v>
      </c>
      <c r="E12" s="12">
        <v>534</v>
      </c>
      <c r="F12" s="12">
        <v>557</v>
      </c>
      <c r="G12" s="12">
        <v>764</v>
      </c>
      <c r="H12" s="12">
        <v>966</v>
      </c>
      <c r="I12" s="12">
        <v>1163</v>
      </c>
      <c r="J12" s="12">
        <v>197</v>
      </c>
      <c r="K12" s="12">
        <v>596</v>
      </c>
      <c r="L12" s="12">
        <v>783</v>
      </c>
      <c r="M12" s="12">
        <v>747</v>
      </c>
      <c r="N12" s="12">
        <v>800</v>
      </c>
      <c r="O12" s="12">
        <v>687</v>
      </c>
      <c r="P12" s="12">
        <v>747</v>
      </c>
      <c r="Q12" s="12">
        <v>817</v>
      </c>
      <c r="R12" s="12">
        <v>417</v>
      </c>
      <c r="S12" s="12">
        <v>666</v>
      </c>
      <c r="T12" s="12">
        <v>787</v>
      </c>
      <c r="U12" s="12">
        <v>412</v>
      </c>
      <c r="V12" s="12">
        <v>712</v>
      </c>
      <c r="W12" s="12">
        <v>419</v>
      </c>
      <c r="X12" s="12">
        <v>735</v>
      </c>
      <c r="Y12" s="12">
        <v>635</v>
      </c>
      <c r="Z12" s="12">
        <v>673</v>
      </c>
      <c r="AA12" s="12">
        <v>818</v>
      </c>
      <c r="AB12" s="12">
        <v>613</v>
      </c>
      <c r="AC12" s="12">
        <v>738</v>
      </c>
      <c r="AD12" s="12">
        <v>672</v>
      </c>
      <c r="AE12" s="12">
        <v>612</v>
      </c>
      <c r="AF12" s="12">
        <v>648</v>
      </c>
    </row>
    <row r="13" spans="1:32" x14ac:dyDescent="0.35">
      <c r="A13" s="19"/>
      <c r="B13" s="13" t="s">
        <v>819</v>
      </c>
      <c r="C13" s="15">
        <v>0.72</v>
      </c>
      <c r="D13" s="15">
        <v>0.76</v>
      </c>
      <c r="E13" s="15">
        <v>0.52</v>
      </c>
      <c r="F13" s="15">
        <v>0.51</v>
      </c>
      <c r="G13" s="15">
        <v>0.76</v>
      </c>
      <c r="H13" s="15">
        <v>0.79</v>
      </c>
      <c r="I13" s="15">
        <v>0.77</v>
      </c>
      <c r="J13" s="15">
        <v>0.67</v>
      </c>
      <c r="K13" s="15">
        <v>0.6</v>
      </c>
      <c r="L13" s="15">
        <v>0.78</v>
      </c>
      <c r="M13" s="15">
        <v>0.74</v>
      </c>
      <c r="N13" s="15">
        <v>0.8</v>
      </c>
      <c r="O13" s="15">
        <v>0.69000000000000006</v>
      </c>
      <c r="P13" s="15">
        <v>0.74</v>
      </c>
      <c r="Q13" s="15">
        <v>0.8</v>
      </c>
      <c r="R13" s="15">
        <v>0.83000000000000007</v>
      </c>
      <c r="S13" s="15">
        <v>0.66</v>
      </c>
      <c r="T13" s="15">
        <v>0.78</v>
      </c>
      <c r="U13" s="15">
        <v>0.82000000000000006</v>
      </c>
      <c r="V13" s="15">
        <v>0.70000000000000007</v>
      </c>
      <c r="W13" s="15">
        <v>0.82000000000000006</v>
      </c>
      <c r="X13" s="15">
        <v>0.73</v>
      </c>
      <c r="Y13" s="15">
        <v>0.63</v>
      </c>
      <c r="Z13" s="15">
        <v>0.65</v>
      </c>
      <c r="AA13" s="15">
        <v>0.79</v>
      </c>
      <c r="AB13" s="15">
        <v>0.57999999999999996</v>
      </c>
      <c r="AC13" s="15">
        <v>0.74</v>
      </c>
      <c r="AD13" s="15">
        <v>0.67</v>
      </c>
      <c r="AE13" s="15">
        <v>0.61</v>
      </c>
      <c r="AF13" s="15">
        <v>0.62</v>
      </c>
    </row>
    <row r="14" spans="1:32" x14ac:dyDescent="0.35">
      <c r="A14" s="19"/>
      <c r="B14" s="11" t="s">
        <v>820</v>
      </c>
      <c r="C14" s="12">
        <v>6095</v>
      </c>
      <c r="D14" s="12">
        <v>228</v>
      </c>
      <c r="E14" s="12">
        <v>376</v>
      </c>
      <c r="F14" s="12">
        <v>498</v>
      </c>
      <c r="G14" s="12">
        <v>197</v>
      </c>
      <c r="H14" s="12">
        <v>224</v>
      </c>
      <c r="I14" s="12">
        <v>316</v>
      </c>
      <c r="J14" s="12">
        <v>92</v>
      </c>
      <c r="K14" s="12">
        <v>301</v>
      </c>
      <c r="L14" s="12">
        <v>126</v>
      </c>
      <c r="M14" s="12">
        <v>233</v>
      </c>
      <c r="N14" s="12">
        <v>129</v>
      </c>
      <c r="O14" s="12">
        <v>246</v>
      </c>
      <c r="P14" s="12">
        <v>226</v>
      </c>
      <c r="Q14" s="12">
        <v>184</v>
      </c>
      <c r="R14" s="12">
        <v>59</v>
      </c>
      <c r="S14" s="12">
        <v>241</v>
      </c>
      <c r="T14" s="12">
        <v>141</v>
      </c>
      <c r="U14" s="12">
        <v>69</v>
      </c>
      <c r="V14" s="12">
        <v>275</v>
      </c>
      <c r="W14" s="12">
        <v>76</v>
      </c>
      <c r="X14" s="12">
        <v>250</v>
      </c>
      <c r="Y14" s="12">
        <v>337</v>
      </c>
      <c r="Z14" s="12">
        <v>309</v>
      </c>
      <c r="AA14" s="12">
        <v>128</v>
      </c>
      <c r="AB14" s="12">
        <v>367</v>
      </c>
      <c r="AC14" s="12">
        <v>242</v>
      </c>
      <c r="AD14" s="12">
        <v>280</v>
      </c>
      <c r="AE14" s="12">
        <v>275</v>
      </c>
      <c r="AF14" s="12">
        <v>353</v>
      </c>
    </row>
    <row r="15" spans="1:32" x14ac:dyDescent="0.35">
      <c r="A15" s="19"/>
      <c r="B15" s="13" t="s">
        <v>821</v>
      </c>
      <c r="C15" s="15">
        <v>0.23</v>
      </c>
      <c r="D15" s="15">
        <v>0.22</v>
      </c>
      <c r="E15" s="15">
        <v>0.36</v>
      </c>
      <c r="F15" s="15">
        <v>0.45</v>
      </c>
      <c r="G15" s="15">
        <v>0.2</v>
      </c>
      <c r="H15" s="15">
        <v>0.18</v>
      </c>
      <c r="I15" s="15">
        <v>0.21</v>
      </c>
      <c r="J15" s="15">
        <v>0.31</v>
      </c>
      <c r="K15" s="15">
        <v>0.3</v>
      </c>
      <c r="L15" s="15">
        <v>0.13</v>
      </c>
      <c r="M15" s="15">
        <v>0.23</v>
      </c>
      <c r="N15" s="15">
        <v>0.13</v>
      </c>
      <c r="O15" s="15">
        <v>0.24</v>
      </c>
      <c r="P15" s="15">
        <v>0.23</v>
      </c>
      <c r="Q15" s="15">
        <v>0.18</v>
      </c>
      <c r="R15" s="15">
        <v>0.12</v>
      </c>
      <c r="S15" s="15">
        <v>0.24</v>
      </c>
      <c r="T15" s="15">
        <v>0.14000000000000001</v>
      </c>
      <c r="U15" s="15">
        <v>0.14000000000000001</v>
      </c>
      <c r="V15" s="15">
        <v>0.27</v>
      </c>
      <c r="W15" s="15">
        <v>0.15</v>
      </c>
      <c r="X15" s="15">
        <v>0.25</v>
      </c>
      <c r="Y15" s="15">
        <v>0.34</v>
      </c>
      <c r="Z15" s="15">
        <v>0.3</v>
      </c>
      <c r="AA15" s="15">
        <v>0.12</v>
      </c>
      <c r="AB15" s="15">
        <v>0.35</v>
      </c>
      <c r="AC15" s="15">
        <v>0.24</v>
      </c>
      <c r="AD15" s="15">
        <v>0.28000000000000003</v>
      </c>
      <c r="AE15" s="15">
        <v>0.27</v>
      </c>
      <c r="AF15" s="15">
        <v>0.34</v>
      </c>
    </row>
    <row r="16" spans="1:32" x14ac:dyDescent="0.35">
      <c r="A16" s="19"/>
      <c r="B16" s="11" t="s">
        <v>485</v>
      </c>
      <c r="C16" s="12">
        <v>1253</v>
      </c>
      <c r="D16" s="12">
        <v>18</v>
      </c>
      <c r="E16" s="12">
        <v>120</v>
      </c>
      <c r="F16" s="12">
        <v>46</v>
      </c>
      <c r="G16" s="12">
        <v>45</v>
      </c>
      <c r="H16" s="12">
        <v>31</v>
      </c>
      <c r="I16" s="12">
        <v>37</v>
      </c>
      <c r="J16" s="12">
        <v>6</v>
      </c>
      <c r="K16" s="12">
        <v>105</v>
      </c>
      <c r="L16" s="12">
        <v>92</v>
      </c>
      <c r="M16" s="12">
        <v>30</v>
      </c>
      <c r="N16" s="12">
        <v>75</v>
      </c>
      <c r="O16" s="12">
        <v>68</v>
      </c>
      <c r="P16" s="12">
        <v>30</v>
      </c>
      <c r="Q16" s="12">
        <v>25</v>
      </c>
      <c r="R16" s="12">
        <v>28</v>
      </c>
      <c r="S16" s="12">
        <v>95</v>
      </c>
      <c r="T16" s="12">
        <v>78</v>
      </c>
      <c r="U16" s="12">
        <v>23</v>
      </c>
      <c r="V16" s="12">
        <v>28</v>
      </c>
      <c r="W16" s="12">
        <v>13</v>
      </c>
      <c r="X16" s="12">
        <v>24</v>
      </c>
      <c r="Y16" s="12">
        <v>31</v>
      </c>
      <c r="Z16" s="12">
        <v>49</v>
      </c>
      <c r="AA16" s="12">
        <v>87</v>
      </c>
      <c r="AB16" s="12">
        <v>71</v>
      </c>
      <c r="AC16" s="12">
        <v>24</v>
      </c>
      <c r="AD16" s="12">
        <v>52</v>
      </c>
      <c r="AE16" s="12">
        <v>125</v>
      </c>
      <c r="AF16" s="12">
        <v>42</v>
      </c>
    </row>
    <row r="17" spans="1:32" x14ac:dyDescent="0.35">
      <c r="A17" s="19"/>
      <c r="B17" s="13" t="s">
        <v>486</v>
      </c>
      <c r="C17" s="15">
        <v>0.05</v>
      </c>
      <c r="D17" s="15">
        <v>0.02</v>
      </c>
      <c r="E17" s="15">
        <v>0.12</v>
      </c>
      <c r="F17" s="15">
        <v>0.04</v>
      </c>
      <c r="G17" s="15">
        <v>0.04</v>
      </c>
      <c r="H17" s="15">
        <v>0.03</v>
      </c>
      <c r="I17" s="15">
        <v>0.02</v>
      </c>
      <c r="J17" s="15">
        <v>0.02</v>
      </c>
      <c r="K17" s="15">
        <v>0.1</v>
      </c>
      <c r="L17" s="15">
        <v>0.09</v>
      </c>
      <c r="M17" s="15">
        <v>0.03</v>
      </c>
      <c r="N17" s="15">
        <v>7.0000000000000007E-2</v>
      </c>
      <c r="O17" s="15">
        <v>7.0000000000000007E-2</v>
      </c>
      <c r="P17" s="15">
        <v>0.03</v>
      </c>
      <c r="Q17" s="15">
        <v>0.02</v>
      </c>
      <c r="R17" s="15">
        <v>0.05</v>
      </c>
      <c r="S17" s="15">
        <v>0.1</v>
      </c>
      <c r="T17" s="15">
        <v>0.08</v>
      </c>
      <c r="U17" s="15">
        <v>0.04</v>
      </c>
      <c r="V17" s="15">
        <v>0.03</v>
      </c>
      <c r="W17" s="15">
        <v>0.03</v>
      </c>
      <c r="X17" s="15">
        <v>0.02</v>
      </c>
      <c r="Y17" s="15">
        <v>0.03</v>
      </c>
      <c r="Z17" s="15">
        <v>0.05</v>
      </c>
      <c r="AA17" s="15">
        <v>0.09</v>
      </c>
      <c r="AB17" s="15">
        <v>7.0000000000000007E-2</v>
      </c>
      <c r="AC17" s="15">
        <v>0.02</v>
      </c>
      <c r="AD17" s="15">
        <v>0.05</v>
      </c>
      <c r="AE17" s="15">
        <v>0.12</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17"/>
  <sheetViews>
    <sheetView workbookViewId="0">
      <pane xSplit="3" ySplit="9" topLeftCell="D10" activePane="bottomRight" state="frozen"/>
      <selection pane="topRight"/>
      <selection pane="bottomLeft"/>
      <selection pane="bottomRight" activeCell="H4" sqref="H4:L4"/>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838</v>
      </c>
      <c r="C3" s="18"/>
      <c r="D3" s="18"/>
      <c r="E3" s="18"/>
      <c r="F3" s="18"/>
      <c r="H3" s="18" t="s">
        <v>839</v>
      </c>
      <c r="I3" s="18"/>
      <c r="J3" s="18"/>
      <c r="K3" s="18"/>
      <c r="L3" s="18"/>
    </row>
    <row r="4" spans="1:32" ht="27" customHeight="1" x14ac:dyDescent="0.35">
      <c r="B4" s="18" t="s">
        <v>840</v>
      </c>
      <c r="C4" s="18"/>
      <c r="D4" s="18"/>
      <c r="E4" s="18"/>
      <c r="F4" s="18"/>
      <c r="H4" s="18" t="s">
        <v>841</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13896</v>
      </c>
      <c r="D12" s="12">
        <v>480</v>
      </c>
      <c r="E12" s="12">
        <v>488</v>
      </c>
      <c r="F12" s="12">
        <v>457</v>
      </c>
      <c r="G12" s="12">
        <v>611</v>
      </c>
      <c r="H12" s="12">
        <v>511</v>
      </c>
      <c r="I12" s="12">
        <v>606</v>
      </c>
      <c r="J12" s="12">
        <v>95</v>
      </c>
      <c r="K12" s="12">
        <v>501</v>
      </c>
      <c r="L12" s="12">
        <v>590</v>
      </c>
      <c r="M12" s="12">
        <v>535</v>
      </c>
      <c r="N12" s="12">
        <v>714</v>
      </c>
      <c r="O12" s="12">
        <v>395</v>
      </c>
      <c r="P12" s="12">
        <v>676</v>
      </c>
      <c r="Q12" s="12">
        <v>581</v>
      </c>
      <c r="R12" s="12">
        <v>248</v>
      </c>
      <c r="S12" s="12">
        <v>659</v>
      </c>
      <c r="T12" s="12">
        <v>696</v>
      </c>
      <c r="U12" s="12">
        <v>243</v>
      </c>
      <c r="V12" s="12">
        <v>597</v>
      </c>
      <c r="W12" s="12">
        <v>351</v>
      </c>
      <c r="X12" s="12">
        <v>508</v>
      </c>
      <c r="Y12" s="12">
        <v>418</v>
      </c>
      <c r="Z12" s="12">
        <v>670</v>
      </c>
      <c r="AA12" s="12">
        <v>558</v>
      </c>
      <c r="AB12" s="12">
        <v>652</v>
      </c>
      <c r="AC12" s="12">
        <v>654</v>
      </c>
      <c r="AD12" s="12">
        <v>611</v>
      </c>
      <c r="AE12" s="12">
        <v>561</v>
      </c>
      <c r="AF12" s="12">
        <v>660</v>
      </c>
    </row>
    <row r="13" spans="1:32" x14ac:dyDescent="0.35">
      <c r="A13" s="19"/>
      <c r="B13" s="13" t="s">
        <v>819</v>
      </c>
      <c r="C13" s="15">
        <v>0.52</v>
      </c>
      <c r="D13" s="15">
        <v>0.47</v>
      </c>
      <c r="E13" s="15">
        <v>0.48</v>
      </c>
      <c r="F13" s="15">
        <v>0.42</v>
      </c>
      <c r="G13" s="15">
        <v>0.61</v>
      </c>
      <c r="H13" s="15">
        <v>0.42</v>
      </c>
      <c r="I13" s="15">
        <v>0.4</v>
      </c>
      <c r="J13" s="15">
        <v>0.32</v>
      </c>
      <c r="K13" s="15">
        <v>0.5</v>
      </c>
      <c r="L13" s="15">
        <v>0.59</v>
      </c>
      <c r="M13" s="15">
        <v>0.53</v>
      </c>
      <c r="N13" s="15">
        <v>0.71</v>
      </c>
      <c r="O13" s="15">
        <v>0.4</v>
      </c>
      <c r="P13" s="15">
        <v>0.67</v>
      </c>
      <c r="Q13" s="15">
        <v>0.56000000000000005</v>
      </c>
      <c r="R13" s="15">
        <v>0.49</v>
      </c>
      <c r="S13" s="15">
        <v>0.66</v>
      </c>
      <c r="T13" s="15">
        <v>0.69000000000000006</v>
      </c>
      <c r="U13" s="15">
        <v>0.48</v>
      </c>
      <c r="V13" s="15">
        <v>0.59</v>
      </c>
      <c r="W13" s="15">
        <v>0.69000000000000006</v>
      </c>
      <c r="X13" s="15">
        <v>0.5</v>
      </c>
      <c r="Y13" s="15">
        <v>0.42</v>
      </c>
      <c r="Z13" s="15">
        <v>0.65</v>
      </c>
      <c r="AA13" s="15">
        <v>0.54</v>
      </c>
      <c r="AB13" s="15">
        <v>0.62</v>
      </c>
      <c r="AC13" s="15">
        <v>0.65</v>
      </c>
      <c r="AD13" s="15">
        <v>0.61</v>
      </c>
      <c r="AE13" s="15">
        <v>0.55000000000000004</v>
      </c>
      <c r="AF13" s="15">
        <v>0.63</v>
      </c>
    </row>
    <row r="14" spans="1:32" x14ac:dyDescent="0.35">
      <c r="A14" s="19"/>
      <c r="B14" s="11" t="s">
        <v>820</v>
      </c>
      <c r="C14" s="12">
        <v>10754</v>
      </c>
      <c r="D14" s="12">
        <v>507</v>
      </c>
      <c r="E14" s="12">
        <v>373</v>
      </c>
      <c r="F14" s="12">
        <v>597</v>
      </c>
      <c r="G14" s="12">
        <v>302</v>
      </c>
      <c r="H14" s="12">
        <v>635</v>
      </c>
      <c r="I14" s="12">
        <v>825</v>
      </c>
      <c r="J14" s="12">
        <v>190</v>
      </c>
      <c r="K14" s="12">
        <v>390</v>
      </c>
      <c r="L14" s="12">
        <v>311</v>
      </c>
      <c r="M14" s="12">
        <v>399</v>
      </c>
      <c r="N14" s="12">
        <v>191</v>
      </c>
      <c r="O14" s="12">
        <v>515</v>
      </c>
      <c r="P14" s="12">
        <v>299</v>
      </c>
      <c r="Q14" s="12">
        <v>398</v>
      </c>
      <c r="R14" s="12">
        <v>215</v>
      </c>
      <c r="S14" s="12">
        <v>245</v>
      </c>
      <c r="T14" s="12">
        <v>220</v>
      </c>
      <c r="U14" s="12">
        <v>237</v>
      </c>
      <c r="V14" s="12">
        <v>356</v>
      </c>
      <c r="W14" s="12">
        <v>132</v>
      </c>
      <c r="X14" s="12">
        <v>465</v>
      </c>
      <c r="Y14" s="12">
        <v>532</v>
      </c>
      <c r="Z14" s="12">
        <v>307</v>
      </c>
      <c r="AA14" s="12">
        <v>349</v>
      </c>
      <c r="AB14" s="12">
        <v>330</v>
      </c>
      <c r="AC14" s="12">
        <v>313</v>
      </c>
      <c r="AD14" s="12">
        <v>351</v>
      </c>
      <c r="AE14" s="12">
        <v>351</v>
      </c>
      <c r="AF14" s="12">
        <v>335</v>
      </c>
    </row>
    <row r="15" spans="1:32" x14ac:dyDescent="0.35">
      <c r="A15" s="19"/>
      <c r="B15" s="13" t="s">
        <v>821</v>
      </c>
      <c r="C15" s="15">
        <v>0.41</v>
      </c>
      <c r="D15" s="15">
        <v>0.5</v>
      </c>
      <c r="E15" s="15">
        <v>0.36</v>
      </c>
      <c r="F15" s="15">
        <v>0.54</v>
      </c>
      <c r="G15" s="15">
        <v>0.3</v>
      </c>
      <c r="H15" s="15">
        <v>0.52</v>
      </c>
      <c r="I15" s="15">
        <v>0.54</v>
      </c>
      <c r="J15" s="15">
        <v>0.65</v>
      </c>
      <c r="K15" s="15">
        <v>0.39</v>
      </c>
      <c r="L15" s="15">
        <v>0.31</v>
      </c>
      <c r="M15" s="15">
        <v>0.4</v>
      </c>
      <c r="N15" s="15">
        <v>0.19</v>
      </c>
      <c r="O15" s="15">
        <v>0.51</v>
      </c>
      <c r="P15" s="15">
        <v>0.3</v>
      </c>
      <c r="Q15" s="15">
        <v>0.39</v>
      </c>
      <c r="R15" s="15">
        <v>0.43</v>
      </c>
      <c r="S15" s="15">
        <v>0.24</v>
      </c>
      <c r="T15" s="15">
        <v>0.22</v>
      </c>
      <c r="U15" s="15">
        <v>0.47</v>
      </c>
      <c r="V15" s="15">
        <v>0.35</v>
      </c>
      <c r="W15" s="15">
        <v>0.26</v>
      </c>
      <c r="X15" s="15">
        <v>0.46</v>
      </c>
      <c r="Y15" s="15">
        <v>0.53</v>
      </c>
      <c r="Z15" s="15">
        <v>0.3</v>
      </c>
      <c r="AA15" s="15">
        <v>0.34</v>
      </c>
      <c r="AB15" s="15">
        <v>0.31</v>
      </c>
      <c r="AC15" s="15">
        <v>0.31</v>
      </c>
      <c r="AD15" s="15">
        <v>0.35</v>
      </c>
      <c r="AE15" s="15">
        <v>0.35</v>
      </c>
      <c r="AF15" s="15">
        <v>0.32</v>
      </c>
    </row>
    <row r="16" spans="1:32" x14ac:dyDescent="0.35">
      <c r="A16" s="19"/>
      <c r="B16" s="11" t="s">
        <v>485</v>
      </c>
      <c r="C16" s="12">
        <v>1796</v>
      </c>
      <c r="D16" s="12">
        <v>27</v>
      </c>
      <c r="E16" s="12">
        <v>169</v>
      </c>
      <c r="F16" s="12">
        <v>48</v>
      </c>
      <c r="G16" s="12">
        <v>93</v>
      </c>
      <c r="H16" s="12">
        <v>75</v>
      </c>
      <c r="I16" s="12">
        <v>86</v>
      </c>
      <c r="J16" s="12">
        <v>10</v>
      </c>
      <c r="K16" s="12">
        <v>110</v>
      </c>
      <c r="L16" s="12">
        <v>102</v>
      </c>
      <c r="M16" s="12">
        <v>76</v>
      </c>
      <c r="N16" s="12">
        <v>99</v>
      </c>
      <c r="O16" s="12">
        <v>91</v>
      </c>
      <c r="P16" s="12">
        <v>29</v>
      </c>
      <c r="Q16" s="12">
        <v>48</v>
      </c>
      <c r="R16" s="12">
        <v>41</v>
      </c>
      <c r="S16" s="12">
        <v>98</v>
      </c>
      <c r="T16" s="12">
        <v>90</v>
      </c>
      <c r="U16" s="12">
        <v>24</v>
      </c>
      <c r="V16" s="12">
        <v>62</v>
      </c>
      <c r="W16" s="12">
        <v>25</v>
      </c>
      <c r="X16" s="12">
        <v>36</v>
      </c>
      <c r="Y16" s="12">
        <v>53</v>
      </c>
      <c r="Z16" s="12">
        <v>54</v>
      </c>
      <c r="AA16" s="12">
        <v>126</v>
      </c>
      <c r="AB16" s="12">
        <v>70</v>
      </c>
      <c r="AC16" s="12">
        <v>36</v>
      </c>
      <c r="AD16" s="12">
        <v>42</v>
      </c>
      <c r="AE16" s="12">
        <v>99</v>
      </c>
      <c r="AF16" s="12">
        <v>49</v>
      </c>
    </row>
    <row r="17" spans="1:32" x14ac:dyDescent="0.35">
      <c r="A17" s="19"/>
      <c r="B17" s="13" t="s">
        <v>486</v>
      </c>
      <c r="C17" s="15">
        <v>7.0000000000000007E-2</v>
      </c>
      <c r="D17" s="15">
        <v>0.03</v>
      </c>
      <c r="E17" s="15">
        <v>0.16</v>
      </c>
      <c r="F17" s="15">
        <v>0.04</v>
      </c>
      <c r="G17" s="15">
        <v>0.09</v>
      </c>
      <c r="H17" s="15">
        <v>0.06</v>
      </c>
      <c r="I17" s="15">
        <v>0.06</v>
      </c>
      <c r="J17" s="15">
        <v>0.03</v>
      </c>
      <c r="K17" s="15">
        <v>0.11</v>
      </c>
      <c r="L17" s="15">
        <v>0.1</v>
      </c>
      <c r="M17" s="15">
        <v>7.0000000000000007E-2</v>
      </c>
      <c r="N17" s="15">
        <v>0.1</v>
      </c>
      <c r="O17" s="15">
        <v>0.09</v>
      </c>
      <c r="P17" s="15">
        <v>0.03</v>
      </c>
      <c r="Q17" s="15">
        <v>0.05</v>
      </c>
      <c r="R17" s="15">
        <v>0.08</v>
      </c>
      <c r="S17" s="15">
        <v>0.1</v>
      </c>
      <c r="T17" s="15">
        <v>0.09</v>
      </c>
      <c r="U17" s="15">
        <v>0.05</v>
      </c>
      <c r="V17" s="15">
        <v>0.06</v>
      </c>
      <c r="W17" s="15">
        <v>0.05</v>
      </c>
      <c r="X17" s="15">
        <v>0.04</v>
      </c>
      <c r="Y17" s="15">
        <v>0.05</v>
      </c>
      <c r="Z17" s="15">
        <v>0.05</v>
      </c>
      <c r="AA17" s="15">
        <v>0.12</v>
      </c>
      <c r="AB17" s="15">
        <v>7.0000000000000007E-2</v>
      </c>
      <c r="AC17" s="15">
        <v>0.04</v>
      </c>
      <c r="AD17" s="15">
        <v>0.04</v>
      </c>
      <c r="AE17" s="15">
        <v>0.1</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17"/>
  <sheetViews>
    <sheetView workbookViewId="0">
      <pane xSplit="3" ySplit="9" topLeftCell="D10" activePane="bottomRight" state="frozen"/>
      <selection pane="topRight"/>
      <selection pane="bottomLeft"/>
      <selection pane="bottomRight" activeCell="Z13" sqref="Z13"/>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842</v>
      </c>
      <c r="C3" s="18"/>
      <c r="D3" s="18"/>
      <c r="E3" s="18"/>
      <c r="F3" s="18"/>
      <c r="H3" s="18" t="s">
        <v>843</v>
      </c>
      <c r="I3" s="18"/>
      <c r="J3" s="18"/>
      <c r="K3" s="18"/>
      <c r="L3" s="18"/>
    </row>
    <row r="4" spans="1:32" ht="27" customHeight="1" x14ac:dyDescent="0.35">
      <c r="B4" s="18" t="s">
        <v>844</v>
      </c>
      <c r="C4" s="18"/>
      <c r="D4" s="18"/>
      <c r="E4" s="18"/>
      <c r="F4" s="18"/>
      <c r="H4" s="18" t="s">
        <v>845</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22445</v>
      </c>
      <c r="D12" s="12">
        <v>824</v>
      </c>
      <c r="E12" s="12">
        <v>892</v>
      </c>
      <c r="F12" s="12">
        <v>940</v>
      </c>
      <c r="G12" s="12">
        <v>812</v>
      </c>
      <c r="H12" s="12">
        <v>1115</v>
      </c>
      <c r="I12" s="12">
        <v>1361</v>
      </c>
      <c r="J12" s="12">
        <v>246</v>
      </c>
      <c r="K12" s="12">
        <v>930</v>
      </c>
      <c r="L12" s="12">
        <v>898</v>
      </c>
      <c r="M12" s="12">
        <v>927</v>
      </c>
      <c r="N12" s="12">
        <v>918</v>
      </c>
      <c r="O12" s="12">
        <v>790</v>
      </c>
      <c r="P12" s="12">
        <v>888</v>
      </c>
      <c r="Q12" s="12">
        <v>840</v>
      </c>
      <c r="R12" s="12">
        <v>451</v>
      </c>
      <c r="S12" s="12">
        <v>965</v>
      </c>
      <c r="T12" s="12">
        <v>943</v>
      </c>
      <c r="U12" s="12">
        <v>474</v>
      </c>
      <c r="V12" s="12">
        <v>902</v>
      </c>
      <c r="W12" s="12">
        <v>470</v>
      </c>
      <c r="X12" s="12">
        <v>836</v>
      </c>
      <c r="Y12" s="12">
        <v>734</v>
      </c>
      <c r="Z12" s="12">
        <v>836</v>
      </c>
      <c r="AA12" s="12">
        <v>904</v>
      </c>
      <c r="AB12" s="12">
        <v>783</v>
      </c>
      <c r="AC12" s="12">
        <v>875</v>
      </c>
      <c r="AD12" s="12">
        <v>903</v>
      </c>
      <c r="AE12" s="12">
        <v>935</v>
      </c>
      <c r="AF12" s="12">
        <v>927</v>
      </c>
    </row>
    <row r="13" spans="1:32" x14ac:dyDescent="0.35">
      <c r="A13" s="19"/>
      <c r="B13" s="13" t="s">
        <v>819</v>
      </c>
      <c r="C13" s="15">
        <v>0.85</v>
      </c>
      <c r="D13" s="15">
        <v>0.81</v>
      </c>
      <c r="E13" s="15">
        <v>0.86</v>
      </c>
      <c r="F13" s="15">
        <v>0.85</v>
      </c>
      <c r="G13" s="15">
        <v>0.81</v>
      </c>
      <c r="H13" s="15">
        <v>0.91</v>
      </c>
      <c r="I13" s="15">
        <v>0.9</v>
      </c>
      <c r="J13" s="15">
        <v>0.83000000000000007</v>
      </c>
      <c r="K13" s="15">
        <v>0.93</v>
      </c>
      <c r="L13" s="15">
        <v>0.9</v>
      </c>
      <c r="M13" s="15">
        <v>0.92</v>
      </c>
      <c r="N13" s="15">
        <v>0.92</v>
      </c>
      <c r="O13" s="15">
        <v>0.79</v>
      </c>
      <c r="P13" s="15">
        <v>0.88</v>
      </c>
      <c r="Q13" s="15">
        <v>0.82000000000000006</v>
      </c>
      <c r="R13" s="15">
        <v>0.89</v>
      </c>
      <c r="S13" s="15">
        <v>0.96</v>
      </c>
      <c r="T13" s="15">
        <v>0.94000000000000006</v>
      </c>
      <c r="U13" s="15">
        <v>0.94000000000000006</v>
      </c>
      <c r="V13" s="15">
        <v>0.89</v>
      </c>
      <c r="W13" s="15">
        <v>0.93</v>
      </c>
      <c r="X13" s="15">
        <v>0.83000000000000007</v>
      </c>
      <c r="Y13" s="15">
        <v>0.73</v>
      </c>
      <c r="Z13" s="15">
        <v>0.81</v>
      </c>
      <c r="AA13" s="15">
        <v>0.88</v>
      </c>
      <c r="AB13" s="15">
        <v>0.75</v>
      </c>
      <c r="AC13" s="15">
        <v>0.87</v>
      </c>
      <c r="AD13" s="15">
        <v>0.9</v>
      </c>
      <c r="AE13" s="15">
        <v>0.92</v>
      </c>
      <c r="AF13" s="15">
        <v>0.89</v>
      </c>
    </row>
    <row r="14" spans="1:32" x14ac:dyDescent="0.35">
      <c r="A14" s="19"/>
      <c r="B14" s="11" t="s">
        <v>820</v>
      </c>
      <c r="C14" s="12">
        <v>3456</v>
      </c>
      <c r="D14" s="12">
        <v>180</v>
      </c>
      <c r="E14" s="12">
        <v>90</v>
      </c>
      <c r="F14" s="12">
        <v>149</v>
      </c>
      <c r="G14" s="12">
        <v>165</v>
      </c>
      <c r="H14" s="12">
        <v>91</v>
      </c>
      <c r="I14" s="12">
        <v>134</v>
      </c>
      <c r="J14" s="12">
        <v>43</v>
      </c>
      <c r="K14" s="12">
        <v>50</v>
      </c>
      <c r="L14" s="12">
        <v>68</v>
      </c>
      <c r="M14" s="12">
        <v>73</v>
      </c>
      <c r="N14" s="12">
        <v>60</v>
      </c>
      <c r="O14" s="12">
        <v>185</v>
      </c>
      <c r="P14" s="12">
        <v>106</v>
      </c>
      <c r="Q14" s="12">
        <v>166</v>
      </c>
      <c r="R14" s="12">
        <v>38</v>
      </c>
      <c r="S14" s="12">
        <v>24</v>
      </c>
      <c r="T14" s="12">
        <v>37</v>
      </c>
      <c r="U14" s="12">
        <v>26</v>
      </c>
      <c r="V14" s="12">
        <v>105</v>
      </c>
      <c r="W14" s="12">
        <v>33</v>
      </c>
      <c r="X14" s="12">
        <v>165</v>
      </c>
      <c r="Y14" s="12">
        <v>246</v>
      </c>
      <c r="Z14" s="12">
        <v>172</v>
      </c>
      <c r="AA14" s="12">
        <v>74</v>
      </c>
      <c r="AB14" s="12">
        <v>235</v>
      </c>
      <c r="AC14" s="12">
        <v>117</v>
      </c>
      <c r="AD14" s="12">
        <v>90</v>
      </c>
      <c r="AE14" s="12">
        <v>58</v>
      </c>
      <c r="AF14" s="12">
        <v>106</v>
      </c>
    </row>
    <row r="15" spans="1:32" x14ac:dyDescent="0.35">
      <c r="A15" s="19"/>
      <c r="B15" s="13" t="s">
        <v>821</v>
      </c>
      <c r="C15" s="15">
        <v>0.13</v>
      </c>
      <c r="D15" s="15">
        <v>0.18</v>
      </c>
      <c r="E15" s="15">
        <v>0.09</v>
      </c>
      <c r="F15" s="15">
        <v>0.14000000000000001</v>
      </c>
      <c r="G15" s="15">
        <v>0.16</v>
      </c>
      <c r="H15" s="15">
        <v>0.08</v>
      </c>
      <c r="I15" s="15">
        <v>0.09</v>
      </c>
      <c r="J15" s="15">
        <v>0.15</v>
      </c>
      <c r="K15" s="15">
        <v>0.05</v>
      </c>
      <c r="L15" s="15">
        <v>7.0000000000000007E-2</v>
      </c>
      <c r="M15" s="15">
        <v>7.0000000000000007E-2</v>
      </c>
      <c r="N15" s="15">
        <v>0.06</v>
      </c>
      <c r="O15" s="15">
        <v>0.18</v>
      </c>
      <c r="P15" s="15">
        <v>0.11</v>
      </c>
      <c r="Q15" s="15">
        <v>0.16</v>
      </c>
      <c r="R15" s="15">
        <v>0.08</v>
      </c>
      <c r="S15" s="15">
        <v>0.03</v>
      </c>
      <c r="T15" s="15">
        <v>0.04</v>
      </c>
      <c r="U15" s="15">
        <v>0.05</v>
      </c>
      <c r="V15" s="15">
        <v>0.1</v>
      </c>
      <c r="W15" s="15">
        <v>0.06</v>
      </c>
      <c r="X15" s="15">
        <v>0.16</v>
      </c>
      <c r="Y15" s="15">
        <v>0.25</v>
      </c>
      <c r="Z15" s="15">
        <v>0.17</v>
      </c>
      <c r="AA15" s="15">
        <v>7.0000000000000007E-2</v>
      </c>
      <c r="AB15" s="15">
        <v>0.22</v>
      </c>
      <c r="AC15" s="15">
        <v>0.12</v>
      </c>
      <c r="AD15" s="15">
        <v>0.09</v>
      </c>
      <c r="AE15" s="15">
        <v>0.06</v>
      </c>
      <c r="AF15" s="15">
        <v>0.1</v>
      </c>
    </row>
    <row r="16" spans="1:32" x14ac:dyDescent="0.35">
      <c r="A16" s="19"/>
      <c r="B16" s="11" t="s">
        <v>485</v>
      </c>
      <c r="C16" s="12">
        <v>544</v>
      </c>
      <c r="D16" s="12">
        <v>9</v>
      </c>
      <c r="E16" s="12">
        <v>49</v>
      </c>
      <c r="F16" s="12">
        <v>13</v>
      </c>
      <c r="G16" s="12">
        <v>29</v>
      </c>
      <c r="H16" s="12">
        <v>15</v>
      </c>
      <c r="I16" s="12">
        <v>21</v>
      </c>
      <c r="J16" s="12">
        <v>5</v>
      </c>
      <c r="K16" s="12">
        <v>23</v>
      </c>
      <c r="L16" s="12">
        <v>36</v>
      </c>
      <c r="M16" s="12">
        <v>10</v>
      </c>
      <c r="N16" s="12">
        <v>25</v>
      </c>
      <c r="O16" s="12">
        <v>26</v>
      </c>
      <c r="P16" s="12">
        <v>9</v>
      </c>
      <c r="Q16" s="12">
        <v>22</v>
      </c>
      <c r="R16" s="12">
        <v>14</v>
      </c>
      <c r="S16" s="12">
        <v>13</v>
      </c>
      <c r="T16" s="12">
        <v>26</v>
      </c>
      <c r="U16" s="12">
        <v>4</v>
      </c>
      <c r="V16" s="12">
        <v>8</v>
      </c>
      <c r="W16" s="12">
        <v>5</v>
      </c>
      <c r="X16" s="12">
        <v>8</v>
      </c>
      <c r="Y16" s="12">
        <v>22</v>
      </c>
      <c r="Z16" s="12">
        <v>23</v>
      </c>
      <c r="AA16" s="12">
        <v>55</v>
      </c>
      <c r="AB16" s="12">
        <v>33</v>
      </c>
      <c r="AC16" s="12">
        <v>11</v>
      </c>
      <c r="AD16" s="12">
        <v>12</v>
      </c>
      <c r="AE16" s="12">
        <v>19</v>
      </c>
      <c r="AF16" s="12">
        <v>10</v>
      </c>
    </row>
    <row r="17" spans="1:32" x14ac:dyDescent="0.35">
      <c r="A17" s="19"/>
      <c r="B17" s="13" t="s">
        <v>486</v>
      </c>
      <c r="C17" s="15">
        <v>0.02</v>
      </c>
      <c r="D17" s="15">
        <v>0.01</v>
      </c>
      <c r="E17" s="15">
        <v>0.05</v>
      </c>
      <c r="F17" s="15">
        <v>0.01</v>
      </c>
      <c r="G17" s="15">
        <v>0.03</v>
      </c>
      <c r="H17" s="15">
        <v>0.01</v>
      </c>
      <c r="I17" s="15">
        <v>0.01</v>
      </c>
      <c r="J17" s="15">
        <v>0.02</v>
      </c>
      <c r="K17" s="15">
        <v>0.02</v>
      </c>
      <c r="L17" s="15">
        <v>0.03</v>
      </c>
      <c r="M17" s="15">
        <v>0.01</v>
      </c>
      <c r="N17" s="15">
        <v>0.02</v>
      </c>
      <c r="O17" s="15">
        <v>0.03</v>
      </c>
      <c r="P17" s="15">
        <v>0.01</v>
      </c>
      <c r="Q17" s="15">
        <v>0.02</v>
      </c>
      <c r="R17" s="15">
        <v>0.03</v>
      </c>
      <c r="S17" s="15">
        <v>0.01</v>
      </c>
      <c r="T17" s="15">
        <v>0.02</v>
      </c>
      <c r="U17" s="15">
        <v>0.01</v>
      </c>
      <c r="V17" s="15">
        <v>0.01</v>
      </c>
      <c r="W17" s="15">
        <v>0.01</v>
      </c>
      <c r="X17" s="15">
        <v>0.01</v>
      </c>
      <c r="Y17" s="15">
        <v>0.02</v>
      </c>
      <c r="Z17" s="15">
        <v>0.02</v>
      </c>
      <c r="AA17" s="15">
        <v>0.05</v>
      </c>
      <c r="AB17" s="15">
        <v>0.03</v>
      </c>
      <c r="AC17" s="15">
        <v>0.01</v>
      </c>
      <c r="AD17" s="15">
        <v>0.01</v>
      </c>
      <c r="AE17" s="15">
        <v>0.02</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846</v>
      </c>
      <c r="C3" s="18"/>
      <c r="D3" s="18"/>
      <c r="E3" s="18"/>
      <c r="F3" s="18"/>
      <c r="H3" s="18" t="s">
        <v>847</v>
      </c>
      <c r="I3" s="18"/>
      <c r="J3" s="18"/>
      <c r="K3" s="18"/>
      <c r="L3" s="18"/>
    </row>
    <row r="4" spans="1:32" ht="27" customHeight="1" x14ac:dyDescent="0.35">
      <c r="B4" s="18" t="s">
        <v>848</v>
      </c>
      <c r="C4" s="18"/>
      <c r="D4" s="18"/>
      <c r="E4" s="18"/>
      <c r="F4" s="18"/>
      <c r="H4" s="18" t="s">
        <v>849</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17591</v>
      </c>
      <c r="D12" s="12">
        <v>733</v>
      </c>
      <c r="E12" s="12">
        <v>670</v>
      </c>
      <c r="F12" s="12">
        <v>630</v>
      </c>
      <c r="G12" s="12">
        <v>402</v>
      </c>
      <c r="H12" s="12">
        <v>820</v>
      </c>
      <c r="I12" s="12">
        <v>1007</v>
      </c>
      <c r="J12" s="12">
        <v>187</v>
      </c>
      <c r="K12" s="12">
        <v>698</v>
      </c>
      <c r="L12" s="12">
        <v>784</v>
      </c>
      <c r="M12" s="12">
        <v>830</v>
      </c>
      <c r="N12" s="12">
        <v>757</v>
      </c>
      <c r="O12" s="12">
        <v>571</v>
      </c>
      <c r="P12" s="12">
        <v>729</v>
      </c>
      <c r="Q12" s="12">
        <v>733</v>
      </c>
      <c r="R12" s="12">
        <v>459</v>
      </c>
      <c r="S12" s="12">
        <v>788</v>
      </c>
      <c r="T12" s="12">
        <v>778</v>
      </c>
      <c r="U12" s="12">
        <v>336</v>
      </c>
      <c r="V12" s="12">
        <v>759</v>
      </c>
      <c r="W12" s="12">
        <v>448</v>
      </c>
      <c r="X12" s="12">
        <v>584</v>
      </c>
      <c r="Y12" s="12">
        <v>572</v>
      </c>
      <c r="Z12" s="12">
        <v>722</v>
      </c>
      <c r="AA12" s="12">
        <v>750</v>
      </c>
      <c r="AB12" s="12">
        <v>655</v>
      </c>
      <c r="AC12" s="12">
        <v>701</v>
      </c>
      <c r="AD12" s="12">
        <v>738</v>
      </c>
      <c r="AE12" s="12">
        <v>522</v>
      </c>
      <c r="AF12" s="12">
        <v>535</v>
      </c>
    </row>
    <row r="13" spans="1:32" x14ac:dyDescent="0.35">
      <c r="A13" s="19"/>
      <c r="B13" s="13" t="s">
        <v>819</v>
      </c>
      <c r="C13" s="15">
        <v>0.66</v>
      </c>
      <c r="D13" s="15">
        <v>0.72</v>
      </c>
      <c r="E13" s="15">
        <v>0.65</v>
      </c>
      <c r="F13" s="15">
        <v>0.57000000000000006</v>
      </c>
      <c r="G13" s="15">
        <v>0.4</v>
      </c>
      <c r="H13" s="15">
        <v>0.67</v>
      </c>
      <c r="I13" s="15">
        <v>0.66</v>
      </c>
      <c r="J13" s="15">
        <v>0.64</v>
      </c>
      <c r="K13" s="15">
        <v>0.70000000000000007</v>
      </c>
      <c r="L13" s="15">
        <v>0.78</v>
      </c>
      <c r="M13" s="15">
        <v>0.82000000000000006</v>
      </c>
      <c r="N13" s="15">
        <v>0.75</v>
      </c>
      <c r="O13" s="15">
        <v>0.57000000000000006</v>
      </c>
      <c r="P13" s="15">
        <v>0.72</v>
      </c>
      <c r="Q13" s="15">
        <v>0.72</v>
      </c>
      <c r="R13" s="15">
        <v>0.91</v>
      </c>
      <c r="S13" s="15">
        <v>0.79</v>
      </c>
      <c r="T13" s="15">
        <v>0.77</v>
      </c>
      <c r="U13" s="15">
        <v>0.67</v>
      </c>
      <c r="V13" s="15">
        <v>0.75</v>
      </c>
      <c r="W13" s="15">
        <v>0.88</v>
      </c>
      <c r="X13" s="15">
        <v>0.57999999999999996</v>
      </c>
      <c r="Y13" s="15">
        <v>0.57000000000000006</v>
      </c>
      <c r="Z13" s="15">
        <v>0.70000000000000007</v>
      </c>
      <c r="AA13" s="15">
        <v>0.73</v>
      </c>
      <c r="AB13" s="15">
        <v>0.62</v>
      </c>
      <c r="AC13" s="15">
        <v>0.70000000000000007</v>
      </c>
      <c r="AD13" s="15">
        <v>0.73</v>
      </c>
      <c r="AE13" s="15">
        <v>0.52</v>
      </c>
      <c r="AF13" s="15">
        <v>0.51</v>
      </c>
    </row>
    <row r="14" spans="1:32" x14ac:dyDescent="0.35">
      <c r="A14" s="19"/>
      <c r="B14" s="11" t="s">
        <v>820</v>
      </c>
      <c r="C14" s="12">
        <v>7605</v>
      </c>
      <c r="D14" s="12">
        <v>259</v>
      </c>
      <c r="E14" s="12">
        <v>264</v>
      </c>
      <c r="F14" s="12">
        <v>420</v>
      </c>
      <c r="G14" s="12">
        <v>529</v>
      </c>
      <c r="H14" s="12">
        <v>363</v>
      </c>
      <c r="I14" s="12">
        <v>462</v>
      </c>
      <c r="J14" s="12">
        <v>98</v>
      </c>
      <c r="K14" s="12">
        <v>214</v>
      </c>
      <c r="L14" s="12">
        <v>134</v>
      </c>
      <c r="M14" s="12">
        <v>164</v>
      </c>
      <c r="N14" s="12">
        <v>178</v>
      </c>
      <c r="O14" s="12">
        <v>358</v>
      </c>
      <c r="P14" s="12">
        <v>258</v>
      </c>
      <c r="Q14" s="12">
        <v>270</v>
      </c>
      <c r="R14" s="12">
        <v>34</v>
      </c>
      <c r="S14" s="12">
        <v>119</v>
      </c>
      <c r="T14" s="12">
        <v>144</v>
      </c>
      <c r="U14" s="12">
        <v>155</v>
      </c>
      <c r="V14" s="12">
        <v>205</v>
      </c>
      <c r="W14" s="12">
        <v>46</v>
      </c>
      <c r="X14" s="12">
        <v>385</v>
      </c>
      <c r="Y14" s="12">
        <v>406</v>
      </c>
      <c r="Z14" s="12">
        <v>269</v>
      </c>
      <c r="AA14" s="12">
        <v>227</v>
      </c>
      <c r="AB14" s="12">
        <v>343</v>
      </c>
      <c r="AC14" s="12">
        <v>273</v>
      </c>
      <c r="AD14" s="12">
        <v>219</v>
      </c>
      <c r="AE14" s="12">
        <v>333</v>
      </c>
      <c r="AF14" s="12">
        <v>465</v>
      </c>
    </row>
    <row r="15" spans="1:32" x14ac:dyDescent="0.35">
      <c r="A15" s="19"/>
      <c r="B15" s="13" t="s">
        <v>821</v>
      </c>
      <c r="C15" s="15">
        <v>0.28999999999999998</v>
      </c>
      <c r="D15" s="15">
        <v>0.26</v>
      </c>
      <c r="E15" s="15">
        <v>0.26</v>
      </c>
      <c r="F15" s="15">
        <v>0.38</v>
      </c>
      <c r="G15" s="15">
        <v>0.53</v>
      </c>
      <c r="H15" s="15">
        <v>0.3</v>
      </c>
      <c r="I15" s="15">
        <v>0.31</v>
      </c>
      <c r="J15" s="15">
        <v>0.33</v>
      </c>
      <c r="K15" s="15">
        <v>0.21</v>
      </c>
      <c r="L15" s="15">
        <v>0.13</v>
      </c>
      <c r="M15" s="15">
        <v>0.16</v>
      </c>
      <c r="N15" s="15">
        <v>0.18</v>
      </c>
      <c r="O15" s="15">
        <v>0.36</v>
      </c>
      <c r="P15" s="15">
        <v>0.26</v>
      </c>
      <c r="Q15" s="15">
        <v>0.26</v>
      </c>
      <c r="R15" s="15">
        <v>7.0000000000000007E-2</v>
      </c>
      <c r="S15" s="15">
        <v>0.12</v>
      </c>
      <c r="T15" s="15">
        <v>0.14000000000000001</v>
      </c>
      <c r="U15" s="15">
        <v>0.31</v>
      </c>
      <c r="V15" s="15">
        <v>0.2</v>
      </c>
      <c r="W15" s="15">
        <v>0.09</v>
      </c>
      <c r="X15" s="15">
        <v>0.38</v>
      </c>
      <c r="Y15" s="15">
        <v>0.41</v>
      </c>
      <c r="Z15" s="15">
        <v>0.26</v>
      </c>
      <c r="AA15" s="15">
        <v>0.22</v>
      </c>
      <c r="AB15" s="15">
        <v>0.33</v>
      </c>
      <c r="AC15" s="15">
        <v>0.27</v>
      </c>
      <c r="AD15" s="15">
        <v>0.22</v>
      </c>
      <c r="AE15" s="15">
        <v>0.33</v>
      </c>
      <c r="AF15" s="15">
        <v>0.45</v>
      </c>
    </row>
    <row r="16" spans="1:32" x14ac:dyDescent="0.35">
      <c r="A16" s="19"/>
      <c r="B16" s="11" t="s">
        <v>485</v>
      </c>
      <c r="C16" s="12">
        <v>1249</v>
      </c>
      <c r="D16" s="12">
        <v>22</v>
      </c>
      <c r="E16" s="12">
        <v>95</v>
      </c>
      <c r="F16" s="12">
        <v>51</v>
      </c>
      <c r="G16" s="12">
        <v>75</v>
      </c>
      <c r="H16" s="12">
        <v>38</v>
      </c>
      <c r="I16" s="12">
        <v>48</v>
      </c>
      <c r="J16" s="12">
        <v>10</v>
      </c>
      <c r="K16" s="12">
        <v>91</v>
      </c>
      <c r="L16" s="12">
        <v>85</v>
      </c>
      <c r="M16" s="12">
        <v>16</v>
      </c>
      <c r="N16" s="12">
        <v>68</v>
      </c>
      <c r="O16" s="12">
        <v>72</v>
      </c>
      <c r="P16" s="12">
        <v>17</v>
      </c>
      <c r="Q16" s="12">
        <v>24</v>
      </c>
      <c r="R16" s="12">
        <v>12</v>
      </c>
      <c r="S16" s="12">
        <v>96</v>
      </c>
      <c r="T16" s="12">
        <v>84</v>
      </c>
      <c r="U16" s="12">
        <v>13</v>
      </c>
      <c r="V16" s="12">
        <v>51</v>
      </c>
      <c r="W16" s="12">
        <v>14</v>
      </c>
      <c r="X16" s="12">
        <v>40</v>
      </c>
      <c r="Y16" s="12">
        <v>25</v>
      </c>
      <c r="Z16" s="12">
        <v>41</v>
      </c>
      <c r="AA16" s="12">
        <v>56</v>
      </c>
      <c r="AB16" s="12">
        <v>53</v>
      </c>
      <c r="AC16" s="12">
        <v>29</v>
      </c>
      <c r="AD16" s="12">
        <v>48</v>
      </c>
      <c r="AE16" s="12">
        <v>157</v>
      </c>
      <c r="AF16" s="12">
        <v>42</v>
      </c>
    </row>
    <row r="17" spans="1:32" x14ac:dyDescent="0.35">
      <c r="A17" s="19"/>
      <c r="B17" s="13" t="s">
        <v>486</v>
      </c>
      <c r="C17" s="15">
        <v>0.05</v>
      </c>
      <c r="D17" s="15">
        <v>0.02</v>
      </c>
      <c r="E17" s="15">
        <v>0.09</v>
      </c>
      <c r="F17" s="15">
        <v>0.05</v>
      </c>
      <c r="G17" s="15">
        <v>7.0000000000000007E-2</v>
      </c>
      <c r="H17" s="15">
        <v>0.03</v>
      </c>
      <c r="I17" s="15">
        <v>0.03</v>
      </c>
      <c r="J17" s="15">
        <v>0.03</v>
      </c>
      <c r="K17" s="15">
        <v>0.09</v>
      </c>
      <c r="L17" s="15">
        <v>0.09</v>
      </c>
      <c r="M17" s="15">
        <v>0.02</v>
      </c>
      <c r="N17" s="15">
        <v>7.0000000000000007E-2</v>
      </c>
      <c r="O17" s="15">
        <v>7.0000000000000007E-2</v>
      </c>
      <c r="P17" s="15">
        <v>0.02</v>
      </c>
      <c r="Q17" s="15">
        <v>0.02</v>
      </c>
      <c r="R17" s="15">
        <v>0.02</v>
      </c>
      <c r="S17" s="15">
        <v>0.09</v>
      </c>
      <c r="T17" s="15">
        <v>0.09</v>
      </c>
      <c r="U17" s="15">
        <v>0.02</v>
      </c>
      <c r="V17" s="15">
        <v>0.05</v>
      </c>
      <c r="W17" s="15">
        <v>0.03</v>
      </c>
      <c r="X17" s="15">
        <v>0.04</v>
      </c>
      <c r="Y17" s="15">
        <v>0.02</v>
      </c>
      <c r="Z17" s="15">
        <v>0.04</v>
      </c>
      <c r="AA17" s="15">
        <v>0.05</v>
      </c>
      <c r="AB17" s="15">
        <v>0.05</v>
      </c>
      <c r="AC17" s="15">
        <v>0.03</v>
      </c>
      <c r="AD17" s="15">
        <v>0.05</v>
      </c>
      <c r="AE17" s="15">
        <v>0.15</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850</v>
      </c>
      <c r="C3" s="18"/>
      <c r="D3" s="18"/>
      <c r="E3" s="18"/>
      <c r="F3" s="18"/>
      <c r="H3" s="18" t="s">
        <v>851</v>
      </c>
      <c r="I3" s="18"/>
      <c r="J3" s="18"/>
      <c r="K3" s="18"/>
      <c r="L3" s="18"/>
    </row>
    <row r="4" spans="1:32" ht="27" customHeight="1" x14ac:dyDescent="0.35">
      <c r="B4" s="18" t="s">
        <v>852</v>
      </c>
      <c r="C4" s="18"/>
      <c r="D4" s="18"/>
      <c r="E4" s="18"/>
      <c r="F4" s="18"/>
      <c r="H4" s="18" t="s">
        <v>853</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HYPERLINK("#Content!A79","&lt;&lt;Back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20802</v>
      </c>
      <c r="D12" s="12">
        <v>802</v>
      </c>
      <c r="E12" s="12">
        <v>678</v>
      </c>
      <c r="F12" s="12">
        <v>803</v>
      </c>
      <c r="G12" s="12">
        <v>817</v>
      </c>
      <c r="H12" s="12">
        <v>1095</v>
      </c>
      <c r="I12" s="12">
        <v>1335</v>
      </c>
      <c r="J12" s="12">
        <v>240</v>
      </c>
      <c r="K12" s="12">
        <v>767</v>
      </c>
      <c r="L12" s="12">
        <v>849</v>
      </c>
      <c r="M12" s="12">
        <v>818</v>
      </c>
      <c r="N12" s="12">
        <v>841</v>
      </c>
      <c r="O12" s="12">
        <v>677</v>
      </c>
      <c r="P12" s="12">
        <v>793</v>
      </c>
      <c r="Q12" s="12">
        <v>824</v>
      </c>
      <c r="R12" s="12">
        <v>426</v>
      </c>
      <c r="S12" s="12">
        <v>787</v>
      </c>
      <c r="T12" s="12">
        <v>803</v>
      </c>
      <c r="U12" s="12">
        <v>415</v>
      </c>
      <c r="V12" s="12">
        <v>827</v>
      </c>
      <c r="W12" s="12">
        <v>451</v>
      </c>
      <c r="X12" s="12">
        <v>819</v>
      </c>
      <c r="Y12" s="12">
        <v>717</v>
      </c>
      <c r="Z12" s="12">
        <v>744</v>
      </c>
      <c r="AA12" s="12">
        <v>813</v>
      </c>
      <c r="AB12" s="12">
        <v>708</v>
      </c>
      <c r="AC12" s="12">
        <v>827</v>
      </c>
      <c r="AD12" s="12">
        <v>834</v>
      </c>
      <c r="AE12" s="12">
        <v>842</v>
      </c>
      <c r="AF12" s="12">
        <v>852</v>
      </c>
    </row>
    <row r="13" spans="1:32" x14ac:dyDescent="0.35">
      <c r="A13" s="19"/>
      <c r="B13" s="13" t="s">
        <v>819</v>
      </c>
      <c r="C13" s="15">
        <v>0.79</v>
      </c>
      <c r="D13" s="15">
        <v>0.79</v>
      </c>
      <c r="E13" s="15">
        <v>0.66</v>
      </c>
      <c r="F13" s="15">
        <v>0.73</v>
      </c>
      <c r="G13" s="15">
        <v>0.81</v>
      </c>
      <c r="H13" s="15">
        <v>0.9</v>
      </c>
      <c r="I13" s="15">
        <v>0.88</v>
      </c>
      <c r="J13" s="15">
        <v>0.81</v>
      </c>
      <c r="K13" s="15">
        <v>0.76</v>
      </c>
      <c r="L13" s="15">
        <v>0.85</v>
      </c>
      <c r="M13" s="15">
        <v>0.81</v>
      </c>
      <c r="N13" s="15">
        <v>0.84</v>
      </c>
      <c r="O13" s="15">
        <v>0.68</v>
      </c>
      <c r="P13" s="15">
        <v>0.79</v>
      </c>
      <c r="Q13" s="15">
        <v>0.8</v>
      </c>
      <c r="R13" s="15">
        <v>0.84</v>
      </c>
      <c r="S13" s="15">
        <v>0.78</v>
      </c>
      <c r="T13" s="15">
        <v>0.8</v>
      </c>
      <c r="U13" s="15">
        <v>0.82000000000000006</v>
      </c>
      <c r="V13" s="15">
        <v>0.82000000000000006</v>
      </c>
      <c r="W13" s="15">
        <v>0.89</v>
      </c>
      <c r="X13" s="15">
        <v>0.81</v>
      </c>
      <c r="Y13" s="15">
        <v>0.71</v>
      </c>
      <c r="Z13" s="15">
        <v>0.72</v>
      </c>
      <c r="AA13" s="15">
        <v>0.79</v>
      </c>
      <c r="AB13" s="15">
        <v>0.68</v>
      </c>
      <c r="AC13" s="15">
        <v>0.83000000000000007</v>
      </c>
      <c r="AD13" s="15">
        <v>0.83000000000000007</v>
      </c>
      <c r="AE13" s="15">
        <v>0.83000000000000007</v>
      </c>
      <c r="AF13" s="15">
        <v>0.82000000000000006</v>
      </c>
    </row>
    <row r="14" spans="1:32" x14ac:dyDescent="0.35">
      <c r="A14" s="19"/>
      <c r="B14" s="11" t="s">
        <v>820</v>
      </c>
      <c r="C14" s="12">
        <v>4176</v>
      </c>
      <c r="D14" s="12">
        <v>183</v>
      </c>
      <c r="E14" s="12">
        <v>192</v>
      </c>
      <c r="F14" s="12">
        <v>267</v>
      </c>
      <c r="G14" s="12">
        <v>108</v>
      </c>
      <c r="H14" s="12">
        <v>96</v>
      </c>
      <c r="I14" s="12">
        <v>142</v>
      </c>
      <c r="J14" s="12">
        <v>46</v>
      </c>
      <c r="K14" s="12">
        <v>109</v>
      </c>
      <c r="L14" s="12">
        <v>71</v>
      </c>
      <c r="M14" s="12">
        <v>152</v>
      </c>
      <c r="N14" s="12">
        <v>81</v>
      </c>
      <c r="O14" s="12">
        <v>241</v>
      </c>
      <c r="P14" s="12">
        <v>177</v>
      </c>
      <c r="Q14" s="12">
        <v>167</v>
      </c>
      <c r="R14" s="12">
        <v>55</v>
      </c>
      <c r="S14" s="12">
        <v>95</v>
      </c>
      <c r="T14" s="12">
        <v>67</v>
      </c>
      <c r="U14" s="12">
        <v>55</v>
      </c>
      <c r="V14" s="12">
        <v>154</v>
      </c>
      <c r="W14" s="12">
        <v>39</v>
      </c>
      <c r="X14" s="12">
        <v>143</v>
      </c>
      <c r="Y14" s="12">
        <v>236</v>
      </c>
      <c r="Z14" s="12">
        <v>221</v>
      </c>
      <c r="AA14" s="12">
        <v>126</v>
      </c>
      <c r="AB14" s="12">
        <v>286</v>
      </c>
      <c r="AC14" s="12">
        <v>145</v>
      </c>
      <c r="AD14" s="12">
        <v>128</v>
      </c>
      <c r="AE14" s="12">
        <v>80</v>
      </c>
      <c r="AF14" s="12">
        <v>150</v>
      </c>
    </row>
    <row r="15" spans="1:32" x14ac:dyDescent="0.35">
      <c r="A15" s="19"/>
      <c r="B15" s="13" t="s">
        <v>821</v>
      </c>
      <c r="C15" s="15">
        <v>0.16</v>
      </c>
      <c r="D15" s="15">
        <v>0.18</v>
      </c>
      <c r="E15" s="15">
        <v>0.19</v>
      </c>
      <c r="F15" s="15">
        <v>0.24</v>
      </c>
      <c r="G15" s="15">
        <v>0.11</v>
      </c>
      <c r="H15" s="15">
        <v>0.08</v>
      </c>
      <c r="I15" s="15">
        <v>0.09</v>
      </c>
      <c r="J15" s="15">
        <v>0.16</v>
      </c>
      <c r="K15" s="15">
        <v>0.11</v>
      </c>
      <c r="L15" s="15">
        <v>7.0000000000000007E-2</v>
      </c>
      <c r="M15" s="15">
        <v>0.15</v>
      </c>
      <c r="N15" s="15">
        <v>0.08</v>
      </c>
      <c r="O15" s="15">
        <v>0.24</v>
      </c>
      <c r="P15" s="15">
        <v>0.18</v>
      </c>
      <c r="Q15" s="15">
        <v>0.16</v>
      </c>
      <c r="R15" s="15">
        <v>0.11</v>
      </c>
      <c r="S15" s="15">
        <v>0.1</v>
      </c>
      <c r="T15" s="15">
        <v>7.0000000000000007E-2</v>
      </c>
      <c r="U15" s="15">
        <v>0.11</v>
      </c>
      <c r="V15" s="15">
        <v>0.15</v>
      </c>
      <c r="W15" s="15">
        <v>0.08</v>
      </c>
      <c r="X15" s="15">
        <v>0.14000000000000001</v>
      </c>
      <c r="Y15" s="15">
        <v>0.24</v>
      </c>
      <c r="Z15" s="15">
        <v>0.22</v>
      </c>
      <c r="AA15" s="15">
        <v>0.12</v>
      </c>
      <c r="AB15" s="15">
        <v>0.27</v>
      </c>
      <c r="AC15" s="15">
        <v>0.14000000000000001</v>
      </c>
      <c r="AD15" s="15">
        <v>0.13</v>
      </c>
      <c r="AE15" s="15">
        <v>0.08</v>
      </c>
      <c r="AF15" s="15">
        <v>0.14000000000000001</v>
      </c>
    </row>
    <row r="16" spans="1:32" x14ac:dyDescent="0.35">
      <c r="A16" s="19"/>
      <c r="B16" s="11" t="s">
        <v>485</v>
      </c>
      <c r="C16" s="12">
        <v>1467</v>
      </c>
      <c r="D16" s="12">
        <v>28</v>
      </c>
      <c r="E16" s="12">
        <v>160</v>
      </c>
      <c r="F16" s="12">
        <v>32</v>
      </c>
      <c r="G16" s="12">
        <v>82</v>
      </c>
      <c r="H16" s="12">
        <v>30</v>
      </c>
      <c r="I16" s="12">
        <v>39</v>
      </c>
      <c r="J16" s="12">
        <v>9</v>
      </c>
      <c r="K16" s="12">
        <v>126</v>
      </c>
      <c r="L16" s="12">
        <v>82</v>
      </c>
      <c r="M16" s="12">
        <v>40</v>
      </c>
      <c r="N16" s="12">
        <v>81</v>
      </c>
      <c r="O16" s="12">
        <v>83</v>
      </c>
      <c r="P16" s="12">
        <v>33</v>
      </c>
      <c r="Q16" s="12">
        <v>36</v>
      </c>
      <c r="R16" s="12">
        <v>23</v>
      </c>
      <c r="S16" s="12">
        <v>120</v>
      </c>
      <c r="T16" s="12">
        <v>136</v>
      </c>
      <c r="U16" s="12">
        <v>34</v>
      </c>
      <c r="V16" s="12">
        <v>34</v>
      </c>
      <c r="W16" s="12">
        <v>18</v>
      </c>
      <c r="X16" s="12">
        <v>47</v>
      </c>
      <c r="Y16" s="12">
        <v>49</v>
      </c>
      <c r="Z16" s="12">
        <v>66</v>
      </c>
      <c r="AA16" s="12">
        <v>94</v>
      </c>
      <c r="AB16" s="12">
        <v>57</v>
      </c>
      <c r="AC16" s="12">
        <v>31</v>
      </c>
      <c r="AD16" s="12">
        <v>43</v>
      </c>
      <c r="AE16" s="12">
        <v>90</v>
      </c>
      <c r="AF16" s="12">
        <v>41</v>
      </c>
    </row>
    <row r="17" spans="1:32" x14ac:dyDescent="0.35">
      <c r="A17" s="19"/>
      <c r="B17" s="13" t="s">
        <v>486</v>
      </c>
      <c r="C17" s="15">
        <v>0.05</v>
      </c>
      <c r="D17" s="15">
        <v>0.03</v>
      </c>
      <c r="E17" s="15">
        <v>0.15</v>
      </c>
      <c r="F17" s="15">
        <v>0.03</v>
      </c>
      <c r="G17" s="15">
        <v>0.08</v>
      </c>
      <c r="H17" s="15">
        <v>0.02</v>
      </c>
      <c r="I17" s="15">
        <v>0.03</v>
      </c>
      <c r="J17" s="15">
        <v>0.03</v>
      </c>
      <c r="K17" s="15">
        <v>0.13</v>
      </c>
      <c r="L17" s="15">
        <v>0.08</v>
      </c>
      <c r="M17" s="15">
        <v>0.04</v>
      </c>
      <c r="N17" s="15">
        <v>0.08</v>
      </c>
      <c r="O17" s="15">
        <v>0.08</v>
      </c>
      <c r="P17" s="15">
        <v>0.03</v>
      </c>
      <c r="Q17" s="15">
        <v>0.04</v>
      </c>
      <c r="R17" s="15">
        <v>0.05</v>
      </c>
      <c r="S17" s="15">
        <v>0.12</v>
      </c>
      <c r="T17" s="15">
        <v>0.13</v>
      </c>
      <c r="U17" s="15">
        <v>7.0000000000000007E-2</v>
      </c>
      <c r="V17" s="15">
        <v>0.03</v>
      </c>
      <c r="W17" s="15">
        <v>0.03</v>
      </c>
      <c r="X17" s="15">
        <v>0.05</v>
      </c>
      <c r="Y17" s="15">
        <v>0.05</v>
      </c>
      <c r="Z17" s="15">
        <v>0.06</v>
      </c>
      <c r="AA17" s="15">
        <v>0.09</v>
      </c>
      <c r="AB17" s="15">
        <v>0.05</v>
      </c>
      <c r="AC17" s="15">
        <v>0.03</v>
      </c>
      <c r="AD17" s="15">
        <v>0.04</v>
      </c>
      <c r="AE17" s="15">
        <v>0.09</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854</v>
      </c>
      <c r="C3" s="18"/>
      <c r="D3" s="18"/>
      <c r="E3" s="18"/>
      <c r="F3" s="18"/>
      <c r="H3" s="18" t="s">
        <v>855</v>
      </c>
      <c r="I3" s="18"/>
      <c r="J3" s="18"/>
      <c r="K3" s="18"/>
      <c r="L3" s="18"/>
    </row>
    <row r="4" spans="1:32" ht="27" customHeight="1" x14ac:dyDescent="0.35">
      <c r="B4" s="18" t="s">
        <v>856</v>
      </c>
      <c r="C4" s="18"/>
      <c r="D4" s="18"/>
      <c r="E4" s="18"/>
      <c r="F4" s="18"/>
      <c r="H4" s="18" t="s">
        <v>857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19596</v>
      </c>
      <c r="D12" s="12">
        <v>805</v>
      </c>
      <c r="E12" s="12">
        <v>435</v>
      </c>
      <c r="F12" s="12">
        <v>329</v>
      </c>
      <c r="G12" s="12">
        <v>331</v>
      </c>
      <c r="H12" s="12">
        <v>1094</v>
      </c>
      <c r="I12" s="12">
        <v>1309</v>
      </c>
      <c r="J12" s="12">
        <v>216</v>
      </c>
      <c r="K12" s="12">
        <v>892</v>
      </c>
      <c r="L12" s="12">
        <v>917</v>
      </c>
      <c r="M12" s="12">
        <v>753</v>
      </c>
      <c r="N12" s="12">
        <v>859</v>
      </c>
      <c r="O12" s="12">
        <v>759</v>
      </c>
      <c r="P12" s="12">
        <v>631</v>
      </c>
      <c r="Q12" s="12">
        <v>802</v>
      </c>
      <c r="R12" s="12">
        <v>418</v>
      </c>
      <c r="S12" s="12">
        <v>890</v>
      </c>
      <c r="T12" s="12">
        <v>821</v>
      </c>
      <c r="U12" s="12">
        <v>457</v>
      </c>
      <c r="V12" s="12">
        <v>732</v>
      </c>
      <c r="W12" s="12">
        <v>470</v>
      </c>
      <c r="X12" s="12">
        <v>842</v>
      </c>
      <c r="Y12" s="12">
        <v>712</v>
      </c>
      <c r="Z12" s="12">
        <v>460</v>
      </c>
      <c r="AA12" s="12">
        <v>940</v>
      </c>
      <c r="AB12" s="12">
        <v>622</v>
      </c>
      <c r="AC12" s="12">
        <v>898</v>
      </c>
      <c r="AD12" s="12">
        <v>849</v>
      </c>
      <c r="AE12" s="12">
        <v>891</v>
      </c>
      <c r="AF12" s="12">
        <v>404</v>
      </c>
    </row>
    <row r="13" spans="1:32" x14ac:dyDescent="0.35">
      <c r="A13" s="19"/>
      <c r="B13" s="13" t="s">
        <v>819</v>
      </c>
      <c r="C13" s="15">
        <v>0.74</v>
      </c>
      <c r="D13" s="15">
        <v>0.8</v>
      </c>
      <c r="E13" s="15">
        <v>0.42</v>
      </c>
      <c r="F13" s="15">
        <v>0.3</v>
      </c>
      <c r="G13" s="15">
        <v>0.33</v>
      </c>
      <c r="H13" s="15">
        <v>0.9</v>
      </c>
      <c r="I13" s="15">
        <v>0.86</v>
      </c>
      <c r="J13" s="15">
        <v>0.73</v>
      </c>
      <c r="K13" s="15">
        <v>0.89</v>
      </c>
      <c r="L13" s="15">
        <v>0.92</v>
      </c>
      <c r="M13" s="15">
        <v>0.74</v>
      </c>
      <c r="N13" s="15">
        <v>0.86</v>
      </c>
      <c r="O13" s="15">
        <v>0.76</v>
      </c>
      <c r="P13" s="15">
        <v>0.63</v>
      </c>
      <c r="Q13" s="15">
        <v>0.78</v>
      </c>
      <c r="R13" s="15">
        <v>0.83000000000000007</v>
      </c>
      <c r="S13" s="15">
        <v>0.89</v>
      </c>
      <c r="T13" s="15">
        <v>0.82000000000000006</v>
      </c>
      <c r="U13" s="15">
        <v>0.9</v>
      </c>
      <c r="V13" s="15">
        <v>0.72</v>
      </c>
      <c r="W13" s="15">
        <v>0.93</v>
      </c>
      <c r="X13" s="15">
        <v>0.83000000000000007</v>
      </c>
      <c r="Y13" s="15">
        <v>0.71</v>
      </c>
      <c r="Z13" s="15">
        <v>0.45</v>
      </c>
      <c r="AA13" s="15">
        <v>0.91</v>
      </c>
      <c r="AB13" s="15">
        <v>0.59</v>
      </c>
      <c r="AC13" s="15">
        <v>0.9</v>
      </c>
      <c r="AD13" s="15">
        <v>0.84</v>
      </c>
      <c r="AE13" s="15">
        <v>0.88</v>
      </c>
      <c r="AF13" s="15">
        <v>0.39</v>
      </c>
    </row>
    <row r="14" spans="1:32" x14ac:dyDescent="0.35">
      <c r="A14" s="19"/>
      <c r="B14" s="11" t="s">
        <v>820</v>
      </c>
      <c r="C14" s="12">
        <v>6018</v>
      </c>
      <c r="D14" s="12">
        <v>195</v>
      </c>
      <c r="E14" s="12">
        <v>505</v>
      </c>
      <c r="F14" s="12">
        <v>734</v>
      </c>
      <c r="G14" s="12">
        <v>621</v>
      </c>
      <c r="H14" s="12">
        <v>103</v>
      </c>
      <c r="I14" s="12">
        <v>176</v>
      </c>
      <c r="J14" s="12">
        <v>73</v>
      </c>
      <c r="K14" s="12">
        <v>68</v>
      </c>
      <c r="L14" s="12">
        <v>52</v>
      </c>
      <c r="M14" s="12">
        <v>211</v>
      </c>
      <c r="N14" s="12">
        <v>119</v>
      </c>
      <c r="O14" s="12">
        <v>199</v>
      </c>
      <c r="P14" s="12">
        <v>360</v>
      </c>
      <c r="Q14" s="12">
        <v>199</v>
      </c>
      <c r="R14" s="12">
        <v>68</v>
      </c>
      <c r="S14" s="12">
        <v>81</v>
      </c>
      <c r="T14" s="12">
        <v>129</v>
      </c>
      <c r="U14" s="12">
        <v>39</v>
      </c>
      <c r="V14" s="12">
        <v>255</v>
      </c>
      <c r="W14" s="12">
        <v>30</v>
      </c>
      <c r="X14" s="12">
        <v>149</v>
      </c>
      <c r="Y14" s="12">
        <v>255</v>
      </c>
      <c r="Z14" s="12">
        <v>532</v>
      </c>
      <c r="AA14" s="12">
        <v>41</v>
      </c>
      <c r="AB14" s="12">
        <v>381</v>
      </c>
      <c r="AC14" s="12">
        <v>93</v>
      </c>
      <c r="AD14" s="12">
        <v>137</v>
      </c>
      <c r="AE14" s="12">
        <v>89</v>
      </c>
      <c r="AF14" s="12">
        <v>596</v>
      </c>
    </row>
    <row r="15" spans="1:32" x14ac:dyDescent="0.35">
      <c r="A15" s="19"/>
      <c r="B15" s="13" t="s">
        <v>821</v>
      </c>
      <c r="C15" s="15">
        <v>0.23</v>
      </c>
      <c r="D15" s="15">
        <v>0.19</v>
      </c>
      <c r="E15" s="15">
        <v>0.49</v>
      </c>
      <c r="F15" s="15">
        <v>0.67</v>
      </c>
      <c r="G15" s="15">
        <v>0.62</v>
      </c>
      <c r="H15" s="15">
        <v>0.08</v>
      </c>
      <c r="I15" s="15">
        <v>0.12</v>
      </c>
      <c r="J15" s="15">
        <v>0.25</v>
      </c>
      <c r="K15" s="15">
        <v>7.0000000000000007E-2</v>
      </c>
      <c r="L15" s="15">
        <v>0.05</v>
      </c>
      <c r="M15" s="15">
        <v>0.21</v>
      </c>
      <c r="N15" s="15">
        <v>0.12</v>
      </c>
      <c r="O15" s="15">
        <v>0.2</v>
      </c>
      <c r="P15" s="15">
        <v>0.36</v>
      </c>
      <c r="Q15" s="15">
        <v>0.19</v>
      </c>
      <c r="R15" s="15">
        <v>0.14000000000000001</v>
      </c>
      <c r="S15" s="15">
        <v>0.08</v>
      </c>
      <c r="T15" s="15">
        <v>0.13</v>
      </c>
      <c r="U15" s="15">
        <v>0.08</v>
      </c>
      <c r="V15" s="15">
        <v>0.25</v>
      </c>
      <c r="W15" s="15">
        <v>0.06</v>
      </c>
      <c r="X15" s="15">
        <v>0.15</v>
      </c>
      <c r="Y15" s="15">
        <v>0.25</v>
      </c>
      <c r="Z15" s="15">
        <v>0.51</v>
      </c>
      <c r="AA15" s="15">
        <v>0.04</v>
      </c>
      <c r="AB15" s="15">
        <v>0.36</v>
      </c>
      <c r="AC15" s="15">
        <v>0.09</v>
      </c>
      <c r="AD15" s="15">
        <v>0.14000000000000001</v>
      </c>
      <c r="AE15" s="15">
        <v>0.09</v>
      </c>
      <c r="AF15" s="15">
        <v>0.57000000000000006</v>
      </c>
    </row>
    <row r="16" spans="1:32" x14ac:dyDescent="0.35">
      <c r="A16" s="19"/>
      <c r="B16" s="11" t="s">
        <v>485</v>
      </c>
      <c r="C16" s="12">
        <v>830</v>
      </c>
      <c r="D16" s="12">
        <v>13</v>
      </c>
      <c r="E16" s="12">
        <v>90</v>
      </c>
      <c r="F16" s="12">
        <v>38</v>
      </c>
      <c r="G16" s="12">
        <v>54</v>
      </c>
      <c r="H16" s="12">
        <v>24</v>
      </c>
      <c r="I16" s="12">
        <v>31</v>
      </c>
      <c r="J16" s="12">
        <v>7</v>
      </c>
      <c r="K16" s="12">
        <v>42</v>
      </c>
      <c r="L16" s="12">
        <v>33</v>
      </c>
      <c r="M16" s="12">
        <v>46</v>
      </c>
      <c r="N16" s="12">
        <v>24</v>
      </c>
      <c r="O16" s="12">
        <v>43</v>
      </c>
      <c r="P16" s="12">
        <v>12</v>
      </c>
      <c r="Q16" s="12">
        <v>25</v>
      </c>
      <c r="R16" s="12">
        <v>18</v>
      </c>
      <c r="S16" s="12">
        <v>32</v>
      </c>
      <c r="T16" s="12">
        <v>55</v>
      </c>
      <c r="U16" s="12">
        <v>9</v>
      </c>
      <c r="V16" s="12">
        <v>28</v>
      </c>
      <c r="W16" s="12">
        <v>7</v>
      </c>
      <c r="X16" s="12">
        <v>18</v>
      </c>
      <c r="Y16" s="12">
        <v>36</v>
      </c>
      <c r="Z16" s="12">
        <v>39</v>
      </c>
      <c r="AA16" s="12">
        <v>52</v>
      </c>
      <c r="AB16" s="12">
        <v>48</v>
      </c>
      <c r="AC16" s="12">
        <v>12</v>
      </c>
      <c r="AD16" s="12">
        <v>19</v>
      </c>
      <c r="AE16" s="12">
        <v>32</v>
      </c>
      <c r="AF16" s="12">
        <v>43</v>
      </c>
    </row>
    <row r="17" spans="1:32" x14ac:dyDescent="0.35">
      <c r="A17" s="19"/>
      <c r="B17" s="13" t="s">
        <v>486</v>
      </c>
      <c r="C17" s="15">
        <v>0.03</v>
      </c>
      <c r="D17" s="15">
        <v>0.01</v>
      </c>
      <c r="E17" s="15">
        <v>0.09</v>
      </c>
      <c r="F17" s="15">
        <v>0.03</v>
      </c>
      <c r="G17" s="15">
        <v>0.05</v>
      </c>
      <c r="H17" s="15">
        <v>0.02</v>
      </c>
      <c r="I17" s="15">
        <v>0.02</v>
      </c>
      <c r="J17" s="15">
        <v>0.02</v>
      </c>
      <c r="K17" s="15">
        <v>0.04</v>
      </c>
      <c r="L17" s="15">
        <v>0.03</v>
      </c>
      <c r="M17" s="15">
        <v>0.05</v>
      </c>
      <c r="N17" s="15">
        <v>0.02</v>
      </c>
      <c r="O17" s="15">
        <v>0.04</v>
      </c>
      <c r="P17" s="15">
        <v>0.01</v>
      </c>
      <c r="Q17" s="15">
        <v>0.03</v>
      </c>
      <c r="R17" s="15">
        <v>0.03</v>
      </c>
      <c r="S17" s="15">
        <v>0.03</v>
      </c>
      <c r="T17" s="15">
        <v>0.05</v>
      </c>
      <c r="U17" s="15">
        <v>0.02</v>
      </c>
      <c r="V17" s="15">
        <v>0.03</v>
      </c>
      <c r="W17" s="15">
        <v>0.01</v>
      </c>
      <c r="X17" s="15">
        <v>0.02</v>
      </c>
      <c r="Y17" s="15">
        <v>0.04</v>
      </c>
      <c r="Z17" s="15">
        <v>0.04</v>
      </c>
      <c r="AA17" s="15">
        <v>0.05</v>
      </c>
      <c r="AB17" s="15">
        <v>0.05</v>
      </c>
      <c r="AC17" s="15">
        <v>0.01</v>
      </c>
      <c r="AD17" s="15">
        <v>0.02</v>
      </c>
      <c r="AE17" s="15">
        <v>0.03</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17"/>
  <sheetViews>
    <sheetView workbookViewId="0">
      <pane xSplit="3" ySplit="9" topLeftCell="V10" activePane="bottomRight" state="frozen"/>
      <selection pane="topRight"/>
      <selection pane="bottomLeft"/>
      <selection pane="bottomRight" activeCell="Z15" sqref="Z15"/>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858</v>
      </c>
      <c r="C3" s="18"/>
      <c r="D3" s="18"/>
      <c r="E3" s="18"/>
      <c r="F3" s="18"/>
      <c r="H3" s="18" t="s">
        <v>859</v>
      </c>
      <c r="I3" s="18"/>
      <c r="J3" s="18"/>
      <c r="K3" s="18"/>
      <c r="L3" s="18"/>
    </row>
    <row r="4" spans="1:32" ht="27" customHeight="1" x14ac:dyDescent="0.35">
      <c r="B4" s="18" t="s">
        <v>860</v>
      </c>
      <c r="C4" s="18"/>
      <c r="D4" s="18"/>
      <c r="E4" s="18"/>
      <c r="F4" s="18"/>
      <c r="H4" s="18" t="s">
        <v>861</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818</v>
      </c>
      <c r="C12" s="12">
        <v>19520</v>
      </c>
      <c r="D12" s="12">
        <v>778</v>
      </c>
      <c r="E12" s="12">
        <v>648</v>
      </c>
      <c r="F12" s="12">
        <v>559</v>
      </c>
      <c r="G12" s="12">
        <v>813</v>
      </c>
      <c r="H12" s="12">
        <v>996</v>
      </c>
      <c r="I12" s="12">
        <v>1205</v>
      </c>
      <c r="J12" s="12">
        <v>208</v>
      </c>
      <c r="K12" s="12">
        <v>507</v>
      </c>
      <c r="L12" s="12">
        <v>784</v>
      </c>
      <c r="M12" s="12">
        <v>792</v>
      </c>
      <c r="N12" s="12">
        <v>800</v>
      </c>
      <c r="O12" s="12">
        <v>710</v>
      </c>
      <c r="P12" s="12">
        <v>723</v>
      </c>
      <c r="Q12" s="12">
        <v>787</v>
      </c>
      <c r="R12" s="12">
        <v>431</v>
      </c>
      <c r="S12" s="12">
        <v>571</v>
      </c>
      <c r="T12" s="12">
        <v>757</v>
      </c>
      <c r="U12" s="12">
        <v>423</v>
      </c>
      <c r="V12" s="12">
        <v>805</v>
      </c>
      <c r="W12" s="12">
        <v>441</v>
      </c>
      <c r="X12" s="12">
        <v>797</v>
      </c>
      <c r="Y12" s="12">
        <v>643</v>
      </c>
      <c r="Z12" s="12">
        <v>651</v>
      </c>
      <c r="AA12" s="12">
        <v>754</v>
      </c>
      <c r="AB12" s="12">
        <v>631</v>
      </c>
      <c r="AC12" s="12">
        <v>782</v>
      </c>
      <c r="AD12" s="12">
        <v>711</v>
      </c>
      <c r="AE12" s="12">
        <v>707</v>
      </c>
      <c r="AF12" s="12">
        <v>862</v>
      </c>
    </row>
    <row r="13" spans="1:32" x14ac:dyDescent="0.35">
      <c r="A13" s="19"/>
      <c r="B13" s="13" t="s">
        <v>819</v>
      </c>
      <c r="C13" s="15">
        <v>0.74</v>
      </c>
      <c r="D13" s="15">
        <v>0.77</v>
      </c>
      <c r="E13" s="15">
        <v>0.63</v>
      </c>
      <c r="F13" s="15">
        <v>0.51</v>
      </c>
      <c r="G13" s="15">
        <v>0.81</v>
      </c>
      <c r="H13" s="15">
        <v>0.82000000000000006</v>
      </c>
      <c r="I13" s="15">
        <v>0.8</v>
      </c>
      <c r="J13" s="15">
        <v>0.71</v>
      </c>
      <c r="K13" s="15">
        <v>0.51</v>
      </c>
      <c r="L13" s="15">
        <v>0.78</v>
      </c>
      <c r="M13" s="15">
        <v>0.78</v>
      </c>
      <c r="N13" s="15">
        <v>0.8</v>
      </c>
      <c r="O13" s="15">
        <v>0.71</v>
      </c>
      <c r="P13" s="15">
        <v>0.72</v>
      </c>
      <c r="Q13" s="15">
        <v>0.77</v>
      </c>
      <c r="R13" s="15">
        <v>0.85</v>
      </c>
      <c r="S13" s="15">
        <v>0.57000000000000006</v>
      </c>
      <c r="T13" s="15">
        <v>0.75</v>
      </c>
      <c r="U13" s="15">
        <v>0.84</v>
      </c>
      <c r="V13" s="15">
        <v>0.79</v>
      </c>
      <c r="W13" s="15">
        <v>0.87</v>
      </c>
      <c r="X13" s="15">
        <v>0.79</v>
      </c>
      <c r="Y13" s="15">
        <v>0.64</v>
      </c>
      <c r="Z13" s="15">
        <v>0.63</v>
      </c>
      <c r="AA13" s="15">
        <v>0.73</v>
      </c>
      <c r="AB13" s="15">
        <v>0.6</v>
      </c>
      <c r="AC13" s="15">
        <v>0.78</v>
      </c>
      <c r="AD13" s="15">
        <v>0.71</v>
      </c>
      <c r="AE13" s="15">
        <v>0.70000000000000007</v>
      </c>
      <c r="AF13" s="15">
        <v>0.83000000000000007</v>
      </c>
    </row>
    <row r="14" spans="1:32" x14ac:dyDescent="0.35">
      <c r="A14" s="19"/>
      <c r="B14" s="11" t="s">
        <v>820</v>
      </c>
      <c r="C14" s="12">
        <v>5870</v>
      </c>
      <c r="D14" s="12">
        <v>220</v>
      </c>
      <c r="E14" s="12">
        <v>264</v>
      </c>
      <c r="F14" s="12">
        <v>505</v>
      </c>
      <c r="G14" s="12">
        <v>169</v>
      </c>
      <c r="H14" s="12">
        <v>197</v>
      </c>
      <c r="I14" s="12">
        <v>278</v>
      </c>
      <c r="J14" s="12">
        <v>81</v>
      </c>
      <c r="K14" s="12">
        <v>373</v>
      </c>
      <c r="L14" s="12">
        <v>143</v>
      </c>
      <c r="M14" s="12">
        <v>196</v>
      </c>
      <c r="N14" s="12">
        <v>137</v>
      </c>
      <c r="O14" s="12">
        <v>232</v>
      </c>
      <c r="P14" s="12">
        <v>252</v>
      </c>
      <c r="Q14" s="12">
        <v>211</v>
      </c>
      <c r="R14" s="12">
        <v>53</v>
      </c>
      <c r="S14" s="12">
        <v>347</v>
      </c>
      <c r="T14" s="12">
        <v>172</v>
      </c>
      <c r="U14" s="12">
        <v>65</v>
      </c>
      <c r="V14" s="12">
        <v>180</v>
      </c>
      <c r="W14" s="12">
        <v>60</v>
      </c>
      <c r="X14" s="12">
        <v>199</v>
      </c>
      <c r="Y14" s="12">
        <v>339</v>
      </c>
      <c r="Z14" s="12">
        <v>343</v>
      </c>
      <c r="AA14" s="12">
        <v>199</v>
      </c>
      <c r="AB14" s="12">
        <v>364</v>
      </c>
      <c r="AC14" s="12">
        <v>201</v>
      </c>
      <c r="AD14" s="12">
        <v>253</v>
      </c>
      <c r="AE14" s="12">
        <v>256</v>
      </c>
      <c r="AF14" s="12">
        <v>172</v>
      </c>
    </row>
    <row r="15" spans="1:32" x14ac:dyDescent="0.35">
      <c r="A15" s="19"/>
      <c r="B15" s="13" t="s">
        <v>821</v>
      </c>
      <c r="C15" s="15">
        <v>0.22</v>
      </c>
      <c r="D15" s="15">
        <v>0.22</v>
      </c>
      <c r="E15" s="15">
        <v>0.26</v>
      </c>
      <c r="F15" s="15">
        <v>0.46</v>
      </c>
      <c r="G15" s="15">
        <v>0.17</v>
      </c>
      <c r="H15" s="15">
        <v>0.16</v>
      </c>
      <c r="I15" s="15">
        <v>0.18</v>
      </c>
      <c r="J15" s="15">
        <v>0.27</v>
      </c>
      <c r="K15" s="15">
        <v>0.37</v>
      </c>
      <c r="L15" s="15">
        <v>0.14000000000000001</v>
      </c>
      <c r="M15" s="15">
        <v>0.2</v>
      </c>
      <c r="N15" s="15">
        <v>0.14000000000000001</v>
      </c>
      <c r="O15" s="15">
        <v>0.23</v>
      </c>
      <c r="P15" s="15">
        <v>0.25</v>
      </c>
      <c r="Q15" s="15">
        <v>0.2</v>
      </c>
      <c r="R15" s="15">
        <v>0.11</v>
      </c>
      <c r="S15" s="15">
        <v>0.35</v>
      </c>
      <c r="T15" s="15">
        <v>0.17</v>
      </c>
      <c r="U15" s="15">
        <v>0.13</v>
      </c>
      <c r="V15" s="15">
        <v>0.18</v>
      </c>
      <c r="W15" s="15">
        <v>0.12</v>
      </c>
      <c r="X15" s="15">
        <v>0.2</v>
      </c>
      <c r="Y15" s="15">
        <v>0.34</v>
      </c>
      <c r="Z15" s="15">
        <v>0.33</v>
      </c>
      <c r="AA15" s="15">
        <v>0.19</v>
      </c>
      <c r="AB15" s="15">
        <v>0.35</v>
      </c>
      <c r="AC15" s="15">
        <v>0.2</v>
      </c>
      <c r="AD15" s="15">
        <v>0.25</v>
      </c>
      <c r="AE15" s="15">
        <v>0.25</v>
      </c>
      <c r="AF15" s="15">
        <v>0.16</v>
      </c>
    </row>
    <row r="16" spans="1:32" x14ac:dyDescent="0.35">
      <c r="A16" s="19"/>
      <c r="B16" s="11" t="s">
        <v>485</v>
      </c>
      <c r="C16" s="12">
        <v>1055</v>
      </c>
      <c r="D16" s="12">
        <v>15</v>
      </c>
      <c r="E16" s="12">
        <v>118</v>
      </c>
      <c r="F16" s="12">
        <v>39</v>
      </c>
      <c r="G16" s="12">
        <v>24</v>
      </c>
      <c r="H16" s="12">
        <v>28</v>
      </c>
      <c r="I16" s="12">
        <v>33</v>
      </c>
      <c r="J16" s="12">
        <v>5</v>
      </c>
      <c r="K16" s="12">
        <v>122</v>
      </c>
      <c r="L16" s="12">
        <v>75</v>
      </c>
      <c r="M16" s="12">
        <v>22</v>
      </c>
      <c r="N16" s="12">
        <v>65</v>
      </c>
      <c r="O16" s="12">
        <v>59</v>
      </c>
      <c r="P16" s="12">
        <v>29</v>
      </c>
      <c r="Q16" s="12">
        <v>29</v>
      </c>
      <c r="R16" s="12">
        <v>20</v>
      </c>
      <c r="S16" s="12">
        <v>84</v>
      </c>
      <c r="T16" s="12">
        <v>77</v>
      </c>
      <c r="U16" s="12">
        <v>15</v>
      </c>
      <c r="V16" s="12">
        <v>30</v>
      </c>
      <c r="W16" s="12">
        <v>7</v>
      </c>
      <c r="X16" s="12">
        <v>13</v>
      </c>
      <c r="Y16" s="12">
        <v>20</v>
      </c>
      <c r="Z16" s="12">
        <v>37</v>
      </c>
      <c r="AA16" s="12">
        <v>79</v>
      </c>
      <c r="AB16" s="12">
        <v>56</v>
      </c>
      <c r="AC16" s="12">
        <v>20</v>
      </c>
      <c r="AD16" s="12">
        <v>41</v>
      </c>
      <c r="AE16" s="12">
        <v>49</v>
      </c>
      <c r="AF16" s="12">
        <v>9</v>
      </c>
    </row>
    <row r="17" spans="1:32" x14ac:dyDescent="0.35">
      <c r="A17" s="19"/>
      <c r="B17" s="13" t="s">
        <v>486</v>
      </c>
      <c r="C17" s="15">
        <v>0.04</v>
      </c>
      <c r="D17" s="15">
        <v>0.01</v>
      </c>
      <c r="E17" s="15">
        <v>0.11</v>
      </c>
      <c r="F17" s="15">
        <v>0.03</v>
      </c>
      <c r="G17" s="15">
        <v>0.02</v>
      </c>
      <c r="H17" s="15">
        <v>0.02</v>
      </c>
      <c r="I17" s="15">
        <v>0.02</v>
      </c>
      <c r="J17" s="15">
        <v>0.02</v>
      </c>
      <c r="K17" s="15">
        <v>0.12</v>
      </c>
      <c r="L17" s="15">
        <v>0.08</v>
      </c>
      <c r="M17" s="15">
        <v>0.02</v>
      </c>
      <c r="N17" s="15">
        <v>0.06</v>
      </c>
      <c r="O17" s="15">
        <v>0.06</v>
      </c>
      <c r="P17" s="15">
        <v>0.03</v>
      </c>
      <c r="Q17" s="15">
        <v>0.03</v>
      </c>
      <c r="R17" s="15">
        <v>0.04</v>
      </c>
      <c r="S17" s="15">
        <v>0.08</v>
      </c>
      <c r="T17" s="15">
        <v>0.08</v>
      </c>
      <c r="U17" s="15">
        <v>0.03</v>
      </c>
      <c r="V17" s="15">
        <v>0.03</v>
      </c>
      <c r="W17" s="15">
        <v>0.01</v>
      </c>
      <c r="X17" s="15">
        <v>0.01</v>
      </c>
      <c r="Y17" s="15">
        <v>0.02</v>
      </c>
      <c r="Z17" s="15">
        <v>0.04</v>
      </c>
      <c r="AA17" s="15">
        <v>0.08</v>
      </c>
      <c r="AB17" s="15">
        <v>0.05</v>
      </c>
      <c r="AC17" s="15">
        <v>0.02</v>
      </c>
      <c r="AD17" s="15">
        <v>0.04</v>
      </c>
      <c r="AE17" s="15">
        <v>0.05</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5"/>
  <sheetViews>
    <sheetView workbookViewId="0">
      <pane xSplit="3" ySplit="9" topLeftCell="D16"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862</v>
      </c>
      <c r="C3" s="18"/>
      <c r="D3" s="18"/>
      <c r="E3" s="18"/>
      <c r="F3" s="18"/>
      <c r="H3" s="18" t="s">
        <v>863</v>
      </c>
      <c r="I3" s="18"/>
      <c r="J3" s="18"/>
      <c r="K3" s="18"/>
      <c r="L3" s="18"/>
    </row>
    <row r="4" spans="1:32" ht="27" customHeight="1" x14ac:dyDescent="0.35">
      <c r="B4" s="18" t="s">
        <v>864</v>
      </c>
      <c r="C4" s="18"/>
      <c r="D4" s="18"/>
      <c r="E4" s="18"/>
      <c r="F4" s="18"/>
      <c r="H4" s="18" t="s">
        <v>865</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5070</v>
      </c>
      <c r="D12" s="12">
        <v>149</v>
      </c>
      <c r="E12" s="12">
        <v>261</v>
      </c>
      <c r="F12" s="12">
        <v>136</v>
      </c>
      <c r="G12" s="12">
        <v>154</v>
      </c>
      <c r="H12" s="12">
        <v>206</v>
      </c>
      <c r="I12" s="12">
        <v>254</v>
      </c>
      <c r="J12" s="12">
        <v>47</v>
      </c>
      <c r="K12" s="12">
        <v>153</v>
      </c>
      <c r="L12" s="12">
        <v>264</v>
      </c>
      <c r="M12" s="12">
        <v>282</v>
      </c>
      <c r="N12" s="12">
        <v>299</v>
      </c>
      <c r="O12" s="12">
        <v>121</v>
      </c>
      <c r="P12" s="12">
        <v>239</v>
      </c>
      <c r="Q12" s="12">
        <v>185</v>
      </c>
      <c r="R12" s="12">
        <v>110</v>
      </c>
      <c r="S12" s="12">
        <v>228</v>
      </c>
      <c r="T12" s="12">
        <v>244</v>
      </c>
      <c r="U12" s="12">
        <v>100</v>
      </c>
      <c r="V12" s="12">
        <v>244</v>
      </c>
      <c r="W12" s="12">
        <v>94</v>
      </c>
      <c r="X12" s="12">
        <v>140</v>
      </c>
      <c r="Y12" s="12">
        <v>343</v>
      </c>
      <c r="Z12" s="12">
        <v>230</v>
      </c>
      <c r="AA12" s="12">
        <v>198</v>
      </c>
      <c r="AB12" s="12">
        <v>194</v>
      </c>
      <c r="AC12" s="12">
        <v>229</v>
      </c>
      <c r="AD12" s="12">
        <v>297</v>
      </c>
      <c r="AE12" s="12">
        <v>120</v>
      </c>
      <c r="AF12" s="12">
        <v>148</v>
      </c>
    </row>
    <row r="13" spans="1:32" x14ac:dyDescent="0.35">
      <c r="A13" s="19"/>
      <c r="B13" s="13" t="s">
        <v>761</v>
      </c>
      <c r="C13" s="15">
        <v>0.19</v>
      </c>
      <c r="D13" s="15">
        <v>0.15</v>
      </c>
      <c r="E13" s="15">
        <v>0.25</v>
      </c>
      <c r="F13" s="15">
        <v>0.12</v>
      </c>
      <c r="G13" s="15">
        <v>0.15</v>
      </c>
      <c r="H13" s="15">
        <v>0.17</v>
      </c>
      <c r="I13" s="15">
        <v>0.17</v>
      </c>
      <c r="J13" s="15">
        <v>0.16</v>
      </c>
      <c r="K13" s="15">
        <v>0.15</v>
      </c>
      <c r="L13" s="15">
        <v>0.26</v>
      </c>
      <c r="M13" s="15">
        <v>0.28000000000000003</v>
      </c>
      <c r="N13" s="15">
        <v>0.3</v>
      </c>
      <c r="O13" s="15">
        <v>0.12</v>
      </c>
      <c r="P13" s="15">
        <v>0.24</v>
      </c>
      <c r="Q13" s="15">
        <v>0.18</v>
      </c>
      <c r="R13" s="15">
        <v>0.22</v>
      </c>
      <c r="S13" s="15">
        <v>0.23</v>
      </c>
      <c r="T13" s="15">
        <v>0.24</v>
      </c>
      <c r="U13" s="15">
        <v>0.2</v>
      </c>
      <c r="V13" s="15">
        <v>0.24</v>
      </c>
      <c r="W13" s="15">
        <v>0.18</v>
      </c>
      <c r="X13" s="15">
        <v>0.14000000000000001</v>
      </c>
      <c r="Y13" s="15">
        <v>0.34</v>
      </c>
      <c r="Z13" s="15">
        <v>0.22</v>
      </c>
      <c r="AA13" s="15">
        <v>0.19</v>
      </c>
      <c r="AB13" s="15">
        <v>0.19</v>
      </c>
      <c r="AC13" s="15">
        <v>0.23</v>
      </c>
      <c r="AD13" s="15">
        <v>0.28999999999999998</v>
      </c>
      <c r="AE13" s="15">
        <v>0.12</v>
      </c>
      <c r="AF13" s="15">
        <v>0.14000000000000001</v>
      </c>
    </row>
    <row r="14" spans="1:32" x14ac:dyDescent="0.35">
      <c r="A14" s="19"/>
      <c r="B14" s="11" t="s">
        <v>762</v>
      </c>
      <c r="C14" s="12">
        <v>12846</v>
      </c>
      <c r="D14" s="12">
        <v>461</v>
      </c>
      <c r="E14" s="12">
        <v>436</v>
      </c>
      <c r="F14" s="12">
        <v>522</v>
      </c>
      <c r="G14" s="12">
        <v>486</v>
      </c>
      <c r="H14" s="12">
        <v>621</v>
      </c>
      <c r="I14" s="12">
        <v>735</v>
      </c>
      <c r="J14" s="12">
        <v>114</v>
      </c>
      <c r="K14" s="12">
        <v>484</v>
      </c>
      <c r="L14" s="12">
        <v>474</v>
      </c>
      <c r="M14" s="12">
        <v>497</v>
      </c>
      <c r="N14" s="12">
        <v>392</v>
      </c>
      <c r="O14" s="12">
        <v>432</v>
      </c>
      <c r="P14" s="12">
        <v>545</v>
      </c>
      <c r="Q14" s="12">
        <v>554</v>
      </c>
      <c r="R14" s="12">
        <v>242</v>
      </c>
      <c r="S14" s="12">
        <v>469</v>
      </c>
      <c r="T14" s="12">
        <v>479</v>
      </c>
      <c r="U14" s="12">
        <v>205</v>
      </c>
      <c r="V14" s="12">
        <v>524</v>
      </c>
      <c r="W14" s="12">
        <v>318</v>
      </c>
      <c r="X14" s="12">
        <v>473</v>
      </c>
      <c r="Y14" s="12">
        <v>400</v>
      </c>
      <c r="Z14" s="12">
        <v>611</v>
      </c>
      <c r="AA14" s="12">
        <v>688</v>
      </c>
      <c r="AB14" s="12">
        <v>547</v>
      </c>
      <c r="AC14" s="12">
        <v>397</v>
      </c>
      <c r="AD14" s="12">
        <v>450</v>
      </c>
      <c r="AE14" s="12">
        <v>466</v>
      </c>
      <c r="AF14" s="12">
        <v>582</v>
      </c>
    </row>
    <row r="15" spans="1:32" x14ac:dyDescent="0.35">
      <c r="A15" s="19"/>
      <c r="B15" s="13" t="s">
        <v>763</v>
      </c>
      <c r="C15" s="15">
        <v>0.49</v>
      </c>
      <c r="D15" s="15">
        <v>0.45</v>
      </c>
      <c r="E15" s="15">
        <v>0.42</v>
      </c>
      <c r="F15" s="15">
        <v>0.47</v>
      </c>
      <c r="G15" s="15">
        <v>0.48</v>
      </c>
      <c r="H15" s="15">
        <v>0.51</v>
      </c>
      <c r="I15" s="15">
        <v>0.48</v>
      </c>
      <c r="J15" s="15">
        <v>0.39</v>
      </c>
      <c r="K15" s="15">
        <v>0.49</v>
      </c>
      <c r="L15" s="15">
        <v>0.47</v>
      </c>
      <c r="M15" s="15">
        <v>0.49</v>
      </c>
      <c r="N15" s="15">
        <v>0.39</v>
      </c>
      <c r="O15" s="15">
        <v>0.43</v>
      </c>
      <c r="P15" s="15">
        <v>0.54</v>
      </c>
      <c r="Q15" s="15">
        <v>0.54</v>
      </c>
      <c r="R15" s="15">
        <v>0.48</v>
      </c>
      <c r="S15" s="15">
        <v>0.47</v>
      </c>
      <c r="T15" s="15">
        <v>0.48</v>
      </c>
      <c r="U15" s="15">
        <v>0.4</v>
      </c>
      <c r="V15" s="15">
        <v>0.52</v>
      </c>
      <c r="W15" s="15">
        <v>0.63</v>
      </c>
      <c r="X15" s="15">
        <v>0.47</v>
      </c>
      <c r="Y15" s="15">
        <v>0.4</v>
      </c>
      <c r="Z15" s="15">
        <v>0.59</v>
      </c>
      <c r="AA15" s="15">
        <v>0.67</v>
      </c>
      <c r="AB15" s="15">
        <v>0.52</v>
      </c>
      <c r="AC15" s="15">
        <v>0.4</v>
      </c>
      <c r="AD15" s="15">
        <v>0.45</v>
      </c>
      <c r="AE15" s="15">
        <v>0.46</v>
      </c>
      <c r="AF15" s="15">
        <v>0.56000000000000005</v>
      </c>
    </row>
    <row r="16" spans="1:32" x14ac:dyDescent="0.35">
      <c r="A16" s="19"/>
      <c r="B16" s="11" t="s">
        <v>764</v>
      </c>
      <c r="C16" s="12">
        <v>5557</v>
      </c>
      <c r="D16" s="12">
        <v>322</v>
      </c>
      <c r="E16" s="12">
        <v>168</v>
      </c>
      <c r="F16" s="12">
        <v>305</v>
      </c>
      <c r="G16" s="12">
        <v>216</v>
      </c>
      <c r="H16" s="12">
        <v>286</v>
      </c>
      <c r="I16" s="12">
        <v>382</v>
      </c>
      <c r="J16" s="12">
        <v>96</v>
      </c>
      <c r="K16" s="12">
        <v>231</v>
      </c>
      <c r="L16" s="12">
        <v>119</v>
      </c>
      <c r="M16" s="12">
        <v>148</v>
      </c>
      <c r="N16" s="12">
        <v>171</v>
      </c>
      <c r="O16" s="12">
        <v>259</v>
      </c>
      <c r="P16" s="12">
        <v>164</v>
      </c>
      <c r="Q16" s="12">
        <v>194</v>
      </c>
      <c r="R16" s="12">
        <v>96</v>
      </c>
      <c r="S16" s="12">
        <v>191</v>
      </c>
      <c r="T16" s="12">
        <v>183</v>
      </c>
      <c r="U16" s="12">
        <v>120</v>
      </c>
      <c r="V16" s="12">
        <v>190</v>
      </c>
      <c r="W16" s="12">
        <v>71</v>
      </c>
      <c r="X16" s="12">
        <v>313</v>
      </c>
      <c r="Y16" s="12">
        <v>169</v>
      </c>
      <c r="Z16" s="12">
        <v>137</v>
      </c>
      <c r="AA16" s="12">
        <v>29</v>
      </c>
      <c r="AB16" s="12">
        <v>202</v>
      </c>
      <c r="AC16" s="12">
        <v>284</v>
      </c>
      <c r="AD16" s="12">
        <v>141</v>
      </c>
      <c r="AE16" s="12">
        <v>300</v>
      </c>
      <c r="AF16" s="12">
        <v>215</v>
      </c>
    </row>
    <row r="17" spans="1:32" x14ac:dyDescent="0.35">
      <c r="A17" s="19"/>
      <c r="B17" s="13" t="s">
        <v>765</v>
      </c>
      <c r="C17" s="15">
        <v>0.21</v>
      </c>
      <c r="D17" s="15">
        <v>0.32</v>
      </c>
      <c r="E17" s="15">
        <v>0.16</v>
      </c>
      <c r="F17" s="15">
        <v>0.28000000000000003</v>
      </c>
      <c r="G17" s="15">
        <v>0.22</v>
      </c>
      <c r="H17" s="15">
        <v>0.23</v>
      </c>
      <c r="I17" s="15">
        <v>0.25</v>
      </c>
      <c r="J17" s="15">
        <v>0.32</v>
      </c>
      <c r="K17" s="15">
        <v>0.23</v>
      </c>
      <c r="L17" s="15">
        <v>0.12</v>
      </c>
      <c r="M17" s="15">
        <v>0.15</v>
      </c>
      <c r="N17" s="15">
        <v>0.17</v>
      </c>
      <c r="O17" s="15">
        <v>0.26</v>
      </c>
      <c r="P17" s="15">
        <v>0.16</v>
      </c>
      <c r="Q17" s="15">
        <v>0.19</v>
      </c>
      <c r="R17" s="15">
        <v>0.19</v>
      </c>
      <c r="S17" s="15">
        <v>0.19</v>
      </c>
      <c r="T17" s="15">
        <v>0.18</v>
      </c>
      <c r="U17" s="15">
        <v>0.24</v>
      </c>
      <c r="V17" s="15">
        <v>0.19</v>
      </c>
      <c r="W17" s="15">
        <v>0.14000000000000001</v>
      </c>
      <c r="X17" s="15">
        <v>0.31</v>
      </c>
      <c r="Y17" s="15">
        <v>0.17</v>
      </c>
      <c r="Z17" s="15">
        <v>0.13</v>
      </c>
      <c r="AA17" s="15">
        <v>0.03</v>
      </c>
      <c r="AB17" s="15">
        <v>0.19</v>
      </c>
      <c r="AC17" s="15">
        <v>0.28000000000000003</v>
      </c>
      <c r="AD17" s="15">
        <v>0.14000000000000001</v>
      </c>
      <c r="AE17" s="15">
        <v>0.3</v>
      </c>
      <c r="AF17" s="15">
        <v>0.21</v>
      </c>
    </row>
    <row r="18" spans="1:32" x14ac:dyDescent="0.35">
      <c r="A18" s="19"/>
      <c r="B18" s="11" t="s">
        <v>766</v>
      </c>
      <c r="C18" s="12">
        <v>1409</v>
      </c>
      <c r="D18" s="12">
        <v>61</v>
      </c>
      <c r="E18" s="12">
        <v>56</v>
      </c>
      <c r="F18" s="12">
        <v>56</v>
      </c>
      <c r="G18" s="12">
        <v>32</v>
      </c>
      <c r="H18" s="12">
        <v>56</v>
      </c>
      <c r="I18" s="12">
        <v>84</v>
      </c>
      <c r="J18" s="12">
        <v>28</v>
      </c>
      <c r="K18" s="12">
        <v>53</v>
      </c>
      <c r="L18" s="12">
        <v>39</v>
      </c>
      <c r="M18" s="12">
        <v>29</v>
      </c>
      <c r="N18" s="12">
        <v>69</v>
      </c>
      <c r="O18" s="12">
        <v>92</v>
      </c>
      <c r="P18" s="12">
        <v>22</v>
      </c>
      <c r="Q18" s="12">
        <v>51</v>
      </c>
      <c r="R18" s="12">
        <v>34</v>
      </c>
      <c r="S18" s="12">
        <v>47</v>
      </c>
      <c r="T18" s="12">
        <v>22</v>
      </c>
      <c r="U18" s="12">
        <v>50</v>
      </c>
      <c r="V18" s="12">
        <v>32</v>
      </c>
      <c r="W18" s="12">
        <v>14</v>
      </c>
      <c r="X18" s="12">
        <v>32</v>
      </c>
      <c r="Y18" s="12">
        <v>65</v>
      </c>
      <c r="Z18" s="12">
        <v>16</v>
      </c>
      <c r="AA18" s="12">
        <v>10</v>
      </c>
      <c r="AB18" s="12">
        <v>47</v>
      </c>
      <c r="AC18" s="12">
        <v>72</v>
      </c>
      <c r="AD18" s="12">
        <v>42</v>
      </c>
      <c r="AE18" s="12">
        <v>51</v>
      </c>
      <c r="AF18" s="12">
        <v>43</v>
      </c>
    </row>
    <row r="19" spans="1:32" x14ac:dyDescent="0.35">
      <c r="A19" s="19"/>
      <c r="B19" s="13" t="s">
        <v>767</v>
      </c>
      <c r="C19" s="15">
        <v>0.05</v>
      </c>
      <c r="D19" s="15">
        <v>0.06</v>
      </c>
      <c r="E19" s="15">
        <v>0.06</v>
      </c>
      <c r="F19" s="15">
        <v>0.05</v>
      </c>
      <c r="G19" s="15">
        <v>0.03</v>
      </c>
      <c r="H19" s="15">
        <v>0.05</v>
      </c>
      <c r="I19" s="15">
        <v>0.06</v>
      </c>
      <c r="J19" s="15">
        <v>0.1</v>
      </c>
      <c r="K19" s="15">
        <v>0.05</v>
      </c>
      <c r="L19" s="15">
        <v>0.04</v>
      </c>
      <c r="M19" s="15">
        <v>0.03</v>
      </c>
      <c r="N19" s="15">
        <v>7.0000000000000007E-2</v>
      </c>
      <c r="O19" s="15">
        <v>0.09</v>
      </c>
      <c r="P19" s="15">
        <v>0.02</v>
      </c>
      <c r="Q19" s="15">
        <v>0.05</v>
      </c>
      <c r="R19" s="15">
        <v>7.0000000000000007E-2</v>
      </c>
      <c r="S19" s="15">
        <v>0.05</v>
      </c>
      <c r="T19" s="15">
        <v>0.02</v>
      </c>
      <c r="U19" s="15">
        <v>0.1</v>
      </c>
      <c r="V19" s="15">
        <v>0.03</v>
      </c>
      <c r="W19" s="15">
        <v>0.03</v>
      </c>
      <c r="X19" s="15">
        <v>0.03</v>
      </c>
      <c r="Y19" s="15">
        <v>0.06</v>
      </c>
      <c r="Z19" s="15">
        <v>0.02</v>
      </c>
      <c r="AA19" s="15">
        <v>0.01</v>
      </c>
      <c r="AB19" s="15">
        <v>0.04</v>
      </c>
      <c r="AC19" s="15">
        <v>7.0000000000000007E-2</v>
      </c>
      <c r="AD19" s="15">
        <v>0.04</v>
      </c>
      <c r="AE19" s="15">
        <v>0.05</v>
      </c>
      <c r="AF19" s="15">
        <v>0.04</v>
      </c>
    </row>
    <row r="20" spans="1:32" x14ac:dyDescent="0.35">
      <c r="A20" s="19"/>
      <c r="B20" s="11" t="s">
        <v>485</v>
      </c>
      <c r="C20" s="12">
        <v>1564</v>
      </c>
      <c r="D20" s="12">
        <v>20</v>
      </c>
      <c r="E20" s="12">
        <v>109</v>
      </c>
      <c r="F20" s="12">
        <v>82</v>
      </c>
      <c r="G20" s="12">
        <v>119</v>
      </c>
      <c r="H20" s="12">
        <v>52</v>
      </c>
      <c r="I20" s="12">
        <v>62</v>
      </c>
      <c r="J20" s="12">
        <v>10</v>
      </c>
      <c r="K20" s="12">
        <v>81</v>
      </c>
      <c r="L20" s="12">
        <v>106</v>
      </c>
      <c r="M20" s="12">
        <v>55</v>
      </c>
      <c r="N20" s="12">
        <v>73</v>
      </c>
      <c r="O20" s="12">
        <v>97</v>
      </c>
      <c r="P20" s="12">
        <v>34</v>
      </c>
      <c r="Q20" s="12">
        <v>44</v>
      </c>
      <c r="R20" s="12">
        <v>22</v>
      </c>
      <c r="S20" s="12">
        <v>67</v>
      </c>
      <c r="T20" s="12">
        <v>78</v>
      </c>
      <c r="U20" s="12">
        <v>29</v>
      </c>
      <c r="V20" s="12">
        <v>24</v>
      </c>
      <c r="W20" s="12">
        <v>11</v>
      </c>
      <c r="X20" s="12">
        <v>50</v>
      </c>
      <c r="Y20" s="12">
        <v>26</v>
      </c>
      <c r="Z20" s="12">
        <v>37</v>
      </c>
      <c r="AA20" s="12">
        <v>108</v>
      </c>
      <c r="AB20" s="12">
        <v>62</v>
      </c>
      <c r="AC20" s="12">
        <v>21</v>
      </c>
      <c r="AD20" s="12">
        <v>76</v>
      </c>
      <c r="AE20" s="12">
        <v>75</v>
      </c>
      <c r="AF20" s="12">
        <v>55</v>
      </c>
    </row>
    <row r="21" spans="1:32" x14ac:dyDescent="0.35">
      <c r="A21" s="19"/>
      <c r="B21" s="13" t="s">
        <v>486</v>
      </c>
      <c r="C21" s="15">
        <v>0.06</v>
      </c>
      <c r="D21" s="15">
        <v>0.02</v>
      </c>
      <c r="E21" s="15">
        <v>0.11</v>
      </c>
      <c r="F21" s="15">
        <v>0.08</v>
      </c>
      <c r="G21" s="15">
        <v>0.12</v>
      </c>
      <c r="H21" s="15">
        <v>0.04</v>
      </c>
      <c r="I21" s="15">
        <v>0.04</v>
      </c>
      <c r="J21" s="15">
        <v>0.03</v>
      </c>
      <c r="K21" s="15">
        <v>0.08</v>
      </c>
      <c r="L21" s="15">
        <v>0.11</v>
      </c>
      <c r="M21" s="15">
        <v>0.05</v>
      </c>
      <c r="N21" s="15">
        <v>7.0000000000000007E-2</v>
      </c>
      <c r="O21" s="15">
        <v>0.1</v>
      </c>
      <c r="P21" s="15">
        <v>0.04</v>
      </c>
      <c r="Q21" s="15">
        <v>0.04</v>
      </c>
      <c r="R21" s="15">
        <v>0.04</v>
      </c>
      <c r="S21" s="15">
        <v>0.06</v>
      </c>
      <c r="T21" s="15">
        <v>0.08</v>
      </c>
      <c r="U21" s="15">
        <v>0.06</v>
      </c>
      <c r="V21" s="15">
        <v>0.02</v>
      </c>
      <c r="W21" s="15">
        <v>0.02</v>
      </c>
      <c r="X21" s="15">
        <v>0.05</v>
      </c>
      <c r="Y21" s="15">
        <v>0.03</v>
      </c>
      <c r="Z21" s="15">
        <v>0.04</v>
      </c>
      <c r="AA21" s="15">
        <v>0.1</v>
      </c>
      <c r="AB21" s="15">
        <v>0.06</v>
      </c>
      <c r="AC21" s="15">
        <v>0.02</v>
      </c>
      <c r="AD21" s="15">
        <v>0.08</v>
      </c>
      <c r="AE21" s="15">
        <v>7.0000000000000007E-2</v>
      </c>
      <c r="AF21" s="15">
        <v>0.05</v>
      </c>
    </row>
    <row r="22" spans="1:32" x14ac:dyDescent="0.35">
      <c r="A22" s="19"/>
      <c r="B22" s="11" t="s">
        <v>768</v>
      </c>
      <c r="C22" s="12">
        <v>17916</v>
      </c>
      <c r="D22" s="12">
        <v>610</v>
      </c>
      <c r="E22" s="12">
        <v>697</v>
      </c>
      <c r="F22" s="12">
        <v>658</v>
      </c>
      <c r="G22" s="12">
        <v>640</v>
      </c>
      <c r="H22" s="12">
        <v>827</v>
      </c>
      <c r="I22" s="12">
        <v>989</v>
      </c>
      <c r="J22" s="12">
        <v>161</v>
      </c>
      <c r="K22" s="12">
        <v>637</v>
      </c>
      <c r="L22" s="12">
        <v>738</v>
      </c>
      <c r="M22" s="12">
        <v>779</v>
      </c>
      <c r="N22" s="12">
        <v>691</v>
      </c>
      <c r="O22" s="12">
        <v>553</v>
      </c>
      <c r="P22" s="12">
        <v>784</v>
      </c>
      <c r="Q22" s="12">
        <v>739</v>
      </c>
      <c r="R22" s="12">
        <v>352</v>
      </c>
      <c r="S22" s="12">
        <v>697</v>
      </c>
      <c r="T22" s="12">
        <v>723</v>
      </c>
      <c r="U22" s="12">
        <v>305</v>
      </c>
      <c r="V22" s="12">
        <v>768</v>
      </c>
      <c r="W22" s="12">
        <v>412</v>
      </c>
      <c r="X22" s="12">
        <v>613</v>
      </c>
      <c r="Y22" s="12">
        <v>743</v>
      </c>
      <c r="Z22" s="12">
        <v>841</v>
      </c>
      <c r="AA22" s="12">
        <v>886</v>
      </c>
      <c r="AB22" s="12">
        <v>741</v>
      </c>
      <c r="AC22" s="12">
        <v>626</v>
      </c>
      <c r="AD22" s="12">
        <v>747</v>
      </c>
      <c r="AE22" s="12">
        <v>586</v>
      </c>
      <c r="AF22" s="12">
        <v>730</v>
      </c>
    </row>
    <row r="23" spans="1:32" x14ac:dyDescent="0.35">
      <c r="A23" s="19"/>
      <c r="B23" s="13" t="s">
        <v>769</v>
      </c>
      <c r="C23" s="15">
        <v>0.68</v>
      </c>
      <c r="D23" s="15">
        <v>0.6</v>
      </c>
      <c r="E23" s="15">
        <v>0.67</v>
      </c>
      <c r="F23" s="15">
        <v>0.59</v>
      </c>
      <c r="G23" s="15">
        <v>0.63</v>
      </c>
      <c r="H23" s="15">
        <v>0.68</v>
      </c>
      <c r="I23" s="15">
        <v>0.65</v>
      </c>
      <c r="J23" s="15">
        <v>0.55000000000000004</v>
      </c>
      <c r="K23" s="15">
        <v>0.64</v>
      </c>
      <c r="L23" s="15">
        <v>0.73</v>
      </c>
      <c r="M23" s="15">
        <v>0.77</v>
      </c>
      <c r="N23" s="15">
        <v>0.69000000000000006</v>
      </c>
      <c r="O23" s="15">
        <v>0.55000000000000004</v>
      </c>
      <c r="P23" s="15">
        <v>0.78</v>
      </c>
      <c r="Q23" s="15">
        <v>0.72</v>
      </c>
      <c r="R23" s="15">
        <v>0.70000000000000007</v>
      </c>
      <c r="S23" s="15">
        <v>0.70000000000000007</v>
      </c>
      <c r="T23" s="15">
        <v>0.72</v>
      </c>
      <c r="U23" s="15">
        <v>0.6</v>
      </c>
      <c r="V23" s="15">
        <v>0.76</v>
      </c>
      <c r="W23" s="15">
        <v>0.81</v>
      </c>
      <c r="X23" s="15">
        <v>0.61</v>
      </c>
      <c r="Y23" s="15">
        <v>0.74</v>
      </c>
      <c r="Z23" s="15">
        <v>0.81</v>
      </c>
      <c r="AA23" s="15">
        <v>0.86</v>
      </c>
      <c r="AB23" s="15">
        <v>0.71</v>
      </c>
      <c r="AC23" s="15">
        <v>0.63</v>
      </c>
      <c r="AD23" s="15">
        <v>0.74</v>
      </c>
      <c r="AE23" s="15">
        <v>0.57999999999999996</v>
      </c>
      <c r="AF23" s="15">
        <v>0.70000000000000007</v>
      </c>
    </row>
    <row r="24" spans="1:32" x14ac:dyDescent="0.35">
      <c r="A24" s="19"/>
      <c r="B24" s="11" t="s">
        <v>770</v>
      </c>
      <c r="C24" s="12">
        <v>6966</v>
      </c>
      <c r="D24" s="12">
        <v>383</v>
      </c>
      <c r="E24" s="12">
        <v>224</v>
      </c>
      <c r="F24" s="12">
        <v>361</v>
      </c>
      <c r="G24" s="12">
        <v>248</v>
      </c>
      <c r="H24" s="12">
        <v>342</v>
      </c>
      <c r="I24" s="12">
        <v>466</v>
      </c>
      <c r="J24" s="12">
        <v>124</v>
      </c>
      <c r="K24" s="12">
        <v>284</v>
      </c>
      <c r="L24" s="12">
        <v>158</v>
      </c>
      <c r="M24" s="12">
        <v>177</v>
      </c>
      <c r="N24" s="12">
        <v>240</v>
      </c>
      <c r="O24" s="12">
        <v>351</v>
      </c>
      <c r="P24" s="12">
        <v>186</v>
      </c>
      <c r="Q24" s="12">
        <v>245</v>
      </c>
      <c r="R24" s="12">
        <v>130</v>
      </c>
      <c r="S24" s="12">
        <v>238</v>
      </c>
      <c r="T24" s="12">
        <v>205</v>
      </c>
      <c r="U24" s="12">
        <v>170</v>
      </c>
      <c r="V24" s="12">
        <v>222</v>
      </c>
      <c r="W24" s="12">
        <v>85</v>
      </c>
      <c r="X24" s="12">
        <v>345</v>
      </c>
      <c r="Y24" s="12">
        <v>234</v>
      </c>
      <c r="Z24" s="12">
        <v>153</v>
      </c>
      <c r="AA24" s="12">
        <v>39</v>
      </c>
      <c r="AB24" s="12">
        <v>249</v>
      </c>
      <c r="AC24" s="12">
        <v>356</v>
      </c>
      <c r="AD24" s="12">
        <v>183</v>
      </c>
      <c r="AE24" s="12">
        <v>351</v>
      </c>
      <c r="AF24" s="12">
        <v>258</v>
      </c>
    </row>
    <row r="25" spans="1:32" x14ac:dyDescent="0.35">
      <c r="A25" s="19"/>
      <c r="B25" s="13" t="s">
        <v>771</v>
      </c>
      <c r="C25" s="15">
        <v>0.26</v>
      </c>
      <c r="D25" s="15">
        <v>0.38</v>
      </c>
      <c r="E25" s="15">
        <v>0.22</v>
      </c>
      <c r="F25" s="15">
        <v>0.33</v>
      </c>
      <c r="G25" s="15">
        <v>0.25</v>
      </c>
      <c r="H25" s="15">
        <v>0.28000000000000003</v>
      </c>
      <c r="I25" s="15">
        <v>0.31</v>
      </c>
      <c r="J25" s="15">
        <v>0.42</v>
      </c>
      <c r="K25" s="15">
        <v>0.28000000000000003</v>
      </c>
      <c r="L25" s="15">
        <v>0.16</v>
      </c>
      <c r="M25" s="15">
        <v>0.18</v>
      </c>
      <c r="N25" s="15">
        <v>0.24</v>
      </c>
      <c r="O25" s="15">
        <v>0.35</v>
      </c>
      <c r="P25" s="15">
        <v>0.18</v>
      </c>
      <c r="Q25" s="15">
        <v>0.24</v>
      </c>
      <c r="R25" s="15">
        <v>0.26</v>
      </c>
      <c r="S25" s="15">
        <v>0.24</v>
      </c>
      <c r="T25" s="15">
        <v>0.2</v>
      </c>
      <c r="U25" s="15">
        <v>0.34</v>
      </c>
      <c r="V25" s="15">
        <v>0.22</v>
      </c>
      <c r="W25" s="15">
        <v>0.17</v>
      </c>
      <c r="X25" s="15">
        <v>0.34</v>
      </c>
      <c r="Y25" s="15">
        <v>0.23</v>
      </c>
      <c r="Z25" s="15">
        <v>0.15</v>
      </c>
      <c r="AA25" s="15">
        <v>0.04</v>
      </c>
      <c r="AB25" s="15">
        <v>0.23</v>
      </c>
      <c r="AC25" s="15">
        <v>0.35</v>
      </c>
      <c r="AD25" s="15">
        <v>0.18</v>
      </c>
      <c r="AE25" s="15">
        <v>0.35</v>
      </c>
      <c r="AF25" s="15">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5"/>
  <sheetViews>
    <sheetView workbookViewId="0">
      <pane xSplit="3" ySplit="9" topLeftCell="T13" activePane="bottomRight" state="frozen"/>
      <selection pane="topRight"/>
      <selection pane="bottomLeft"/>
      <selection pane="bottomRight" activeCell="Z21" sqref="Z21"/>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866</v>
      </c>
      <c r="C3" s="18"/>
      <c r="D3" s="18"/>
      <c r="E3" s="18"/>
      <c r="F3" s="18"/>
      <c r="H3" s="18" t="s">
        <v>867</v>
      </c>
      <c r="I3" s="18"/>
      <c r="J3" s="18"/>
      <c r="K3" s="18"/>
      <c r="L3" s="18"/>
    </row>
    <row r="4" spans="1:32" ht="27" customHeight="1" x14ac:dyDescent="0.35">
      <c r="B4" s="18" t="s">
        <v>868</v>
      </c>
      <c r="C4" s="18"/>
      <c r="D4" s="18"/>
      <c r="E4" s="18"/>
      <c r="F4" s="18"/>
      <c r="H4" s="18" t="s">
        <v>869</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8819</v>
      </c>
      <c r="D12" s="12">
        <v>364</v>
      </c>
      <c r="E12" s="12">
        <v>311</v>
      </c>
      <c r="F12" s="12">
        <v>247</v>
      </c>
      <c r="G12" s="12">
        <v>474</v>
      </c>
      <c r="H12" s="12">
        <v>467</v>
      </c>
      <c r="I12" s="12">
        <v>567</v>
      </c>
      <c r="J12" s="12">
        <v>100</v>
      </c>
      <c r="K12" s="12">
        <v>324</v>
      </c>
      <c r="L12" s="12">
        <v>434</v>
      </c>
      <c r="M12" s="12">
        <v>367</v>
      </c>
      <c r="N12" s="12">
        <v>400</v>
      </c>
      <c r="O12" s="12">
        <v>258</v>
      </c>
      <c r="P12" s="12">
        <v>327</v>
      </c>
      <c r="Q12" s="12">
        <v>323</v>
      </c>
      <c r="R12" s="12">
        <v>271</v>
      </c>
      <c r="S12" s="12">
        <v>474</v>
      </c>
      <c r="T12" s="12">
        <v>421</v>
      </c>
      <c r="U12" s="12">
        <v>247</v>
      </c>
      <c r="V12" s="12">
        <v>343</v>
      </c>
      <c r="W12" s="12">
        <v>160</v>
      </c>
      <c r="X12" s="12">
        <v>392</v>
      </c>
      <c r="Y12" s="12">
        <v>419</v>
      </c>
      <c r="Z12" s="12">
        <v>236</v>
      </c>
      <c r="AA12" s="12">
        <v>303</v>
      </c>
      <c r="AB12" s="12">
        <v>256</v>
      </c>
      <c r="AC12" s="12">
        <v>480</v>
      </c>
      <c r="AD12" s="12">
        <v>409</v>
      </c>
      <c r="AE12" s="12">
        <v>357</v>
      </c>
      <c r="AF12" s="12">
        <v>507</v>
      </c>
    </row>
    <row r="13" spans="1:32" x14ac:dyDescent="0.35">
      <c r="A13" s="19"/>
      <c r="B13" s="13" t="s">
        <v>761</v>
      </c>
      <c r="C13" s="15">
        <v>0.33</v>
      </c>
      <c r="D13" s="15">
        <v>0.36</v>
      </c>
      <c r="E13" s="15">
        <v>0.3</v>
      </c>
      <c r="F13" s="15">
        <v>0.22</v>
      </c>
      <c r="G13" s="15">
        <v>0.47</v>
      </c>
      <c r="H13" s="15">
        <v>0.38</v>
      </c>
      <c r="I13" s="15">
        <v>0.37</v>
      </c>
      <c r="J13" s="15">
        <v>0.34</v>
      </c>
      <c r="K13" s="15">
        <v>0.32</v>
      </c>
      <c r="L13" s="15">
        <v>0.43</v>
      </c>
      <c r="M13" s="15">
        <v>0.36</v>
      </c>
      <c r="N13" s="15">
        <v>0.4</v>
      </c>
      <c r="O13" s="15">
        <v>0.26</v>
      </c>
      <c r="P13" s="15">
        <v>0.33</v>
      </c>
      <c r="Q13" s="15">
        <v>0.32</v>
      </c>
      <c r="R13" s="15">
        <v>0.54</v>
      </c>
      <c r="S13" s="15">
        <v>0.47</v>
      </c>
      <c r="T13" s="15">
        <v>0.42</v>
      </c>
      <c r="U13" s="15">
        <v>0.49</v>
      </c>
      <c r="V13" s="15">
        <v>0.34</v>
      </c>
      <c r="W13" s="15">
        <v>0.31</v>
      </c>
      <c r="X13" s="15">
        <v>0.39</v>
      </c>
      <c r="Y13" s="15">
        <v>0.42</v>
      </c>
      <c r="Z13" s="15">
        <v>0.23</v>
      </c>
      <c r="AA13" s="15">
        <v>0.28999999999999998</v>
      </c>
      <c r="AB13" s="15">
        <v>0.24</v>
      </c>
      <c r="AC13" s="15">
        <v>0.48</v>
      </c>
      <c r="AD13" s="15">
        <v>0.41</v>
      </c>
      <c r="AE13" s="15">
        <v>0.35</v>
      </c>
      <c r="AF13" s="15">
        <v>0.49</v>
      </c>
    </row>
    <row r="14" spans="1:32" x14ac:dyDescent="0.35">
      <c r="A14" s="19"/>
      <c r="B14" s="11" t="s">
        <v>762</v>
      </c>
      <c r="C14" s="12">
        <v>13292</v>
      </c>
      <c r="D14" s="12">
        <v>501</v>
      </c>
      <c r="E14" s="12">
        <v>476</v>
      </c>
      <c r="F14" s="12">
        <v>567</v>
      </c>
      <c r="G14" s="12">
        <v>387</v>
      </c>
      <c r="H14" s="12">
        <v>623</v>
      </c>
      <c r="I14" s="12">
        <v>767</v>
      </c>
      <c r="J14" s="12">
        <v>145</v>
      </c>
      <c r="K14" s="12">
        <v>533</v>
      </c>
      <c r="L14" s="12">
        <v>442</v>
      </c>
      <c r="M14" s="12">
        <v>506</v>
      </c>
      <c r="N14" s="12">
        <v>421</v>
      </c>
      <c r="O14" s="12">
        <v>531</v>
      </c>
      <c r="P14" s="12">
        <v>538</v>
      </c>
      <c r="Q14" s="12">
        <v>547</v>
      </c>
      <c r="R14" s="12">
        <v>172</v>
      </c>
      <c r="S14" s="12">
        <v>446</v>
      </c>
      <c r="T14" s="12">
        <v>461</v>
      </c>
      <c r="U14" s="12">
        <v>200</v>
      </c>
      <c r="V14" s="12">
        <v>533</v>
      </c>
      <c r="W14" s="12">
        <v>309</v>
      </c>
      <c r="X14" s="12">
        <v>449</v>
      </c>
      <c r="Y14" s="12">
        <v>446</v>
      </c>
      <c r="Z14" s="12">
        <v>606</v>
      </c>
      <c r="AA14" s="12">
        <v>624</v>
      </c>
      <c r="AB14" s="12">
        <v>541</v>
      </c>
      <c r="AC14" s="12">
        <v>399</v>
      </c>
      <c r="AD14" s="12">
        <v>475</v>
      </c>
      <c r="AE14" s="12">
        <v>492</v>
      </c>
      <c r="AF14" s="12">
        <v>422</v>
      </c>
    </row>
    <row r="15" spans="1:32" x14ac:dyDescent="0.35">
      <c r="A15" s="19"/>
      <c r="B15" s="13" t="s">
        <v>763</v>
      </c>
      <c r="C15" s="15">
        <v>0.5</v>
      </c>
      <c r="D15" s="15">
        <v>0.49</v>
      </c>
      <c r="E15" s="15">
        <v>0.46</v>
      </c>
      <c r="F15" s="15">
        <v>0.52</v>
      </c>
      <c r="G15" s="15">
        <v>0.39</v>
      </c>
      <c r="H15" s="15">
        <v>0.51</v>
      </c>
      <c r="I15" s="15">
        <v>0.51</v>
      </c>
      <c r="J15" s="15">
        <v>0.49</v>
      </c>
      <c r="K15" s="15">
        <v>0.53</v>
      </c>
      <c r="L15" s="15">
        <v>0.44</v>
      </c>
      <c r="M15" s="15">
        <v>0.5</v>
      </c>
      <c r="N15" s="15">
        <v>0.42</v>
      </c>
      <c r="O15" s="15">
        <v>0.53</v>
      </c>
      <c r="P15" s="15">
        <v>0.54</v>
      </c>
      <c r="Q15" s="15">
        <v>0.53</v>
      </c>
      <c r="R15" s="15">
        <v>0.34</v>
      </c>
      <c r="S15" s="15">
        <v>0.45</v>
      </c>
      <c r="T15" s="15">
        <v>0.46</v>
      </c>
      <c r="U15" s="15">
        <v>0.4</v>
      </c>
      <c r="V15" s="15">
        <v>0.52</v>
      </c>
      <c r="W15" s="15">
        <v>0.61</v>
      </c>
      <c r="X15" s="15">
        <v>0.45</v>
      </c>
      <c r="Y15" s="15">
        <v>0.44</v>
      </c>
      <c r="Z15" s="15">
        <v>0.59</v>
      </c>
      <c r="AA15" s="15">
        <v>0.61</v>
      </c>
      <c r="AB15" s="15">
        <v>0.51</v>
      </c>
      <c r="AC15" s="15">
        <v>0.4</v>
      </c>
      <c r="AD15" s="15">
        <v>0.47</v>
      </c>
      <c r="AE15" s="15">
        <v>0.49</v>
      </c>
      <c r="AF15" s="15">
        <v>0.4</v>
      </c>
    </row>
    <row r="16" spans="1:32" x14ac:dyDescent="0.35">
      <c r="A16" s="19"/>
      <c r="B16" s="11" t="s">
        <v>764</v>
      </c>
      <c r="C16" s="12">
        <v>2274</v>
      </c>
      <c r="D16" s="12">
        <v>109</v>
      </c>
      <c r="E16" s="12">
        <v>85</v>
      </c>
      <c r="F16" s="12">
        <v>199</v>
      </c>
      <c r="G16" s="12">
        <v>52</v>
      </c>
      <c r="H16" s="12">
        <v>53</v>
      </c>
      <c r="I16" s="12">
        <v>89</v>
      </c>
      <c r="J16" s="12">
        <v>36</v>
      </c>
      <c r="K16" s="12">
        <v>74</v>
      </c>
      <c r="L16" s="12">
        <v>45</v>
      </c>
      <c r="M16" s="12">
        <v>79</v>
      </c>
      <c r="N16" s="12">
        <v>73</v>
      </c>
      <c r="O16" s="12">
        <v>95</v>
      </c>
      <c r="P16" s="12">
        <v>102</v>
      </c>
      <c r="Q16" s="12">
        <v>90</v>
      </c>
      <c r="R16" s="12">
        <v>36</v>
      </c>
      <c r="S16" s="12">
        <v>38</v>
      </c>
      <c r="T16" s="12">
        <v>75</v>
      </c>
      <c r="U16" s="12">
        <v>26</v>
      </c>
      <c r="V16" s="12">
        <v>100</v>
      </c>
      <c r="W16" s="12">
        <v>26</v>
      </c>
      <c r="X16" s="12">
        <v>102</v>
      </c>
      <c r="Y16" s="12">
        <v>61</v>
      </c>
      <c r="Z16" s="12">
        <v>121</v>
      </c>
      <c r="AA16" s="12">
        <v>14</v>
      </c>
      <c r="AB16" s="12">
        <v>179</v>
      </c>
      <c r="AC16" s="12">
        <v>80</v>
      </c>
      <c r="AD16" s="12">
        <v>51</v>
      </c>
      <c r="AE16" s="12">
        <v>69</v>
      </c>
      <c r="AF16" s="12">
        <v>69</v>
      </c>
    </row>
    <row r="17" spans="1:32" x14ac:dyDescent="0.35">
      <c r="A17" s="19"/>
      <c r="B17" s="13" t="s">
        <v>765</v>
      </c>
      <c r="C17" s="15">
        <v>0.09</v>
      </c>
      <c r="D17" s="15">
        <v>0.11</v>
      </c>
      <c r="E17" s="15">
        <v>0.08</v>
      </c>
      <c r="F17" s="15">
        <v>0.18</v>
      </c>
      <c r="G17" s="15">
        <v>0.05</v>
      </c>
      <c r="H17" s="15">
        <v>0.04</v>
      </c>
      <c r="I17" s="15">
        <v>0.06</v>
      </c>
      <c r="J17" s="15">
        <v>0.12</v>
      </c>
      <c r="K17" s="15">
        <v>7.0000000000000007E-2</v>
      </c>
      <c r="L17" s="15">
        <v>0.05</v>
      </c>
      <c r="M17" s="15">
        <v>0.08</v>
      </c>
      <c r="N17" s="15">
        <v>7.0000000000000007E-2</v>
      </c>
      <c r="O17" s="15">
        <v>0.09</v>
      </c>
      <c r="P17" s="15">
        <v>0.1</v>
      </c>
      <c r="Q17" s="15">
        <v>0.09</v>
      </c>
      <c r="R17" s="15">
        <v>7.0000000000000007E-2</v>
      </c>
      <c r="S17" s="15">
        <v>0.04</v>
      </c>
      <c r="T17" s="15">
        <v>0.08</v>
      </c>
      <c r="U17" s="15">
        <v>0.05</v>
      </c>
      <c r="V17" s="15">
        <v>0.1</v>
      </c>
      <c r="W17" s="15">
        <v>0.05</v>
      </c>
      <c r="X17" s="15">
        <v>0.1</v>
      </c>
      <c r="Y17" s="15">
        <v>0.06</v>
      </c>
      <c r="Z17" s="15">
        <v>0.12</v>
      </c>
      <c r="AA17" s="15">
        <v>0.01</v>
      </c>
      <c r="AB17" s="15">
        <v>0.17</v>
      </c>
      <c r="AC17" s="15">
        <v>0.08</v>
      </c>
      <c r="AD17" s="15">
        <v>0.05</v>
      </c>
      <c r="AE17" s="15">
        <v>7.0000000000000007E-2</v>
      </c>
      <c r="AF17" s="15">
        <v>7.0000000000000007E-2</v>
      </c>
    </row>
    <row r="18" spans="1:32" x14ac:dyDescent="0.35">
      <c r="A18" s="19"/>
      <c r="B18" s="11" t="s">
        <v>766</v>
      </c>
      <c r="C18" s="12">
        <v>560</v>
      </c>
      <c r="D18" s="12">
        <v>21</v>
      </c>
      <c r="E18" s="12">
        <v>25</v>
      </c>
      <c r="F18" s="12">
        <v>30</v>
      </c>
      <c r="G18" s="12">
        <v>12</v>
      </c>
      <c r="H18" s="12">
        <v>18</v>
      </c>
      <c r="I18" s="12">
        <v>24</v>
      </c>
      <c r="J18" s="12">
        <v>6</v>
      </c>
      <c r="K18" s="12">
        <v>17</v>
      </c>
      <c r="L18" s="12">
        <v>14</v>
      </c>
      <c r="M18" s="12">
        <v>14</v>
      </c>
      <c r="N18" s="12">
        <v>20</v>
      </c>
      <c r="O18" s="12">
        <v>35</v>
      </c>
      <c r="P18" s="12">
        <v>14</v>
      </c>
      <c r="Q18" s="12">
        <v>23</v>
      </c>
      <c r="R18" s="12">
        <v>17</v>
      </c>
      <c r="S18" s="12">
        <v>11</v>
      </c>
      <c r="T18" s="12">
        <v>5</v>
      </c>
      <c r="U18" s="12">
        <v>6</v>
      </c>
      <c r="V18" s="12">
        <v>21</v>
      </c>
      <c r="W18" s="12">
        <v>5</v>
      </c>
      <c r="X18" s="12">
        <v>31</v>
      </c>
      <c r="Y18" s="12">
        <v>31</v>
      </c>
      <c r="Z18" s="12">
        <v>13</v>
      </c>
      <c r="AA18" s="12">
        <v>3</v>
      </c>
      <c r="AB18" s="12">
        <v>27</v>
      </c>
      <c r="AC18" s="12">
        <v>23</v>
      </c>
      <c r="AD18" s="12">
        <v>20</v>
      </c>
      <c r="AE18" s="12">
        <v>13</v>
      </c>
      <c r="AF18" s="12">
        <v>12</v>
      </c>
    </row>
    <row r="19" spans="1:32" x14ac:dyDescent="0.35">
      <c r="A19" s="19"/>
      <c r="B19" s="13" t="s">
        <v>767</v>
      </c>
      <c r="C19" s="15">
        <v>0.02</v>
      </c>
      <c r="D19" s="15">
        <v>0.02</v>
      </c>
      <c r="E19" s="15">
        <v>0.03</v>
      </c>
      <c r="F19" s="15">
        <v>0.03</v>
      </c>
      <c r="G19" s="15">
        <v>0.01</v>
      </c>
      <c r="H19" s="15">
        <v>0.02</v>
      </c>
      <c r="I19" s="15">
        <v>0.02</v>
      </c>
      <c r="J19" s="15">
        <v>0.02</v>
      </c>
      <c r="K19" s="15">
        <v>0.02</v>
      </c>
      <c r="L19" s="15">
        <v>0.01</v>
      </c>
      <c r="M19" s="15">
        <v>0.02</v>
      </c>
      <c r="N19" s="15">
        <v>0.02</v>
      </c>
      <c r="O19" s="15">
        <v>0.04</v>
      </c>
      <c r="P19" s="15">
        <v>0.01</v>
      </c>
      <c r="Q19" s="15">
        <v>0.02</v>
      </c>
      <c r="R19" s="15">
        <v>0.03</v>
      </c>
      <c r="S19" s="15">
        <v>0.01</v>
      </c>
      <c r="T19" s="14" t="s">
        <v>475</v>
      </c>
      <c r="U19" s="15">
        <v>0.01</v>
      </c>
      <c r="V19" s="15">
        <v>0.02</v>
      </c>
      <c r="W19" s="15">
        <v>0.01</v>
      </c>
      <c r="X19" s="15">
        <v>0.03</v>
      </c>
      <c r="Y19" s="15">
        <v>0.03</v>
      </c>
      <c r="Z19" s="15">
        <v>0.01</v>
      </c>
      <c r="AA19" s="14" t="s">
        <v>475</v>
      </c>
      <c r="AB19" s="15">
        <v>0.03</v>
      </c>
      <c r="AC19" s="15">
        <v>0.02</v>
      </c>
      <c r="AD19" s="15">
        <v>0.02</v>
      </c>
      <c r="AE19" s="15">
        <v>0.01</v>
      </c>
      <c r="AF19" s="15">
        <v>0.01</v>
      </c>
    </row>
    <row r="20" spans="1:32" x14ac:dyDescent="0.35">
      <c r="A20" s="19"/>
      <c r="B20" s="11" t="s">
        <v>485</v>
      </c>
      <c r="C20" s="12">
        <v>1500</v>
      </c>
      <c r="D20" s="12">
        <v>18</v>
      </c>
      <c r="E20" s="12">
        <v>132</v>
      </c>
      <c r="F20" s="12">
        <v>58</v>
      </c>
      <c r="G20" s="12">
        <v>81</v>
      </c>
      <c r="H20" s="12">
        <v>60</v>
      </c>
      <c r="I20" s="12">
        <v>69</v>
      </c>
      <c r="J20" s="12">
        <v>9</v>
      </c>
      <c r="K20" s="12">
        <v>55</v>
      </c>
      <c r="L20" s="12">
        <v>67</v>
      </c>
      <c r="M20" s="12">
        <v>44</v>
      </c>
      <c r="N20" s="12">
        <v>89</v>
      </c>
      <c r="O20" s="12">
        <v>81</v>
      </c>
      <c r="P20" s="12">
        <v>22</v>
      </c>
      <c r="Q20" s="12">
        <v>43</v>
      </c>
      <c r="R20" s="12">
        <v>8</v>
      </c>
      <c r="S20" s="12">
        <v>32</v>
      </c>
      <c r="T20" s="12">
        <v>44</v>
      </c>
      <c r="U20" s="12">
        <v>25</v>
      </c>
      <c r="V20" s="12">
        <v>18</v>
      </c>
      <c r="W20" s="12">
        <v>9</v>
      </c>
      <c r="X20" s="12">
        <v>35</v>
      </c>
      <c r="Y20" s="12">
        <v>46</v>
      </c>
      <c r="Z20" s="12">
        <v>56</v>
      </c>
      <c r="AA20" s="12">
        <v>90</v>
      </c>
      <c r="AB20" s="12">
        <v>48</v>
      </c>
      <c r="AC20" s="12">
        <v>21</v>
      </c>
      <c r="AD20" s="12">
        <v>50</v>
      </c>
      <c r="AE20" s="12">
        <v>82</v>
      </c>
      <c r="AF20" s="12">
        <v>33</v>
      </c>
    </row>
    <row r="21" spans="1:32" x14ac:dyDescent="0.35">
      <c r="A21" s="19"/>
      <c r="B21" s="13" t="s">
        <v>486</v>
      </c>
      <c r="C21" s="15">
        <v>0.06</v>
      </c>
      <c r="D21" s="15">
        <v>0.02</v>
      </c>
      <c r="E21" s="15">
        <v>0.13</v>
      </c>
      <c r="F21" s="15">
        <v>0.05</v>
      </c>
      <c r="G21" s="15">
        <v>0.08</v>
      </c>
      <c r="H21" s="15">
        <v>0.05</v>
      </c>
      <c r="I21" s="15">
        <v>0.04</v>
      </c>
      <c r="J21" s="15">
        <v>0.03</v>
      </c>
      <c r="K21" s="15">
        <v>0.06</v>
      </c>
      <c r="L21" s="15">
        <v>7.0000000000000007E-2</v>
      </c>
      <c r="M21" s="15">
        <v>0.04</v>
      </c>
      <c r="N21" s="15">
        <v>0.09</v>
      </c>
      <c r="O21" s="15">
        <v>0.08</v>
      </c>
      <c r="P21" s="15">
        <v>0.02</v>
      </c>
      <c r="Q21" s="15">
        <v>0.04</v>
      </c>
      <c r="R21" s="15">
        <v>0.02</v>
      </c>
      <c r="S21" s="15">
        <v>0.03</v>
      </c>
      <c r="T21" s="15">
        <v>0.04</v>
      </c>
      <c r="U21" s="15">
        <v>0.05</v>
      </c>
      <c r="V21" s="15">
        <v>0.02</v>
      </c>
      <c r="W21" s="15">
        <v>0.02</v>
      </c>
      <c r="X21" s="15">
        <v>0.03</v>
      </c>
      <c r="Y21" s="15">
        <v>0.05</v>
      </c>
      <c r="Z21" s="15">
        <v>0.05</v>
      </c>
      <c r="AA21" s="15">
        <v>0.09</v>
      </c>
      <c r="AB21" s="15">
        <v>0.05</v>
      </c>
      <c r="AC21" s="15">
        <v>0.02</v>
      </c>
      <c r="AD21" s="15">
        <v>0.05</v>
      </c>
      <c r="AE21" s="15">
        <v>0.08</v>
      </c>
      <c r="AF21" s="15">
        <v>0.03</v>
      </c>
    </row>
    <row r="22" spans="1:32" x14ac:dyDescent="0.35">
      <c r="A22" s="19"/>
      <c r="B22" s="11" t="s">
        <v>768</v>
      </c>
      <c r="C22" s="12">
        <v>22111</v>
      </c>
      <c r="D22" s="12">
        <v>865</v>
      </c>
      <c r="E22" s="12">
        <v>787</v>
      </c>
      <c r="F22" s="12">
        <v>814</v>
      </c>
      <c r="G22" s="12">
        <v>861</v>
      </c>
      <c r="H22" s="12">
        <v>1090</v>
      </c>
      <c r="I22" s="12">
        <v>1334</v>
      </c>
      <c r="J22" s="12">
        <v>245</v>
      </c>
      <c r="K22" s="12">
        <v>857</v>
      </c>
      <c r="L22" s="12">
        <v>876</v>
      </c>
      <c r="M22" s="12">
        <v>873</v>
      </c>
      <c r="N22" s="12">
        <v>821</v>
      </c>
      <c r="O22" s="12">
        <v>789</v>
      </c>
      <c r="P22" s="12">
        <v>865</v>
      </c>
      <c r="Q22" s="12">
        <v>870</v>
      </c>
      <c r="R22" s="12">
        <v>443</v>
      </c>
      <c r="S22" s="12">
        <v>920</v>
      </c>
      <c r="T22" s="12">
        <v>882</v>
      </c>
      <c r="U22" s="12">
        <v>447</v>
      </c>
      <c r="V22" s="12">
        <v>876</v>
      </c>
      <c r="W22" s="12">
        <v>469</v>
      </c>
      <c r="X22" s="12">
        <v>841</v>
      </c>
      <c r="Y22" s="12">
        <v>865</v>
      </c>
      <c r="Z22" s="12">
        <v>842</v>
      </c>
      <c r="AA22" s="12">
        <v>927</v>
      </c>
      <c r="AB22" s="12">
        <v>797</v>
      </c>
      <c r="AC22" s="12">
        <v>879</v>
      </c>
      <c r="AD22" s="12">
        <v>884</v>
      </c>
      <c r="AE22" s="12">
        <v>849</v>
      </c>
      <c r="AF22" s="12">
        <v>929</v>
      </c>
    </row>
    <row r="23" spans="1:32" x14ac:dyDescent="0.35">
      <c r="A23" s="19"/>
      <c r="B23" s="13" t="s">
        <v>769</v>
      </c>
      <c r="C23" s="15">
        <v>0.83000000000000007</v>
      </c>
      <c r="D23" s="15">
        <v>0.85</v>
      </c>
      <c r="E23" s="15">
        <v>0.76</v>
      </c>
      <c r="F23" s="15">
        <v>0.74</v>
      </c>
      <c r="G23" s="15">
        <v>0.86</v>
      </c>
      <c r="H23" s="15">
        <v>0.89</v>
      </c>
      <c r="I23" s="15">
        <v>0.88</v>
      </c>
      <c r="J23" s="15">
        <v>0.83000000000000007</v>
      </c>
      <c r="K23" s="15">
        <v>0.85</v>
      </c>
      <c r="L23" s="15">
        <v>0.87</v>
      </c>
      <c r="M23" s="15">
        <v>0.86</v>
      </c>
      <c r="N23" s="15">
        <v>0.82000000000000006</v>
      </c>
      <c r="O23" s="15">
        <v>0.79</v>
      </c>
      <c r="P23" s="15">
        <v>0.87</v>
      </c>
      <c r="Q23" s="15">
        <v>0.85</v>
      </c>
      <c r="R23" s="15">
        <v>0.88</v>
      </c>
      <c r="S23" s="15">
        <v>0.92</v>
      </c>
      <c r="T23" s="15">
        <v>0.88</v>
      </c>
      <c r="U23" s="15">
        <v>0.89</v>
      </c>
      <c r="V23" s="15">
        <v>0.86</v>
      </c>
      <c r="W23" s="15">
        <v>0.92</v>
      </c>
      <c r="X23" s="15">
        <v>0.84</v>
      </c>
      <c r="Y23" s="15">
        <v>0.86</v>
      </c>
      <c r="Z23" s="15">
        <v>0.82000000000000006</v>
      </c>
      <c r="AA23" s="15">
        <v>0.9</v>
      </c>
      <c r="AB23" s="15">
        <v>0.75</v>
      </c>
      <c r="AC23" s="15">
        <v>0.88</v>
      </c>
      <c r="AD23" s="15">
        <v>0.88</v>
      </c>
      <c r="AE23" s="15">
        <v>0.84</v>
      </c>
      <c r="AF23" s="15">
        <v>0.89</v>
      </c>
    </row>
    <row r="24" spans="1:32" x14ac:dyDescent="0.35">
      <c r="A24" s="19"/>
      <c r="B24" s="11" t="s">
        <v>770</v>
      </c>
      <c r="C24" s="12">
        <v>2834</v>
      </c>
      <c r="D24" s="12">
        <v>130</v>
      </c>
      <c r="E24" s="12">
        <v>110</v>
      </c>
      <c r="F24" s="12">
        <v>229</v>
      </c>
      <c r="G24" s="12">
        <v>64</v>
      </c>
      <c r="H24" s="12">
        <v>71</v>
      </c>
      <c r="I24" s="12">
        <v>113</v>
      </c>
      <c r="J24" s="12">
        <v>42</v>
      </c>
      <c r="K24" s="12">
        <v>91</v>
      </c>
      <c r="L24" s="12">
        <v>59</v>
      </c>
      <c r="M24" s="12">
        <v>93</v>
      </c>
      <c r="N24" s="12">
        <v>93</v>
      </c>
      <c r="O24" s="12">
        <v>130</v>
      </c>
      <c r="P24" s="12">
        <v>116</v>
      </c>
      <c r="Q24" s="12">
        <v>113</v>
      </c>
      <c r="R24" s="12">
        <v>53</v>
      </c>
      <c r="S24" s="12">
        <v>49</v>
      </c>
      <c r="T24" s="12">
        <v>80</v>
      </c>
      <c r="U24" s="12">
        <v>32</v>
      </c>
      <c r="V24" s="12">
        <v>121</v>
      </c>
      <c r="W24" s="12">
        <v>31</v>
      </c>
      <c r="X24" s="12">
        <v>133</v>
      </c>
      <c r="Y24" s="12">
        <v>92</v>
      </c>
      <c r="Z24" s="12">
        <v>134</v>
      </c>
      <c r="AA24" s="12">
        <v>17</v>
      </c>
      <c r="AB24" s="12">
        <v>206</v>
      </c>
      <c r="AC24" s="12">
        <v>103</v>
      </c>
      <c r="AD24" s="12">
        <v>71</v>
      </c>
      <c r="AE24" s="12">
        <v>82</v>
      </c>
      <c r="AF24" s="12">
        <v>81</v>
      </c>
    </row>
    <row r="25" spans="1:32" x14ac:dyDescent="0.35">
      <c r="A25" s="19"/>
      <c r="B25" s="13" t="s">
        <v>771</v>
      </c>
      <c r="C25" s="15">
        <v>0.11</v>
      </c>
      <c r="D25" s="15">
        <v>0.13</v>
      </c>
      <c r="E25" s="15">
        <v>0.11</v>
      </c>
      <c r="F25" s="15">
        <v>0.21</v>
      </c>
      <c r="G25" s="15">
        <v>0.06</v>
      </c>
      <c r="H25" s="15">
        <v>0.06</v>
      </c>
      <c r="I25" s="15">
        <v>0.08</v>
      </c>
      <c r="J25" s="15">
        <v>0.14000000000000001</v>
      </c>
      <c r="K25" s="15">
        <v>0.09</v>
      </c>
      <c r="L25" s="15">
        <v>0.06</v>
      </c>
      <c r="M25" s="15">
        <v>0.1</v>
      </c>
      <c r="N25" s="15">
        <v>0.09</v>
      </c>
      <c r="O25" s="15">
        <v>0.13</v>
      </c>
      <c r="P25" s="15">
        <v>0.11</v>
      </c>
      <c r="Q25" s="15">
        <v>0.11</v>
      </c>
      <c r="R25" s="15">
        <v>0.1</v>
      </c>
      <c r="S25" s="15">
        <v>0.05</v>
      </c>
      <c r="T25" s="15">
        <v>0.08</v>
      </c>
      <c r="U25" s="15">
        <v>0.06</v>
      </c>
      <c r="V25" s="15">
        <v>0.12</v>
      </c>
      <c r="W25" s="15">
        <v>0.06</v>
      </c>
      <c r="X25" s="15">
        <v>0.13</v>
      </c>
      <c r="Y25" s="15">
        <v>0.09</v>
      </c>
      <c r="Z25" s="15">
        <v>0.13</v>
      </c>
      <c r="AA25" s="15">
        <v>0.01</v>
      </c>
      <c r="AB25" s="15">
        <v>0.2</v>
      </c>
      <c r="AC25" s="15">
        <v>0.1</v>
      </c>
      <c r="AD25" s="15">
        <v>7.0000000000000007E-2</v>
      </c>
      <c r="AE25" s="15">
        <v>0.08</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870</v>
      </c>
      <c r="C3" s="18"/>
      <c r="D3" s="18"/>
      <c r="E3" s="18"/>
      <c r="F3" s="18"/>
      <c r="H3" s="18" t="s">
        <v>871</v>
      </c>
      <c r="I3" s="18"/>
      <c r="J3" s="18"/>
      <c r="K3" s="18"/>
      <c r="L3" s="18"/>
    </row>
    <row r="4" spans="1:32" ht="27" customHeight="1" x14ac:dyDescent="0.35">
      <c r="B4" s="18" t="s">
        <v>872</v>
      </c>
      <c r="C4" s="18"/>
      <c r="D4" s="18"/>
      <c r="E4" s="18"/>
      <c r="F4" s="18"/>
      <c r="H4" s="18" t="s">
        <v>873</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7795</v>
      </c>
      <c r="D12" s="12">
        <v>279</v>
      </c>
      <c r="E12" s="12">
        <v>283</v>
      </c>
      <c r="F12" s="12">
        <v>201</v>
      </c>
      <c r="G12" s="12">
        <v>427</v>
      </c>
      <c r="H12" s="12">
        <v>396</v>
      </c>
      <c r="I12" s="12">
        <v>484</v>
      </c>
      <c r="J12" s="12">
        <v>88</v>
      </c>
      <c r="K12" s="12">
        <v>284</v>
      </c>
      <c r="L12" s="12">
        <v>452</v>
      </c>
      <c r="M12" s="12">
        <v>291</v>
      </c>
      <c r="N12" s="12">
        <v>400</v>
      </c>
      <c r="O12" s="12">
        <v>238</v>
      </c>
      <c r="P12" s="12">
        <v>292</v>
      </c>
      <c r="Q12" s="12">
        <v>234</v>
      </c>
      <c r="R12" s="12">
        <v>254</v>
      </c>
      <c r="S12" s="12">
        <v>415</v>
      </c>
      <c r="T12" s="12">
        <v>367</v>
      </c>
      <c r="U12" s="12">
        <v>231</v>
      </c>
      <c r="V12" s="12">
        <v>286</v>
      </c>
      <c r="W12" s="12">
        <v>187</v>
      </c>
      <c r="X12" s="12">
        <v>356</v>
      </c>
      <c r="Y12" s="12">
        <v>351</v>
      </c>
      <c r="Z12" s="12">
        <v>201</v>
      </c>
      <c r="AA12" s="12">
        <v>257</v>
      </c>
      <c r="AB12" s="12">
        <v>244</v>
      </c>
      <c r="AC12" s="12">
        <v>404</v>
      </c>
      <c r="AD12" s="12">
        <v>410</v>
      </c>
      <c r="AE12" s="12">
        <v>424</v>
      </c>
      <c r="AF12" s="12">
        <v>543</v>
      </c>
    </row>
    <row r="13" spans="1:32" x14ac:dyDescent="0.35">
      <c r="A13" s="19"/>
      <c r="B13" s="13" t="s">
        <v>761</v>
      </c>
      <c r="C13" s="15">
        <v>0.28999999999999998</v>
      </c>
      <c r="D13" s="15">
        <v>0.28000000000000003</v>
      </c>
      <c r="E13" s="15">
        <v>0.27</v>
      </c>
      <c r="F13" s="15">
        <v>0.18</v>
      </c>
      <c r="G13" s="15">
        <v>0.42</v>
      </c>
      <c r="H13" s="15">
        <v>0.33</v>
      </c>
      <c r="I13" s="15">
        <v>0.32</v>
      </c>
      <c r="J13" s="15">
        <v>0.3</v>
      </c>
      <c r="K13" s="15">
        <v>0.28000000000000003</v>
      </c>
      <c r="L13" s="15">
        <v>0.45</v>
      </c>
      <c r="M13" s="15">
        <v>0.28999999999999998</v>
      </c>
      <c r="N13" s="15">
        <v>0.4</v>
      </c>
      <c r="O13" s="15">
        <v>0.24</v>
      </c>
      <c r="P13" s="15">
        <v>0.28999999999999998</v>
      </c>
      <c r="Q13" s="15">
        <v>0.23</v>
      </c>
      <c r="R13" s="15">
        <v>0.5</v>
      </c>
      <c r="S13" s="15">
        <v>0.41</v>
      </c>
      <c r="T13" s="15">
        <v>0.36</v>
      </c>
      <c r="U13" s="15">
        <v>0.46</v>
      </c>
      <c r="V13" s="15">
        <v>0.28000000000000003</v>
      </c>
      <c r="W13" s="15">
        <v>0.37</v>
      </c>
      <c r="X13" s="15">
        <v>0.35</v>
      </c>
      <c r="Y13" s="15">
        <v>0.35</v>
      </c>
      <c r="Z13" s="15">
        <v>0.19</v>
      </c>
      <c r="AA13" s="15">
        <v>0.25</v>
      </c>
      <c r="AB13" s="15">
        <v>0.23</v>
      </c>
      <c r="AC13" s="15">
        <v>0.4</v>
      </c>
      <c r="AD13" s="15">
        <v>0.41</v>
      </c>
      <c r="AE13" s="15">
        <v>0.42</v>
      </c>
      <c r="AF13" s="15">
        <v>0.52</v>
      </c>
    </row>
    <row r="14" spans="1:32" x14ac:dyDescent="0.35">
      <c r="A14" s="19"/>
      <c r="B14" s="11" t="s">
        <v>762</v>
      </c>
      <c r="C14" s="12">
        <v>12858</v>
      </c>
      <c r="D14" s="12">
        <v>515</v>
      </c>
      <c r="E14" s="12">
        <v>477</v>
      </c>
      <c r="F14" s="12">
        <v>506</v>
      </c>
      <c r="G14" s="12">
        <v>398</v>
      </c>
      <c r="H14" s="12">
        <v>602</v>
      </c>
      <c r="I14" s="12">
        <v>734</v>
      </c>
      <c r="J14" s="12">
        <v>132</v>
      </c>
      <c r="K14" s="12">
        <v>473</v>
      </c>
      <c r="L14" s="12">
        <v>407</v>
      </c>
      <c r="M14" s="12">
        <v>467</v>
      </c>
      <c r="N14" s="12">
        <v>394</v>
      </c>
      <c r="O14" s="12">
        <v>473</v>
      </c>
      <c r="P14" s="12">
        <v>562</v>
      </c>
      <c r="Q14" s="12">
        <v>559</v>
      </c>
      <c r="R14" s="12">
        <v>161</v>
      </c>
      <c r="S14" s="12">
        <v>461</v>
      </c>
      <c r="T14" s="12">
        <v>454</v>
      </c>
      <c r="U14" s="12">
        <v>180</v>
      </c>
      <c r="V14" s="12">
        <v>552</v>
      </c>
      <c r="W14" s="12">
        <v>280</v>
      </c>
      <c r="X14" s="12">
        <v>440</v>
      </c>
      <c r="Y14" s="12">
        <v>444</v>
      </c>
      <c r="Z14" s="12">
        <v>615</v>
      </c>
      <c r="AA14" s="12">
        <v>652</v>
      </c>
      <c r="AB14" s="12">
        <v>534</v>
      </c>
      <c r="AC14" s="12">
        <v>427</v>
      </c>
      <c r="AD14" s="12">
        <v>486</v>
      </c>
      <c r="AE14" s="12">
        <v>467</v>
      </c>
      <c r="AF14" s="12">
        <v>371</v>
      </c>
    </row>
    <row r="15" spans="1:32" x14ac:dyDescent="0.35">
      <c r="A15" s="19"/>
      <c r="B15" s="13" t="s">
        <v>763</v>
      </c>
      <c r="C15" s="15">
        <v>0.49</v>
      </c>
      <c r="D15" s="15">
        <v>0.51</v>
      </c>
      <c r="E15" s="15">
        <v>0.46</v>
      </c>
      <c r="F15" s="15">
        <v>0.46</v>
      </c>
      <c r="G15" s="15">
        <v>0.4</v>
      </c>
      <c r="H15" s="15">
        <v>0.49</v>
      </c>
      <c r="I15" s="15">
        <v>0.48</v>
      </c>
      <c r="J15" s="15">
        <v>0.45</v>
      </c>
      <c r="K15" s="15">
        <v>0.47</v>
      </c>
      <c r="L15" s="15">
        <v>0.41</v>
      </c>
      <c r="M15" s="15">
        <v>0.46</v>
      </c>
      <c r="N15" s="15">
        <v>0.39</v>
      </c>
      <c r="O15" s="15">
        <v>0.47</v>
      </c>
      <c r="P15" s="15">
        <v>0.56000000000000005</v>
      </c>
      <c r="Q15" s="15">
        <v>0.54</v>
      </c>
      <c r="R15" s="15">
        <v>0.32</v>
      </c>
      <c r="S15" s="15">
        <v>0.46</v>
      </c>
      <c r="T15" s="15">
        <v>0.45</v>
      </c>
      <c r="U15" s="15">
        <v>0.36</v>
      </c>
      <c r="V15" s="15">
        <v>0.54</v>
      </c>
      <c r="W15" s="15">
        <v>0.55000000000000004</v>
      </c>
      <c r="X15" s="15">
        <v>0.44</v>
      </c>
      <c r="Y15" s="15">
        <v>0.44</v>
      </c>
      <c r="Z15" s="15">
        <v>0.6</v>
      </c>
      <c r="AA15" s="15">
        <v>0.63</v>
      </c>
      <c r="AB15" s="15">
        <v>0.51</v>
      </c>
      <c r="AC15" s="15">
        <v>0.43</v>
      </c>
      <c r="AD15" s="15">
        <v>0.48</v>
      </c>
      <c r="AE15" s="15">
        <v>0.46</v>
      </c>
      <c r="AF15" s="15">
        <v>0.35</v>
      </c>
    </row>
    <row r="16" spans="1:32" x14ac:dyDescent="0.35">
      <c r="A16" s="19"/>
      <c r="B16" s="11" t="s">
        <v>764</v>
      </c>
      <c r="C16" s="12">
        <v>3303</v>
      </c>
      <c r="D16" s="12">
        <v>151</v>
      </c>
      <c r="E16" s="12">
        <v>111</v>
      </c>
      <c r="F16" s="12">
        <v>266</v>
      </c>
      <c r="G16" s="12">
        <v>78</v>
      </c>
      <c r="H16" s="12">
        <v>123</v>
      </c>
      <c r="I16" s="12">
        <v>177</v>
      </c>
      <c r="J16" s="12">
        <v>54</v>
      </c>
      <c r="K16" s="12">
        <v>135</v>
      </c>
      <c r="L16" s="12">
        <v>60</v>
      </c>
      <c r="M16" s="12">
        <v>189</v>
      </c>
      <c r="N16" s="12">
        <v>94</v>
      </c>
      <c r="O16" s="12">
        <v>144</v>
      </c>
      <c r="P16" s="12">
        <v>104</v>
      </c>
      <c r="Q16" s="12">
        <v>143</v>
      </c>
      <c r="R16" s="12">
        <v>55</v>
      </c>
      <c r="S16" s="12">
        <v>65</v>
      </c>
      <c r="T16" s="12">
        <v>87</v>
      </c>
      <c r="U16" s="12">
        <v>52</v>
      </c>
      <c r="V16" s="12">
        <v>126</v>
      </c>
      <c r="W16" s="12">
        <v>24</v>
      </c>
      <c r="X16" s="12">
        <v>138</v>
      </c>
      <c r="Y16" s="12">
        <v>127</v>
      </c>
      <c r="Z16" s="12">
        <v>133</v>
      </c>
      <c r="AA16" s="12">
        <v>23</v>
      </c>
      <c r="AB16" s="12">
        <v>185</v>
      </c>
      <c r="AC16" s="12">
        <v>118</v>
      </c>
      <c r="AD16" s="12">
        <v>62</v>
      </c>
      <c r="AE16" s="12">
        <v>46</v>
      </c>
      <c r="AF16" s="12">
        <v>84</v>
      </c>
    </row>
    <row r="17" spans="1:32" x14ac:dyDescent="0.35">
      <c r="A17" s="19"/>
      <c r="B17" s="13" t="s">
        <v>765</v>
      </c>
      <c r="C17" s="15">
        <v>0.12</v>
      </c>
      <c r="D17" s="15">
        <v>0.15</v>
      </c>
      <c r="E17" s="15">
        <v>0.11</v>
      </c>
      <c r="F17" s="15">
        <v>0.24</v>
      </c>
      <c r="G17" s="15">
        <v>0.08</v>
      </c>
      <c r="H17" s="15">
        <v>0.1</v>
      </c>
      <c r="I17" s="15">
        <v>0.12</v>
      </c>
      <c r="J17" s="15">
        <v>0.18</v>
      </c>
      <c r="K17" s="15">
        <v>0.14000000000000001</v>
      </c>
      <c r="L17" s="15">
        <v>0.06</v>
      </c>
      <c r="M17" s="15">
        <v>0.19</v>
      </c>
      <c r="N17" s="15">
        <v>0.09</v>
      </c>
      <c r="O17" s="15">
        <v>0.15</v>
      </c>
      <c r="P17" s="15">
        <v>0.1</v>
      </c>
      <c r="Q17" s="15">
        <v>0.14000000000000001</v>
      </c>
      <c r="R17" s="15">
        <v>0.11</v>
      </c>
      <c r="S17" s="15">
        <v>7.0000000000000007E-2</v>
      </c>
      <c r="T17" s="15">
        <v>0.09</v>
      </c>
      <c r="U17" s="15">
        <v>0.1</v>
      </c>
      <c r="V17" s="15">
        <v>0.13</v>
      </c>
      <c r="W17" s="15">
        <v>0.05</v>
      </c>
      <c r="X17" s="15">
        <v>0.14000000000000001</v>
      </c>
      <c r="Y17" s="15">
        <v>0.13</v>
      </c>
      <c r="Z17" s="15">
        <v>0.13</v>
      </c>
      <c r="AA17" s="15">
        <v>0.02</v>
      </c>
      <c r="AB17" s="15">
        <v>0.18</v>
      </c>
      <c r="AC17" s="15">
        <v>0.12</v>
      </c>
      <c r="AD17" s="15">
        <v>0.06</v>
      </c>
      <c r="AE17" s="15">
        <v>0.05</v>
      </c>
      <c r="AF17" s="15">
        <v>0.08</v>
      </c>
    </row>
    <row r="18" spans="1:32" x14ac:dyDescent="0.35">
      <c r="A18" s="19"/>
      <c r="B18" s="11" t="s">
        <v>766</v>
      </c>
      <c r="C18" s="12">
        <v>1019</v>
      </c>
      <c r="D18" s="12">
        <v>43</v>
      </c>
      <c r="E18" s="12">
        <v>40</v>
      </c>
      <c r="F18" s="12">
        <v>65</v>
      </c>
      <c r="G18" s="12">
        <v>30</v>
      </c>
      <c r="H18" s="12">
        <v>48</v>
      </c>
      <c r="I18" s="12">
        <v>61</v>
      </c>
      <c r="J18" s="12">
        <v>14</v>
      </c>
      <c r="K18" s="12">
        <v>30</v>
      </c>
      <c r="L18" s="12">
        <v>19</v>
      </c>
      <c r="M18" s="12">
        <v>19</v>
      </c>
      <c r="N18" s="12">
        <v>44</v>
      </c>
      <c r="O18" s="12">
        <v>63</v>
      </c>
      <c r="P18" s="12">
        <v>20</v>
      </c>
      <c r="Q18" s="12">
        <v>33</v>
      </c>
      <c r="R18" s="12">
        <v>21</v>
      </c>
      <c r="S18" s="12">
        <v>23</v>
      </c>
      <c r="T18" s="12">
        <v>15</v>
      </c>
      <c r="U18" s="12">
        <v>18</v>
      </c>
      <c r="V18" s="12">
        <v>21</v>
      </c>
      <c r="W18" s="12">
        <v>10</v>
      </c>
      <c r="X18" s="12">
        <v>42</v>
      </c>
      <c r="Y18" s="12">
        <v>43</v>
      </c>
      <c r="Z18" s="12">
        <v>29</v>
      </c>
      <c r="AA18" s="12">
        <v>4</v>
      </c>
      <c r="AB18" s="12">
        <v>31</v>
      </c>
      <c r="AC18" s="12">
        <v>29</v>
      </c>
      <c r="AD18" s="12">
        <v>18</v>
      </c>
      <c r="AE18" s="12">
        <v>14</v>
      </c>
      <c r="AF18" s="12">
        <v>27</v>
      </c>
    </row>
    <row r="19" spans="1:32" x14ac:dyDescent="0.35">
      <c r="A19" s="19"/>
      <c r="B19" s="13" t="s">
        <v>767</v>
      </c>
      <c r="C19" s="15">
        <v>0.04</v>
      </c>
      <c r="D19" s="15">
        <v>0.04</v>
      </c>
      <c r="E19" s="15">
        <v>0.04</v>
      </c>
      <c r="F19" s="15">
        <v>0.06</v>
      </c>
      <c r="G19" s="15">
        <v>0.03</v>
      </c>
      <c r="H19" s="15">
        <v>0.04</v>
      </c>
      <c r="I19" s="15">
        <v>0.04</v>
      </c>
      <c r="J19" s="15">
        <v>0.05</v>
      </c>
      <c r="K19" s="15">
        <v>0.03</v>
      </c>
      <c r="L19" s="15">
        <v>0.02</v>
      </c>
      <c r="M19" s="15">
        <v>0.02</v>
      </c>
      <c r="N19" s="15">
        <v>0.05</v>
      </c>
      <c r="O19" s="15">
        <v>0.06</v>
      </c>
      <c r="P19" s="15">
        <v>0.02</v>
      </c>
      <c r="Q19" s="15">
        <v>0.03</v>
      </c>
      <c r="R19" s="15">
        <v>0.04</v>
      </c>
      <c r="S19" s="15">
        <v>0.02</v>
      </c>
      <c r="T19" s="15">
        <v>0.02</v>
      </c>
      <c r="U19" s="15">
        <v>0.03</v>
      </c>
      <c r="V19" s="15">
        <v>0.02</v>
      </c>
      <c r="W19" s="15">
        <v>0.02</v>
      </c>
      <c r="X19" s="15">
        <v>0.04</v>
      </c>
      <c r="Y19" s="15">
        <v>0.04</v>
      </c>
      <c r="Z19" s="15">
        <v>0.03</v>
      </c>
      <c r="AA19" s="14" t="s">
        <v>475</v>
      </c>
      <c r="AB19" s="15">
        <v>0.03</v>
      </c>
      <c r="AC19" s="15">
        <v>0.03</v>
      </c>
      <c r="AD19" s="15">
        <v>0.02</v>
      </c>
      <c r="AE19" s="15">
        <v>0.01</v>
      </c>
      <c r="AF19" s="15">
        <v>0.03</v>
      </c>
    </row>
    <row r="20" spans="1:32" x14ac:dyDescent="0.35">
      <c r="A20" s="19"/>
      <c r="B20" s="11" t="s">
        <v>485</v>
      </c>
      <c r="C20" s="12">
        <v>1471</v>
      </c>
      <c r="D20" s="12">
        <v>25</v>
      </c>
      <c r="E20" s="12">
        <v>119</v>
      </c>
      <c r="F20" s="12">
        <v>64</v>
      </c>
      <c r="G20" s="12">
        <v>73</v>
      </c>
      <c r="H20" s="12">
        <v>51</v>
      </c>
      <c r="I20" s="12">
        <v>59</v>
      </c>
      <c r="J20" s="12">
        <v>8</v>
      </c>
      <c r="K20" s="12">
        <v>79</v>
      </c>
      <c r="L20" s="12">
        <v>63</v>
      </c>
      <c r="M20" s="12">
        <v>43</v>
      </c>
      <c r="N20" s="12">
        <v>70</v>
      </c>
      <c r="O20" s="12">
        <v>83</v>
      </c>
      <c r="P20" s="12">
        <v>25</v>
      </c>
      <c r="Q20" s="12">
        <v>59</v>
      </c>
      <c r="R20" s="12">
        <v>13</v>
      </c>
      <c r="S20" s="12">
        <v>38</v>
      </c>
      <c r="T20" s="12">
        <v>84</v>
      </c>
      <c r="U20" s="12">
        <v>23</v>
      </c>
      <c r="V20" s="12">
        <v>31</v>
      </c>
      <c r="W20" s="12">
        <v>7</v>
      </c>
      <c r="X20" s="12">
        <v>33</v>
      </c>
      <c r="Y20" s="12">
        <v>37</v>
      </c>
      <c r="Z20" s="12">
        <v>52</v>
      </c>
      <c r="AA20" s="12">
        <v>98</v>
      </c>
      <c r="AB20" s="12">
        <v>56</v>
      </c>
      <c r="AC20" s="12">
        <v>25</v>
      </c>
      <c r="AD20" s="12">
        <v>29</v>
      </c>
      <c r="AE20" s="12">
        <v>61</v>
      </c>
      <c r="AF20" s="12">
        <v>19</v>
      </c>
    </row>
    <row r="21" spans="1:32" x14ac:dyDescent="0.35">
      <c r="A21" s="19"/>
      <c r="B21" s="13" t="s">
        <v>486</v>
      </c>
      <c r="C21" s="15">
        <v>0.06</v>
      </c>
      <c r="D21" s="15">
        <v>0.02</v>
      </c>
      <c r="E21" s="15">
        <v>0.12</v>
      </c>
      <c r="F21" s="15">
        <v>0.06</v>
      </c>
      <c r="G21" s="15">
        <v>7.0000000000000007E-2</v>
      </c>
      <c r="H21" s="15">
        <v>0.04</v>
      </c>
      <c r="I21" s="15">
        <v>0.04</v>
      </c>
      <c r="J21" s="15">
        <v>0.02</v>
      </c>
      <c r="K21" s="15">
        <v>0.08</v>
      </c>
      <c r="L21" s="15">
        <v>0.06</v>
      </c>
      <c r="M21" s="15">
        <v>0.04</v>
      </c>
      <c r="N21" s="15">
        <v>7.0000000000000007E-2</v>
      </c>
      <c r="O21" s="15">
        <v>0.08</v>
      </c>
      <c r="P21" s="15">
        <v>0.03</v>
      </c>
      <c r="Q21" s="15">
        <v>0.06</v>
      </c>
      <c r="R21" s="15">
        <v>0.03</v>
      </c>
      <c r="S21" s="15">
        <v>0.04</v>
      </c>
      <c r="T21" s="15">
        <v>0.08</v>
      </c>
      <c r="U21" s="15">
        <v>0.05</v>
      </c>
      <c r="V21" s="15">
        <v>0.03</v>
      </c>
      <c r="W21" s="15">
        <v>0.01</v>
      </c>
      <c r="X21" s="15">
        <v>0.03</v>
      </c>
      <c r="Y21" s="15">
        <v>0.04</v>
      </c>
      <c r="Z21" s="15">
        <v>0.05</v>
      </c>
      <c r="AA21" s="15">
        <v>0.1</v>
      </c>
      <c r="AB21" s="15">
        <v>0.05</v>
      </c>
      <c r="AC21" s="15">
        <v>0.02</v>
      </c>
      <c r="AD21" s="15">
        <v>0.03</v>
      </c>
      <c r="AE21" s="15">
        <v>0.06</v>
      </c>
      <c r="AF21" s="15">
        <v>0.02</v>
      </c>
    </row>
    <row r="22" spans="1:32" x14ac:dyDescent="0.35">
      <c r="A22" s="19"/>
      <c r="B22" s="11" t="s">
        <v>768</v>
      </c>
      <c r="C22" s="12">
        <v>20653</v>
      </c>
      <c r="D22" s="12">
        <v>794</v>
      </c>
      <c r="E22" s="12">
        <v>760</v>
      </c>
      <c r="F22" s="12">
        <v>707</v>
      </c>
      <c r="G22" s="12">
        <v>825</v>
      </c>
      <c r="H22" s="12">
        <v>998</v>
      </c>
      <c r="I22" s="12">
        <v>1218</v>
      </c>
      <c r="J22" s="12">
        <v>220</v>
      </c>
      <c r="K22" s="12">
        <v>757</v>
      </c>
      <c r="L22" s="12">
        <v>859</v>
      </c>
      <c r="M22" s="12">
        <v>758</v>
      </c>
      <c r="N22" s="12">
        <v>794</v>
      </c>
      <c r="O22" s="12">
        <v>711</v>
      </c>
      <c r="P22" s="12">
        <v>854</v>
      </c>
      <c r="Q22" s="12">
        <v>793</v>
      </c>
      <c r="R22" s="12">
        <v>415</v>
      </c>
      <c r="S22" s="12">
        <v>876</v>
      </c>
      <c r="T22" s="12">
        <v>821</v>
      </c>
      <c r="U22" s="12">
        <v>411</v>
      </c>
      <c r="V22" s="12">
        <v>838</v>
      </c>
      <c r="W22" s="12">
        <v>467</v>
      </c>
      <c r="X22" s="12">
        <v>796</v>
      </c>
      <c r="Y22" s="12">
        <v>795</v>
      </c>
      <c r="Z22" s="12">
        <v>816</v>
      </c>
      <c r="AA22" s="12">
        <v>909</v>
      </c>
      <c r="AB22" s="12">
        <v>778</v>
      </c>
      <c r="AC22" s="12">
        <v>831</v>
      </c>
      <c r="AD22" s="12">
        <v>896</v>
      </c>
      <c r="AE22" s="12">
        <v>891</v>
      </c>
      <c r="AF22" s="12">
        <v>914</v>
      </c>
    </row>
    <row r="23" spans="1:32" x14ac:dyDescent="0.35">
      <c r="A23" s="19"/>
      <c r="B23" s="13" t="s">
        <v>769</v>
      </c>
      <c r="C23" s="15">
        <v>0.78</v>
      </c>
      <c r="D23" s="15">
        <v>0.79</v>
      </c>
      <c r="E23" s="15">
        <v>0.73</v>
      </c>
      <c r="F23" s="15">
        <v>0.64</v>
      </c>
      <c r="G23" s="15">
        <v>0.82000000000000006</v>
      </c>
      <c r="H23" s="15">
        <v>0.82000000000000006</v>
      </c>
      <c r="I23" s="15">
        <v>0.8</v>
      </c>
      <c r="J23" s="15">
        <v>0.75</v>
      </c>
      <c r="K23" s="15">
        <v>0.75</v>
      </c>
      <c r="L23" s="15">
        <v>0.86</v>
      </c>
      <c r="M23" s="15">
        <v>0.75</v>
      </c>
      <c r="N23" s="15">
        <v>0.79</v>
      </c>
      <c r="O23" s="15">
        <v>0.71</v>
      </c>
      <c r="P23" s="15">
        <v>0.85</v>
      </c>
      <c r="Q23" s="15">
        <v>0.77</v>
      </c>
      <c r="R23" s="15">
        <v>0.82000000000000006</v>
      </c>
      <c r="S23" s="15">
        <v>0.87</v>
      </c>
      <c r="T23" s="15">
        <v>0.81</v>
      </c>
      <c r="U23" s="15">
        <v>0.82000000000000006</v>
      </c>
      <c r="V23" s="15">
        <v>0.82000000000000006</v>
      </c>
      <c r="W23" s="15">
        <v>0.92</v>
      </c>
      <c r="X23" s="15">
        <v>0.79</v>
      </c>
      <c r="Y23" s="15">
        <v>0.79</v>
      </c>
      <c r="Z23" s="15">
        <v>0.79</v>
      </c>
      <c r="AA23" s="15">
        <v>0.88</v>
      </c>
      <c r="AB23" s="15">
        <v>0.74</v>
      </c>
      <c r="AC23" s="15">
        <v>0.83000000000000007</v>
      </c>
      <c r="AD23" s="15">
        <v>0.89</v>
      </c>
      <c r="AE23" s="15">
        <v>0.88</v>
      </c>
      <c r="AF23" s="15">
        <v>0.87</v>
      </c>
    </row>
    <row r="24" spans="1:32" x14ac:dyDescent="0.35">
      <c r="A24" s="19"/>
      <c r="B24" s="11" t="s">
        <v>770</v>
      </c>
      <c r="C24" s="12">
        <v>4322</v>
      </c>
      <c r="D24" s="12">
        <v>194</v>
      </c>
      <c r="E24" s="12">
        <v>151</v>
      </c>
      <c r="F24" s="12">
        <v>331</v>
      </c>
      <c r="G24" s="12">
        <v>108</v>
      </c>
      <c r="H24" s="12">
        <v>171</v>
      </c>
      <c r="I24" s="12">
        <v>238</v>
      </c>
      <c r="J24" s="12">
        <v>68</v>
      </c>
      <c r="K24" s="12">
        <v>165</v>
      </c>
      <c r="L24" s="12">
        <v>79</v>
      </c>
      <c r="M24" s="12">
        <v>208</v>
      </c>
      <c r="N24" s="12">
        <v>138</v>
      </c>
      <c r="O24" s="12">
        <v>207</v>
      </c>
      <c r="P24" s="12">
        <v>124</v>
      </c>
      <c r="Q24" s="12">
        <v>176</v>
      </c>
      <c r="R24" s="12">
        <v>76</v>
      </c>
      <c r="S24" s="12">
        <v>88</v>
      </c>
      <c r="T24" s="12">
        <v>102</v>
      </c>
      <c r="U24" s="12">
        <v>70</v>
      </c>
      <c r="V24" s="12">
        <v>147</v>
      </c>
      <c r="W24" s="12">
        <v>34</v>
      </c>
      <c r="X24" s="12">
        <v>180</v>
      </c>
      <c r="Y24" s="12">
        <v>170</v>
      </c>
      <c r="Z24" s="12">
        <v>162</v>
      </c>
      <c r="AA24" s="12">
        <v>27</v>
      </c>
      <c r="AB24" s="12">
        <v>216</v>
      </c>
      <c r="AC24" s="12">
        <v>147</v>
      </c>
      <c r="AD24" s="12">
        <v>80</v>
      </c>
      <c r="AE24" s="12">
        <v>60</v>
      </c>
      <c r="AF24" s="12">
        <v>111</v>
      </c>
    </row>
    <row r="25" spans="1:32" x14ac:dyDescent="0.35">
      <c r="A25" s="19"/>
      <c r="B25" s="13" t="s">
        <v>771</v>
      </c>
      <c r="C25" s="15">
        <v>0.16</v>
      </c>
      <c r="D25" s="15">
        <v>0.19</v>
      </c>
      <c r="E25" s="15">
        <v>0.15</v>
      </c>
      <c r="F25" s="15">
        <v>0.3</v>
      </c>
      <c r="G25" s="15">
        <v>0.11</v>
      </c>
      <c r="H25" s="15">
        <v>0.14000000000000001</v>
      </c>
      <c r="I25" s="15">
        <v>0.16</v>
      </c>
      <c r="J25" s="15">
        <v>0.23</v>
      </c>
      <c r="K25" s="15">
        <v>0.17</v>
      </c>
      <c r="L25" s="15">
        <v>0.08</v>
      </c>
      <c r="M25" s="15">
        <v>0.21</v>
      </c>
      <c r="N25" s="15">
        <v>0.14000000000000001</v>
      </c>
      <c r="O25" s="15">
        <v>0.21</v>
      </c>
      <c r="P25" s="15">
        <v>0.12</v>
      </c>
      <c r="Q25" s="15">
        <v>0.17</v>
      </c>
      <c r="R25" s="15">
        <v>0.15</v>
      </c>
      <c r="S25" s="15">
        <v>0.09</v>
      </c>
      <c r="T25" s="15">
        <v>0.11</v>
      </c>
      <c r="U25" s="15">
        <v>0.13</v>
      </c>
      <c r="V25" s="15">
        <v>0.15</v>
      </c>
      <c r="W25" s="15">
        <v>7.0000000000000007E-2</v>
      </c>
      <c r="X25" s="15">
        <v>0.18</v>
      </c>
      <c r="Y25" s="15">
        <v>0.17</v>
      </c>
      <c r="Z25" s="15">
        <v>0.16</v>
      </c>
      <c r="AA25" s="15">
        <v>0.02</v>
      </c>
      <c r="AB25" s="15">
        <v>0.21</v>
      </c>
      <c r="AC25" s="15">
        <v>0.15</v>
      </c>
      <c r="AD25" s="15">
        <v>0.08</v>
      </c>
      <c r="AE25" s="15">
        <v>0.06</v>
      </c>
      <c r="AF25" s="15">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874</v>
      </c>
      <c r="C3" s="18"/>
      <c r="D3" s="18"/>
      <c r="E3" s="18"/>
      <c r="F3" s="18"/>
      <c r="H3" s="18" t="s">
        <v>875</v>
      </c>
      <c r="I3" s="18"/>
      <c r="J3" s="18"/>
      <c r="K3" s="18"/>
      <c r="L3" s="18"/>
    </row>
    <row r="4" spans="1:32" ht="27" customHeight="1" x14ac:dyDescent="0.35">
      <c r="B4" s="18" t="s">
        <v>876</v>
      </c>
      <c r="C4" s="18"/>
      <c r="D4" s="18"/>
      <c r="E4" s="18"/>
      <c r="F4" s="18"/>
      <c r="H4" s="18" t="s">
        <v>877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4674</v>
      </c>
      <c r="D12" s="12">
        <v>116</v>
      </c>
      <c r="E12" s="12">
        <v>249</v>
      </c>
      <c r="F12" s="12">
        <v>148</v>
      </c>
      <c r="G12" s="12">
        <v>298</v>
      </c>
      <c r="H12" s="12">
        <v>227</v>
      </c>
      <c r="I12" s="12">
        <v>265</v>
      </c>
      <c r="J12" s="12">
        <v>39</v>
      </c>
      <c r="K12" s="12">
        <v>146</v>
      </c>
      <c r="L12" s="12">
        <v>300</v>
      </c>
      <c r="M12" s="12">
        <v>229</v>
      </c>
      <c r="N12" s="12">
        <v>201</v>
      </c>
      <c r="O12" s="12">
        <v>150</v>
      </c>
      <c r="P12" s="12">
        <v>194</v>
      </c>
      <c r="Q12" s="12">
        <v>178</v>
      </c>
      <c r="R12" s="12">
        <v>127</v>
      </c>
      <c r="S12" s="12">
        <v>214</v>
      </c>
      <c r="T12" s="12">
        <v>200</v>
      </c>
      <c r="U12" s="12">
        <v>129</v>
      </c>
      <c r="V12" s="12">
        <v>147</v>
      </c>
      <c r="W12" s="12">
        <v>86</v>
      </c>
      <c r="X12" s="12">
        <v>116</v>
      </c>
      <c r="Y12" s="12">
        <v>282</v>
      </c>
      <c r="Z12" s="12">
        <v>160</v>
      </c>
      <c r="AA12" s="12">
        <v>184</v>
      </c>
      <c r="AB12" s="12">
        <v>188</v>
      </c>
      <c r="AC12" s="12">
        <v>228</v>
      </c>
      <c r="AD12" s="12">
        <v>202</v>
      </c>
      <c r="AE12" s="12">
        <v>195</v>
      </c>
      <c r="AF12" s="12">
        <v>234</v>
      </c>
    </row>
    <row r="13" spans="1:32" x14ac:dyDescent="0.35">
      <c r="A13" s="19"/>
      <c r="B13" s="13" t="s">
        <v>761</v>
      </c>
      <c r="C13" s="15">
        <v>0.18</v>
      </c>
      <c r="D13" s="15">
        <v>0.11</v>
      </c>
      <c r="E13" s="15">
        <v>0.24</v>
      </c>
      <c r="F13" s="15">
        <v>0.13</v>
      </c>
      <c r="G13" s="15">
        <v>0.3</v>
      </c>
      <c r="H13" s="15">
        <v>0.19</v>
      </c>
      <c r="I13" s="15">
        <v>0.17</v>
      </c>
      <c r="J13" s="15">
        <v>0.13</v>
      </c>
      <c r="K13" s="15">
        <v>0.15</v>
      </c>
      <c r="L13" s="15">
        <v>0.3</v>
      </c>
      <c r="M13" s="15">
        <v>0.23</v>
      </c>
      <c r="N13" s="15">
        <v>0.2</v>
      </c>
      <c r="O13" s="15">
        <v>0.15</v>
      </c>
      <c r="P13" s="15">
        <v>0.19</v>
      </c>
      <c r="Q13" s="15">
        <v>0.17</v>
      </c>
      <c r="R13" s="15">
        <v>0.25</v>
      </c>
      <c r="S13" s="15">
        <v>0.21</v>
      </c>
      <c r="T13" s="15">
        <v>0.2</v>
      </c>
      <c r="U13" s="15">
        <v>0.26</v>
      </c>
      <c r="V13" s="15">
        <v>0.15</v>
      </c>
      <c r="W13" s="15">
        <v>0.17</v>
      </c>
      <c r="X13" s="15">
        <v>0.12</v>
      </c>
      <c r="Y13" s="15">
        <v>0.28000000000000003</v>
      </c>
      <c r="Z13" s="15">
        <v>0.16</v>
      </c>
      <c r="AA13" s="15">
        <v>0.18</v>
      </c>
      <c r="AB13" s="15">
        <v>0.18</v>
      </c>
      <c r="AC13" s="15">
        <v>0.23</v>
      </c>
      <c r="AD13" s="15">
        <v>0.2</v>
      </c>
      <c r="AE13" s="15">
        <v>0.19</v>
      </c>
      <c r="AF13" s="15">
        <v>0.22</v>
      </c>
    </row>
    <row r="14" spans="1:32" x14ac:dyDescent="0.35">
      <c r="A14" s="19"/>
      <c r="B14" s="11" t="s">
        <v>762</v>
      </c>
      <c r="C14" s="12">
        <v>13088</v>
      </c>
      <c r="D14" s="12">
        <v>533</v>
      </c>
      <c r="E14" s="12">
        <v>414</v>
      </c>
      <c r="F14" s="12">
        <v>495</v>
      </c>
      <c r="G14" s="12">
        <v>513</v>
      </c>
      <c r="H14" s="12">
        <v>634</v>
      </c>
      <c r="I14" s="12">
        <v>747</v>
      </c>
      <c r="J14" s="12">
        <v>112</v>
      </c>
      <c r="K14" s="12">
        <v>423</v>
      </c>
      <c r="L14" s="12">
        <v>489</v>
      </c>
      <c r="M14" s="12">
        <v>477</v>
      </c>
      <c r="N14" s="12">
        <v>399</v>
      </c>
      <c r="O14" s="12">
        <v>459</v>
      </c>
      <c r="P14" s="12">
        <v>565</v>
      </c>
      <c r="Q14" s="12">
        <v>544</v>
      </c>
      <c r="R14" s="12">
        <v>213</v>
      </c>
      <c r="S14" s="12">
        <v>481</v>
      </c>
      <c r="T14" s="12">
        <v>516</v>
      </c>
      <c r="U14" s="12">
        <v>255</v>
      </c>
      <c r="V14" s="12">
        <v>518</v>
      </c>
      <c r="W14" s="12">
        <v>274</v>
      </c>
      <c r="X14" s="12">
        <v>489</v>
      </c>
      <c r="Y14" s="12">
        <v>417</v>
      </c>
      <c r="Z14" s="12">
        <v>592</v>
      </c>
      <c r="AA14" s="12">
        <v>736</v>
      </c>
      <c r="AB14" s="12">
        <v>535</v>
      </c>
      <c r="AC14" s="12">
        <v>465</v>
      </c>
      <c r="AD14" s="12">
        <v>531</v>
      </c>
      <c r="AE14" s="12">
        <v>572</v>
      </c>
      <c r="AF14" s="12">
        <v>594</v>
      </c>
    </row>
    <row r="15" spans="1:32" x14ac:dyDescent="0.35">
      <c r="A15" s="19"/>
      <c r="B15" s="13" t="s">
        <v>763</v>
      </c>
      <c r="C15" s="15">
        <v>0.49</v>
      </c>
      <c r="D15" s="15">
        <v>0.53</v>
      </c>
      <c r="E15" s="15">
        <v>0.4</v>
      </c>
      <c r="F15" s="15">
        <v>0.45</v>
      </c>
      <c r="G15" s="15">
        <v>0.51</v>
      </c>
      <c r="H15" s="15">
        <v>0.52</v>
      </c>
      <c r="I15" s="15">
        <v>0.49</v>
      </c>
      <c r="J15" s="15">
        <v>0.38</v>
      </c>
      <c r="K15" s="15">
        <v>0.42</v>
      </c>
      <c r="L15" s="15">
        <v>0.49</v>
      </c>
      <c r="M15" s="15">
        <v>0.47</v>
      </c>
      <c r="N15" s="15">
        <v>0.4</v>
      </c>
      <c r="O15" s="15">
        <v>0.46</v>
      </c>
      <c r="P15" s="15">
        <v>0.56000000000000005</v>
      </c>
      <c r="Q15" s="15">
        <v>0.53</v>
      </c>
      <c r="R15" s="15">
        <v>0.43</v>
      </c>
      <c r="S15" s="15">
        <v>0.48</v>
      </c>
      <c r="T15" s="15">
        <v>0.51</v>
      </c>
      <c r="U15" s="15">
        <v>0.51</v>
      </c>
      <c r="V15" s="15">
        <v>0.51</v>
      </c>
      <c r="W15" s="15">
        <v>0.54</v>
      </c>
      <c r="X15" s="15">
        <v>0.49</v>
      </c>
      <c r="Y15" s="15">
        <v>0.42</v>
      </c>
      <c r="Z15" s="15">
        <v>0.57000000000000006</v>
      </c>
      <c r="AA15" s="15">
        <v>0.71</v>
      </c>
      <c r="AB15" s="15">
        <v>0.51</v>
      </c>
      <c r="AC15" s="15">
        <v>0.46</v>
      </c>
      <c r="AD15" s="15">
        <v>0.53</v>
      </c>
      <c r="AE15" s="15">
        <v>0.57000000000000006</v>
      </c>
      <c r="AF15" s="15">
        <v>0.57000000000000006</v>
      </c>
    </row>
    <row r="16" spans="1:32" x14ac:dyDescent="0.35">
      <c r="A16" s="19"/>
      <c r="B16" s="11" t="s">
        <v>764</v>
      </c>
      <c r="C16" s="12">
        <v>6020</v>
      </c>
      <c r="D16" s="12">
        <v>270</v>
      </c>
      <c r="E16" s="12">
        <v>217</v>
      </c>
      <c r="F16" s="12">
        <v>326</v>
      </c>
      <c r="G16" s="12">
        <v>135</v>
      </c>
      <c r="H16" s="12">
        <v>245</v>
      </c>
      <c r="I16" s="12">
        <v>343</v>
      </c>
      <c r="J16" s="12">
        <v>98</v>
      </c>
      <c r="K16" s="12">
        <v>276</v>
      </c>
      <c r="L16" s="12">
        <v>129</v>
      </c>
      <c r="M16" s="12">
        <v>220</v>
      </c>
      <c r="N16" s="12">
        <v>285</v>
      </c>
      <c r="O16" s="12">
        <v>263</v>
      </c>
      <c r="P16" s="12">
        <v>182</v>
      </c>
      <c r="Q16" s="12">
        <v>208</v>
      </c>
      <c r="R16" s="12">
        <v>97</v>
      </c>
      <c r="S16" s="12">
        <v>205</v>
      </c>
      <c r="T16" s="12">
        <v>206</v>
      </c>
      <c r="U16" s="12">
        <v>87</v>
      </c>
      <c r="V16" s="12">
        <v>257</v>
      </c>
      <c r="W16" s="12">
        <v>122</v>
      </c>
      <c r="X16" s="12">
        <v>315</v>
      </c>
      <c r="Y16" s="12">
        <v>156</v>
      </c>
      <c r="Z16" s="12">
        <v>199</v>
      </c>
      <c r="AA16" s="12">
        <v>69</v>
      </c>
      <c r="AB16" s="12">
        <v>237</v>
      </c>
      <c r="AC16" s="12">
        <v>253</v>
      </c>
      <c r="AD16" s="12">
        <v>204</v>
      </c>
      <c r="AE16" s="12">
        <v>173</v>
      </c>
      <c r="AF16" s="12">
        <v>158</v>
      </c>
    </row>
    <row r="17" spans="1:32" x14ac:dyDescent="0.35">
      <c r="A17" s="19"/>
      <c r="B17" s="13" t="s">
        <v>765</v>
      </c>
      <c r="C17" s="15">
        <v>0.23</v>
      </c>
      <c r="D17" s="15">
        <v>0.27</v>
      </c>
      <c r="E17" s="15">
        <v>0.21</v>
      </c>
      <c r="F17" s="15">
        <v>0.3</v>
      </c>
      <c r="G17" s="15">
        <v>0.13</v>
      </c>
      <c r="H17" s="15">
        <v>0.2</v>
      </c>
      <c r="I17" s="15">
        <v>0.23</v>
      </c>
      <c r="J17" s="15">
        <v>0.33</v>
      </c>
      <c r="K17" s="15">
        <v>0.28000000000000003</v>
      </c>
      <c r="L17" s="15">
        <v>0.13</v>
      </c>
      <c r="M17" s="15">
        <v>0.22</v>
      </c>
      <c r="N17" s="15">
        <v>0.28000000000000003</v>
      </c>
      <c r="O17" s="15">
        <v>0.26</v>
      </c>
      <c r="P17" s="15">
        <v>0.18</v>
      </c>
      <c r="Q17" s="15">
        <v>0.2</v>
      </c>
      <c r="R17" s="15">
        <v>0.19</v>
      </c>
      <c r="S17" s="15">
        <v>0.21</v>
      </c>
      <c r="T17" s="15">
        <v>0.21</v>
      </c>
      <c r="U17" s="15">
        <v>0.17</v>
      </c>
      <c r="V17" s="15">
        <v>0.25</v>
      </c>
      <c r="W17" s="15">
        <v>0.24</v>
      </c>
      <c r="X17" s="15">
        <v>0.31</v>
      </c>
      <c r="Y17" s="15">
        <v>0.16</v>
      </c>
      <c r="Z17" s="15">
        <v>0.19</v>
      </c>
      <c r="AA17" s="15">
        <v>7.0000000000000007E-2</v>
      </c>
      <c r="AB17" s="15">
        <v>0.22</v>
      </c>
      <c r="AC17" s="15">
        <v>0.25</v>
      </c>
      <c r="AD17" s="15">
        <v>0.2</v>
      </c>
      <c r="AE17" s="15">
        <v>0.17</v>
      </c>
      <c r="AF17" s="15">
        <v>0.15</v>
      </c>
    </row>
    <row r="18" spans="1:32" x14ac:dyDescent="0.35">
      <c r="A18" s="19"/>
      <c r="B18" s="11" t="s">
        <v>766</v>
      </c>
      <c r="C18" s="12">
        <v>1807</v>
      </c>
      <c r="D18" s="12">
        <v>77</v>
      </c>
      <c r="E18" s="12">
        <v>92</v>
      </c>
      <c r="F18" s="12">
        <v>93</v>
      </c>
      <c r="G18" s="12">
        <v>28</v>
      </c>
      <c r="H18" s="12">
        <v>92</v>
      </c>
      <c r="I18" s="12">
        <v>132</v>
      </c>
      <c r="J18" s="12">
        <v>41</v>
      </c>
      <c r="K18" s="12">
        <v>91</v>
      </c>
      <c r="L18" s="12">
        <v>35</v>
      </c>
      <c r="M18" s="12">
        <v>67</v>
      </c>
      <c r="N18" s="12">
        <v>75</v>
      </c>
      <c r="O18" s="12">
        <v>85</v>
      </c>
      <c r="P18" s="12">
        <v>48</v>
      </c>
      <c r="Q18" s="12">
        <v>55</v>
      </c>
      <c r="R18" s="12">
        <v>55</v>
      </c>
      <c r="S18" s="12">
        <v>54</v>
      </c>
      <c r="T18" s="12">
        <v>43</v>
      </c>
      <c r="U18" s="12">
        <v>26</v>
      </c>
      <c r="V18" s="12">
        <v>74</v>
      </c>
      <c r="W18" s="12">
        <v>16</v>
      </c>
      <c r="X18" s="12">
        <v>74</v>
      </c>
      <c r="Y18" s="12">
        <v>136</v>
      </c>
      <c r="Z18" s="12">
        <v>37</v>
      </c>
      <c r="AA18" s="12">
        <v>5</v>
      </c>
      <c r="AB18" s="12">
        <v>52</v>
      </c>
      <c r="AC18" s="12">
        <v>51</v>
      </c>
      <c r="AD18" s="12">
        <v>52</v>
      </c>
      <c r="AE18" s="12">
        <v>46</v>
      </c>
      <c r="AF18" s="12">
        <v>49</v>
      </c>
    </row>
    <row r="19" spans="1:32" x14ac:dyDescent="0.35">
      <c r="A19" s="19"/>
      <c r="B19" s="13" t="s">
        <v>767</v>
      </c>
      <c r="C19" s="15">
        <v>7.0000000000000007E-2</v>
      </c>
      <c r="D19" s="15">
        <v>7.0000000000000007E-2</v>
      </c>
      <c r="E19" s="15">
        <v>0.09</v>
      </c>
      <c r="F19" s="15">
        <v>0.08</v>
      </c>
      <c r="G19" s="15">
        <v>0.03</v>
      </c>
      <c r="H19" s="15">
        <v>7.0000000000000007E-2</v>
      </c>
      <c r="I19" s="15">
        <v>0.09</v>
      </c>
      <c r="J19" s="15">
        <v>0.14000000000000001</v>
      </c>
      <c r="K19" s="15">
        <v>0.09</v>
      </c>
      <c r="L19" s="15">
        <v>0.03</v>
      </c>
      <c r="M19" s="15">
        <v>7.0000000000000007E-2</v>
      </c>
      <c r="N19" s="15">
        <v>0.08</v>
      </c>
      <c r="O19" s="15">
        <v>0.09</v>
      </c>
      <c r="P19" s="15">
        <v>0.05</v>
      </c>
      <c r="Q19" s="15">
        <v>0.06</v>
      </c>
      <c r="R19" s="15">
        <v>0.11</v>
      </c>
      <c r="S19" s="15">
        <v>0.05</v>
      </c>
      <c r="T19" s="15">
        <v>0.04</v>
      </c>
      <c r="U19" s="15">
        <v>0.05</v>
      </c>
      <c r="V19" s="15">
        <v>7.0000000000000007E-2</v>
      </c>
      <c r="W19" s="15">
        <v>0.03</v>
      </c>
      <c r="X19" s="15">
        <v>7.0000000000000007E-2</v>
      </c>
      <c r="Y19" s="15">
        <v>0.13</v>
      </c>
      <c r="Z19" s="15">
        <v>0.04</v>
      </c>
      <c r="AA19" s="14" t="s">
        <v>475</v>
      </c>
      <c r="AB19" s="15">
        <v>0.05</v>
      </c>
      <c r="AC19" s="15">
        <v>0.05</v>
      </c>
      <c r="AD19" s="15">
        <v>0.05</v>
      </c>
      <c r="AE19" s="15">
        <v>0.04</v>
      </c>
      <c r="AF19" s="15">
        <v>0.05</v>
      </c>
    </row>
    <row r="20" spans="1:32" x14ac:dyDescent="0.35">
      <c r="A20" s="19"/>
      <c r="B20" s="11" t="s">
        <v>485</v>
      </c>
      <c r="C20" s="12">
        <v>857</v>
      </c>
      <c r="D20" s="12">
        <v>17</v>
      </c>
      <c r="E20" s="12">
        <v>57</v>
      </c>
      <c r="F20" s="12">
        <v>41</v>
      </c>
      <c r="G20" s="12">
        <v>33</v>
      </c>
      <c r="H20" s="12">
        <v>23</v>
      </c>
      <c r="I20" s="12">
        <v>28</v>
      </c>
      <c r="J20" s="12">
        <v>5</v>
      </c>
      <c r="K20" s="12">
        <v>65</v>
      </c>
      <c r="L20" s="12">
        <v>50</v>
      </c>
      <c r="M20" s="12">
        <v>16</v>
      </c>
      <c r="N20" s="12">
        <v>43</v>
      </c>
      <c r="O20" s="12">
        <v>44</v>
      </c>
      <c r="P20" s="12">
        <v>16</v>
      </c>
      <c r="Q20" s="12">
        <v>42</v>
      </c>
      <c r="R20" s="12">
        <v>11</v>
      </c>
      <c r="S20" s="12">
        <v>48</v>
      </c>
      <c r="T20" s="12">
        <v>41</v>
      </c>
      <c r="U20" s="12">
        <v>7</v>
      </c>
      <c r="V20" s="12">
        <v>19</v>
      </c>
      <c r="W20" s="12">
        <v>9</v>
      </c>
      <c r="X20" s="12">
        <v>14</v>
      </c>
      <c r="Y20" s="12">
        <v>12</v>
      </c>
      <c r="Z20" s="12">
        <v>44</v>
      </c>
      <c r="AA20" s="12">
        <v>40</v>
      </c>
      <c r="AB20" s="12">
        <v>39</v>
      </c>
      <c r="AC20" s="12">
        <v>7</v>
      </c>
      <c r="AD20" s="12">
        <v>15</v>
      </c>
      <c r="AE20" s="12">
        <v>27</v>
      </c>
      <c r="AF20" s="12">
        <v>8</v>
      </c>
    </row>
    <row r="21" spans="1:32" x14ac:dyDescent="0.35">
      <c r="A21" s="19"/>
      <c r="B21" s="13" t="s">
        <v>486</v>
      </c>
      <c r="C21" s="15">
        <v>0.03</v>
      </c>
      <c r="D21" s="15">
        <v>0.02</v>
      </c>
      <c r="E21" s="15">
        <v>0.06</v>
      </c>
      <c r="F21" s="15">
        <v>0.04</v>
      </c>
      <c r="G21" s="15">
        <v>0.03</v>
      </c>
      <c r="H21" s="15">
        <v>0.02</v>
      </c>
      <c r="I21" s="15">
        <v>0.02</v>
      </c>
      <c r="J21" s="15">
        <v>0.02</v>
      </c>
      <c r="K21" s="15">
        <v>0.06</v>
      </c>
      <c r="L21" s="15">
        <v>0.05</v>
      </c>
      <c r="M21" s="15">
        <v>0.01</v>
      </c>
      <c r="N21" s="15">
        <v>0.04</v>
      </c>
      <c r="O21" s="15">
        <v>0.04</v>
      </c>
      <c r="P21" s="15">
        <v>0.02</v>
      </c>
      <c r="Q21" s="15">
        <v>0.04</v>
      </c>
      <c r="R21" s="15">
        <v>0.02</v>
      </c>
      <c r="S21" s="15">
        <v>0.05</v>
      </c>
      <c r="T21" s="15">
        <v>0.04</v>
      </c>
      <c r="U21" s="15">
        <v>0.01</v>
      </c>
      <c r="V21" s="15">
        <v>0.02</v>
      </c>
      <c r="W21" s="15">
        <v>0.02</v>
      </c>
      <c r="X21" s="15">
        <v>0.01</v>
      </c>
      <c r="Y21" s="15">
        <v>0.01</v>
      </c>
      <c r="Z21" s="15">
        <v>0.04</v>
      </c>
      <c r="AA21" s="15">
        <v>0.04</v>
      </c>
      <c r="AB21" s="15">
        <v>0.04</v>
      </c>
      <c r="AC21" s="15">
        <v>0.01</v>
      </c>
      <c r="AD21" s="15">
        <v>0.02</v>
      </c>
      <c r="AE21" s="15">
        <v>0.03</v>
      </c>
      <c r="AF21" s="15">
        <v>0.01</v>
      </c>
    </row>
    <row r="22" spans="1:32" x14ac:dyDescent="0.35">
      <c r="A22" s="19"/>
      <c r="B22" s="11" t="s">
        <v>768</v>
      </c>
      <c r="C22" s="12">
        <v>17762</v>
      </c>
      <c r="D22" s="12">
        <v>649</v>
      </c>
      <c r="E22" s="12">
        <v>663</v>
      </c>
      <c r="F22" s="12">
        <v>643</v>
      </c>
      <c r="G22" s="12">
        <v>811</v>
      </c>
      <c r="H22" s="12">
        <v>861</v>
      </c>
      <c r="I22" s="12">
        <v>1012</v>
      </c>
      <c r="J22" s="12">
        <v>151</v>
      </c>
      <c r="K22" s="12">
        <v>569</v>
      </c>
      <c r="L22" s="12">
        <v>789</v>
      </c>
      <c r="M22" s="12">
        <v>706</v>
      </c>
      <c r="N22" s="12">
        <v>600</v>
      </c>
      <c r="O22" s="12">
        <v>609</v>
      </c>
      <c r="P22" s="12">
        <v>759</v>
      </c>
      <c r="Q22" s="12">
        <v>722</v>
      </c>
      <c r="R22" s="12">
        <v>340</v>
      </c>
      <c r="S22" s="12">
        <v>695</v>
      </c>
      <c r="T22" s="12">
        <v>716</v>
      </c>
      <c r="U22" s="12">
        <v>384</v>
      </c>
      <c r="V22" s="12">
        <v>665</v>
      </c>
      <c r="W22" s="12">
        <v>360</v>
      </c>
      <c r="X22" s="12">
        <v>605</v>
      </c>
      <c r="Y22" s="12">
        <v>699</v>
      </c>
      <c r="Z22" s="12">
        <v>752</v>
      </c>
      <c r="AA22" s="12">
        <v>920</v>
      </c>
      <c r="AB22" s="12">
        <v>723</v>
      </c>
      <c r="AC22" s="12">
        <v>693</v>
      </c>
      <c r="AD22" s="12">
        <v>733</v>
      </c>
      <c r="AE22" s="12">
        <v>767</v>
      </c>
      <c r="AF22" s="12">
        <v>828</v>
      </c>
    </row>
    <row r="23" spans="1:32" x14ac:dyDescent="0.35">
      <c r="A23" s="19"/>
      <c r="B23" s="13" t="s">
        <v>769</v>
      </c>
      <c r="C23" s="15">
        <v>0.67</v>
      </c>
      <c r="D23" s="15">
        <v>0.64</v>
      </c>
      <c r="E23" s="15">
        <v>0.64</v>
      </c>
      <c r="F23" s="15">
        <v>0.57999999999999996</v>
      </c>
      <c r="G23" s="15">
        <v>0.81</v>
      </c>
      <c r="H23" s="15">
        <v>0.71</v>
      </c>
      <c r="I23" s="15">
        <v>0.66</v>
      </c>
      <c r="J23" s="15">
        <v>0.51</v>
      </c>
      <c r="K23" s="15">
        <v>0.57000000000000006</v>
      </c>
      <c r="L23" s="15">
        <v>0.79</v>
      </c>
      <c r="M23" s="15">
        <v>0.70000000000000007</v>
      </c>
      <c r="N23" s="15">
        <v>0.6</v>
      </c>
      <c r="O23" s="15">
        <v>0.61</v>
      </c>
      <c r="P23" s="15">
        <v>0.75</v>
      </c>
      <c r="Q23" s="15">
        <v>0.70000000000000007</v>
      </c>
      <c r="R23" s="15">
        <v>0.68</v>
      </c>
      <c r="S23" s="15">
        <v>0.69000000000000006</v>
      </c>
      <c r="T23" s="15">
        <v>0.71</v>
      </c>
      <c r="U23" s="15">
        <v>0.77</v>
      </c>
      <c r="V23" s="15">
        <v>0.66</v>
      </c>
      <c r="W23" s="15">
        <v>0.71</v>
      </c>
      <c r="X23" s="15">
        <v>0.61</v>
      </c>
      <c r="Y23" s="15">
        <v>0.70000000000000007</v>
      </c>
      <c r="Z23" s="15">
        <v>0.73</v>
      </c>
      <c r="AA23" s="15">
        <v>0.89</v>
      </c>
      <c r="AB23" s="15">
        <v>0.69000000000000006</v>
      </c>
      <c r="AC23" s="15">
        <v>0.69000000000000006</v>
      </c>
      <c r="AD23" s="15">
        <v>0.73</v>
      </c>
      <c r="AE23" s="15">
        <v>0.76</v>
      </c>
      <c r="AF23" s="15">
        <v>0.79</v>
      </c>
    </row>
    <row r="24" spans="1:32" x14ac:dyDescent="0.35">
      <c r="A24" s="19"/>
      <c r="B24" s="11" t="s">
        <v>770</v>
      </c>
      <c r="C24" s="12">
        <v>7827</v>
      </c>
      <c r="D24" s="12">
        <v>347</v>
      </c>
      <c r="E24" s="12">
        <v>309</v>
      </c>
      <c r="F24" s="12">
        <v>419</v>
      </c>
      <c r="G24" s="12">
        <v>163</v>
      </c>
      <c r="H24" s="12">
        <v>337</v>
      </c>
      <c r="I24" s="12">
        <v>475</v>
      </c>
      <c r="J24" s="12">
        <v>139</v>
      </c>
      <c r="K24" s="12">
        <v>367</v>
      </c>
      <c r="L24" s="12">
        <v>164</v>
      </c>
      <c r="M24" s="12">
        <v>287</v>
      </c>
      <c r="N24" s="12">
        <v>360</v>
      </c>
      <c r="O24" s="12">
        <v>348</v>
      </c>
      <c r="P24" s="12">
        <v>230</v>
      </c>
      <c r="Q24" s="12">
        <v>263</v>
      </c>
      <c r="R24" s="12">
        <v>152</v>
      </c>
      <c r="S24" s="12">
        <v>259</v>
      </c>
      <c r="T24" s="12">
        <v>249</v>
      </c>
      <c r="U24" s="12">
        <v>113</v>
      </c>
      <c r="V24" s="12">
        <v>331</v>
      </c>
      <c r="W24" s="12">
        <v>138</v>
      </c>
      <c r="X24" s="12">
        <v>389</v>
      </c>
      <c r="Y24" s="12">
        <v>292</v>
      </c>
      <c r="Z24" s="12">
        <v>236</v>
      </c>
      <c r="AA24" s="12">
        <v>74</v>
      </c>
      <c r="AB24" s="12">
        <v>289</v>
      </c>
      <c r="AC24" s="12">
        <v>304</v>
      </c>
      <c r="AD24" s="12">
        <v>256</v>
      </c>
      <c r="AE24" s="12">
        <v>219</v>
      </c>
      <c r="AF24" s="12">
        <v>207</v>
      </c>
    </row>
    <row r="25" spans="1:32" x14ac:dyDescent="0.35">
      <c r="A25" s="19"/>
      <c r="B25" s="13" t="s">
        <v>771</v>
      </c>
      <c r="C25" s="15">
        <v>0.3</v>
      </c>
      <c r="D25" s="15">
        <v>0.34</v>
      </c>
      <c r="E25" s="15">
        <v>0.3</v>
      </c>
      <c r="F25" s="15">
        <v>0.38</v>
      </c>
      <c r="G25" s="15">
        <v>0.16</v>
      </c>
      <c r="H25" s="15">
        <v>0.27</v>
      </c>
      <c r="I25" s="15">
        <v>0.32</v>
      </c>
      <c r="J25" s="15">
        <v>0.47</v>
      </c>
      <c r="K25" s="15">
        <v>0.37</v>
      </c>
      <c r="L25" s="15">
        <v>0.16</v>
      </c>
      <c r="M25" s="15">
        <v>0.28999999999999998</v>
      </c>
      <c r="N25" s="15">
        <v>0.36</v>
      </c>
      <c r="O25" s="15">
        <v>0.35</v>
      </c>
      <c r="P25" s="15">
        <v>0.23</v>
      </c>
      <c r="Q25" s="15">
        <v>0.26</v>
      </c>
      <c r="R25" s="15">
        <v>0.3</v>
      </c>
      <c r="S25" s="15">
        <v>0.26</v>
      </c>
      <c r="T25" s="15">
        <v>0.25</v>
      </c>
      <c r="U25" s="15">
        <v>0.22</v>
      </c>
      <c r="V25" s="15">
        <v>0.32</v>
      </c>
      <c r="W25" s="15">
        <v>0.27</v>
      </c>
      <c r="X25" s="15">
        <v>0.38</v>
      </c>
      <c r="Y25" s="15">
        <v>0.28999999999999998</v>
      </c>
      <c r="Z25" s="15">
        <v>0.23</v>
      </c>
      <c r="AA25" s="15">
        <v>7.0000000000000007E-2</v>
      </c>
      <c r="AB25" s="15">
        <v>0.27</v>
      </c>
      <c r="AC25" s="15">
        <v>0.3</v>
      </c>
      <c r="AD25" s="15">
        <v>0.25</v>
      </c>
      <c r="AE25" s="15">
        <v>0.21</v>
      </c>
      <c r="AF25" s="15">
        <v>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878</v>
      </c>
      <c r="C3" s="18"/>
      <c r="D3" s="18"/>
      <c r="E3" s="18"/>
      <c r="F3" s="18"/>
      <c r="H3" s="18" t="s">
        <v>879</v>
      </c>
      <c r="I3" s="18"/>
      <c r="J3" s="18"/>
      <c r="K3" s="18"/>
      <c r="L3" s="18"/>
    </row>
    <row r="4" spans="1:32" ht="27" customHeight="1" x14ac:dyDescent="0.35">
      <c r="B4" s="18" t="s">
        <v>880</v>
      </c>
      <c r="C4" s="18"/>
      <c r="D4" s="18"/>
      <c r="E4" s="18"/>
      <c r="F4" s="18"/>
      <c r="H4" s="18" t="s">
        <v>881</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11385</v>
      </c>
      <c r="D12" s="12">
        <v>463</v>
      </c>
      <c r="E12" s="12">
        <v>480</v>
      </c>
      <c r="F12" s="12">
        <v>430</v>
      </c>
      <c r="G12" s="12">
        <v>612</v>
      </c>
      <c r="H12" s="12">
        <v>639</v>
      </c>
      <c r="I12" s="12">
        <v>782</v>
      </c>
      <c r="J12" s="12">
        <v>144</v>
      </c>
      <c r="K12" s="12">
        <v>428</v>
      </c>
      <c r="L12" s="12">
        <v>546</v>
      </c>
      <c r="M12" s="12">
        <v>576</v>
      </c>
      <c r="N12" s="12">
        <v>448</v>
      </c>
      <c r="O12" s="12">
        <v>376</v>
      </c>
      <c r="P12" s="12">
        <v>368</v>
      </c>
      <c r="Q12" s="12">
        <v>318</v>
      </c>
      <c r="R12" s="12">
        <v>328</v>
      </c>
      <c r="S12" s="12">
        <v>445</v>
      </c>
      <c r="T12" s="12">
        <v>527</v>
      </c>
      <c r="U12" s="12">
        <v>258</v>
      </c>
      <c r="V12" s="12">
        <v>450</v>
      </c>
      <c r="W12" s="12">
        <v>182</v>
      </c>
      <c r="X12" s="12">
        <v>474</v>
      </c>
      <c r="Y12" s="12">
        <v>537</v>
      </c>
      <c r="Z12" s="12">
        <v>390</v>
      </c>
      <c r="AA12" s="12">
        <v>228</v>
      </c>
      <c r="AB12" s="12">
        <v>302</v>
      </c>
      <c r="AC12" s="12">
        <v>566</v>
      </c>
      <c r="AD12" s="12">
        <v>539</v>
      </c>
      <c r="AE12" s="12">
        <v>612</v>
      </c>
      <c r="AF12" s="12">
        <v>733</v>
      </c>
    </row>
    <row r="13" spans="1:32" x14ac:dyDescent="0.35">
      <c r="A13" s="19"/>
      <c r="B13" s="13" t="s">
        <v>761</v>
      </c>
      <c r="C13" s="15">
        <v>0.43</v>
      </c>
      <c r="D13" s="15">
        <v>0.46</v>
      </c>
      <c r="E13" s="15">
        <v>0.47</v>
      </c>
      <c r="F13" s="15">
        <v>0.39</v>
      </c>
      <c r="G13" s="15">
        <v>0.61</v>
      </c>
      <c r="H13" s="15">
        <v>0.52</v>
      </c>
      <c r="I13" s="15">
        <v>0.52</v>
      </c>
      <c r="J13" s="15">
        <v>0.49</v>
      </c>
      <c r="K13" s="15">
        <v>0.43</v>
      </c>
      <c r="L13" s="15">
        <v>0.54</v>
      </c>
      <c r="M13" s="15">
        <v>0.57000000000000006</v>
      </c>
      <c r="N13" s="15">
        <v>0.45</v>
      </c>
      <c r="O13" s="15">
        <v>0.38</v>
      </c>
      <c r="P13" s="15">
        <v>0.37</v>
      </c>
      <c r="Q13" s="15">
        <v>0.31</v>
      </c>
      <c r="R13" s="15">
        <v>0.65</v>
      </c>
      <c r="S13" s="15">
        <v>0.44</v>
      </c>
      <c r="T13" s="15">
        <v>0.52</v>
      </c>
      <c r="U13" s="15">
        <v>0.51</v>
      </c>
      <c r="V13" s="15">
        <v>0.45</v>
      </c>
      <c r="W13" s="15">
        <v>0.36</v>
      </c>
      <c r="X13" s="15">
        <v>0.47</v>
      </c>
      <c r="Y13" s="15">
        <v>0.53</v>
      </c>
      <c r="Z13" s="15">
        <v>0.38</v>
      </c>
      <c r="AA13" s="15">
        <v>0.22</v>
      </c>
      <c r="AB13" s="15">
        <v>0.28999999999999998</v>
      </c>
      <c r="AC13" s="15">
        <v>0.56000000000000005</v>
      </c>
      <c r="AD13" s="15">
        <v>0.53</v>
      </c>
      <c r="AE13" s="15">
        <v>0.61</v>
      </c>
      <c r="AF13" s="15">
        <v>0.70000000000000007</v>
      </c>
    </row>
    <row r="14" spans="1:32" x14ac:dyDescent="0.35">
      <c r="A14" s="19"/>
      <c r="B14" s="11" t="s">
        <v>762</v>
      </c>
      <c r="C14" s="12">
        <v>11575</v>
      </c>
      <c r="D14" s="12">
        <v>431</v>
      </c>
      <c r="E14" s="12">
        <v>400</v>
      </c>
      <c r="F14" s="12">
        <v>457</v>
      </c>
      <c r="G14" s="12">
        <v>234</v>
      </c>
      <c r="H14" s="12">
        <v>483</v>
      </c>
      <c r="I14" s="12">
        <v>588</v>
      </c>
      <c r="J14" s="12">
        <v>105</v>
      </c>
      <c r="K14" s="12">
        <v>428</v>
      </c>
      <c r="L14" s="12">
        <v>365</v>
      </c>
      <c r="M14" s="12">
        <v>367</v>
      </c>
      <c r="N14" s="12">
        <v>408</v>
      </c>
      <c r="O14" s="12">
        <v>461</v>
      </c>
      <c r="P14" s="12">
        <v>497</v>
      </c>
      <c r="Q14" s="12">
        <v>562</v>
      </c>
      <c r="R14" s="12">
        <v>124</v>
      </c>
      <c r="S14" s="12">
        <v>415</v>
      </c>
      <c r="T14" s="12">
        <v>392</v>
      </c>
      <c r="U14" s="12">
        <v>177</v>
      </c>
      <c r="V14" s="12">
        <v>456</v>
      </c>
      <c r="W14" s="12">
        <v>273</v>
      </c>
      <c r="X14" s="12">
        <v>395</v>
      </c>
      <c r="Y14" s="12">
        <v>387</v>
      </c>
      <c r="Z14" s="12">
        <v>521</v>
      </c>
      <c r="AA14" s="12">
        <v>688</v>
      </c>
      <c r="AB14" s="12">
        <v>494</v>
      </c>
      <c r="AC14" s="12">
        <v>340</v>
      </c>
      <c r="AD14" s="12">
        <v>393</v>
      </c>
      <c r="AE14" s="12">
        <v>317</v>
      </c>
      <c r="AF14" s="12">
        <v>213</v>
      </c>
    </row>
    <row r="15" spans="1:32" x14ac:dyDescent="0.35">
      <c r="A15" s="19"/>
      <c r="B15" s="13" t="s">
        <v>763</v>
      </c>
      <c r="C15" s="15">
        <v>0.44</v>
      </c>
      <c r="D15" s="15">
        <v>0.43</v>
      </c>
      <c r="E15" s="15">
        <v>0.39</v>
      </c>
      <c r="F15" s="15">
        <v>0.41</v>
      </c>
      <c r="G15" s="15">
        <v>0.23</v>
      </c>
      <c r="H15" s="15">
        <v>0.39</v>
      </c>
      <c r="I15" s="15">
        <v>0.39</v>
      </c>
      <c r="J15" s="15">
        <v>0.36</v>
      </c>
      <c r="K15" s="15">
        <v>0.43</v>
      </c>
      <c r="L15" s="15">
        <v>0.36</v>
      </c>
      <c r="M15" s="15">
        <v>0.36</v>
      </c>
      <c r="N15" s="15">
        <v>0.41</v>
      </c>
      <c r="O15" s="15">
        <v>0.46</v>
      </c>
      <c r="P15" s="15">
        <v>0.49</v>
      </c>
      <c r="Q15" s="15">
        <v>0.55000000000000004</v>
      </c>
      <c r="R15" s="15">
        <v>0.25</v>
      </c>
      <c r="S15" s="15">
        <v>0.42</v>
      </c>
      <c r="T15" s="15">
        <v>0.39</v>
      </c>
      <c r="U15" s="15">
        <v>0.35</v>
      </c>
      <c r="V15" s="15">
        <v>0.45</v>
      </c>
      <c r="W15" s="15">
        <v>0.54</v>
      </c>
      <c r="X15" s="15">
        <v>0.39</v>
      </c>
      <c r="Y15" s="15">
        <v>0.39</v>
      </c>
      <c r="Z15" s="15">
        <v>0.51</v>
      </c>
      <c r="AA15" s="15">
        <v>0.67</v>
      </c>
      <c r="AB15" s="15">
        <v>0.47</v>
      </c>
      <c r="AC15" s="15">
        <v>0.34</v>
      </c>
      <c r="AD15" s="15">
        <v>0.39</v>
      </c>
      <c r="AE15" s="15">
        <v>0.31</v>
      </c>
      <c r="AF15" s="15">
        <v>0.2</v>
      </c>
    </row>
    <row r="16" spans="1:32" x14ac:dyDescent="0.35">
      <c r="A16" s="19"/>
      <c r="B16" s="11" t="s">
        <v>764</v>
      </c>
      <c r="C16" s="12">
        <v>1855</v>
      </c>
      <c r="D16" s="12">
        <v>84</v>
      </c>
      <c r="E16" s="12">
        <v>63</v>
      </c>
      <c r="F16" s="12">
        <v>142</v>
      </c>
      <c r="G16" s="12">
        <v>58</v>
      </c>
      <c r="H16" s="12">
        <v>43</v>
      </c>
      <c r="I16" s="12">
        <v>69</v>
      </c>
      <c r="J16" s="12">
        <v>26</v>
      </c>
      <c r="K16" s="12">
        <v>57</v>
      </c>
      <c r="L16" s="12">
        <v>39</v>
      </c>
      <c r="M16" s="12">
        <v>35</v>
      </c>
      <c r="N16" s="12">
        <v>61</v>
      </c>
      <c r="O16" s="12">
        <v>83</v>
      </c>
      <c r="P16" s="12">
        <v>103</v>
      </c>
      <c r="Q16" s="12">
        <v>81</v>
      </c>
      <c r="R16" s="12">
        <v>39</v>
      </c>
      <c r="S16" s="12">
        <v>53</v>
      </c>
      <c r="T16" s="12">
        <v>45</v>
      </c>
      <c r="U16" s="12">
        <v>33</v>
      </c>
      <c r="V16" s="12">
        <v>85</v>
      </c>
      <c r="W16" s="12">
        <v>16</v>
      </c>
      <c r="X16" s="12">
        <v>90</v>
      </c>
      <c r="Y16" s="12">
        <v>46</v>
      </c>
      <c r="Z16" s="12">
        <v>88</v>
      </c>
      <c r="AA16" s="12">
        <v>17</v>
      </c>
      <c r="AB16" s="12">
        <v>168</v>
      </c>
      <c r="AC16" s="12">
        <v>59</v>
      </c>
      <c r="AD16" s="12">
        <v>36</v>
      </c>
      <c r="AE16" s="12">
        <v>28</v>
      </c>
      <c r="AF16" s="12">
        <v>30</v>
      </c>
    </row>
    <row r="17" spans="1:32" x14ac:dyDescent="0.35">
      <c r="A17" s="19"/>
      <c r="B17" s="13" t="s">
        <v>765</v>
      </c>
      <c r="C17" s="15">
        <v>7.0000000000000007E-2</v>
      </c>
      <c r="D17" s="15">
        <v>0.08</v>
      </c>
      <c r="E17" s="15">
        <v>0.06</v>
      </c>
      <c r="F17" s="15">
        <v>0.13</v>
      </c>
      <c r="G17" s="15">
        <v>0.06</v>
      </c>
      <c r="H17" s="15">
        <v>0.04</v>
      </c>
      <c r="I17" s="15">
        <v>0.04</v>
      </c>
      <c r="J17" s="15">
        <v>0.08</v>
      </c>
      <c r="K17" s="15">
        <v>0.05</v>
      </c>
      <c r="L17" s="15">
        <v>0.04</v>
      </c>
      <c r="M17" s="15">
        <v>0.03</v>
      </c>
      <c r="N17" s="15">
        <v>0.06</v>
      </c>
      <c r="O17" s="15">
        <v>0.08</v>
      </c>
      <c r="P17" s="15">
        <v>0.1</v>
      </c>
      <c r="Q17" s="15">
        <v>0.08</v>
      </c>
      <c r="R17" s="15">
        <v>0.08</v>
      </c>
      <c r="S17" s="15">
        <v>0.05</v>
      </c>
      <c r="T17" s="15">
        <v>0.05</v>
      </c>
      <c r="U17" s="15">
        <v>0.06</v>
      </c>
      <c r="V17" s="15">
        <v>0.08</v>
      </c>
      <c r="W17" s="15">
        <v>0.03</v>
      </c>
      <c r="X17" s="15">
        <v>0.09</v>
      </c>
      <c r="Y17" s="15">
        <v>0.05</v>
      </c>
      <c r="Z17" s="15">
        <v>0.08</v>
      </c>
      <c r="AA17" s="15">
        <v>0.02</v>
      </c>
      <c r="AB17" s="15">
        <v>0.16</v>
      </c>
      <c r="AC17" s="15">
        <v>0.06</v>
      </c>
      <c r="AD17" s="15">
        <v>0.04</v>
      </c>
      <c r="AE17" s="15">
        <v>0.03</v>
      </c>
      <c r="AF17" s="15">
        <v>0.03</v>
      </c>
    </row>
    <row r="18" spans="1:32" x14ac:dyDescent="0.35">
      <c r="A18" s="19"/>
      <c r="B18" s="11" t="s">
        <v>766</v>
      </c>
      <c r="C18" s="12">
        <v>496</v>
      </c>
      <c r="D18" s="12">
        <v>24</v>
      </c>
      <c r="E18" s="12">
        <v>15</v>
      </c>
      <c r="F18" s="12">
        <v>22</v>
      </c>
      <c r="G18" s="12">
        <v>33</v>
      </c>
      <c r="H18" s="12">
        <v>19</v>
      </c>
      <c r="I18" s="12">
        <v>28</v>
      </c>
      <c r="J18" s="12">
        <v>9</v>
      </c>
      <c r="K18" s="12">
        <v>21</v>
      </c>
      <c r="L18" s="12">
        <v>17</v>
      </c>
      <c r="M18" s="12">
        <v>17</v>
      </c>
      <c r="N18" s="12">
        <v>8</v>
      </c>
      <c r="O18" s="12">
        <v>29</v>
      </c>
      <c r="P18" s="12">
        <v>20</v>
      </c>
      <c r="Q18" s="12">
        <v>20</v>
      </c>
      <c r="R18" s="12">
        <v>7</v>
      </c>
      <c r="S18" s="12">
        <v>11</v>
      </c>
      <c r="T18" s="12">
        <v>10</v>
      </c>
      <c r="U18" s="12">
        <v>13</v>
      </c>
      <c r="V18" s="12">
        <v>11</v>
      </c>
      <c r="W18" s="12">
        <v>15</v>
      </c>
      <c r="X18" s="12">
        <v>23</v>
      </c>
      <c r="Y18" s="12">
        <v>13</v>
      </c>
      <c r="Z18" s="12">
        <v>14</v>
      </c>
      <c r="AA18" s="12">
        <v>4</v>
      </c>
      <c r="AB18" s="12">
        <v>32</v>
      </c>
      <c r="AC18" s="12">
        <v>18</v>
      </c>
      <c r="AD18" s="12">
        <v>10</v>
      </c>
      <c r="AE18" s="12">
        <v>11</v>
      </c>
      <c r="AF18" s="12">
        <v>26</v>
      </c>
    </row>
    <row r="19" spans="1:32" x14ac:dyDescent="0.35">
      <c r="A19" s="19"/>
      <c r="B19" s="13" t="s">
        <v>767</v>
      </c>
      <c r="C19" s="15">
        <v>0.02</v>
      </c>
      <c r="D19" s="15">
        <v>0.02</v>
      </c>
      <c r="E19" s="15">
        <v>0.01</v>
      </c>
      <c r="F19" s="15">
        <v>0.02</v>
      </c>
      <c r="G19" s="15">
        <v>0.03</v>
      </c>
      <c r="H19" s="15">
        <v>0.02</v>
      </c>
      <c r="I19" s="15">
        <v>0.02</v>
      </c>
      <c r="J19" s="15">
        <v>0.03</v>
      </c>
      <c r="K19" s="15">
        <v>0.02</v>
      </c>
      <c r="L19" s="15">
        <v>0.02</v>
      </c>
      <c r="M19" s="15">
        <v>0.02</v>
      </c>
      <c r="N19" s="15">
        <v>0.01</v>
      </c>
      <c r="O19" s="15">
        <v>0.03</v>
      </c>
      <c r="P19" s="15">
        <v>0.02</v>
      </c>
      <c r="Q19" s="15">
        <v>0.02</v>
      </c>
      <c r="R19" s="15">
        <v>0.01</v>
      </c>
      <c r="S19" s="15">
        <v>0.01</v>
      </c>
      <c r="T19" s="15">
        <v>0.01</v>
      </c>
      <c r="U19" s="15">
        <v>0.03</v>
      </c>
      <c r="V19" s="15">
        <v>0.01</v>
      </c>
      <c r="W19" s="15">
        <v>0.03</v>
      </c>
      <c r="X19" s="15">
        <v>0.02</v>
      </c>
      <c r="Y19" s="15">
        <v>0.01</v>
      </c>
      <c r="Z19" s="15">
        <v>0.01</v>
      </c>
      <c r="AA19" s="14" t="s">
        <v>475</v>
      </c>
      <c r="AB19" s="15">
        <v>0.03</v>
      </c>
      <c r="AC19" s="15">
        <v>0.02</v>
      </c>
      <c r="AD19" s="15">
        <v>0.01</v>
      </c>
      <c r="AE19" s="15">
        <v>0.01</v>
      </c>
      <c r="AF19" s="15">
        <v>0.03</v>
      </c>
    </row>
    <row r="20" spans="1:32" x14ac:dyDescent="0.35">
      <c r="A20" s="19"/>
      <c r="B20" s="11" t="s">
        <v>485</v>
      </c>
      <c r="C20" s="12">
        <v>1135</v>
      </c>
      <c r="D20" s="12">
        <v>11</v>
      </c>
      <c r="E20" s="12">
        <v>72</v>
      </c>
      <c r="F20" s="12">
        <v>52</v>
      </c>
      <c r="G20" s="12">
        <v>69</v>
      </c>
      <c r="H20" s="12">
        <v>37</v>
      </c>
      <c r="I20" s="12">
        <v>49</v>
      </c>
      <c r="J20" s="12">
        <v>12</v>
      </c>
      <c r="K20" s="12">
        <v>68</v>
      </c>
      <c r="L20" s="12">
        <v>35</v>
      </c>
      <c r="M20" s="12">
        <v>16</v>
      </c>
      <c r="N20" s="12">
        <v>77</v>
      </c>
      <c r="O20" s="12">
        <v>52</v>
      </c>
      <c r="P20" s="12">
        <v>15</v>
      </c>
      <c r="Q20" s="12">
        <v>47</v>
      </c>
      <c r="R20" s="12">
        <v>6</v>
      </c>
      <c r="S20" s="12">
        <v>77</v>
      </c>
      <c r="T20" s="12">
        <v>32</v>
      </c>
      <c r="U20" s="12">
        <v>23</v>
      </c>
      <c r="V20" s="12">
        <v>14</v>
      </c>
      <c r="W20" s="12">
        <v>22</v>
      </c>
      <c r="X20" s="12">
        <v>27</v>
      </c>
      <c r="Y20" s="12">
        <v>19</v>
      </c>
      <c r="Z20" s="12">
        <v>18</v>
      </c>
      <c r="AA20" s="12">
        <v>97</v>
      </c>
      <c r="AB20" s="12">
        <v>56</v>
      </c>
      <c r="AC20" s="12">
        <v>20</v>
      </c>
      <c r="AD20" s="12">
        <v>27</v>
      </c>
      <c r="AE20" s="12">
        <v>44</v>
      </c>
      <c r="AF20" s="12">
        <v>41</v>
      </c>
    </row>
    <row r="21" spans="1:32" x14ac:dyDescent="0.35">
      <c r="A21" s="19"/>
      <c r="B21" s="13" t="s">
        <v>486</v>
      </c>
      <c r="C21" s="15">
        <v>0.04</v>
      </c>
      <c r="D21" s="15">
        <v>0.01</v>
      </c>
      <c r="E21" s="15">
        <v>7.0000000000000007E-2</v>
      </c>
      <c r="F21" s="15">
        <v>0.05</v>
      </c>
      <c r="G21" s="15">
        <v>7.0000000000000007E-2</v>
      </c>
      <c r="H21" s="15">
        <v>0.03</v>
      </c>
      <c r="I21" s="15">
        <v>0.03</v>
      </c>
      <c r="J21" s="15">
        <v>0.04</v>
      </c>
      <c r="K21" s="15">
        <v>7.0000000000000007E-2</v>
      </c>
      <c r="L21" s="15">
        <v>0.04</v>
      </c>
      <c r="M21" s="15">
        <v>0.02</v>
      </c>
      <c r="N21" s="15">
        <v>7.0000000000000007E-2</v>
      </c>
      <c r="O21" s="15">
        <v>0.05</v>
      </c>
      <c r="P21" s="15">
        <v>0.02</v>
      </c>
      <c r="Q21" s="15">
        <v>0.04</v>
      </c>
      <c r="R21" s="15">
        <v>0.01</v>
      </c>
      <c r="S21" s="15">
        <v>0.08</v>
      </c>
      <c r="T21" s="15">
        <v>0.03</v>
      </c>
      <c r="U21" s="15">
        <v>0.05</v>
      </c>
      <c r="V21" s="15">
        <v>0.01</v>
      </c>
      <c r="W21" s="15">
        <v>0.04</v>
      </c>
      <c r="X21" s="15">
        <v>0.03</v>
      </c>
      <c r="Y21" s="15">
        <v>0.02</v>
      </c>
      <c r="Z21" s="15">
        <v>0.02</v>
      </c>
      <c r="AA21" s="15">
        <v>0.09</v>
      </c>
      <c r="AB21" s="15">
        <v>0.05</v>
      </c>
      <c r="AC21" s="15">
        <v>0.02</v>
      </c>
      <c r="AD21" s="15">
        <v>0.03</v>
      </c>
      <c r="AE21" s="15">
        <v>0.04</v>
      </c>
      <c r="AF21" s="15">
        <v>0.04</v>
      </c>
    </row>
    <row r="22" spans="1:32" x14ac:dyDescent="0.35">
      <c r="A22" s="19"/>
      <c r="B22" s="11" t="s">
        <v>768</v>
      </c>
      <c r="C22" s="12">
        <v>22960</v>
      </c>
      <c r="D22" s="12">
        <v>894</v>
      </c>
      <c r="E22" s="12">
        <v>880</v>
      </c>
      <c r="F22" s="12">
        <v>887</v>
      </c>
      <c r="G22" s="12">
        <v>846</v>
      </c>
      <c r="H22" s="12">
        <v>1122</v>
      </c>
      <c r="I22" s="12">
        <v>1370</v>
      </c>
      <c r="J22" s="12">
        <v>249</v>
      </c>
      <c r="K22" s="12">
        <v>856</v>
      </c>
      <c r="L22" s="12">
        <v>911</v>
      </c>
      <c r="M22" s="12">
        <v>943</v>
      </c>
      <c r="N22" s="12">
        <v>856</v>
      </c>
      <c r="O22" s="12">
        <v>837</v>
      </c>
      <c r="P22" s="12">
        <v>865</v>
      </c>
      <c r="Q22" s="12">
        <v>880</v>
      </c>
      <c r="R22" s="12">
        <v>452</v>
      </c>
      <c r="S22" s="12">
        <v>860</v>
      </c>
      <c r="T22" s="12">
        <v>919</v>
      </c>
      <c r="U22" s="12">
        <v>435</v>
      </c>
      <c r="V22" s="12">
        <v>906</v>
      </c>
      <c r="W22" s="12">
        <v>455</v>
      </c>
      <c r="X22" s="12">
        <v>869</v>
      </c>
      <c r="Y22" s="12">
        <v>924</v>
      </c>
      <c r="Z22" s="12">
        <v>911</v>
      </c>
      <c r="AA22" s="12">
        <v>916</v>
      </c>
      <c r="AB22" s="12">
        <v>796</v>
      </c>
      <c r="AC22" s="12">
        <v>906</v>
      </c>
      <c r="AD22" s="12">
        <v>932</v>
      </c>
      <c r="AE22" s="12">
        <v>929</v>
      </c>
      <c r="AF22" s="12">
        <v>946</v>
      </c>
    </row>
    <row r="23" spans="1:32" x14ac:dyDescent="0.35">
      <c r="A23" s="19"/>
      <c r="B23" s="13" t="s">
        <v>769</v>
      </c>
      <c r="C23" s="15">
        <v>0.87</v>
      </c>
      <c r="D23" s="15">
        <v>0.89</v>
      </c>
      <c r="E23" s="15">
        <v>0.86</v>
      </c>
      <c r="F23" s="15">
        <v>0.8</v>
      </c>
      <c r="G23" s="15">
        <v>0.84</v>
      </c>
      <c r="H23" s="15">
        <v>0.91</v>
      </c>
      <c r="I23" s="15">
        <v>0.91</v>
      </c>
      <c r="J23" s="15">
        <v>0.85</v>
      </c>
      <c r="K23" s="15">
        <v>0.86</v>
      </c>
      <c r="L23" s="15">
        <v>0.9</v>
      </c>
      <c r="M23" s="15">
        <v>0.93</v>
      </c>
      <c r="N23" s="15">
        <v>0.86</v>
      </c>
      <c r="O23" s="15">
        <v>0.84</v>
      </c>
      <c r="P23" s="15">
        <v>0.86</v>
      </c>
      <c r="Q23" s="15">
        <v>0.86</v>
      </c>
      <c r="R23" s="15">
        <v>0.9</v>
      </c>
      <c r="S23" s="15">
        <v>0.86</v>
      </c>
      <c r="T23" s="15">
        <v>0.91</v>
      </c>
      <c r="U23" s="15">
        <v>0.86</v>
      </c>
      <c r="V23" s="15">
        <v>0.9</v>
      </c>
      <c r="W23" s="15">
        <v>0.9</v>
      </c>
      <c r="X23" s="15">
        <v>0.86</v>
      </c>
      <c r="Y23" s="15">
        <v>0.92</v>
      </c>
      <c r="Z23" s="15">
        <v>0.89</v>
      </c>
      <c r="AA23" s="15">
        <v>0.89</v>
      </c>
      <c r="AB23" s="15">
        <v>0.76</v>
      </c>
      <c r="AC23" s="15">
        <v>0.9</v>
      </c>
      <c r="AD23" s="15">
        <v>0.92</v>
      </c>
      <c r="AE23" s="15">
        <v>0.92</v>
      </c>
      <c r="AF23" s="15">
        <v>0.9</v>
      </c>
    </row>
    <row r="24" spans="1:32" x14ac:dyDescent="0.35">
      <c r="A24" s="19"/>
      <c r="B24" s="11" t="s">
        <v>770</v>
      </c>
      <c r="C24" s="12">
        <v>2351</v>
      </c>
      <c r="D24" s="12">
        <v>108</v>
      </c>
      <c r="E24" s="12">
        <v>78</v>
      </c>
      <c r="F24" s="12">
        <v>164</v>
      </c>
      <c r="G24" s="12">
        <v>91</v>
      </c>
      <c r="H24" s="12">
        <v>62</v>
      </c>
      <c r="I24" s="12">
        <v>97</v>
      </c>
      <c r="J24" s="12">
        <v>35</v>
      </c>
      <c r="K24" s="12">
        <v>78</v>
      </c>
      <c r="L24" s="12">
        <v>56</v>
      </c>
      <c r="M24" s="12">
        <v>52</v>
      </c>
      <c r="N24" s="12">
        <v>69</v>
      </c>
      <c r="O24" s="12">
        <v>112</v>
      </c>
      <c r="P24" s="12">
        <v>123</v>
      </c>
      <c r="Q24" s="12">
        <v>101</v>
      </c>
      <c r="R24" s="12">
        <v>46</v>
      </c>
      <c r="S24" s="12">
        <v>64</v>
      </c>
      <c r="T24" s="12">
        <v>55</v>
      </c>
      <c r="U24" s="12">
        <v>46</v>
      </c>
      <c r="V24" s="12">
        <v>96</v>
      </c>
      <c r="W24" s="12">
        <v>31</v>
      </c>
      <c r="X24" s="12">
        <v>113</v>
      </c>
      <c r="Y24" s="12">
        <v>59</v>
      </c>
      <c r="Z24" s="12">
        <v>102</v>
      </c>
      <c r="AA24" s="12">
        <v>21</v>
      </c>
      <c r="AB24" s="12">
        <v>200</v>
      </c>
      <c r="AC24" s="12">
        <v>77</v>
      </c>
      <c r="AD24" s="12">
        <v>46</v>
      </c>
      <c r="AE24" s="12">
        <v>39</v>
      </c>
      <c r="AF24" s="12">
        <v>56</v>
      </c>
    </row>
    <row r="25" spans="1:32" x14ac:dyDescent="0.35">
      <c r="A25" s="19"/>
      <c r="B25" s="13" t="s">
        <v>771</v>
      </c>
      <c r="C25" s="15">
        <v>0.09</v>
      </c>
      <c r="D25" s="15">
        <v>0.1</v>
      </c>
      <c r="E25" s="15">
        <v>7.0000000000000007E-2</v>
      </c>
      <c r="F25" s="15">
        <v>0.15</v>
      </c>
      <c r="G25" s="15">
        <v>0.09</v>
      </c>
      <c r="H25" s="15">
        <v>0.06</v>
      </c>
      <c r="I25" s="15">
        <v>0.06</v>
      </c>
      <c r="J25" s="15">
        <v>0.11</v>
      </c>
      <c r="K25" s="15">
        <v>7.0000000000000007E-2</v>
      </c>
      <c r="L25" s="15">
        <v>0.06</v>
      </c>
      <c r="M25" s="15">
        <v>0.05</v>
      </c>
      <c r="N25" s="15">
        <v>7.0000000000000007E-2</v>
      </c>
      <c r="O25" s="15">
        <v>0.11</v>
      </c>
      <c r="P25" s="15">
        <v>0.12</v>
      </c>
      <c r="Q25" s="15">
        <v>0.1</v>
      </c>
      <c r="R25" s="15">
        <v>0.09</v>
      </c>
      <c r="S25" s="15">
        <v>0.06</v>
      </c>
      <c r="T25" s="15">
        <v>0.06</v>
      </c>
      <c r="U25" s="15">
        <v>0.09</v>
      </c>
      <c r="V25" s="15">
        <v>0.09</v>
      </c>
      <c r="W25" s="15">
        <v>0.06</v>
      </c>
      <c r="X25" s="15">
        <v>0.11</v>
      </c>
      <c r="Y25" s="15">
        <v>0.06</v>
      </c>
      <c r="Z25" s="15">
        <v>0.09</v>
      </c>
      <c r="AA25" s="15">
        <v>0.02</v>
      </c>
      <c r="AB25" s="15">
        <v>0.19</v>
      </c>
      <c r="AC25" s="15">
        <v>0.08</v>
      </c>
      <c r="AD25" s="15">
        <v>0.05</v>
      </c>
      <c r="AE25" s="15">
        <v>0.04</v>
      </c>
      <c r="AF25" s="15">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169</v>
      </c>
      <c r="C3" s="18"/>
      <c r="D3" s="18"/>
      <c r="E3" s="18"/>
      <c r="F3" s="18"/>
      <c r="H3" s="18" t="s">
        <v>170</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882</v>
      </c>
      <c r="C12" s="12">
        <v>1641</v>
      </c>
      <c r="D12" s="12">
        <v>20</v>
      </c>
      <c r="E12" s="12">
        <v>121</v>
      </c>
      <c r="F12" s="12">
        <v>61</v>
      </c>
      <c r="G12" s="12">
        <v>42</v>
      </c>
      <c r="H12" s="12">
        <v>68</v>
      </c>
      <c r="I12" s="12">
        <v>88</v>
      </c>
      <c r="J12" s="12">
        <v>20</v>
      </c>
      <c r="K12" s="12">
        <v>69</v>
      </c>
      <c r="L12" s="12">
        <v>136</v>
      </c>
      <c r="M12" s="12">
        <v>84</v>
      </c>
      <c r="N12" s="12">
        <v>60</v>
      </c>
      <c r="O12" s="12">
        <v>14</v>
      </c>
      <c r="P12" s="12">
        <v>105</v>
      </c>
      <c r="Q12" s="12">
        <v>106</v>
      </c>
      <c r="R12" s="12">
        <v>40</v>
      </c>
      <c r="S12" s="12">
        <v>31</v>
      </c>
      <c r="T12" s="12">
        <v>64</v>
      </c>
      <c r="U12" s="12">
        <v>12</v>
      </c>
      <c r="V12" s="12">
        <v>75</v>
      </c>
      <c r="W12" s="12">
        <v>60</v>
      </c>
      <c r="X12" s="12">
        <v>50</v>
      </c>
      <c r="Y12" s="12">
        <v>172</v>
      </c>
      <c r="Z12" s="12">
        <v>51</v>
      </c>
      <c r="AA12" s="12">
        <v>41</v>
      </c>
      <c r="AB12" s="12">
        <v>113</v>
      </c>
      <c r="AC12" s="12">
        <v>57</v>
      </c>
      <c r="AD12" s="12">
        <v>138</v>
      </c>
      <c r="AE12" s="12">
        <v>19</v>
      </c>
      <c r="AF12" s="12">
        <v>16</v>
      </c>
    </row>
    <row r="13" spans="1:32" x14ac:dyDescent="0.35">
      <c r="A13" s="19"/>
      <c r="B13" s="13" t="s">
        <v>883</v>
      </c>
      <c r="C13" s="15">
        <v>0.06</v>
      </c>
      <c r="D13" s="15">
        <v>0.02</v>
      </c>
      <c r="E13" s="15">
        <v>0.12</v>
      </c>
      <c r="F13" s="15">
        <v>0.05</v>
      </c>
      <c r="G13" s="15">
        <v>0.04</v>
      </c>
      <c r="H13" s="15">
        <v>0.06</v>
      </c>
      <c r="I13" s="15">
        <v>0.06</v>
      </c>
      <c r="J13" s="15">
        <v>7.0000000000000007E-2</v>
      </c>
      <c r="K13" s="15">
        <v>7.0000000000000007E-2</v>
      </c>
      <c r="L13" s="15">
        <v>0.14000000000000001</v>
      </c>
      <c r="M13" s="15">
        <v>0.08</v>
      </c>
      <c r="N13" s="15">
        <v>0.06</v>
      </c>
      <c r="O13" s="15">
        <v>0.01</v>
      </c>
      <c r="P13" s="15">
        <v>0.11</v>
      </c>
      <c r="Q13" s="15">
        <v>0.1</v>
      </c>
      <c r="R13" s="15">
        <v>0.08</v>
      </c>
      <c r="S13" s="15">
        <v>0.03</v>
      </c>
      <c r="T13" s="15">
        <v>0.06</v>
      </c>
      <c r="U13" s="15">
        <v>0.02</v>
      </c>
      <c r="V13" s="15">
        <v>7.0000000000000007E-2</v>
      </c>
      <c r="W13" s="15">
        <v>0.12</v>
      </c>
      <c r="X13" s="15">
        <v>0.05</v>
      </c>
      <c r="Y13" s="15">
        <v>0.17</v>
      </c>
      <c r="Z13" s="15">
        <v>0.05</v>
      </c>
      <c r="AA13" s="15">
        <v>0.04</v>
      </c>
      <c r="AB13" s="15">
        <v>0.11</v>
      </c>
      <c r="AC13" s="15">
        <v>0.06</v>
      </c>
      <c r="AD13" s="15">
        <v>0.14000000000000001</v>
      </c>
      <c r="AE13" s="15">
        <v>0.02</v>
      </c>
      <c r="AF13" s="15">
        <v>0.01</v>
      </c>
    </row>
    <row r="14" spans="1:32" x14ac:dyDescent="0.35">
      <c r="A14" s="19"/>
      <c r="B14" s="11" t="s">
        <v>884</v>
      </c>
      <c r="C14" s="12">
        <v>12194</v>
      </c>
      <c r="D14" s="12">
        <v>457</v>
      </c>
      <c r="E14" s="12">
        <v>405</v>
      </c>
      <c r="F14" s="12">
        <v>426</v>
      </c>
      <c r="G14" s="12">
        <v>389</v>
      </c>
      <c r="H14" s="12">
        <v>550</v>
      </c>
      <c r="I14" s="12">
        <v>665</v>
      </c>
      <c r="J14" s="12">
        <v>115</v>
      </c>
      <c r="K14" s="12">
        <v>325</v>
      </c>
      <c r="L14" s="12">
        <v>530</v>
      </c>
      <c r="M14" s="12">
        <v>412</v>
      </c>
      <c r="N14" s="12">
        <v>447</v>
      </c>
      <c r="O14" s="12">
        <v>299</v>
      </c>
      <c r="P14" s="12">
        <v>542</v>
      </c>
      <c r="Q14" s="12">
        <v>602</v>
      </c>
      <c r="R14" s="12">
        <v>224</v>
      </c>
      <c r="S14" s="12">
        <v>390</v>
      </c>
      <c r="T14" s="12">
        <v>545</v>
      </c>
      <c r="U14" s="12">
        <v>152</v>
      </c>
      <c r="V14" s="12">
        <v>544</v>
      </c>
      <c r="W14" s="12">
        <v>348</v>
      </c>
      <c r="X14" s="12">
        <v>538</v>
      </c>
      <c r="Y14" s="12">
        <v>386</v>
      </c>
      <c r="Z14" s="12">
        <v>683</v>
      </c>
      <c r="AA14" s="12">
        <v>392</v>
      </c>
      <c r="AB14" s="12">
        <v>518</v>
      </c>
      <c r="AC14" s="12">
        <v>419</v>
      </c>
      <c r="AD14" s="12">
        <v>476</v>
      </c>
      <c r="AE14" s="12">
        <v>372</v>
      </c>
      <c r="AF14" s="12">
        <v>461</v>
      </c>
    </row>
    <row r="15" spans="1:32" x14ac:dyDescent="0.35">
      <c r="A15" s="19"/>
      <c r="B15" s="13" t="s">
        <v>885</v>
      </c>
      <c r="C15" s="15">
        <v>0.46</v>
      </c>
      <c r="D15" s="15">
        <v>0.45</v>
      </c>
      <c r="E15" s="15">
        <v>0.39</v>
      </c>
      <c r="F15" s="15">
        <v>0.39</v>
      </c>
      <c r="G15" s="15">
        <v>0.39</v>
      </c>
      <c r="H15" s="15">
        <v>0.45</v>
      </c>
      <c r="I15" s="15">
        <v>0.44</v>
      </c>
      <c r="J15" s="15">
        <v>0.39</v>
      </c>
      <c r="K15" s="15">
        <v>0.33</v>
      </c>
      <c r="L15" s="15">
        <v>0.53</v>
      </c>
      <c r="M15" s="15">
        <v>0.41</v>
      </c>
      <c r="N15" s="15">
        <v>0.45</v>
      </c>
      <c r="O15" s="15">
        <v>0.3</v>
      </c>
      <c r="P15" s="15">
        <v>0.54</v>
      </c>
      <c r="Q15" s="15">
        <v>0.59</v>
      </c>
      <c r="R15" s="15">
        <v>0.44</v>
      </c>
      <c r="S15" s="15">
        <v>0.39</v>
      </c>
      <c r="T15" s="15">
        <v>0.54</v>
      </c>
      <c r="U15" s="15">
        <v>0.3</v>
      </c>
      <c r="V15" s="15">
        <v>0.54</v>
      </c>
      <c r="W15" s="15">
        <v>0.68</v>
      </c>
      <c r="X15" s="15">
        <v>0.53</v>
      </c>
      <c r="Y15" s="15">
        <v>0.39</v>
      </c>
      <c r="Z15" s="15">
        <v>0.66</v>
      </c>
      <c r="AA15" s="15">
        <v>0.38</v>
      </c>
      <c r="AB15" s="15">
        <v>0.49</v>
      </c>
      <c r="AC15" s="15">
        <v>0.42</v>
      </c>
      <c r="AD15" s="15">
        <v>0.47</v>
      </c>
      <c r="AE15" s="15">
        <v>0.37</v>
      </c>
      <c r="AF15" s="15">
        <v>0.44</v>
      </c>
    </row>
    <row r="16" spans="1:32" x14ac:dyDescent="0.35">
      <c r="A16" s="19"/>
      <c r="B16" s="11" t="s">
        <v>886</v>
      </c>
      <c r="C16" s="12">
        <v>6635</v>
      </c>
      <c r="D16" s="12">
        <v>362</v>
      </c>
      <c r="E16" s="12">
        <v>212</v>
      </c>
      <c r="F16" s="12">
        <v>375</v>
      </c>
      <c r="G16" s="12">
        <v>312</v>
      </c>
      <c r="H16" s="12">
        <v>304</v>
      </c>
      <c r="I16" s="12">
        <v>407</v>
      </c>
      <c r="J16" s="12">
        <v>103</v>
      </c>
      <c r="K16" s="12">
        <v>202</v>
      </c>
      <c r="L16" s="12">
        <v>134</v>
      </c>
      <c r="M16" s="12">
        <v>287</v>
      </c>
      <c r="N16" s="12">
        <v>250</v>
      </c>
      <c r="O16" s="12">
        <v>297</v>
      </c>
      <c r="P16" s="12">
        <v>222</v>
      </c>
      <c r="Q16" s="12">
        <v>191</v>
      </c>
      <c r="R16" s="12">
        <v>130</v>
      </c>
      <c r="S16" s="12">
        <v>230</v>
      </c>
      <c r="T16" s="12">
        <v>179</v>
      </c>
      <c r="U16" s="12">
        <v>110</v>
      </c>
      <c r="V16" s="12">
        <v>245</v>
      </c>
      <c r="W16" s="12">
        <v>59</v>
      </c>
      <c r="X16" s="12">
        <v>262</v>
      </c>
      <c r="Y16" s="12">
        <v>211</v>
      </c>
      <c r="Z16" s="12">
        <v>165</v>
      </c>
      <c r="AA16" s="12">
        <v>316</v>
      </c>
      <c r="AB16" s="12">
        <v>270</v>
      </c>
      <c r="AC16" s="12">
        <v>283</v>
      </c>
      <c r="AD16" s="12">
        <v>213</v>
      </c>
      <c r="AE16" s="12">
        <v>323</v>
      </c>
      <c r="AF16" s="12">
        <v>332</v>
      </c>
    </row>
    <row r="17" spans="1:32" x14ac:dyDescent="0.35">
      <c r="A17" s="19"/>
      <c r="B17" s="13" t="s">
        <v>887</v>
      </c>
      <c r="C17" s="15">
        <v>0.25</v>
      </c>
      <c r="D17" s="15">
        <v>0.36</v>
      </c>
      <c r="E17" s="15">
        <v>0.2</v>
      </c>
      <c r="F17" s="15">
        <v>0.34</v>
      </c>
      <c r="G17" s="15">
        <v>0.31</v>
      </c>
      <c r="H17" s="15">
        <v>0.25</v>
      </c>
      <c r="I17" s="15">
        <v>0.27</v>
      </c>
      <c r="J17" s="15">
        <v>0.35</v>
      </c>
      <c r="K17" s="15">
        <v>0.2</v>
      </c>
      <c r="L17" s="15">
        <v>0.13</v>
      </c>
      <c r="M17" s="15">
        <v>0.28000000000000003</v>
      </c>
      <c r="N17" s="15">
        <v>0.25</v>
      </c>
      <c r="O17" s="15">
        <v>0.3</v>
      </c>
      <c r="P17" s="15">
        <v>0.22</v>
      </c>
      <c r="Q17" s="15">
        <v>0.18</v>
      </c>
      <c r="R17" s="15">
        <v>0.26</v>
      </c>
      <c r="S17" s="15">
        <v>0.23</v>
      </c>
      <c r="T17" s="15">
        <v>0.18</v>
      </c>
      <c r="U17" s="15">
        <v>0.22</v>
      </c>
      <c r="V17" s="15">
        <v>0.24</v>
      </c>
      <c r="W17" s="15">
        <v>0.12</v>
      </c>
      <c r="X17" s="15">
        <v>0.26</v>
      </c>
      <c r="Y17" s="15">
        <v>0.21</v>
      </c>
      <c r="Z17" s="15">
        <v>0.16</v>
      </c>
      <c r="AA17" s="15">
        <v>0.31</v>
      </c>
      <c r="AB17" s="15">
        <v>0.26</v>
      </c>
      <c r="AC17" s="15">
        <v>0.28000000000000003</v>
      </c>
      <c r="AD17" s="15">
        <v>0.21</v>
      </c>
      <c r="AE17" s="15">
        <v>0.32</v>
      </c>
      <c r="AF17" s="15">
        <v>0.32</v>
      </c>
    </row>
    <row r="18" spans="1:32" x14ac:dyDescent="0.35">
      <c r="A18" s="19"/>
      <c r="B18" s="11" t="s">
        <v>888</v>
      </c>
      <c r="C18" s="12">
        <v>1957</v>
      </c>
      <c r="D18" s="12">
        <v>88</v>
      </c>
      <c r="E18" s="12">
        <v>68</v>
      </c>
      <c r="F18" s="12">
        <v>87</v>
      </c>
      <c r="G18" s="12">
        <v>82</v>
      </c>
      <c r="H18" s="12">
        <v>92</v>
      </c>
      <c r="I18" s="12">
        <v>115</v>
      </c>
      <c r="J18" s="12">
        <v>23</v>
      </c>
      <c r="K18" s="12">
        <v>84</v>
      </c>
      <c r="L18" s="12">
        <v>38</v>
      </c>
      <c r="M18" s="12">
        <v>158</v>
      </c>
      <c r="N18" s="12">
        <v>84</v>
      </c>
      <c r="O18" s="12">
        <v>111</v>
      </c>
      <c r="P18" s="12">
        <v>53</v>
      </c>
      <c r="Q18" s="12">
        <v>49</v>
      </c>
      <c r="R18" s="12">
        <v>49</v>
      </c>
      <c r="S18" s="12">
        <v>56</v>
      </c>
      <c r="T18" s="12">
        <v>33</v>
      </c>
      <c r="U18" s="12">
        <v>38</v>
      </c>
      <c r="V18" s="12">
        <v>48</v>
      </c>
      <c r="W18" s="12">
        <v>3</v>
      </c>
      <c r="X18" s="12">
        <v>69</v>
      </c>
      <c r="Y18" s="12">
        <v>132</v>
      </c>
      <c r="Z18" s="12">
        <v>22</v>
      </c>
      <c r="AA18" s="12">
        <v>77</v>
      </c>
      <c r="AB18" s="12">
        <v>60</v>
      </c>
      <c r="AC18" s="12">
        <v>73</v>
      </c>
      <c r="AD18" s="12">
        <v>77</v>
      </c>
      <c r="AE18" s="12">
        <v>59</v>
      </c>
      <c r="AF18" s="12">
        <v>83</v>
      </c>
    </row>
    <row r="19" spans="1:32" x14ac:dyDescent="0.35">
      <c r="A19" s="19"/>
      <c r="B19" s="13" t="s">
        <v>889</v>
      </c>
      <c r="C19" s="15">
        <v>0.08</v>
      </c>
      <c r="D19" s="15">
        <v>0.09</v>
      </c>
      <c r="E19" s="15">
        <v>7.0000000000000007E-2</v>
      </c>
      <c r="F19" s="15">
        <v>0.08</v>
      </c>
      <c r="G19" s="15">
        <v>0.08</v>
      </c>
      <c r="H19" s="15">
        <v>7.0000000000000007E-2</v>
      </c>
      <c r="I19" s="15">
        <v>7.0000000000000007E-2</v>
      </c>
      <c r="J19" s="15">
        <v>0.08</v>
      </c>
      <c r="K19" s="15">
        <v>0.08</v>
      </c>
      <c r="L19" s="15">
        <v>0.04</v>
      </c>
      <c r="M19" s="15">
        <v>0.16</v>
      </c>
      <c r="N19" s="15">
        <v>0.08</v>
      </c>
      <c r="O19" s="15">
        <v>0.11</v>
      </c>
      <c r="P19" s="15">
        <v>0.05</v>
      </c>
      <c r="Q19" s="15">
        <v>0.05</v>
      </c>
      <c r="R19" s="15">
        <v>0.1</v>
      </c>
      <c r="S19" s="15">
        <v>0.06</v>
      </c>
      <c r="T19" s="15">
        <v>0.03</v>
      </c>
      <c r="U19" s="15">
        <v>0.08</v>
      </c>
      <c r="V19" s="15">
        <v>0.05</v>
      </c>
      <c r="W19" s="15">
        <v>0.01</v>
      </c>
      <c r="X19" s="15">
        <v>7.0000000000000007E-2</v>
      </c>
      <c r="Y19" s="15">
        <v>0.13</v>
      </c>
      <c r="Z19" s="15">
        <v>0.02</v>
      </c>
      <c r="AA19" s="15">
        <v>7.0000000000000007E-2</v>
      </c>
      <c r="AB19" s="15">
        <v>0.06</v>
      </c>
      <c r="AC19" s="15">
        <v>7.0000000000000007E-2</v>
      </c>
      <c r="AD19" s="15">
        <v>0.08</v>
      </c>
      <c r="AE19" s="15">
        <v>0.06</v>
      </c>
      <c r="AF19" s="15">
        <v>0.08</v>
      </c>
    </row>
    <row r="20" spans="1:32" x14ac:dyDescent="0.35">
      <c r="A20" s="19"/>
      <c r="B20" s="11" t="s">
        <v>485</v>
      </c>
      <c r="C20" s="12">
        <v>4019</v>
      </c>
      <c r="D20" s="12">
        <v>87</v>
      </c>
      <c r="E20" s="12">
        <v>225</v>
      </c>
      <c r="F20" s="12">
        <v>153</v>
      </c>
      <c r="G20" s="12">
        <v>181</v>
      </c>
      <c r="H20" s="12">
        <v>207</v>
      </c>
      <c r="I20" s="12">
        <v>241</v>
      </c>
      <c r="J20" s="12">
        <v>34</v>
      </c>
      <c r="K20" s="12">
        <v>322</v>
      </c>
      <c r="L20" s="12">
        <v>163</v>
      </c>
      <c r="M20" s="12">
        <v>69</v>
      </c>
      <c r="N20" s="12">
        <v>162</v>
      </c>
      <c r="O20" s="12">
        <v>280</v>
      </c>
      <c r="P20" s="12">
        <v>82</v>
      </c>
      <c r="Q20" s="12">
        <v>79</v>
      </c>
      <c r="R20" s="12">
        <v>61</v>
      </c>
      <c r="S20" s="12">
        <v>296</v>
      </c>
      <c r="T20" s="12">
        <v>186</v>
      </c>
      <c r="U20" s="12">
        <v>192</v>
      </c>
      <c r="V20" s="12">
        <v>103</v>
      </c>
      <c r="W20" s="12">
        <v>38</v>
      </c>
      <c r="X20" s="12">
        <v>90</v>
      </c>
      <c r="Y20" s="12">
        <v>102</v>
      </c>
      <c r="Z20" s="12">
        <v>110</v>
      </c>
      <c r="AA20" s="12">
        <v>207</v>
      </c>
      <c r="AB20" s="12">
        <v>91</v>
      </c>
      <c r="AC20" s="12">
        <v>171</v>
      </c>
      <c r="AD20" s="12">
        <v>101</v>
      </c>
      <c r="AE20" s="12">
        <v>238</v>
      </c>
      <c r="AF20" s="12">
        <v>152</v>
      </c>
    </row>
    <row r="21" spans="1:32" x14ac:dyDescent="0.35">
      <c r="A21" s="19"/>
      <c r="B21" s="13" t="s">
        <v>788</v>
      </c>
      <c r="C21" s="15">
        <v>0.15</v>
      </c>
      <c r="D21" s="15">
        <v>0.08</v>
      </c>
      <c r="E21" s="15">
        <v>0.22</v>
      </c>
      <c r="F21" s="15">
        <v>0.14000000000000001</v>
      </c>
      <c r="G21" s="15">
        <v>0.18</v>
      </c>
      <c r="H21" s="15">
        <v>0.17</v>
      </c>
      <c r="I21" s="15">
        <v>0.16</v>
      </c>
      <c r="J21" s="15">
        <v>0.11</v>
      </c>
      <c r="K21" s="15">
        <v>0.32</v>
      </c>
      <c r="L21" s="15">
        <v>0.16</v>
      </c>
      <c r="M21" s="15">
        <v>7.0000000000000007E-2</v>
      </c>
      <c r="N21" s="15">
        <v>0.16</v>
      </c>
      <c r="O21" s="15">
        <v>0.28000000000000003</v>
      </c>
      <c r="P21" s="15">
        <v>0.08</v>
      </c>
      <c r="Q21" s="15">
        <v>0.08</v>
      </c>
      <c r="R21" s="15">
        <v>0.12</v>
      </c>
      <c r="S21" s="15">
        <v>0.28999999999999998</v>
      </c>
      <c r="T21" s="15">
        <v>0.19</v>
      </c>
      <c r="U21" s="15">
        <v>0.38</v>
      </c>
      <c r="V21" s="15">
        <v>0.1</v>
      </c>
      <c r="W21" s="15">
        <v>7.0000000000000007E-2</v>
      </c>
      <c r="X21" s="15">
        <v>0.09</v>
      </c>
      <c r="Y21" s="15">
        <v>0.1</v>
      </c>
      <c r="Z21" s="15">
        <v>0.11</v>
      </c>
      <c r="AA21" s="15">
        <v>0.2</v>
      </c>
      <c r="AB21" s="15">
        <v>0.08</v>
      </c>
      <c r="AC21" s="15">
        <v>0.17</v>
      </c>
      <c r="AD21" s="15">
        <v>0.1</v>
      </c>
      <c r="AE21" s="15">
        <v>0.23</v>
      </c>
      <c r="AF21" s="15">
        <v>0.15</v>
      </c>
    </row>
    <row r="22" spans="1:32" x14ac:dyDescent="0.35">
      <c r="A22" s="19"/>
      <c r="B22" s="11" t="s">
        <v>890</v>
      </c>
      <c r="C22" s="12">
        <v>13835</v>
      </c>
      <c r="D22" s="12">
        <v>477</v>
      </c>
      <c r="E22" s="12">
        <v>526</v>
      </c>
      <c r="F22" s="12">
        <v>487</v>
      </c>
      <c r="G22" s="12">
        <v>431</v>
      </c>
      <c r="H22" s="12">
        <v>618</v>
      </c>
      <c r="I22" s="12">
        <v>753</v>
      </c>
      <c r="J22" s="12">
        <v>135</v>
      </c>
      <c r="K22" s="12">
        <v>394</v>
      </c>
      <c r="L22" s="12">
        <v>666</v>
      </c>
      <c r="M22" s="12">
        <v>496</v>
      </c>
      <c r="N22" s="12">
        <v>507</v>
      </c>
      <c r="O22" s="12">
        <v>313</v>
      </c>
      <c r="P22" s="12">
        <v>647</v>
      </c>
      <c r="Q22" s="12">
        <v>708</v>
      </c>
      <c r="R22" s="12">
        <v>264</v>
      </c>
      <c r="S22" s="12">
        <v>421</v>
      </c>
      <c r="T22" s="12">
        <v>609</v>
      </c>
      <c r="U22" s="12">
        <v>164</v>
      </c>
      <c r="V22" s="12">
        <v>619</v>
      </c>
      <c r="W22" s="12">
        <v>408</v>
      </c>
      <c r="X22" s="12">
        <v>588</v>
      </c>
      <c r="Y22" s="12">
        <v>558</v>
      </c>
      <c r="Z22" s="12">
        <v>734</v>
      </c>
      <c r="AA22" s="12">
        <v>433</v>
      </c>
      <c r="AB22" s="12">
        <v>631</v>
      </c>
      <c r="AC22" s="12">
        <v>476</v>
      </c>
      <c r="AD22" s="12">
        <v>614</v>
      </c>
      <c r="AE22" s="12">
        <v>391</v>
      </c>
      <c r="AF22" s="12">
        <v>477</v>
      </c>
    </row>
    <row r="23" spans="1:32" x14ac:dyDescent="0.35">
      <c r="A23" s="19"/>
      <c r="B23" s="13" t="s">
        <v>891</v>
      </c>
      <c r="C23" s="15">
        <v>0.52</v>
      </c>
      <c r="D23" s="15">
        <v>0.47</v>
      </c>
      <c r="E23" s="15">
        <v>0.51</v>
      </c>
      <c r="F23" s="15">
        <v>0.44</v>
      </c>
      <c r="G23" s="15">
        <v>0.43</v>
      </c>
      <c r="H23" s="15">
        <v>0.51</v>
      </c>
      <c r="I23" s="15">
        <v>0.5</v>
      </c>
      <c r="J23" s="15">
        <v>0.46</v>
      </c>
      <c r="K23" s="15">
        <v>0.4</v>
      </c>
      <c r="L23" s="15">
        <v>0.67</v>
      </c>
      <c r="M23" s="15">
        <v>0.49</v>
      </c>
      <c r="N23" s="15">
        <v>0.51</v>
      </c>
      <c r="O23" s="15">
        <v>0.31</v>
      </c>
      <c r="P23" s="15">
        <v>0.65</v>
      </c>
      <c r="Q23" s="15">
        <v>0.69000000000000006</v>
      </c>
      <c r="R23" s="15">
        <v>0.52</v>
      </c>
      <c r="S23" s="15">
        <v>0.42</v>
      </c>
      <c r="T23" s="15">
        <v>0.6</v>
      </c>
      <c r="U23" s="15">
        <v>0.32</v>
      </c>
      <c r="V23" s="15">
        <v>0.61</v>
      </c>
      <c r="W23" s="15">
        <v>0.8</v>
      </c>
      <c r="X23" s="15">
        <v>0.57999999999999996</v>
      </c>
      <c r="Y23" s="15">
        <v>0.56000000000000005</v>
      </c>
      <c r="Z23" s="15">
        <v>0.71</v>
      </c>
      <c r="AA23" s="15">
        <v>0.42</v>
      </c>
      <c r="AB23" s="15">
        <v>0.6</v>
      </c>
      <c r="AC23" s="15">
        <v>0.48</v>
      </c>
      <c r="AD23" s="15">
        <v>0.61</v>
      </c>
      <c r="AE23" s="15">
        <v>0.39</v>
      </c>
      <c r="AF23" s="15">
        <v>0.45</v>
      </c>
    </row>
    <row r="24" spans="1:32" x14ac:dyDescent="0.35">
      <c r="A24" s="19"/>
      <c r="B24" s="11" t="s">
        <v>892</v>
      </c>
      <c r="C24" s="12">
        <v>8592</v>
      </c>
      <c r="D24" s="12">
        <v>450</v>
      </c>
      <c r="E24" s="12">
        <v>280</v>
      </c>
      <c r="F24" s="12">
        <v>462</v>
      </c>
      <c r="G24" s="12">
        <v>394</v>
      </c>
      <c r="H24" s="12">
        <v>396</v>
      </c>
      <c r="I24" s="12">
        <v>522</v>
      </c>
      <c r="J24" s="12">
        <v>126</v>
      </c>
      <c r="K24" s="12">
        <v>286</v>
      </c>
      <c r="L24" s="12">
        <v>172</v>
      </c>
      <c r="M24" s="12">
        <v>445</v>
      </c>
      <c r="N24" s="12">
        <v>334</v>
      </c>
      <c r="O24" s="12">
        <v>408</v>
      </c>
      <c r="P24" s="12">
        <v>275</v>
      </c>
      <c r="Q24" s="12">
        <v>240</v>
      </c>
      <c r="R24" s="12">
        <v>179</v>
      </c>
      <c r="S24" s="12">
        <v>286</v>
      </c>
      <c r="T24" s="12">
        <v>212</v>
      </c>
      <c r="U24" s="12">
        <v>148</v>
      </c>
      <c r="V24" s="12">
        <v>293</v>
      </c>
      <c r="W24" s="12">
        <v>62</v>
      </c>
      <c r="X24" s="12">
        <v>331</v>
      </c>
      <c r="Y24" s="12">
        <v>343</v>
      </c>
      <c r="Z24" s="12">
        <v>187</v>
      </c>
      <c r="AA24" s="12">
        <v>393</v>
      </c>
      <c r="AB24" s="12">
        <v>330</v>
      </c>
      <c r="AC24" s="12">
        <v>356</v>
      </c>
      <c r="AD24" s="12">
        <v>290</v>
      </c>
      <c r="AE24" s="12">
        <v>382</v>
      </c>
      <c r="AF24" s="12">
        <v>415</v>
      </c>
    </row>
    <row r="25" spans="1:32" x14ac:dyDescent="0.35">
      <c r="A25" s="19"/>
      <c r="B25" s="13" t="s">
        <v>893</v>
      </c>
      <c r="C25" s="15">
        <v>0.33</v>
      </c>
      <c r="D25" s="15">
        <v>0.45</v>
      </c>
      <c r="E25" s="15">
        <v>0.27</v>
      </c>
      <c r="F25" s="15">
        <v>0.42</v>
      </c>
      <c r="G25" s="15">
        <v>0.39</v>
      </c>
      <c r="H25" s="15">
        <v>0.32</v>
      </c>
      <c r="I25" s="15">
        <v>0.34</v>
      </c>
      <c r="J25" s="15">
        <v>0.43</v>
      </c>
      <c r="K25" s="15">
        <v>0.28000000000000003</v>
      </c>
      <c r="L25" s="15">
        <v>0.17</v>
      </c>
      <c r="M25" s="15">
        <v>0.44</v>
      </c>
      <c r="N25" s="15">
        <v>0.33</v>
      </c>
      <c r="O25" s="15">
        <v>0.41</v>
      </c>
      <c r="P25" s="15">
        <v>0.27</v>
      </c>
      <c r="Q25" s="15">
        <v>0.23</v>
      </c>
      <c r="R25" s="15">
        <v>0.36</v>
      </c>
      <c r="S25" s="15">
        <v>0.28999999999999998</v>
      </c>
      <c r="T25" s="15">
        <v>0.21</v>
      </c>
      <c r="U25" s="15">
        <v>0.3</v>
      </c>
      <c r="V25" s="15">
        <v>0.28999999999999998</v>
      </c>
      <c r="W25" s="15">
        <v>0.13</v>
      </c>
      <c r="X25" s="15">
        <v>0.33</v>
      </c>
      <c r="Y25" s="15">
        <v>0.34</v>
      </c>
      <c r="Z25" s="15">
        <v>0.18</v>
      </c>
      <c r="AA25" s="15">
        <v>0.38</v>
      </c>
      <c r="AB25" s="15">
        <v>0.32</v>
      </c>
      <c r="AC25" s="15">
        <v>0.35</v>
      </c>
      <c r="AD25" s="15">
        <v>0.28999999999999998</v>
      </c>
      <c r="AE25" s="15">
        <v>0.38</v>
      </c>
      <c r="AF25" s="15">
        <v>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894</v>
      </c>
      <c r="C3" s="18"/>
      <c r="D3" s="18"/>
      <c r="E3" s="18"/>
      <c r="F3" s="18"/>
      <c r="H3" s="18" t="s">
        <v>895</v>
      </c>
      <c r="I3" s="18"/>
      <c r="J3" s="18"/>
      <c r="K3" s="18"/>
      <c r="L3" s="18"/>
    </row>
    <row r="4" spans="1:32" ht="27" customHeight="1" x14ac:dyDescent="0.35">
      <c r="B4" s="18" t="s">
        <v>896</v>
      </c>
      <c r="C4" s="18"/>
      <c r="D4" s="18"/>
      <c r="E4" s="18"/>
      <c r="F4" s="18"/>
      <c r="H4" s="18" t="s">
        <v>897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3930</v>
      </c>
      <c r="D12" s="12">
        <v>80</v>
      </c>
      <c r="E12" s="12">
        <v>60</v>
      </c>
      <c r="F12" s="12">
        <v>80</v>
      </c>
      <c r="G12" s="12">
        <v>200</v>
      </c>
      <c r="H12" s="12">
        <v>232</v>
      </c>
      <c r="I12" s="12">
        <v>265</v>
      </c>
      <c r="J12" s="12">
        <v>33</v>
      </c>
      <c r="K12" s="12">
        <v>44</v>
      </c>
      <c r="L12" s="12">
        <v>311</v>
      </c>
      <c r="M12" s="12">
        <v>49</v>
      </c>
      <c r="N12" s="12">
        <v>264</v>
      </c>
      <c r="O12" s="12">
        <v>163</v>
      </c>
      <c r="P12" s="12">
        <v>58</v>
      </c>
      <c r="Q12" s="12">
        <v>93</v>
      </c>
      <c r="R12" s="12">
        <v>29</v>
      </c>
      <c r="S12" s="12">
        <v>32</v>
      </c>
      <c r="T12" s="12">
        <v>54</v>
      </c>
      <c r="U12" s="12">
        <v>228</v>
      </c>
      <c r="V12" s="12">
        <v>52</v>
      </c>
      <c r="W12" s="12">
        <v>41</v>
      </c>
      <c r="X12" s="12">
        <v>137</v>
      </c>
      <c r="Y12" s="12">
        <v>223</v>
      </c>
      <c r="Z12" s="12">
        <v>88</v>
      </c>
      <c r="AA12" s="12">
        <v>121</v>
      </c>
      <c r="AB12" s="12">
        <v>75</v>
      </c>
      <c r="AC12" s="12">
        <v>86</v>
      </c>
      <c r="AD12" s="12">
        <v>83</v>
      </c>
      <c r="AE12" s="12">
        <v>205</v>
      </c>
      <c r="AF12" s="12">
        <v>409</v>
      </c>
    </row>
    <row r="13" spans="1:32" x14ac:dyDescent="0.35">
      <c r="A13" s="19"/>
      <c r="B13" s="13" t="s">
        <v>761</v>
      </c>
      <c r="C13" s="15">
        <v>0.15</v>
      </c>
      <c r="D13" s="15">
        <v>0.08</v>
      </c>
      <c r="E13" s="15">
        <v>0.06</v>
      </c>
      <c r="F13" s="15">
        <v>7.0000000000000007E-2</v>
      </c>
      <c r="G13" s="15">
        <v>0.2</v>
      </c>
      <c r="H13" s="15">
        <v>0.19</v>
      </c>
      <c r="I13" s="15">
        <v>0.18</v>
      </c>
      <c r="J13" s="15">
        <v>0.11</v>
      </c>
      <c r="K13" s="15">
        <v>0.04</v>
      </c>
      <c r="L13" s="15">
        <v>0.31</v>
      </c>
      <c r="M13" s="15">
        <v>0.05</v>
      </c>
      <c r="N13" s="15">
        <v>0.26</v>
      </c>
      <c r="O13" s="15">
        <v>0.16</v>
      </c>
      <c r="P13" s="15">
        <v>0.06</v>
      </c>
      <c r="Q13" s="15">
        <v>0.09</v>
      </c>
      <c r="R13" s="15">
        <v>0.06</v>
      </c>
      <c r="S13" s="15">
        <v>0.03</v>
      </c>
      <c r="T13" s="15">
        <v>0.05</v>
      </c>
      <c r="U13" s="15">
        <v>0.45</v>
      </c>
      <c r="V13" s="15">
        <v>0.05</v>
      </c>
      <c r="W13" s="15">
        <v>0.08</v>
      </c>
      <c r="X13" s="15">
        <v>0.14000000000000001</v>
      </c>
      <c r="Y13" s="15">
        <v>0.22</v>
      </c>
      <c r="Z13" s="15">
        <v>0.08</v>
      </c>
      <c r="AA13" s="15">
        <v>0.12</v>
      </c>
      <c r="AB13" s="15">
        <v>7.0000000000000007E-2</v>
      </c>
      <c r="AC13" s="15">
        <v>0.09</v>
      </c>
      <c r="AD13" s="15">
        <v>0.08</v>
      </c>
      <c r="AE13" s="15">
        <v>0.2</v>
      </c>
      <c r="AF13" s="15">
        <v>0.39</v>
      </c>
    </row>
    <row r="14" spans="1:32" x14ac:dyDescent="0.35">
      <c r="A14" s="19"/>
      <c r="B14" s="11" t="s">
        <v>762</v>
      </c>
      <c r="C14" s="12">
        <v>11242</v>
      </c>
      <c r="D14" s="12">
        <v>393</v>
      </c>
      <c r="E14" s="12">
        <v>211</v>
      </c>
      <c r="F14" s="12">
        <v>328</v>
      </c>
      <c r="G14" s="12">
        <v>514</v>
      </c>
      <c r="H14" s="12">
        <v>593</v>
      </c>
      <c r="I14" s="12">
        <v>687</v>
      </c>
      <c r="J14" s="12">
        <v>94</v>
      </c>
      <c r="K14" s="12">
        <v>258</v>
      </c>
      <c r="L14" s="12">
        <v>424</v>
      </c>
      <c r="M14" s="12">
        <v>254</v>
      </c>
      <c r="N14" s="12">
        <v>441</v>
      </c>
      <c r="O14" s="12">
        <v>415</v>
      </c>
      <c r="P14" s="12">
        <v>325</v>
      </c>
      <c r="Q14" s="12">
        <v>416</v>
      </c>
      <c r="R14" s="12">
        <v>137</v>
      </c>
      <c r="S14" s="12">
        <v>240</v>
      </c>
      <c r="T14" s="12">
        <v>344</v>
      </c>
      <c r="U14" s="12">
        <v>185</v>
      </c>
      <c r="V14" s="12">
        <v>313</v>
      </c>
      <c r="W14" s="12">
        <v>199</v>
      </c>
      <c r="X14" s="12">
        <v>480</v>
      </c>
      <c r="Y14" s="12">
        <v>366</v>
      </c>
      <c r="Z14" s="12">
        <v>528</v>
      </c>
      <c r="AA14" s="12">
        <v>574</v>
      </c>
      <c r="AB14" s="12">
        <v>478</v>
      </c>
      <c r="AC14" s="12">
        <v>327</v>
      </c>
      <c r="AD14" s="12">
        <v>414</v>
      </c>
      <c r="AE14" s="12">
        <v>443</v>
      </c>
      <c r="AF14" s="12">
        <v>507</v>
      </c>
    </row>
    <row r="15" spans="1:32" x14ac:dyDescent="0.35">
      <c r="A15" s="19"/>
      <c r="B15" s="13" t="s">
        <v>763</v>
      </c>
      <c r="C15" s="15">
        <v>0.42</v>
      </c>
      <c r="D15" s="15">
        <v>0.39</v>
      </c>
      <c r="E15" s="15">
        <v>0.21</v>
      </c>
      <c r="F15" s="15">
        <v>0.3</v>
      </c>
      <c r="G15" s="15">
        <v>0.51</v>
      </c>
      <c r="H15" s="15">
        <v>0.48</v>
      </c>
      <c r="I15" s="15">
        <v>0.45</v>
      </c>
      <c r="J15" s="15">
        <v>0.32</v>
      </c>
      <c r="K15" s="15">
        <v>0.26</v>
      </c>
      <c r="L15" s="15">
        <v>0.42</v>
      </c>
      <c r="M15" s="15">
        <v>0.25</v>
      </c>
      <c r="N15" s="15">
        <v>0.44</v>
      </c>
      <c r="O15" s="15">
        <v>0.41</v>
      </c>
      <c r="P15" s="15">
        <v>0.32</v>
      </c>
      <c r="Q15" s="15">
        <v>0.41</v>
      </c>
      <c r="R15" s="15">
        <v>0.27</v>
      </c>
      <c r="S15" s="15">
        <v>0.24</v>
      </c>
      <c r="T15" s="15">
        <v>0.34</v>
      </c>
      <c r="U15" s="15">
        <v>0.37</v>
      </c>
      <c r="V15" s="15">
        <v>0.31</v>
      </c>
      <c r="W15" s="15">
        <v>0.39</v>
      </c>
      <c r="X15" s="15">
        <v>0.47</v>
      </c>
      <c r="Y15" s="15">
        <v>0.37</v>
      </c>
      <c r="Z15" s="15">
        <v>0.51</v>
      </c>
      <c r="AA15" s="15">
        <v>0.55000000000000004</v>
      </c>
      <c r="AB15" s="15">
        <v>0.45</v>
      </c>
      <c r="AC15" s="15">
        <v>0.33</v>
      </c>
      <c r="AD15" s="15">
        <v>0.41</v>
      </c>
      <c r="AE15" s="15">
        <v>0.44</v>
      </c>
      <c r="AF15" s="15">
        <v>0.49</v>
      </c>
    </row>
    <row r="16" spans="1:32" x14ac:dyDescent="0.35">
      <c r="A16" s="19"/>
      <c r="B16" s="11" t="s">
        <v>764</v>
      </c>
      <c r="C16" s="12">
        <v>6716</v>
      </c>
      <c r="D16" s="12">
        <v>342</v>
      </c>
      <c r="E16" s="12">
        <v>363</v>
      </c>
      <c r="F16" s="12">
        <v>390</v>
      </c>
      <c r="G16" s="12">
        <v>192</v>
      </c>
      <c r="H16" s="12">
        <v>252</v>
      </c>
      <c r="I16" s="12">
        <v>369</v>
      </c>
      <c r="J16" s="12">
        <v>118</v>
      </c>
      <c r="K16" s="12">
        <v>429</v>
      </c>
      <c r="L16" s="12">
        <v>148</v>
      </c>
      <c r="M16" s="12">
        <v>382</v>
      </c>
      <c r="N16" s="12">
        <v>196</v>
      </c>
      <c r="O16" s="12">
        <v>219</v>
      </c>
      <c r="P16" s="12">
        <v>326</v>
      </c>
      <c r="Q16" s="12">
        <v>290</v>
      </c>
      <c r="R16" s="12">
        <v>140</v>
      </c>
      <c r="S16" s="12">
        <v>409</v>
      </c>
      <c r="T16" s="12">
        <v>409</v>
      </c>
      <c r="U16" s="12">
        <v>48</v>
      </c>
      <c r="V16" s="12">
        <v>271</v>
      </c>
      <c r="W16" s="12">
        <v>178</v>
      </c>
      <c r="X16" s="12">
        <v>262</v>
      </c>
      <c r="Y16" s="12">
        <v>186</v>
      </c>
      <c r="Z16" s="12">
        <v>285</v>
      </c>
      <c r="AA16" s="12">
        <v>288</v>
      </c>
      <c r="AB16" s="12">
        <v>318</v>
      </c>
      <c r="AC16" s="12">
        <v>389</v>
      </c>
      <c r="AD16" s="12">
        <v>263</v>
      </c>
      <c r="AE16" s="12">
        <v>229</v>
      </c>
      <c r="AF16" s="12">
        <v>94</v>
      </c>
    </row>
    <row r="17" spans="1:32" x14ac:dyDescent="0.35">
      <c r="A17" s="19"/>
      <c r="B17" s="13" t="s">
        <v>765</v>
      </c>
      <c r="C17" s="15">
        <v>0.25</v>
      </c>
      <c r="D17" s="15">
        <v>0.34</v>
      </c>
      <c r="E17" s="15">
        <v>0.35</v>
      </c>
      <c r="F17" s="15">
        <v>0.35</v>
      </c>
      <c r="G17" s="15">
        <v>0.19</v>
      </c>
      <c r="H17" s="15">
        <v>0.21</v>
      </c>
      <c r="I17" s="15">
        <v>0.24</v>
      </c>
      <c r="J17" s="15">
        <v>0.4</v>
      </c>
      <c r="K17" s="15">
        <v>0.43</v>
      </c>
      <c r="L17" s="15">
        <v>0.15</v>
      </c>
      <c r="M17" s="15">
        <v>0.38</v>
      </c>
      <c r="N17" s="15">
        <v>0.2</v>
      </c>
      <c r="O17" s="15">
        <v>0.22</v>
      </c>
      <c r="P17" s="15">
        <v>0.33</v>
      </c>
      <c r="Q17" s="15">
        <v>0.28000000000000003</v>
      </c>
      <c r="R17" s="15">
        <v>0.28000000000000003</v>
      </c>
      <c r="S17" s="15">
        <v>0.41</v>
      </c>
      <c r="T17" s="15">
        <v>0.41</v>
      </c>
      <c r="U17" s="15">
        <v>0.09</v>
      </c>
      <c r="V17" s="15">
        <v>0.27</v>
      </c>
      <c r="W17" s="15">
        <v>0.35</v>
      </c>
      <c r="X17" s="15">
        <v>0.26</v>
      </c>
      <c r="Y17" s="15">
        <v>0.19</v>
      </c>
      <c r="Z17" s="15">
        <v>0.28000000000000003</v>
      </c>
      <c r="AA17" s="15">
        <v>0.28000000000000003</v>
      </c>
      <c r="AB17" s="15">
        <v>0.3</v>
      </c>
      <c r="AC17" s="15">
        <v>0.39</v>
      </c>
      <c r="AD17" s="15">
        <v>0.26</v>
      </c>
      <c r="AE17" s="15">
        <v>0.23</v>
      </c>
      <c r="AF17" s="15">
        <v>0.09</v>
      </c>
    </row>
    <row r="18" spans="1:32" x14ac:dyDescent="0.35">
      <c r="A18" s="19"/>
      <c r="B18" s="11" t="s">
        <v>766</v>
      </c>
      <c r="C18" s="12">
        <v>3614</v>
      </c>
      <c r="D18" s="12">
        <v>185</v>
      </c>
      <c r="E18" s="12">
        <v>308</v>
      </c>
      <c r="F18" s="12">
        <v>271</v>
      </c>
      <c r="G18" s="12">
        <v>75</v>
      </c>
      <c r="H18" s="12">
        <v>94</v>
      </c>
      <c r="I18" s="12">
        <v>139</v>
      </c>
      <c r="J18" s="12">
        <v>45</v>
      </c>
      <c r="K18" s="12">
        <v>208</v>
      </c>
      <c r="L18" s="12">
        <v>86</v>
      </c>
      <c r="M18" s="12">
        <v>299</v>
      </c>
      <c r="N18" s="12">
        <v>78</v>
      </c>
      <c r="O18" s="12">
        <v>145</v>
      </c>
      <c r="P18" s="12">
        <v>263</v>
      </c>
      <c r="Q18" s="12">
        <v>199</v>
      </c>
      <c r="R18" s="12">
        <v>190</v>
      </c>
      <c r="S18" s="12">
        <v>270</v>
      </c>
      <c r="T18" s="12">
        <v>153</v>
      </c>
      <c r="U18" s="12">
        <v>24</v>
      </c>
      <c r="V18" s="12">
        <v>364</v>
      </c>
      <c r="W18" s="12">
        <v>83</v>
      </c>
      <c r="X18" s="12">
        <v>107</v>
      </c>
      <c r="Y18" s="12">
        <v>194</v>
      </c>
      <c r="Z18" s="12">
        <v>90</v>
      </c>
      <c r="AA18" s="12">
        <v>21</v>
      </c>
      <c r="AB18" s="12">
        <v>121</v>
      </c>
      <c r="AC18" s="12">
        <v>186</v>
      </c>
      <c r="AD18" s="12">
        <v>204</v>
      </c>
      <c r="AE18" s="12">
        <v>90</v>
      </c>
      <c r="AF18" s="12">
        <v>30</v>
      </c>
    </row>
    <row r="19" spans="1:32" x14ac:dyDescent="0.35">
      <c r="A19" s="19"/>
      <c r="B19" s="13" t="s">
        <v>767</v>
      </c>
      <c r="C19" s="15">
        <v>0.14000000000000001</v>
      </c>
      <c r="D19" s="15">
        <v>0.18</v>
      </c>
      <c r="E19" s="15">
        <v>0.3</v>
      </c>
      <c r="F19" s="15">
        <v>0.25</v>
      </c>
      <c r="G19" s="15">
        <v>0.08</v>
      </c>
      <c r="H19" s="15">
        <v>0.08</v>
      </c>
      <c r="I19" s="15">
        <v>0.09</v>
      </c>
      <c r="J19" s="15">
        <v>0.15</v>
      </c>
      <c r="K19" s="15">
        <v>0.21</v>
      </c>
      <c r="L19" s="15">
        <v>0.09</v>
      </c>
      <c r="M19" s="15">
        <v>0.3</v>
      </c>
      <c r="N19" s="15">
        <v>0.08</v>
      </c>
      <c r="O19" s="15">
        <v>0.15</v>
      </c>
      <c r="P19" s="15">
        <v>0.26</v>
      </c>
      <c r="Q19" s="15">
        <v>0.19</v>
      </c>
      <c r="R19" s="15">
        <v>0.37</v>
      </c>
      <c r="S19" s="15">
        <v>0.27</v>
      </c>
      <c r="T19" s="15">
        <v>0.15</v>
      </c>
      <c r="U19" s="15">
        <v>0.05</v>
      </c>
      <c r="V19" s="15">
        <v>0.36</v>
      </c>
      <c r="W19" s="15">
        <v>0.16</v>
      </c>
      <c r="X19" s="15">
        <v>0.11</v>
      </c>
      <c r="Y19" s="15">
        <v>0.19</v>
      </c>
      <c r="Z19" s="15">
        <v>0.09</v>
      </c>
      <c r="AA19" s="15">
        <v>0.02</v>
      </c>
      <c r="AB19" s="15">
        <v>0.12</v>
      </c>
      <c r="AC19" s="15">
        <v>0.18</v>
      </c>
      <c r="AD19" s="15">
        <v>0.21</v>
      </c>
      <c r="AE19" s="15">
        <v>0.09</v>
      </c>
      <c r="AF19" s="15">
        <v>0.03</v>
      </c>
    </row>
    <row r="20" spans="1:32" x14ac:dyDescent="0.35">
      <c r="A20" s="19"/>
      <c r="B20" s="11" t="s">
        <v>485</v>
      </c>
      <c r="C20" s="12">
        <v>943</v>
      </c>
      <c r="D20" s="12">
        <v>13</v>
      </c>
      <c r="E20" s="12">
        <v>88</v>
      </c>
      <c r="F20" s="12">
        <v>33</v>
      </c>
      <c r="G20" s="12">
        <v>25</v>
      </c>
      <c r="H20" s="12">
        <v>50</v>
      </c>
      <c r="I20" s="12">
        <v>55</v>
      </c>
      <c r="J20" s="12">
        <v>5</v>
      </c>
      <c r="K20" s="12">
        <v>63</v>
      </c>
      <c r="L20" s="12">
        <v>33</v>
      </c>
      <c r="M20" s="12">
        <v>26</v>
      </c>
      <c r="N20" s="12">
        <v>23</v>
      </c>
      <c r="O20" s="12">
        <v>59</v>
      </c>
      <c r="P20" s="12">
        <v>32</v>
      </c>
      <c r="Q20" s="12">
        <v>28</v>
      </c>
      <c r="R20" s="12">
        <v>9</v>
      </c>
      <c r="S20" s="12">
        <v>51</v>
      </c>
      <c r="T20" s="12">
        <v>46</v>
      </c>
      <c r="U20" s="12">
        <v>19</v>
      </c>
      <c r="V20" s="12">
        <v>16</v>
      </c>
      <c r="W20" s="12">
        <v>8</v>
      </c>
      <c r="X20" s="12">
        <v>24</v>
      </c>
      <c r="Y20" s="12">
        <v>34</v>
      </c>
      <c r="Z20" s="12">
        <v>39</v>
      </c>
      <c r="AA20" s="12">
        <v>30</v>
      </c>
      <c r="AB20" s="12">
        <v>59</v>
      </c>
      <c r="AC20" s="12">
        <v>15</v>
      </c>
      <c r="AD20" s="12">
        <v>42</v>
      </c>
      <c r="AE20" s="12">
        <v>44</v>
      </c>
      <c r="AF20" s="12">
        <v>3</v>
      </c>
    </row>
    <row r="21" spans="1:32" x14ac:dyDescent="0.35">
      <c r="A21" s="19"/>
      <c r="B21" s="13" t="s">
        <v>486</v>
      </c>
      <c r="C21" s="15">
        <v>0.04</v>
      </c>
      <c r="D21" s="15">
        <v>0.01</v>
      </c>
      <c r="E21" s="15">
        <v>0.08</v>
      </c>
      <c r="F21" s="15">
        <v>0.03</v>
      </c>
      <c r="G21" s="15">
        <v>0.02</v>
      </c>
      <c r="H21" s="15">
        <v>0.04</v>
      </c>
      <c r="I21" s="15">
        <v>0.04</v>
      </c>
      <c r="J21" s="15">
        <v>0.02</v>
      </c>
      <c r="K21" s="15">
        <v>0.06</v>
      </c>
      <c r="L21" s="15">
        <v>0.03</v>
      </c>
      <c r="M21" s="15">
        <v>0.02</v>
      </c>
      <c r="N21" s="15">
        <v>0.02</v>
      </c>
      <c r="O21" s="15">
        <v>0.06</v>
      </c>
      <c r="P21" s="15">
        <v>0.03</v>
      </c>
      <c r="Q21" s="15">
        <v>0.03</v>
      </c>
      <c r="R21" s="15">
        <v>0.02</v>
      </c>
      <c r="S21" s="15">
        <v>0.05</v>
      </c>
      <c r="T21" s="15">
        <v>0.05</v>
      </c>
      <c r="U21" s="15">
        <v>0.04</v>
      </c>
      <c r="V21" s="15">
        <v>0.01</v>
      </c>
      <c r="W21" s="15">
        <v>0.02</v>
      </c>
      <c r="X21" s="15">
        <v>0.02</v>
      </c>
      <c r="Y21" s="15">
        <v>0.03</v>
      </c>
      <c r="Z21" s="15">
        <v>0.04</v>
      </c>
      <c r="AA21" s="15">
        <v>0.03</v>
      </c>
      <c r="AB21" s="15">
        <v>0.06</v>
      </c>
      <c r="AC21" s="15">
        <v>0.01</v>
      </c>
      <c r="AD21" s="15">
        <v>0.04</v>
      </c>
      <c r="AE21" s="15">
        <v>0.04</v>
      </c>
      <c r="AF21" s="14" t="s">
        <v>475</v>
      </c>
    </row>
    <row r="22" spans="1:32" x14ac:dyDescent="0.35">
      <c r="A22" s="19"/>
      <c r="B22" s="11" t="s">
        <v>768</v>
      </c>
      <c r="C22" s="12">
        <v>15172</v>
      </c>
      <c r="D22" s="12">
        <v>473</v>
      </c>
      <c r="E22" s="12">
        <v>271</v>
      </c>
      <c r="F22" s="12">
        <v>408</v>
      </c>
      <c r="G22" s="12">
        <v>714</v>
      </c>
      <c r="H22" s="12">
        <v>825</v>
      </c>
      <c r="I22" s="12">
        <v>952</v>
      </c>
      <c r="J22" s="12">
        <v>127</v>
      </c>
      <c r="K22" s="12">
        <v>302</v>
      </c>
      <c r="L22" s="12">
        <v>735</v>
      </c>
      <c r="M22" s="12">
        <v>303</v>
      </c>
      <c r="N22" s="12">
        <v>705</v>
      </c>
      <c r="O22" s="12">
        <v>578</v>
      </c>
      <c r="P22" s="12">
        <v>383</v>
      </c>
      <c r="Q22" s="12">
        <v>509</v>
      </c>
      <c r="R22" s="12">
        <v>166</v>
      </c>
      <c r="S22" s="12">
        <v>272</v>
      </c>
      <c r="T22" s="12">
        <v>398</v>
      </c>
      <c r="U22" s="12">
        <v>413</v>
      </c>
      <c r="V22" s="12">
        <v>365</v>
      </c>
      <c r="W22" s="12">
        <v>240</v>
      </c>
      <c r="X22" s="12">
        <v>617</v>
      </c>
      <c r="Y22" s="12">
        <v>589</v>
      </c>
      <c r="Z22" s="12">
        <v>616</v>
      </c>
      <c r="AA22" s="12">
        <v>695</v>
      </c>
      <c r="AB22" s="12">
        <v>553</v>
      </c>
      <c r="AC22" s="12">
        <v>413</v>
      </c>
      <c r="AD22" s="12">
        <v>497</v>
      </c>
      <c r="AE22" s="12">
        <v>648</v>
      </c>
      <c r="AF22" s="12">
        <v>916</v>
      </c>
    </row>
    <row r="23" spans="1:32" x14ac:dyDescent="0.35">
      <c r="A23" s="19"/>
      <c r="B23" s="13" t="s">
        <v>769</v>
      </c>
      <c r="C23" s="15">
        <v>0.57000000000000006</v>
      </c>
      <c r="D23" s="15">
        <v>0.47</v>
      </c>
      <c r="E23" s="15">
        <v>0.27</v>
      </c>
      <c r="F23" s="15">
        <v>0.37</v>
      </c>
      <c r="G23" s="15">
        <v>0.71</v>
      </c>
      <c r="H23" s="15">
        <v>0.67</v>
      </c>
      <c r="I23" s="15">
        <v>0.63</v>
      </c>
      <c r="J23" s="15">
        <v>0.43</v>
      </c>
      <c r="K23" s="15">
        <v>0.3</v>
      </c>
      <c r="L23" s="15">
        <v>0.73</v>
      </c>
      <c r="M23" s="15">
        <v>0.3</v>
      </c>
      <c r="N23" s="15">
        <v>0.70000000000000007</v>
      </c>
      <c r="O23" s="15">
        <v>0.57000000000000006</v>
      </c>
      <c r="P23" s="15">
        <v>0.38</v>
      </c>
      <c r="Q23" s="15">
        <v>0.5</v>
      </c>
      <c r="R23" s="15">
        <v>0.33</v>
      </c>
      <c r="S23" s="15">
        <v>0.27</v>
      </c>
      <c r="T23" s="15">
        <v>0.39</v>
      </c>
      <c r="U23" s="15">
        <v>0.82000000000000006</v>
      </c>
      <c r="V23" s="15">
        <v>0.36</v>
      </c>
      <c r="W23" s="15">
        <v>0.47</v>
      </c>
      <c r="X23" s="15">
        <v>0.61</v>
      </c>
      <c r="Y23" s="15">
        <v>0.59</v>
      </c>
      <c r="Z23" s="15">
        <v>0.59</v>
      </c>
      <c r="AA23" s="15">
        <v>0.67</v>
      </c>
      <c r="AB23" s="15">
        <v>0.52</v>
      </c>
      <c r="AC23" s="15">
        <v>0.42</v>
      </c>
      <c r="AD23" s="15">
        <v>0.49</v>
      </c>
      <c r="AE23" s="15">
        <v>0.64</v>
      </c>
      <c r="AF23" s="15">
        <v>0.88</v>
      </c>
    </row>
    <row r="24" spans="1:32" x14ac:dyDescent="0.35">
      <c r="A24" s="19"/>
      <c r="B24" s="11" t="s">
        <v>770</v>
      </c>
      <c r="C24" s="12">
        <v>10330</v>
      </c>
      <c r="D24" s="12">
        <v>527</v>
      </c>
      <c r="E24" s="12">
        <v>671</v>
      </c>
      <c r="F24" s="12">
        <v>661</v>
      </c>
      <c r="G24" s="12">
        <v>267</v>
      </c>
      <c r="H24" s="12">
        <v>346</v>
      </c>
      <c r="I24" s="12">
        <v>508</v>
      </c>
      <c r="J24" s="12">
        <v>163</v>
      </c>
      <c r="K24" s="12">
        <v>637</v>
      </c>
      <c r="L24" s="12">
        <v>234</v>
      </c>
      <c r="M24" s="12">
        <v>681</v>
      </c>
      <c r="N24" s="12">
        <v>274</v>
      </c>
      <c r="O24" s="12">
        <v>364</v>
      </c>
      <c r="P24" s="12">
        <v>589</v>
      </c>
      <c r="Q24" s="12">
        <v>489</v>
      </c>
      <c r="R24" s="12">
        <v>330</v>
      </c>
      <c r="S24" s="12">
        <v>679</v>
      </c>
      <c r="T24" s="12">
        <v>562</v>
      </c>
      <c r="U24" s="12">
        <v>72</v>
      </c>
      <c r="V24" s="12">
        <v>635</v>
      </c>
      <c r="W24" s="12">
        <v>261</v>
      </c>
      <c r="X24" s="12">
        <v>369</v>
      </c>
      <c r="Y24" s="12">
        <v>380</v>
      </c>
      <c r="Z24" s="12">
        <v>375</v>
      </c>
      <c r="AA24" s="12">
        <v>309</v>
      </c>
      <c r="AB24" s="12">
        <v>439</v>
      </c>
      <c r="AC24" s="12">
        <v>575</v>
      </c>
      <c r="AD24" s="12">
        <v>467</v>
      </c>
      <c r="AE24" s="12">
        <v>319</v>
      </c>
      <c r="AF24" s="12">
        <v>124</v>
      </c>
    </row>
    <row r="25" spans="1:32" x14ac:dyDescent="0.35">
      <c r="A25" s="19"/>
      <c r="B25" s="13" t="s">
        <v>771</v>
      </c>
      <c r="C25" s="15">
        <v>0.39</v>
      </c>
      <c r="D25" s="15">
        <v>0.52</v>
      </c>
      <c r="E25" s="15">
        <v>0.65</v>
      </c>
      <c r="F25" s="15">
        <v>0.6</v>
      </c>
      <c r="G25" s="15">
        <v>0.27</v>
      </c>
      <c r="H25" s="15">
        <v>0.28999999999999998</v>
      </c>
      <c r="I25" s="15">
        <v>0.33</v>
      </c>
      <c r="J25" s="15">
        <v>0.55000000000000004</v>
      </c>
      <c r="K25" s="15">
        <v>0.64</v>
      </c>
      <c r="L25" s="15">
        <v>0.24</v>
      </c>
      <c r="M25" s="15">
        <v>0.68</v>
      </c>
      <c r="N25" s="15">
        <v>0.28000000000000003</v>
      </c>
      <c r="O25" s="15">
        <v>0.37</v>
      </c>
      <c r="P25" s="15">
        <v>0.59</v>
      </c>
      <c r="Q25" s="15">
        <v>0.47</v>
      </c>
      <c r="R25" s="15">
        <v>0.65</v>
      </c>
      <c r="S25" s="15">
        <v>0.68</v>
      </c>
      <c r="T25" s="15">
        <v>0.56000000000000005</v>
      </c>
      <c r="U25" s="15">
        <v>0.14000000000000001</v>
      </c>
      <c r="V25" s="15">
        <v>0.63</v>
      </c>
      <c r="W25" s="15">
        <v>0.51</v>
      </c>
      <c r="X25" s="15">
        <v>0.37</v>
      </c>
      <c r="Y25" s="15">
        <v>0.38</v>
      </c>
      <c r="Z25" s="15">
        <v>0.37</v>
      </c>
      <c r="AA25" s="15">
        <v>0.3</v>
      </c>
      <c r="AB25" s="15">
        <v>0.42</v>
      </c>
      <c r="AC25" s="15">
        <v>0.57000000000000006</v>
      </c>
      <c r="AD25" s="15">
        <v>0.47</v>
      </c>
      <c r="AE25" s="15">
        <v>0.32</v>
      </c>
      <c r="AF25" s="15">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898</v>
      </c>
      <c r="C3" s="18"/>
      <c r="D3" s="18"/>
      <c r="E3" s="18"/>
      <c r="F3" s="18"/>
      <c r="H3" s="18" t="s">
        <v>899</v>
      </c>
      <c r="I3" s="18"/>
      <c r="J3" s="18"/>
      <c r="K3" s="18"/>
      <c r="L3" s="18"/>
    </row>
    <row r="4" spans="1:32" ht="27" customHeight="1" x14ac:dyDescent="0.35">
      <c r="B4" s="18" t="s">
        <v>900</v>
      </c>
      <c r="C4" s="18"/>
      <c r="D4" s="18"/>
      <c r="E4" s="18"/>
      <c r="F4" s="18"/>
      <c r="H4" s="18" t="s">
        <v>901</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HYPERLINK("#Content!A89","&lt;&lt;Back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6275</v>
      </c>
      <c r="D12" s="12">
        <v>141</v>
      </c>
      <c r="E12" s="12">
        <v>103</v>
      </c>
      <c r="F12" s="12">
        <v>98</v>
      </c>
      <c r="G12" s="12">
        <v>453</v>
      </c>
      <c r="H12" s="12">
        <v>343</v>
      </c>
      <c r="I12" s="12">
        <v>396</v>
      </c>
      <c r="J12" s="12">
        <v>53</v>
      </c>
      <c r="K12" s="12">
        <v>99</v>
      </c>
      <c r="L12" s="12">
        <v>338</v>
      </c>
      <c r="M12" s="12">
        <v>274</v>
      </c>
      <c r="N12" s="12">
        <v>382</v>
      </c>
      <c r="O12" s="12">
        <v>228</v>
      </c>
      <c r="P12" s="12">
        <v>198</v>
      </c>
      <c r="Q12" s="12">
        <v>166</v>
      </c>
      <c r="R12" s="12">
        <v>79</v>
      </c>
      <c r="S12" s="12">
        <v>109</v>
      </c>
      <c r="T12" s="12">
        <v>113</v>
      </c>
      <c r="U12" s="12">
        <v>190</v>
      </c>
      <c r="V12" s="12">
        <v>156</v>
      </c>
      <c r="W12" s="12">
        <v>105</v>
      </c>
      <c r="X12" s="12">
        <v>390</v>
      </c>
      <c r="Y12" s="12">
        <v>326</v>
      </c>
      <c r="Z12" s="12">
        <v>124</v>
      </c>
      <c r="AA12" s="12">
        <v>161</v>
      </c>
      <c r="AB12" s="12">
        <v>108</v>
      </c>
      <c r="AC12" s="12">
        <v>154</v>
      </c>
      <c r="AD12" s="12">
        <v>247</v>
      </c>
      <c r="AE12" s="12">
        <v>262</v>
      </c>
      <c r="AF12" s="12">
        <v>607</v>
      </c>
    </row>
    <row r="13" spans="1:32" x14ac:dyDescent="0.35">
      <c r="A13" s="19"/>
      <c r="B13" s="13" t="s">
        <v>761</v>
      </c>
      <c r="C13" s="15">
        <v>0.24</v>
      </c>
      <c r="D13" s="15">
        <v>0.14000000000000001</v>
      </c>
      <c r="E13" s="15">
        <v>0.1</v>
      </c>
      <c r="F13" s="15">
        <v>0.09</v>
      </c>
      <c r="G13" s="15">
        <v>0.45</v>
      </c>
      <c r="H13" s="15">
        <v>0.28000000000000003</v>
      </c>
      <c r="I13" s="15">
        <v>0.26</v>
      </c>
      <c r="J13" s="15">
        <v>0.18</v>
      </c>
      <c r="K13" s="15">
        <v>0.1</v>
      </c>
      <c r="L13" s="15">
        <v>0.34</v>
      </c>
      <c r="M13" s="15">
        <v>0.27</v>
      </c>
      <c r="N13" s="15">
        <v>0.38</v>
      </c>
      <c r="O13" s="15">
        <v>0.23</v>
      </c>
      <c r="P13" s="15">
        <v>0.2</v>
      </c>
      <c r="Q13" s="15">
        <v>0.16</v>
      </c>
      <c r="R13" s="15">
        <v>0.16</v>
      </c>
      <c r="S13" s="15">
        <v>0.11</v>
      </c>
      <c r="T13" s="15">
        <v>0.11</v>
      </c>
      <c r="U13" s="15">
        <v>0.38</v>
      </c>
      <c r="V13" s="15">
        <v>0.15</v>
      </c>
      <c r="W13" s="15">
        <v>0.21</v>
      </c>
      <c r="X13" s="15">
        <v>0.39</v>
      </c>
      <c r="Y13" s="15">
        <v>0.33</v>
      </c>
      <c r="Z13" s="15">
        <v>0.12</v>
      </c>
      <c r="AA13" s="15">
        <v>0.16</v>
      </c>
      <c r="AB13" s="15">
        <v>0.1</v>
      </c>
      <c r="AC13" s="15">
        <v>0.15</v>
      </c>
      <c r="AD13" s="15">
        <v>0.25</v>
      </c>
      <c r="AE13" s="15">
        <v>0.26</v>
      </c>
      <c r="AF13" s="15">
        <v>0.57999999999999996</v>
      </c>
    </row>
    <row r="14" spans="1:32" x14ac:dyDescent="0.35">
      <c r="A14" s="19"/>
      <c r="B14" s="11" t="s">
        <v>762</v>
      </c>
      <c r="C14" s="12">
        <v>12986</v>
      </c>
      <c r="D14" s="12">
        <v>500</v>
      </c>
      <c r="E14" s="12">
        <v>444</v>
      </c>
      <c r="F14" s="12">
        <v>446</v>
      </c>
      <c r="G14" s="12">
        <v>408</v>
      </c>
      <c r="H14" s="12">
        <v>680</v>
      </c>
      <c r="I14" s="12">
        <v>817</v>
      </c>
      <c r="J14" s="12">
        <v>137</v>
      </c>
      <c r="K14" s="12">
        <v>491</v>
      </c>
      <c r="L14" s="12">
        <v>438</v>
      </c>
      <c r="M14" s="12">
        <v>540</v>
      </c>
      <c r="N14" s="12">
        <v>491</v>
      </c>
      <c r="O14" s="12">
        <v>438</v>
      </c>
      <c r="P14" s="12">
        <v>582</v>
      </c>
      <c r="Q14" s="12">
        <v>564</v>
      </c>
      <c r="R14" s="12">
        <v>223</v>
      </c>
      <c r="S14" s="12">
        <v>452</v>
      </c>
      <c r="T14" s="12">
        <v>485</v>
      </c>
      <c r="U14" s="12">
        <v>204</v>
      </c>
      <c r="V14" s="12">
        <v>443</v>
      </c>
      <c r="W14" s="12">
        <v>306</v>
      </c>
      <c r="X14" s="12">
        <v>380</v>
      </c>
      <c r="Y14" s="12">
        <v>356</v>
      </c>
      <c r="Z14" s="12">
        <v>546</v>
      </c>
      <c r="AA14" s="12">
        <v>700</v>
      </c>
      <c r="AB14" s="12">
        <v>489</v>
      </c>
      <c r="AC14" s="12">
        <v>443</v>
      </c>
      <c r="AD14" s="12">
        <v>477</v>
      </c>
      <c r="AE14" s="12">
        <v>517</v>
      </c>
      <c r="AF14" s="12">
        <v>347</v>
      </c>
    </row>
    <row r="15" spans="1:32" x14ac:dyDescent="0.35">
      <c r="A15" s="19"/>
      <c r="B15" s="13" t="s">
        <v>763</v>
      </c>
      <c r="C15" s="15">
        <v>0.49</v>
      </c>
      <c r="D15" s="15">
        <v>0.49</v>
      </c>
      <c r="E15" s="15">
        <v>0.43</v>
      </c>
      <c r="F15" s="15">
        <v>0.4</v>
      </c>
      <c r="G15" s="15">
        <v>0.41</v>
      </c>
      <c r="H15" s="15">
        <v>0.56000000000000005</v>
      </c>
      <c r="I15" s="15">
        <v>0.54</v>
      </c>
      <c r="J15" s="15">
        <v>0.46</v>
      </c>
      <c r="K15" s="15">
        <v>0.49</v>
      </c>
      <c r="L15" s="15">
        <v>0.44</v>
      </c>
      <c r="M15" s="15">
        <v>0.53</v>
      </c>
      <c r="N15" s="15">
        <v>0.49</v>
      </c>
      <c r="O15" s="15">
        <v>0.44</v>
      </c>
      <c r="P15" s="15">
        <v>0.57999999999999996</v>
      </c>
      <c r="Q15" s="15">
        <v>0.55000000000000004</v>
      </c>
      <c r="R15" s="15">
        <v>0.44</v>
      </c>
      <c r="S15" s="15">
        <v>0.45</v>
      </c>
      <c r="T15" s="15">
        <v>0.48</v>
      </c>
      <c r="U15" s="15">
        <v>0.41</v>
      </c>
      <c r="V15" s="15">
        <v>0.44</v>
      </c>
      <c r="W15" s="15">
        <v>0.6</v>
      </c>
      <c r="X15" s="15">
        <v>0.38</v>
      </c>
      <c r="Y15" s="15">
        <v>0.35</v>
      </c>
      <c r="Z15" s="15">
        <v>0.53</v>
      </c>
      <c r="AA15" s="15">
        <v>0.68</v>
      </c>
      <c r="AB15" s="15">
        <v>0.47</v>
      </c>
      <c r="AC15" s="15">
        <v>0.44</v>
      </c>
      <c r="AD15" s="15">
        <v>0.47</v>
      </c>
      <c r="AE15" s="15">
        <v>0.51</v>
      </c>
      <c r="AF15" s="15">
        <v>0.33</v>
      </c>
    </row>
    <row r="16" spans="1:32" x14ac:dyDescent="0.35">
      <c r="A16" s="19"/>
      <c r="B16" s="11" t="s">
        <v>764</v>
      </c>
      <c r="C16" s="12">
        <v>4544</v>
      </c>
      <c r="D16" s="12">
        <v>258</v>
      </c>
      <c r="E16" s="12">
        <v>249</v>
      </c>
      <c r="F16" s="12">
        <v>341</v>
      </c>
      <c r="G16" s="12">
        <v>92</v>
      </c>
      <c r="H16" s="12">
        <v>114</v>
      </c>
      <c r="I16" s="12">
        <v>186</v>
      </c>
      <c r="J16" s="12">
        <v>73</v>
      </c>
      <c r="K16" s="12">
        <v>237</v>
      </c>
      <c r="L16" s="12">
        <v>114</v>
      </c>
      <c r="M16" s="12">
        <v>134</v>
      </c>
      <c r="N16" s="12">
        <v>90</v>
      </c>
      <c r="O16" s="12">
        <v>196</v>
      </c>
      <c r="P16" s="12">
        <v>167</v>
      </c>
      <c r="Q16" s="12">
        <v>181</v>
      </c>
      <c r="R16" s="12">
        <v>87</v>
      </c>
      <c r="S16" s="12">
        <v>254</v>
      </c>
      <c r="T16" s="12">
        <v>282</v>
      </c>
      <c r="U16" s="12">
        <v>67</v>
      </c>
      <c r="V16" s="12">
        <v>246</v>
      </c>
      <c r="W16" s="12">
        <v>67</v>
      </c>
      <c r="X16" s="12">
        <v>177</v>
      </c>
      <c r="Y16" s="12">
        <v>161</v>
      </c>
      <c r="Z16" s="12">
        <v>273</v>
      </c>
      <c r="AA16" s="12">
        <v>129</v>
      </c>
      <c r="AB16" s="12">
        <v>278</v>
      </c>
      <c r="AC16" s="12">
        <v>269</v>
      </c>
      <c r="AD16" s="12">
        <v>161</v>
      </c>
      <c r="AE16" s="12">
        <v>166</v>
      </c>
      <c r="AF16" s="12">
        <v>54</v>
      </c>
    </row>
    <row r="17" spans="1:32" x14ac:dyDescent="0.35">
      <c r="A17" s="19"/>
      <c r="B17" s="13" t="s">
        <v>765</v>
      </c>
      <c r="C17" s="15">
        <v>0.17</v>
      </c>
      <c r="D17" s="15">
        <v>0.25</v>
      </c>
      <c r="E17" s="15">
        <v>0.24</v>
      </c>
      <c r="F17" s="15">
        <v>0.31</v>
      </c>
      <c r="G17" s="15">
        <v>0.09</v>
      </c>
      <c r="H17" s="15">
        <v>0.09</v>
      </c>
      <c r="I17" s="15">
        <v>0.12</v>
      </c>
      <c r="J17" s="15">
        <v>0.25</v>
      </c>
      <c r="K17" s="15">
        <v>0.24</v>
      </c>
      <c r="L17" s="15">
        <v>0.11</v>
      </c>
      <c r="M17" s="15">
        <v>0.13</v>
      </c>
      <c r="N17" s="15">
        <v>0.09</v>
      </c>
      <c r="O17" s="15">
        <v>0.19</v>
      </c>
      <c r="P17" s="15">
        <v>0.17</v>
      </c>
      <c r="Q17" s="15">
        <v>0.18</v>
      </c>
      <c r="R17" s="15">
        <v>0.17</v>
      </c>
      <c r="S17" s="15">
        <v>0.26</v>
      </c>
      <c r="T17" s="15">
        <v>0.28000000000000003</v>
      </c>
      <c r="U17" s="15">
        <v>0.13</v>
      </c>
      <c r="V17" s="15">
        <v>0.24</v>
      </c>
      <c r="W17" s="15">
        <v>0.13</v>
      </c>
      <c r="X17" s="15">
        <v>0.17</v>
      </c>
      <c r="Y17" s="15">
        <v>0.16</v>
      </c>
      <c r="Z17" s="15">
        <v>0.27</v>
      </c>
      <c r="AA17" s="15">
        <v>0.12</v>
      </c>
      <c r="AB17" s="15">
        <v>0.26</v>
      </c>
      <c r="AC17" s="15">
        <v>0.27</v>
      </c>
      <c r="AD17" s="15">
        <v>0.16</v>
      </c>
      <c r="AE17" s="15">
        <v>0.16</v>
      </c>
      <c r="AF17" s="15">
        <v>0.05</v>
      </c>
    </row>
    <row r="18" spans="1:32" x14ac:dyDescent="0.35">
      <c r="A18" s="19"/>
      <c r="B18" s="11" t="s">
        <v>766</v>
      </c>
      <c r="C18" s="12">
        <v>1915</v>
      </c>
      <c r="D18" s="12">
        <v>98</v>
      </c>
      <c r="E18" s="12">
        <v>166</v>
      </c>
      <c r="F18" s="12">
        <v>182</v>
      </c>
      <c r="G18" s="12">
        <v>35</v>
      </c>
      <c r="H18" s="12">
        <v>55</v>
      </c>
      <c r="I18" s="12">
        <v>78</v>
      </c>
      <c r="J18" s="12">
        <v>23</v>
      </c>
      <c r="K18" s="12">
        <v>136</v>
      </c>
      <c r="L18" s="12">
        <v>75</v>
      </c>
      <c r="M18" s="12">
        <v>47</v>
      </c>
      <c r="N18" s="12">
        <v>19</v>
      </c>
      <c r="O18" s="12">
        <v>102</v>
      </c>
      <c r="P18" s="12">
        <v>41</v>
      </c>
      <c r="Q18" s="12">
        <v>92</v>
      </c>
      <c r="R18" s="12">
        <v>102</v>
      </c>
      <c r="S18" s="12">
        <v>143</v>
      </c>
      <c r="T18" s="12">
        <v>68</v>
      </c>
      <c r="U18" s="12">
        <v>32</v>
      </c>
      <c r="V18" s="12">
        <v>158</v>
      </c>
      <c r="W18" s="12">
        <v>30</v>
      </c>
      <c r="X18" s="12">
        <v>50</v>
      </c>
      <c r="Y18" s="12">
        <v>135</v>
      </c>
      <c r="Z18" s="12">
        <v>42</v>
      </c>
      <c r="AA18" s="12">
        <v>8</v>
      </c>
      <c r="AB18" s="12">
        <v>140</v>
      </c>
      <c r="AC18" s="12">
        <v>129</v>
      </c>
      <c r="AD18" s="12">
        <v>98</v>
      </c>
      <c r="AE18" s="12">
        <v>41</v>
      </c>
      <c r="AF18" s="12">
        <v>30</v>
      </c>
    </row>
    <row r="19" spans="1:32" x14ac:dyDescent="0.35">
      <c r="A19" s="19"/>
      <c r="B19" s="13" t="s">
        <v>767</v>
      </c>
      <c r="C19" s="15">
        <v>7.0000000000000007E-2</v>
      </c>
      <c r="D19" s="15">
        <v>0.1</v>
      </c>
      <c r="E19" s="15">
        <v>0.16</v>
      </c>
      <c r="F19" s="15">
        <v>0.17</v>
      </c>
      <c r="G19" s="15">
        <v>0.03</v>
      </c>
      <c r="H19" s="15">
        <v>0.05</v>
      </c>
      <c r="I19" s="15">
        <v>0.05</v>
      </c>
      <c r="J19" s="15">
        <v>0.08</v>
      </c>
      <c r="K19" s="15">
        <v>0.13</v>
      </c>
      <c r="L19" s="15">
        <v>7.0000000000000007E-2</v>
      </c>
      <c r="M19" s="15">
        <v>0.05</v>
      </c>
      <c r="N19" s="15">
        <v>0.02</v>
      </c>
      <c r="O19" s="15">
        <v>0.1</v>
      </c>
      <c r="P19" s="15">
        <v>0.04</v>
      </c>
      <c r="Q19" s="15">
        <v>0.09</v>
      </c>
      <c r="R19" s="15">
        <v>0.2</v>
      </c>
      <c r="S19" s="15">
        <v>0.14000000000000001</v>
      </c>
      <c r="T19" s="15">
        <v>7.0000000000000007E-2</v>
      </c>
      <c r="U19" s="15">
        <v>0.06</v>
      </c>
      <c r="V19" s="15">
        <v>0.16</v>
      </c>
      <c r="W19" s="15">
        <v>0.06</v>
      </c>
      <c r="X19" s="15">
        <v>0.05</v>
      </c>
      <c r="Y19" s="15">
        <v>0.13</v>
      </c>
      <c r="Z19" s="15">
        <v>0.04</v>
      </c>
      <c r="AA19" s="15">
        <v>0.01</v>
      </c>
      <c r="AB19" s="15">
        <v>0.13</v>
      </c>
      <c r="AC19" s="15">
        <v>0.13</v>
      </c>
      <c r="AD19" s="15">
        <v>0.1</v>
      </c>
      <c r="AE19" s="15">
        <v>0.04</v>
      </c>
      <c r="AF19" s="15">
        <v>0.03</v>
      </c>
    </row>
    <row r="20" spans="1:32" x14ac:dyDescent="0.35">
      <c r="A20" s="19"/>
      <c r="B20" s="11" t="s">
        <v>485</v>
      </c>
      <c r="C20" s="12">
        <v>726</v>
      </c>
      <c r="D20" s="12">
        <v>16</v>
      </c>
      <c r="E20" s="12">
        <v>68</v>
      </c>
      <c r="F20" s="12">
        <v>36</v>
      </c>
      <c r="G20" s="12">
        <v>17</v>
      </c>
      <c r="H20" s="12">
        <v>29</v>
      </c>
      <c r="I20" s="12">
        <v>39</v>
      </c>
      <c r="J20" s="12">
        <v>9</v>
      </c>
      <c r="K20" s="12">
        <v>38</v>
      </c>
      <c r="L20" s="12">
        <v>37</v>
      </c>
      <c r="M20" s="12">
        <v>15</v>
      </c>
      <c r="N20" s="12">
        <v>21</v>
      </c>
      <c r="O20" s="12">
        <v>37</v>
      </c>
      <c r="P20" s="12">
        <v>16</v>
      </c>
      <c r="Q20" s="12">
        <v>24</v>
      </c>
      <c r="R20" s="12">
        <v>13</v>
      </c>
      <c r="S20" s="12">
        <v>44</v>
      </c>
      <c r="T20" s="12">
        <v>59</v>
      </c>
      <c r="U20" s="12">
        <v>11</v>
      </c>
      <c r="V20" s="12">
        <v>11</v>
      </c>
      <c r="W20" s="12">
        <v>0</v>
      </c>
      <c r="X20" s="12">
        <v>12</v>
      </c>
      <c r="Y20" s="12">
        <v>25</v>
      </c>
      <c r="Z20" s="12">
        <v>46</v>
      </c>
      <c r="AA20" s="12">
        <v>35</v>
      </c>
      <c r="AB20" s="12">
        <v>36</v>
      </c>
      <c r="AC20" s="12">
        <v>8</v>
      </c>
      <c r="AD20" s="12">
        <v>21</v>
      </c>
      <c r="AE20" s="12">
        <v>27</v>
      </c>
      <c r="AF20" s="12">
        <v>5</v>
      </c>
    </row>
    <row r="21" spans="1:32" x14ac:dyDescent="0.35">
      <c r="A21" s="19"/>
      <c r="B21" s="13" t="s">
        <v>486</v>
      </c>
      <c r="C21" s="15">
        <v>0.03</v>
      </c>
      <c r="D21" s="15">
        <v>0.02</v>
      </c>
      <c r="E21" s="15">
        <v>7.0000000000000007E-2</v>
      </c>
      <c r="F21" s="15">
        <v>0.03</v>
      </c>
      <c r="G21" s="15">
        <v>0.02</v>
      </c>
      <c r="H21" s="15">
        <v>0.02</v>
      </c>
      <c r="I21" s="15">
        <v>0.03</v>
      </c>
      <c r="J21" s="15">
        <v>0.03</v>
      </c>
      <c r="K21" s="15">
        <v>0.04</v>
      </c>
      <c r="L21" s="15">
        <v>0.04</v>
      </c>
      <c r="M21" s="15">
        <v>0.02</v>
      </c>
      <c r="N21" s="15">
        <v>0.02</v>
      </c>
      <c r="O21" s="15">
        <v>0.04</v>
      </c>
      <c r="P21" s="15">
        <v>0.01</v>
      </c>
      <c r="Q21" s="15">
        <v>0.02</v>
      </c>
      <c r="R21" s="15">
        <v>0.03</v>
      </c>
      <c r="S21" s="15">
        <v>0.04</v>
      </c>
      <c r="T21" s="15">
        <v>0.06</v>
      </c>
      <c r="U21" s="15">
        <v>0.02</v>
      </c>
      <c r="V21" s="15">
        <v>0.01</v>
      </c>
      <c r="W21" s="14" t="s">
        <v>475</v>
      </c>
      <c r="X21" s="15">
        <v>0.01</v>
      </c>
      <c r="Y21" s="15">
        <v>0.03</v>
      </c>
      <c r="Z21" s="15">
        <v>0.04</v>
      </c>
      <c r="AA21" s="15">
        <v>0.03</v>
      </c>
      <c r="AB21" s="15">
        <v>0.04</v>
      </c>
      <c r="AC21" s="15">
        <v>0.01</v>
      </c>
      <c r="AD21" s="15">
        <v>0.02</v>
      </c>
      <c r="AE21" s="15">
        <v>0.03</v>
      </c>
      <c r="AF21" s="15">
        <v>0.01</v>
      </c>
    </row>
    <row r="22" spans="1:32" x14ac:dyDescent="0.35">
      <c r="A22" s="19"/>
      <c r="B22" s="11" t="s">
        <v>768</v>
      </c>
      <c r="C22" s="12">
        <v>19261</v>
      </c>
      <c r="D22" s="12">
        <v>641</v>
      </c>
      <c r="E22" s="12">
        <v>547</v>
      </c>
      <c r="F22" s="12">
        <v>544</v>
      </c>
      <c r="G22" s="12">
        <v>861</v>
      </c>
      <c r="H22" s="12">
        <v>1023</v>
      </c>
      <c r="I22" s="12">
        <v>1213</v>
      </c>
      <c r="J22" s="12">
        <v>190</v>
      </c>
      <c r="K22" s="12">
        <v>590</v>
      </c>
      <c r="L22" s="12">
        <v>776</v>
      </c>
      <c r="M22" s="12">
        <v>814</v>
      </c>
      <c r="N22" s="12">
        <v>873</v>
      </c>
      <c r="O22" s="12">
        <v>666</v>
      </c>
      <c r="P22" s="12">
        <v>780</v>
      </c>
      <c r="Q22" s="12">
        <v>730</v>
      </c>
      <c r="R22" s="12">
        <v>302</v>
      </c>
      <c r="S22" s="12">
        <v>561</v>
      </c>
      <c r="T22" s="12">
        <v>598</v>
      </c>
      <c r="U22" s="12">
        <v>394</v>
      </c>
      <c r="V22" s="12">
        <v>599</v>
      </c>
      <c r="W22" s="12">
        <v>411</v>
      </c>
      <c r="X22" s="12">
        <v>770</v>
      </c>
      <c r="Y22" s="12">
        <v>682</v>
      </c>
      <c r="Z22" s="12">
        <v>670</v>
      </c>
      <c r="AA22" s="12">
        <v>861</v>
      </c>
      <c r="AB22" s="12">
        <v>597</v>
      </c>
      <c r="AC22" s="12">
        <v>597</v>
      </c>
      <c r="AD22" s="12">
        <v>724</v>
      </c>
      <c r="AE22" s="12">
        <v>779</v>
      </c>
      <c r="AF22" s="12">
        <v>954</v>
      </c>
    </row>
    <row r="23" spans="1:32" x14ac:dyDescent="0.35">
      <c r="A23" s="19"/>
      <c r="B23" s="13" t="s">
        <v>769</v>
      </c>
      <c r="C23" s="15">
        <v>0.73</v>
      </c>
      <c r="D23" s="15">
        <v>0.63</v>
      </c>
      <c r="E23" s="15">
        <v>0.53</v>
      </c>
      <c r="F23" s="15">
        <v>0.49</v>
      </c>
      <c r="G23" s="15">
        <v>0.86</v>
      </c>
      <c r="H23" s="15">
        <v>0.84</v>
      </c>
      <c r="I23" s="15">
        <v>0.8</v>
      </c>
      <c r="J23" s="15">
        <v>0.64</v>
      </c>
      <c r="K23" s="15">
        <v>0.59</v>
      </c>
      <c r="L23" s="15">
        <v>0.78</v>
      </c>
      <c r="M23" s="15">
        <v>0.8</v>
      </c>
      <c r="N23" s="15">
        <v>0.87</v>
      </c>
      <c r="O23" s="15">
        <v>0.67</v>
      </c>
      <c r="P23" s="15">
        <v>0.78</v>
      </c>
      <c r="Q23" s="15">
        <v>0.71</v>
      </c>
      <c r="R23" s="15">
        <v>0.6</v>
      </c>
      <c r="S23" s="15">
        <v>0.56000000000000005</v>
      </c>
      <c r="T23" s="15">
        <v>0.59</v>
      </c>
      <c r="U23" s="15">
        <v>0.79</v>
      </c>
      <c r="V23" s="15">
        <v>0.59</v>
      </c>
      <c r="W23" s="15">
        <v>0.81</v>
      </c>
      <c r="X23" s="15">
        <v>0.77</v>
      </c>
      <c r="Y23" s="15">
        <v>0.68</v>
      </c>
      <c r="Z23" s="15">
        <v>0.65</v>
      </c>
      <c r="AA23" s="15">
        <v>0.84</v>
      </c>
      <c r="AB23" s="15">
        <v>0.57000000000000006</v>
      </c>
      <c r="AC23" s="15">
        <v>0.59</v>
      </c>
      <c r="AD23" s="15">
        <v>0.72</v>
      </c>
      <c r="AE23" s="15">
        <v>0.77</v>
      </c>
      <c r="AF23" s="15">
        <v>0.91</v>
      </c>
    </row>
    <row r="24" spans="1:32" x14ac:dyDescent="0.35">
      <c r="A24" s="19"/>
      <c r="B24" s="11" t="s">
        <v>770</v>
      </c>
      <c r="C24" s="12">
        <v>6459</v>
      </c>
      <c r="D24" s="12">
        <v>356</v>
      </c>
      <c r="E24" s="12">
        <v>415</v>
      </c>
      <c r="F24" s="12">
        <v>523</v>
      </c>
      <c r="G24" s="12">
        <v>127</v>
      </c>
      <c r="H24" s="12">
        <v>169</v>
      </c>
      <c r="I24" s="12">
        <v>264</v>
      </c>
      <c r="J24" s="12">
        <v>96</v>
      </c>
      <c r="K24" s="12">
        <v>373</v>
      </c>
      <c r="L24" s="12">
        <v>189</v>
      </c>
      <c r="M24" s="12">
        <v>181</v>
      </c>
      <c r="N24" s="12">
        <v>109</v>
      </c>
      <c r="O24" s="12">
        <v>298</v>
      </c>
      <c r="P24" s="12">
        <v>208</v>
      </c>
      <c r="Q24" s="12">
        <v>273</v>
      </c>
      <c r="R24" s="12">
        <v>189</v>
      </c>
      <c r="S24" s="12">
        <v>397</v>
      </c>
      <c r="T24" s="12">
        <v>350</v>
      </c>
      <c r="U24" s="12">
        <v>99</v>
      </c>
      <c r="V24" s="12">
        <v>404</v>
      </c>
      <c r="W24" s="12">
        <v>97</v>
      </c>
      <c r="X24" s="12">
        <v>227</v>
      </c>
      <c r="Y24" s="12">
        <v>296</v>
      </c>
      <c r="Z24" s="12">
        <v>315</v>
      </c>
      <c r="AA24" s="12">
        <v>137</v>
      </c>
      <c r="AB24" s="12">
        <v>418</v>
      </c>
      <c r="AC24" s="12">
        <v>398</v>
      </c>
      <c r="AD24" s="12">
        <v>259</v>
      </c>
      <c r="AE24" s="12">
        <v>207</v>
      </c>
      <c r="AF24" s="12">
        <v>84</v>
      </c>
    </row>
    <row r="25" spans="1:32" x14ac:dyDescent="0.35">
      <c r="A25" s="19"/>
      <c r="B25" s="13" t="s">
        <v>771</v>
      </c>
      <c r="C25" s="15">
        <v>0.24</v>
      </c>
      <c r="D25" s="15">
        <v>0.35</v>
      </c>
      <c r="E25" s="15">
        <v>0.4</v>
      </c>
      <c r="F25" s="15">
        <v>0.48</v>
      </c>
      <c r="G25" s="15">
        <v>0.12</v>
      </c>
      <c r="H25" s="15">
        <v>0.14000000000000001</v>
      </c>
      <c r="I25" s="15">
        <v>0.17</v>
      </c>
      <c r="J25" s="15">
        <v>0.33</v>
      </c>
      <c r="K25" s="15">
        <v>0.37</v>
      </c>
      <c r="L25" s="15">
        <v>0.18</v>
      </c>
      <c r="M25" s="15">
        <v>0.18</v>
      </c>
      <c r="N25" s="15">
        <v>0.11</v>
      </c>
      <c r="O25" s="15">
        <v>0.28999999999999998</v>
      </c>
      <c r="P25" s="15">
        <v>0.21</v>
      </c>
      <c r="Q25" s="15">
        <v>0.27</v>
      </c>
      <c r="R25" s="15">
        <v>0.37</v>
      </c>
      <c r="S25" s="15">
        <v>0.4</v>
      </c>
      <c r="T25" s="15">
        <v>0.35</v>
      </c>
      <c r="U25" s="15">
        <v>0.19</v>
      </c>
      <c r="V25" s="15">
        <v>0.4</v>
      </c>
      <c r="W25" s="15">
        <v>0.19</v>
      </c>
      <c r="X25" s="15">
        <v>0.22</v>
      </c>
      <c r="Y25" s="15">
        <v>0.28999999999999998</v>
      </c>
      <c r="Z25" s="15">
        <v>0.31</v>
      </c>
      <c r="AA25" s="15">
        <v>0.13</v>
      </c>
      <c r="AB25" s="15">
        <v>0.39</v>
      </c>
      <c r="AC25" s="15">
        <v>0.4</v>
      </c>
      <c r="AD25" s="15">
        <v>0.26</v>
      </c>
      <c r="AE25" s="15">
        <v>0.2</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175</v>
      </c>
      <c r="C3" s="18"/>
      <c r="D3" s="18"/>
      <c r="E3" s="18"/>
      <c r="F3" s="18"/>
      <c r="H3" s="18" t="s">
        <v>176</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902</v>
      </c>
      <c r="C12" s="12">
        <v>2813</v>
      </c>
      <c r="D12" s="12">
        <v>99</v>
      </c>
      <c r="E12" s="12">
        <v>185</v>
      </c>
      <c r="F12" s="12">
        <v>138</v>
      </c>
      <c r="G12" s="12">
        <v>65</v>
      </c>
      <c r="H12" s="12">
        <v>125</v>
      </c>
      <c r="I12" s="12">
        <v>172</v>
      </c>
      <c r="J12" s="12">
        <v>47</v>
      </c>
      <c r="K12" s="12">
        <v>157</v>
      </c>
      <c r="L12" s="12">
        <v>74</v>
      </c>
      <c r="M12" s="12">
        <v>296</v>
      </c>
      <c r="N12" s="12">
        <v>105</v>
      </c>
      <c r="O12" s="12">
        <v>75</v>
      </c>
      <c r="P12" s="12">
        <v>146</v>
      </c>
      <c r="Q12" s="12">
        <v>123</v>
      </c>
      <c r="R12" s="12">
        <v>57</v>
      </c>
      <c r="S12" s="12">
        <v>136</v>
      </c>
      <c r="T12" s="12">
        <v>129</v>
      </c>
      <c r="U12" s="12">
        <v>33</v>
      </c>
      <c r="V12" s="12">
        <v>167</v>
      </c>
      <c r="W12" s="12">
        <v>40</v>
      </c>
      <c r="X12" s="12">
        <v>47</v>
      </c>
      <c r="Y12" s="12">
        <v>130</v>
      </c>
      <c r="Z12" s="12">
        <v>90</v>
      </c>
      <c r="AA12" s="12">
        <v>100</v>
      </c>
      <c r="AB12" s="12">
        <v>94</v>
      </c>
      <c r="AC12" s="12">
        <v>146</v>
      </c>
      <c r="AD12" s="12">
        <v>119</v>
      </c>
      <c r="AE12" s="12">
        <v>125</v>
      </c>
      <c r="AF12" s="12">
        <v>61</v>
      </c>
    </row>
    <row r="13" spans="1:32" ht="21.5" x14ac:dyDescent="0.35">
      <c r="A13" s="19"/>
      <c r="B13" s="13" t="s">
        <v>903</v>
      </c>
      <c r="C13" s="15">
        <v>0.11</v>
      </c>
      <c r="D13" s="15">
        <v>0.1</v>
      </c>
      <c r="E13" s="15">
        <v>0.18</v>
      </c>
      <c r="F13" s="15">
        <v>0.13</v>
      </c>
      <c r="G13" s="15">
        <v>0.06</v>
      </c>
      <c r="H13" s="15">
        <v>0.1</v>
      </c>
      <c r="I13" s="15">
        <v>0.11</v>
      </c>
      <c r="J13" s="15">
        <v>0.16</v>
      </c>
      <c r="K13" s="15">
        <v>0.16</v>
      </c>
      <c r="L13" s="15">
        <v>7.0000000000000007E-2</v>
      </c>
      <c r="M13" s="15">
        <v>0.28999999999999998</v>
      </c>
      <c r="N13" s="15">
        <v>0.11</v>
      </c>
      <c r="O13" s="15">
        <v>7.0000000000000007E-2</v>
      </c>
      <c r="P13" s="15">
        <v>0.14000000000000001</v>
      </c>
      <c r="Q13" s="15">
        <v>0.12</v>
      </c>
      <c r="R13" s="15">
        <v>0.11</v>
      </c>
      <c r="S13" s="15">
        <v>0.14000000000000001</v>
      </c>
      <c r="T13" s="15">
        <v>0.13</v>
      </c>
      <c r="U13" s="15">
        <v>0.06</v>
      </c>
      <c r="V13" s="15">
        <v>0.16</v>
      </c>
      <c r="W13" s="15">
        <v>0.08</v>
      </c>
      <c r="X13" s="15">
        <v>0.05</v>
      </c>
      <c r="Y13" s="15">
        <v>0.13</v>
      </c>
      <c r="Z13" s="15">
        <v>0.09</v>
      </c>
      <c r="AA13" s="15">
        <v>0.1</v>
      </c>
      <c r="AB13" s="15">
        <v>0.09</v>
      </c>
      <c r="AC13" s="15">
        <v>0.15</v>
      </c>
      <c r="AD13" s="15">
        <v>0.12</v>
      </c>
      <c r="AE13" s="15">
        <v>0.12</v>
      </c>
      <c r="AF13" s="15">
        <v>0.06</v>
      </c>
    </row>
    <row r="14" spans="1:32" x14ac:dyDescent="0.35">
      <c r="A14" s="19"/>
      <c r="B14" s="11" t="s">
        <v>904</v>
      </c>
      <c r="C14" s="12">
        <v>2036</v>
      </c>
      <c r="D14" s="12">
        <v>94</v>
      </c>
      <c r="E14" s="12">
        <v>73</v>
      </c>
      <c r="F14" s="12">
        <v>34</v>
      </c>
      <c r="G14" s="12">
        <v>15</v>
      </c>
      <c r="H14" s="12">
        <v>23</v>
      </c>
      <c r="I14" s="12">
        <v>31</v>
      </c>
      <c r="J14" s="12">
        <v>8</v>
      </c>
      <c r="K14" s="12">
        <v>53</v>
      </c>
      <c r="L14" s="12">
        <v>69</v>
      </c>
      <c r="M14" s="12">
        <v>158</v>
      </c>
      <c r="N14" s="12">
        <v>144</v>
      </c>
      <c r="O14" s="12">
        <v>68</v>
      </c>
      <c r="P14" s="12">
        <v>90</v>
      </c>
      <c r="Q14" s="12">
        <v>144</v>
      </c>
      <c r="R14" s="12">
        <v>25</v>
      </c>
      <c r="S14" s="12">
        <v>47</v>
      </c>
      <c r="T14" s="12">
        <v>49</v>
      </c>
      <c r="U14" s="12">
        <v>28</v>
      </c>
      <c r="V14" s="12">
        <v>61</v>
      </c>
      <c r="W14" s="12">
        <v>21</v>
      </c>
      <c r="X14" s="12">
        <v>11</v>
      </c>
      <c r="Y14" s="12">
        <v>54</v>
      </c>
      <c r="Z14" s="12">
        <v>52</v>
      </c>
      <c r="AA14" s="12">
        <v>148</v>
      </c>
      <c r="AB14" s="12">
        <v>118</v>
      </c>
      <c r="AC14" s="12">
        <v>38</v>
      </c>
      <c r="AD14" s="12">
        <v>73</v>
      </c>
      <c r="AE14" s="12">
        <v>81</v>
      </c>
      <c r="AF14" s="12">
        <v>34</v>
      </c>
    </row>
    <row r="15" spans="1:32" x14ac:dyDescent="0.35">
      <c r="A15" s="19"/>
      <c r="B15" s="13" t="s">
        <v>905</v>
      </c>
      <c r="C15" s="15">
        <v>0.08</v>
      </c>
      <c r="D15" s="15">
        <v>0.09</v>
      </c>
      <c r="E15" s="15">
        <v>7.0000000000000007E-2</v>
      </c>
      <c r="F15" s="15">
        <v>0.03</v>
      </c>
      <c r="G15" s="15">
        <v>0.02</v>
      </c>
      <c r="H15" s="15">
        <v>0.02</v>
      </c>
      <c r="I15" s="15">
        <v>0.02</v>
      </c>
      <c r="J15" s="15">
        <v>0.03</v>
      </c>
      <c r="K15" s="15">
        <v>0.05</v>
      </c>
      <c r="L15" s="15">
        <v>7.0000000000000007E-2</v>
      </c>
      <c r="M15" s="15">
        <v>0.16</v>
      </c>
      <c r="N15" s="15">
        <v>0.14000000000000001</v>
      </c>
      <c r="O15" s="15">
        <v>7.0000000000000007E-2</v>
      </c>
      <c r="P15" s="15">
        <v>0.09</v>
      </c>
      <c r="Q15" s="15">
        <v>0.14000000000000001</v>
      </c>
      <c r="R15" s="15">
        <v>0.05</v>
      </c>
      <c r="S15" s="15">
        <v>0.05</v>
      </c>
      <c r="T15" s="15">
        <v>0.05</v>
      </c>
      <c r="U15" s="15">
        <v>0.06</v>
      </c>
      <c r="V15" s="15">
        <v>0.06</v>
      </c>
      <c r="W15" s="15">
        <v>0.04</v>
      </c>
      <c r="X15" s="15">
        <v>0.01</v>
      </c>
      <c r="Y15" s="15">
        <v>0.05</v>
      </c>
      <c r="Z15" s="15">
        <v>0.05</v>
      </c>
      <c r="AA15" s="15">
        <v>0.14000000000000001</v>
      </c>
      <c r="AB15" s="15">
        <v>0.11</v>
      </c>
      <c r="AC15" s="15">
        <v>0.04</v>
      </c>
      <c r="AD15" s="15">
        <v>7.0000000000000007E-2</v>
      </c>
      <c r="AE15" s="15">
        <v>0.08</v>
      </c>
      <c r="AF15" s="15">
        <v>0.03</v>
      </c>
    </row>
    <row r="16" spans="1:32" x14ac:dyDescent="0.35">
      <c r="A16" s="19"/>
      <c r="B16" s="11" t="s">
        <v>906</v>
      </c>
      <c r="C16" s="12">
        <v>1752</v>
      </c>
      <c r="D16" s="12">
        <v>52</v>
      </c>
      <c r="E16" s="12">
        <v>152</v>
      </c>
      <c r="F16" s="12">
        <v>77</v>
      </c>
      <c r="G16" s="12">
        <v>47</v>
      </c>
      <c r="H16" s="12">
        <v>102</v>
      </c>
      <c r="I16" s="12">
        <v>120</v>
      </c>
      <c r="J16" s="12">
        <v>18</v>
      </c>
      <c r="K16" s="12">
        <v>56</v>
      </c>
      <c r="L16" s="12">
        <v>53</v>
      </c>
      <c r="M16" s="12">
        <v>67</v>
      </c>
      <c r="N16" s="12">
        <v>63</v>
      </c>
      <c r="O16" s="12">
        <v>64</v>
      </c>
      <c r="P16" s="12">
        <v>63</v>
      </c>
      <c r="Q16" s="12">
        <v>55</v>
      </c>
      <c r="R16" s="12">
        <v>40</v>
      </c>
      <c r="S16" s="12">
        <v>68</v>
      </c>
      <c r="T16" s="12">
        <v>111</v>
      </c>
      <c r="U16" s="12">
        <v>44</v>
      </c>
      <c r="V16" s="12">
        <v>79</v>
      </c>
      <c r="W16" s="12">
        <v>20</v>
      </c>
      <c r="X16" s="12">
        <v>48</v>
      </c>
      <c r="Y16" s="12">
        <v>79</v>
      </c>
      <c r="Z16" s="12">
        <v>48</v>
      </c>
      <c r="AA16" s="12">
        <v>134</v>
      </c>
      <c r="AB16" s="12">
        <v>67</v>
      </c>
      <c r="AC16" s="12">
        <v>81</v>
      </c>
      <c r="AD16" s="12">
        <v>82</v>
      </c>
      <c r="AE16" s="12">
        <v>53</v>
      </c>
      <c r="AF16" s="12">
        <v>59</v>
      </c>
    </row>
    <row r="17" spans="1:32" x14ac:dyDescent="0.35">
      <c r="A17" s="19"/>
      <c r="B17" s="13" t="s">
        <v>907</v>
      </c>
      <c r="C17" s="15">
        <v>7.0000000000000007E-2</v>
      </c>
      <c r="D17" s="15">
        <v>0.05</v>
      </c>
      <c r="E17" s="15">
        <v>0.15</v>
      </c>
      <c r="F17" s="15">
        <v>7.0000000000000007E-2</v>
      </c>
      <c r="G17" s="15">
        <v>0.05</v>
      </c>
      <c r="H17" s="15">
        <v>0.08</v>
      </c>
      <c r="I17" s="15">
        <v>0.08</v>
      </c>
      <c r="J17" s="15">
        <v>0.06</v>
      </c>
      <c r="K17" s="15">
        <v>0.06</v>
      </c>
      <c r="L17" s="15">
        <v>0.05</v>
      </c>
      <c r="M17" s="15">
        <v>7.0000000000000007E-2</v>
      </c>
      <c r="N17" s="15">
        <v>0.06</v>
      </c>
      <c r="O17" s="15">
        <v>0.06</v>
      </c>
      <c r="P17" s="15">
        <v>0.06</v>
      </c>
      <c r="Q17" s="15">
        <v>0.05</v>
      </c>
      <c r="R17" s="15">
        <v>0.08</v>
      </c>
      <c r="S17" s="15">
        <v>7.0000000000000007E-2</v>
      </c>
      <c r="T17" s="15">
        <v>0.11</v>
      </c>
      <c r="U17" s="15">
        <v>0.09</v>
      </c>
      <c r="V17" s="15">
        <v>0.08</v>
      </c>
      <c r="W17" s="15">
        <v>0.04</v>
      </c>
      <c r="X17" s="15">
        <v>0.05</v>
      </c>
      <c r="Y17" s="15">
        <v>0.08</v>
      </c>
      <c r="Z17" s="15">
        <v>0.05</v>
      </c>
      <c r="AA17" s="15">
        <v>0.13</v>
      </c>
      <c r="AB17" s="15">
        <v>0.06</v>
      </c>
      <c r="AC17" s="15">
        <v>0.08</v>
      </c>
      <c r="AD17" s="15">
        <v>0.08</v>
      </c>
      <c r="AE17" s="15">
        <v>0.05</v>
      </c>
      <c r="AF17" s="15">
        <v>0.06</v>
      </c>
    </row>
    <row r="18" spans="1:32" x14ac:dyDescent="0.35">
      <c r="A18" s="19"/>
      <c r="B18" s="11" t="s">
        <v>908</v>
      </c>
      <c r="C18" s="12">
        <v>1160</v>
      </c>
      <c r="D18" s="12">
        <v>59</v>
      </c>
      <c r="E18" s="12">
        <v>35</v>
      </c>
      <c r="F18" s="12">
        <v>23</v>
      </c>
      <c r="G18" s="12">
        <v>12</v>
      </c>
      <c r="H18" s="12">
        <v>39</v>
      </c>
      <c r="I18" s="12">
        <v>52</v>
      </c>
      <c r="J18" s="12">
        <v>13</v>
      </c>
      <c r="K18" s="12">
        <v>73</v>
      </c>
      <c r="L18" s="12">
        <v>41</v>
      </c>
      <c r="M18" s="12">
        <v>43</v>
      </c>
      <c r="N18" s="12">
        <v>61</v>
      </c>
      <c r="O18" s="12">
        <v>66</v>
      </c>
      <c r="P18" s="12">
        <v>66</v>
      </c>
      <c r="Q18" s="12">
        <v>50</v>
      </c>
      <c r="R18" s="12">
        <v>25</v>
      </c>
      <c r="S18" s="12">
        <v>54</v>
      </c>
      <c r="T18" s="12">
        <v>53</v>
      </c>
      <c r="U18" s="12">
        <v>27</v>
      </c>
      <c r="V18" s="12">
        <v>29</v>
      </c>
      <c r="W18" s="12">
        <v>32</v>
      </c>
      <c r="X18" s="12">
        <v>20</v>
      </c>
      <c r="Y18" s="12">
        <v>45</v>
      </c>
      <c r="Z18" s="12">
        <v>27</v>
      </c>
      <c r="AA18" s="12">
        <v>35</v>
      </c>
      <c r="AB18" s="12">
        <v>54</v>
      </c>
      <c r="AC18" s="12">
        <v>42</v>
      </c>
      <c r="AD18" s="12">
        <v>33</v>
      </c>
      <c r="AE18" s="12">
        <v>23</v>
      </c>
      <c r="AF18" s="12">
        <v>22</v>
      </c>
    </row>
    <row r="19" spans="1:32" x14ac:dyDescent="0.35">
      <c r="A19" s="19"/>
      <c r="B19" s="13" t="s">
        <v>909</v>
      </c>
      <c r="C19" s="15">
        <v>0.04</v>
      </c>
      <c r="D19" s="15">
        <v>0.06</v>
      </c>
      <c r="E19" s="15">
        <v>0.03</v>
      </c>
      <c r="F19" s="15">
        <v>0.02</v>
      </c>
      <c r="G19" s="15">
        <v>0.01</v>
      </c>
      <c r="H19" s="15">
        <v>0.03</v>
      </c>
      <c r="I19" s="15">
        <v>0.03</v>
      </c>
      <c r="J19" s="15">
        <v>0.04</v>
      </c>
      <c r="K19" s="15">
        <v>7.0000000000000007E-2</v>
      </c>
      <c r="L19" s="15">
        <v>0.04</v>
      </c>
      <c r="M19" s="15">
        <v>0.04</v>
      </c>
      <c r="N19" s="15">
        <v>0.06</v>
      </c>
      <c r="O19" s="15">
        <v>7.0000000000000007E-2</v>
      </c>
      <c r="P19" s="15">
        <v>7.0000000000000007E-2</v>
      </c>
      <c r="Q19" s="15">
        <v>0.05</v>
      </c>
      <c r="R19" s="15">
        <v>0.05</v>
      </c>
      <c r="S19" s="15">
        <v>0.05</v>
      </c>
      <c r="T19" s="15">
        <v>0.05</v>
      </c>
      <c r="U19" s="15">
        <v>0.05</v>
      </c>
      <c r="V19" s="15">
        <v>0.03</v>
      </c>
      <c r="W19" s="15">
        <v>0.06</v>
      </c>
      <c r="X19" s="15">
        <v>0.02</v>
      </c>
      <c r="Y19" s="15">
        <v>0.05</v>
      </c>
      <c r="Z19" s="15">
        <v>0.03</v>
      </c>
      <c r="AA19" s="15">
        <v>0.03</v>
      </c>
      <c r="AB19" s="15">
        <v>0.05</v>
      </c>
      <c r="AC19" s="15">
        <v>0.04</v>
      </c>
      <c r="AD19" s="15">
        <v>0.03</v>
      </c>
      <c r="AE19" s="15">
        <v>0.02</v>
      </c>
      <c r="AF19" s="15">
        <v>0.02</v>
      </c>
    </row>
    <row r="20" spans="1:32" x14ac:dyDescent="0.35">
      <c r="A20" s="19"/>
      <c r="B20" s="11" t="s">
        <v>910</v>
      </c>
      <c r="C20" s="12">
        <v>923</v>
      </c>
      <c r="D20" s="12">
        <v>18</v>
      </c>
      <c r="E20" s="12">
        <v>34</v>
      </c>
      <c r="F20" s="12">
        <v>52</v>
      </c>
      <c r="G20" s="12">
        <v>31</v>
      </c>
      <c r="H20" s="12">
        <v>36</v>
      </c>
      <c r="I20" s="12">
        <v>45</v>
      </c>
      <c r="J20" s="12">
        <v>8</v>
      </c>
      <c r="K20" s="12">
        <v>47</v>
      </c>
      <c r="L20" s="12">
        <v>21</v>
      </c>
      <c r="M20" s="12">
        <v>8</v>
      </c>
      <c r="N20" s="12">
        <v>41</v>
      </c>
      <c r="O20" s="12">
        <v>28</v>
      </c>
      <c r="P20" s="12">
        <v>25</v>
      </c>
      <c r="Q20" s="12">
        <v>60</v>
      </c>
      <c r="R20" s="12">
        <v>12</v>
      </c>
      <c r="S20" s="12">
        <v>14</v>
      </c>
      <c r="T20" s="12">
        <v>27</v>
      </c>
      <c r="U20" s="12">
        <v>16</v>
      </c>
      <c r="V20" s="12">
        <v>29</v>
      </c>
      <c r="W20" s="12">
        <v>20</v>
      </c>
      <c r="X20" s="12">
        <v>34</v>
      </c>
      <c r="Y20" s="12">
        <v>42</v>
      </c>
      <c r="Z20" s="12">
        <v>29</v>
      </c>
      <c r="AA20" s="12">
        <v>15</v>
      </c>
      <c r="AB20" s="12">
        <v>37</v>
      </c>
      <c r="AC20" s="12">
        <v>38</v>
      </c>
      <c r="AD20" s="12">
        <v>30</v>
      </c>
      <c r="AE20" s="12">
        <v>40</v>
      </c>
      <c r="AF20" s="12">
        <v>55</v>
      </c>
    </row>
    <row r="21" spans="1:32" x14ac:dyDescent="0.35">
      <c r="A21" s="19"/>
      <c r="B21" s="13" t="s">
        <v>911</v>
      </c>
      <c r="C21" s="15">
        <v>0.03</v>
      </c>
      <c r="D21" s="15">
        <v>0.02</v>
      </c>
      <c r="E21" s="15">
        <v>0.03</v>
      </c>
      <c r="F21" s="15">
        <v>0.05</v>
      </c>
      <c r="G21" s="15">
        <v>0.03</v>
      </c>
      <c r="H21" s="15">
        <v>0.03</v>
      </c>
      <c r="I21" s="15">
        <v>0.03</v>
      </c>
      <c r="J21" s="15">
        <v>0.03</v>
      </c>
      <c r="K21" s="15">
        <v>0.05</v>
      </c>
      <c r="L21" s="15">
        <v>0.02</v>
      </c>
      <c r="M21" s="15">
        <v>0.01</v>
      </c>
      <c r="N21" s="15">
        <v>0.04</v>
      </c>
      <c r="O21" s="15">
        <v>0.03</v>
      </c>
      <c r="P21" s="15">
        <v>0.03</v>
      </c>
      <c r="Q21" s="15">
        <v>0.06</v>
      </c>
      <c r="R21" s="15">
        <v>0.02</v>
      </c>
      <c r="S21" s="15">
        <v>0.01</v>
      </c>
      <c r="T21" s="15">
        <v>0.03</v>
      </c>
      <c r="U21" s="15">
        <v>0.03</v>
      </c>
      <c r="V21" s="15">
        <v>0.03</v>
      </c>
      <c r="W21" s="15">
        <v>0.04</v>
      </c>
      <c r="X21" s="15">
        <v>0.03</v>
      </c>
      <c r="Y21" s="15">
        <v>0.04</v>
      </c>
      <c r="Z21" s="15">
        <v>0.03</v>
      </c>
      <c r="AA21" s="15">
        <v>0.01</v>
      </c>
      <c r="AB21" s="15">
        <v>0.03</v>
      </c>
      <c r="AC21" s="15">
        <v>0.04</v>
      </c>
      <c r="AD21" s="15">
        <v>0.03</v>
      </c>
      <c r="AE21" s="15">
        <v>0.04</v>
      </c>
      <c r="AF21" s="15">
        <v>0.05</v>
      </c>
    </row>
    <row r="22" spans="1:32" x14ac:dyDescent="0.35">
      <c r="A22" s="19"/>
      <c r="B22" s="11" t="s">
        <v>912</v>
      </c>
      <c r="C22" s="12">
        <v>2273</v>
      </c>
      <c r="D22" s="12">
        <v>129</v>
      </c>
      <c r="E22" s="12">
        <v>57</v>
      </c>
      <c r="F22" s="12">
        <v>41</v>
      </c>
      <c r="G22" s="12">
        <v>208</v>
      </c>
      <c r="H22" s="12">
        <v>106</v>
      </c>
      <c r="I22" s="12">
        <v>124</v>
      </c>
      <c r="J22" s="12">
        <v>18</v>
      </c>
      <c r="K22" s="12">
        <v>27</v>
      </c>
      <c r="L22" s="12">
        <v>104</v>
      </c>
      <c r="M22" s="12">
        <v>36</v>
      </c>
      <c r="N22" s="12">
        <v>49</v>
      </c>
      <c r="O22" s="12">
        <v>115</v>
      </c>
      <c r="P22" s="12">
        <v>62</v>
      </c>
      <c r="Q22" s="12">
        <v>89</v>
      </c>
      <c r="R22" s="12">
        <v>23</v>
      </c>
      <c r="S22" s="12">
        <v>24</v>
      </c>
      <c r="T22" s="12">
        <v>11</v>
      </c>
      <c r="U22" s="12">
        <v>44</v>
      </c>
      <c r="V22" s="12">
        <v>70</v>
      </c>
      <c r="W22" s="12">
        <v>73</v>
      </c>
      <c r="X22" s="12">
        <v>196</v>
      </c>
      <c r="Y22" s="12">
        <v>83</v>
      </c>
      <c r="Z22" s="12">
        <v>47</v>
      </c>
      <c r="AA22" s="12">
        <v>35</v>
      </c>
      <c r="AB22" s="12">
        <v>49</v>
      </c>
      <c r="AC22" s="12">
        <v>65</v>
      </c>
      <c r="AD22" s="12">
        <v>43</v>
      </c>
      <c r="AE22" s="12">
        <v>132</v>
      </c>
      <c r="AF22" s="12">
        <v>270</v>
      </c>
    </row>
    <row r="23" spans="1:32" x14ac:dyDescent="0.35">
      <c r="A23" s="19"/>
      <c r="B23" s="13" t="s">
        <v>913</v>
      </c>
      <c r="C23" s="15">
        <v>0.09</v>
      </c>
      <c r="D23" s="15">
        <v>0.13</v>
      </c>
      <c r="E23" s="15">
        <v>0.06</v>
      </c>
      <c r="F23" s="15">
        <v>0.04</v>
      </c>
      <c r="G23" s="15">
        <v>0.21</v>
      </c>
      <c r="H23" s="15">
        <v>0.09</v>
      </c>
      <c r="I23" s="15">
        <v>0.08</v>
      </c>
      <c r="J23" s="15">
        <v>0.06</v>
      </c>
      <c r="K23" s="15">
        <v>0.03</v>
      </c>
      <c r="L23" s="15">
        <v>0.1</v>
      </c>
      <c r="M23" s="15">
        <v>0.04</v>
      </c>
      <c r="N23" s="15">
        <v>0.05</v>
      </c>
      <c r="O23" s="15">
        <v>0.12</v>
      </c>
      <c r="P23" s="15">
        <v>0.06</v>
      </c>
      <c r="Q23" s="15">
        <v>0.09</v>
      </c>
      <c r="R23" s="15">
        <v>0.05</v>
      </c>
      <c r="S23" s="15">
        <v>0.02</v>
      </c>
      <c r="T23" s="15">
        <v>0.01</v>
      </c>
      <c r="U23" s="15">
        <v>0.09</v>
      </c>
      <c r="V23" s="15">
        <v>7.0000000000000007E-2</v>
      </c>
      <c r="W23" s="15">
        <v>0.14000000000000001</v>
      </c>
      <c r="X23" s="15">
        <v>0.19</v>
      </c>
      <c r="Y23" s="15">
        <v>0.08</v>
      </c>
      <c r="Z23" s="15">
        <v>0.05</v>
      </c>
      <c r="AA23" s="15">
        <v>0.03</v>
      </c>
      <c r="AB23" s="15">
        <v>0.05</v>
      </c>
      <c r="AC23" s="15">
        <v>0.06</v>
      </c>
      <c r="AD23" s="15">
        <v>0.04</v>
      </c>
      <c r="AE23" s="15">
        <v>0.13</v>
      </c>
      <c r="AF23" s="15">
        <v>0.26</v>
      </c>
    </row>
    <row r="24" spans="1:32" x14ac:dyDescent="0.35">
      <c r="A24" s="19"/>
      <c r="B24" s="11" t="s">
        <v>914</v>
      </c>
      <c r="C24" s="12">
        <v>2908</v>
      </c>
      <c r="D24" s="12">
        <v>156</v>
      </c>
      <c r="E24" s="12">
        <v>38</v>
      </c>
      <c r="F24" s="12">
        <v>179</v>
      </c>
      <c r="G24" s="12">
        <v>73</v>
      </c>
      <c r="H24" s="12">
        <v>112</v>
      </c>
      <c r="I24" s="12">
        <v>155</v>
      </c>
      <c r="J24" s="12">
        <v>44</v>
      </c>
      <c r="K24" s="12">
        <v>43</v>
      </c>
      <c r="L24" s="12">
        <v>227</v>
      </c>
      <c r="M24" s="12">
        <v>72</v>
      </c>
      <c r="N24" s="12">
        <v>157</v>
      </c>
      <c r="O24" s="12">
        <v>114</v>
      </c>
      <c r="P24" s="12">
        <v>73</v>
      </c>
      <c r="Q24" s="12">
        <v>98</v>
      </c>
      <c r="R24" s="12">
        <v>147</v>
      </c>
      <c r="S24" s="12">
        <v>58</v>
      </c>
      <c r="T24" s="12">
        <v>55</v>
      </c>
      <c r="U24" s="12">
        <v>63</v>
      </c>
      <c r="V24" s="12">
        <v>84</v>
      </c>
      <c r="W24" s="12">
        <v>83</v>
      </c>
      <c r="X24" s="12">
        <v>200</v>
      </c>
      <c r="Y24" s="12">
        <v>106</v>
      </c>
      <c r="Z24" s="12">
        <v>113</v>
      </c>
      <c r="AA24" s="12">
        <v>91</v>
      </c>
      <c r="AB24" s="12">
        <v>49</v>
      </c>
      <c r="AC24" s="12">
        <v>121</v>
      </c>
      <c r="AD24" s="12">
        <v>57</v>
      </c>
      <c r="AE24" s="12">
        <v>35</v>
      </c>
      <c r="AF24" s="12">
        <v>63</v>
      </c>
    </row>
    <row r="25" spans="1:32" x14ac:dyDescent="0.35">
      <c r="A25" s="19"/>
      <c r="B25" s="13" t="s">
        <v>915</v>
      </c>
      <c r="C25" s="15">
        <v>0.11</v>
      </c>
      <c r="D25" s="15">
        <v>0.15</v>
      </c>
      <c r="E25" s="15">
        <v>0.04</v>
      </c>
      <c r="F25" s="15">
        <v>0.16</v>
      </c>
      <c r="G25" s="15">
        <v>7.0000000000000007E-2</v>
      </c>
      <c r="H25" s="15">
        <v>0.09</v>
      </c>
      <c r="I25" s="15">
        <v>0.1</v>
      </c>
      <c r="J25" s="15">
        <v>0.15</v>
      </c>
      <c r="K25" s="15">
        <v>0.04</v>
      </c>
      <c r="L25" s="15">
        <v>0.23</v>
      </c>
      <c r="M25" s="15">
        <v>7.0000000000000007E-2</v>
      </c>
      <c r="N25" s="15">
        <v>0.16</v>
      </c>
      <c r="O25" s="15">
        <v>0.11</v>
      </c>
      <c r="P25" s="15">
        <v>7.0000000000000007E-2</v>
      </c>
      <c r="Q25" s="15">
        <v>0.1</v>
      </c>
      <c r="R25" s="15">
        <v>0.28999999999999998</v>
      </c>
      <c r="S25" s="15">
        <v>0.06</v>
      </c>
      <c r="T25" s="15">
        <v>0.06</v>
      </c>
      <c r="U25" s="15">
        <v>0.12</v>
      </c>
      <c r="V25" s="15">
        <v>0.08</v>
      </c>
      <c r="W25" s="15">
        <v>0.16</v>
      </c>
      <c r="X25" s="15">
        <v>0.2</v>
      </c>
      <c r="Y25" s="15">
        <v>0.11</v>
      </c>
      <c r="Z25" s="15">
        <v>0.11</v>
      </c>
      <c r="AA25" s="15">
        <v>0.09</v>
      </c>
      <c r="AB25" s="15">
        <v>0.05</v>
      </c>
      <c r="AC25" s="15">
        <v>0.12</v>
      </c>
      <c r="AD25" s="15">
        <v>0.06</v>
      </c>
      <c r="AE25" s="15">
        <v>0.04</v>
      </c>
      <c r="AF25" s="15">
        <v>0.06</v>
      </c>
    </row>
    <row r="26" spans="1:32" x14ac:dyDescent="0.35">
      <c r="A26" s="19"/>
      <c r="B26" s="11" t="s">
        <v>607</v>
      </c>
      <c r="C26" s="12">
        <v>4245</v>
      </c>
      <c r="D26" s="12">
        <v>127</v>
      </c>
      <c r="E26" s="12">
        <v>118</v>
      </c>
      <c r="F26" s="12">
        <v>201</v>
      </c>
      <c r="G26" s="12">
        <v>309</v>
      </c>
      <c r="H26" s="12">
        <v>288</v>
      </c>
      <c r="I26" s="12">
        <v>348</v>
      </c>
      <c r="J26" s="12">
        <v>60</v>
      </c>
      <c r="K26" s="12">
        <v>222</v>
      </c>
      <c r="L26" s="12">
        <v>81</v>
      </c>
      <c r="M26" s="12">
        <v>68</v>
      </c>
      <c r="N26" s="12">
        <v>80</v>
      </c>
      <c r="O26" s="12">
        <v>141</v>
      </c>
      <c r="P26" s="12">
        <v>117</v>
      </c>
      <c r="Q26" s="12">
        <v>123</v>
      </c>
      <c r="R26" s="12">
        <v>64</v>
      </c>
      <c r="S26" s="12">
        <v>254</v>
      </c>
      <c r="T26" s="12">
        <v>314</v>
      </c>
      <c r="U26" s="12">
        <v>76</v>
      </c>
      <c r="V26" s="12">
        <v>155</v>
      </c>
      <c r="W26" s="12">
        <v>50</v>
      </c>
      <c r="X26" s="12">
        <v>208</v>
      </c>
      <c r="Y26" s="12">
        <v>140</v>
      </c>
      <c r="Z26" s="12">
        <v>250</v>
      </c>
      <c r="AA26" s="12">
        <v>116</v>
      </c>
      <c r="AB26" s="12">
        <v>118</v>
      </c>
      <c r="AC26" s="12">
        <v>79</v>
      </c>
      <c r="AD26" s="12">
        <v>144</v>
      </c>
      <c r="AE26" s="12">
        <v>296</v>
      </c>
      <c r="AF26" s="12">
        <v>162</v>
      </c>
    </row>
    <row r="27" spans="1:32" x14ac:dyDescent="0.35">
      <c r="A27" s="19"/>
      <c r="B27" s="13" t="s">
        <v>608</v>
      </c>
      <c r="C27" s="15">
        <v>0.16</v>
      </c>
      <c r="D27" s="15">
        <v>0.12</v>
      </c>
      <c r="E27" s="15">
        <v>0.11</v>
      </c>
      <c r="F27" s="15">
        <v>0.18</v>
      </c>
      <c r="G27" s="15">
        <v>0.31</v>
      </c>
      <c r="H27" s="15">
        <v>0.23</v>
      </c>
      <c r="I27" s="15">
        <v>0.23</v>
      </c>
      <c r="J27" s="15">
        <v>0.2</v>
      </c>
      <c r="K27" s="15">
        <v>0.22</v>
      </c>
      <c r="L27" s="15">
        <v>0.08</v>
      </c>
      <c r="M27" s="15">
        <v>7.0000000000000007E-2</v>
      </c>
      <c r="N27" s="15">
        <v>0.08</v>
      </c>
      <c r="O27" s="15">
        <v>0.14000000000000001</v>
      </c>
      <c r="P27" s="15">
        <v>0.12</v>
      </c>
      <c r="Q27" s="15">
        <v>0.12</v>
      </c>
      <c r="R27" s="15">
        <v>0.13</v>
      </c>
      <c r="S27" s="15">
        <v>0.25</v>
      </c>
      <c r="T27" s="15">
        <v>0.31</v>
      </c>
      <c r="U27" s="15">
        <v>0.15</v>
      </c>
      <c r="V27" s="15">
        <v>0.15</v>
      </c>
      <c r="W27" s="15">
        <v>0.1</v>
      </c>
      <c r="X27" s="15">
        <v>0.21</v>
      </c>
      <c r="Y27" s="15">
        <v>0.14000000000000001</v>
      </c>
      <c r="Z27" s="15">
        <v>0.24</v>
      </c>
      <c r="AA27" s="15">
        <v>0.11</v>
      </c>
      <c r="AB27" s="15">
        <v>0.11</v>
      </c>
      <c r="AC27" s="15">
        <v>0.08</v>
      </c>
      <c r="AD27" s="15">
        <v>0.14000000000000001</v>
      </c>
      <c r="AE27" s="15">
        <v>0.28999999999999998</v>
      </c>
      <c r="AF27" s="15">
        <v>0.16</v>
      </c>
    </row>
    <row r="28" spans="1:32" x14ac:dyDescent="0.35">
      <c r="A28" s="19"/>
      <c r="B28" s="11" t="s">
        <v>916</v>
      </c>
      <c r="C28" s="12">
        <v>982</v>
      </c>
      <c r="D28" s="12">
        <v>28</v>
      </c>
      <c r="E28" s="12">
        <v>51</v>
      </c>
      <c r="F28" s="12">
        <v>38</v>
      </c>
      <c r="G28" s="12">
        <v>21</v>
      </c>
      <c r="H28" s="12">
        <v>21</v>
      </c>
      <c r="I28" s="12">
        <v>24</v>
      </c>
      <c r="J28" s="12">
        <v>4</v>
      </c>
      <c r="K28" s="12">
        <v>41</v>
      </c>
      <c r="L28" s="12">
        <v>34</v>
      </c>
      <c r="M28" s="12">
        <v>45</v>
      </c>
      <c r="N28" s="12">
        <v>55</v>
      </c>
      <c r="O28" s="12">
        <v>58</v>
      </c>
      <c r="P28" s="12">
        <v>76</v>
      </c>
      <c r="Q28" s="12">
        <v>18</v>
      </c>
      <c r="R28" s="12">
        <v>7</v>
      </c>
      <c r="S28" s="12">
        <v>67</v>
      </c>
      <c r="T28" s="12">
        <v>31</v>
      </c>
      <c r="U28" s="12">
        <v>14</v>
      </c>
      <c r="V28" s="12">
        <v>28</v>
      </c>
      <c r="W28" s="12">
        <v>7</v>
      </c>
      <c r="X28" s="12">
        <v>15</v>
      </c>
      <c r="Y28" s="12">
        <v>29</v>
      </c>
      <c r="Z28" s="12">
        <v>32</v>
      </c>
      <c r="AA28" s="12">
        <v>27</v>
      </c>
      <c r="AB28" s="12">
        <v>98</v>
      </c>
      <c r="AC28" s="12">
        <v>104</v>
      </c>
      <c r="AD28" s="12">
        <v>80</v>
      </c>
      <c r="AE28" s="12">
        <v>59</v>
      </c>
      <c r="AF28" s="12">
        <v>45</v>
      </c>
    </row>
    <row r="29" spans="1:32" x14ac:dyDescent="0.35">
      <c r="A29" s="19"/>
      <c r="B29" s="13" t="s">
        <v>917</v>
      </c>
      <c r="C29" s="15">
        <v>0.04</v>
      </c>
      <c r="D29" s="15">
        <v>0.03</v>
      </c>
      <c r="E29" s="15">
        <v>0.05</v>
      </c>
      <c r="F29" s="15">
        <v>0.03</v>
      </c>
      <c r="G29" s="15">
        <v>0.02</v>
      </c>
      <c r="H29" s="15">
        <v>0.02</v>
      </c>
      <c r="I29" s="15">
        <v>0.02</v>
      </c>
      <c r="J29" s="15">
        <v>0.01</v>
      </c>
      <c r="K29" s="15">
        <v>0.04</v>
      </c>
      <c r="L29" s="15">
        <v>0.04</v>
      </c>
      <c r="M29" s="15">
        <v>0.04</v>
      </c>
      <c r="N29" s="15">
        <v>0.06</v>
      </c>
      <c r="O29" s="15">
        <v>0.06</v>
      </c>
      <c r="P29" s="15">
        <v>0.08</v>
      </c>
      <c r="Q29" s="15">
        <v>0.02</v>
      </c>
      <c r="R29" s="15">
        <v>0.01</v>
      </c>
      <c r="S29" s="15">
        <v>7.0000000000000007E-2</v>
      </c>
      <c r="T29" s="15">
        <v>0.03</v>
      </c>
      <c r="U29" s="15">
        <v>0.03</v>
      </c>
      <c r="V29" s="15">
        <v>0.03</v>
      </c>
      <c r="W29" s="15">
        <v>0.01</v>
      </c>
      <c r="X29" s="15">
        <v>0.01</v>
      </c>
      <c r="Y29" s="15">
        <v>0.03</v>
      </c>
      <c r="Z29" s="15">
        <v>0.03</v>
      </c>
      <c r="AA29" s="15">
        <v>0.03</v>
      </c>
      <c r="AB29" s="15">
        <v>0.09</v>
      </c>
      <c r="AC29" s="15">
        <v>0.1</v>
      </c>
      <c r="AD29" s="15">
        <v>0.08</v>
      </c>
      <c r="AE29" s="15">
        <v>0.06</v>
      </c>
      <c r="AF29" s="15">
        <v>0.04</v>
      </c>
    </row>
    <row r="30" spans="1:32" ht="41.5" x14ac:dyDescent="0.35">
      <c r="A30" s="19"/>
      <c r="B30" s="11" t="s">
        <v>918</v>
      </c>
      <c r="C30" s="12">
        <v>980</v>
      </c>
      <c r="D30" s="12">
        <v>31</v>
      </c>
      <c r="E30" s="12">
        <v>36</v>
      </c>
      <c r="F30" s="12">
        <v>65</v>
      </c>
      <c r="G30" s="12">
        <v>15</v>
      </c>
      <c r="H30" s="12">
        <v>69</v>
      </c>
      <c r="I30" s="12">
        <v>85</v>
      </c>
      <c r="J30" s="12">
        <v>16</v>
      </c>
      <c r="K30" s="12">
        <v>45</v>
      </c>
      <c r="L30" s="12">
        <v>20</v>
      </c>
      <c r="M30" s="12">
        <v>14</v>
      </c>
      <c r="N30" s="12">
        <v>17</v>
      </c>
      <c r="O30" s="12">
        <v>18</v>
      </c>
      <c r="P30" s="12">
        <v>59</v>
      </c>
      <c r="Q30" s="12">
        <v>35</v>
      </c>
      <c r="R30" s="12">
        <v>5</v>
      </c>
      <c r="S30" s="12">
        <v>25</v>
      </c>
      <c r="T30" s="12">
        <v>9</v>
      </c>
      <c r="U30" s="12">
        <v>15</v>
      </c>
      <c r="V30" s="12">
        <v>35</v>
      </c>
      <c r="W30" s="12">
        <v>13</v>
      </c>
      <c r="X30" s="12">
        <v>8</v>
      </c>
      <c r="Y30" s="12">
        <v>33</v>
      </c>
      <c r="Z30" s="12">
        <v>75</v>
      </c>
      <c r="AA30" s="12">
        <v>36</v>
      </c>
      <c r="AB30" s="12">
        <v>79</v>
      </c>
      <c r="AC30" s="12">
        <v>35</v>
      </c>
      <c r="AD30" s="12">
        <v>53</v>
      </c>
      <c r="AE30" s="12">
        <v>12</v>
      </c>
      <c r="AF30" s="12">
        <v>18</v>
      </c>
    </row>
    <row r="31" spans="1:32" ht="31.5" x14ac:dyDescent="0.35">
      <c r="A31" s="19"/>
      <c r="B31" s="13" t="s">
        <v>919</v>
      </c>
      <c r="C31" s="15">
        <v>0.04</v>
      </c>
      <c r="D31" s="15">
        <v>0.03</v>
      </c>
      <c r="E31" s="15">
        <v>0.04</v>
      </c>
      <c r="F31" s="15">
        <v>0.06</v>
      </c>
      <c r="G31" s="15">
        <v>0.02</v>
      </c>
      <c r="H31" s="15">
        <v>0.06</v>
      </c>
      <c r="I31" s="15">
        <v>0.06</v>
      </c>
      <c r="J31" s="15">
        <v>0.06</v>
      </c>
      <c r="K31" s="15">
        <v>0.04</v>
      </c>
      <c r="L31" s="15">
        <v>0.02</v>
      </c>
      <c r="M31" s="15">
        <v>0.01</v>
      </c>
      <c r="N31" s="15">
        <v>0.02</v>
      </c>
      <c r="O31" s="15">
        <v>0.02</v>
      </c>
      <c r="P31" s="15">
        <v>0.06</v>
      </c>
      <c r="Q31" s="15">
        <v>0.03</v>
      </c>
      <c r="R31" s="15">
        <v>0.01</v>
      </c>
      <c r="S31" s="15">
        <v>0.03</v>
      </c>
      <c r="T31" s="15">
        <v>0.01</v>
      </c>
      <c r="U31" s="15">
        <v>0.03</v>
      </c>
      <c r="V31" s="15">
        <v>0.03</v>
      </c>
      <c r="W31" s="15">
        <v>0.03</v>
      </c>
      <c r="X31" s="15">
        <v>0.01</v>
      </c>
      <c r="Y31" s="15">
        <v>0.03</v>
      </c>
      <c r="Z31" s="15">
        <v>7.0000000000000007E-2</v>
      </c>
      <c r="AA31" s="15">
        <v>0.04</v>
      </c>
      <c r="AB31" s="15">
        <v>0.08</v>
      </c>
      <c r="AC31" s="15">
        <v>0.04</v>
      </c>
      <c r="AD31" s="15">
        <v>0.05</v>
      </c>
      <c r="AE31" s="15">
        <v>0.01</v>
      </c>
      <c r="AF31" s="15">
        <v>0.02</v>
      </c>
    </row>
    <row r="32" spans="1:32" ht="21.5" x14ac:dyDescent="0.35">
      <c r="A32" s="19"/>
      <c r="B32" s="11" t="s">
        <v>920</v>
      </c>
      <c r="C32" s="12">
        <v>566</v>
      </c>
      <c r="D32" s="12">
        <v>28</v>
      </c>
      <c r="E32" s="12">
        <v>22</v>
      </c>
      <c r="F32" s="12">
        <v>36</v>
      </c>
      <c r="G32" s="12">
        <v>29</v>
      </c>
      <c r="H32" s="12">
        <v>23</v>
      </c>
      <c r="I32" s="12">
        <v>30</v>
      </c>
      <c r="J32" s="12">
        <v>7</v>
      </c>
      <c r="K32" s="12">
        <v>39</v>
      </c>
      <c r="L32" s="12">
        <v>23</v>
      </c>
      <c r="M32" s="12">
        <v>8</v>
      </c>
      <c r="N32" s="12">
        <v>19</v>
      </c>
      <c r="O32" s="12">
        <v>16</v>
      </c>
      <c r="P32" s="12">
        <v>18</v>
      </c>
      <c r="Q32" s="12">
        <v>22</v>
      </c>
      <c r="R32" s="12">
        <v>2</v>
      </c>
      <c r="S32" s="12">
        <v>24</v>
      </c>
      <c r="T32" s="12">
        <v>20</v>
      </c>
      <c r="U32" s="12">
        <v>4</v>
      </c>
      <c r="V32" s="12">
        <v>36</v>
      </c>
      <c r="W32" s="12">
        <v>9</v>
      </c>
      <c r="X32" s="12">
        <v>13</v>
      </c>
      <c r="Y32" s="12">
        <v>39</v>
      </c>
      <c r="Z32" s="12">
        <v>34</v>
      </c>
      <c r="AA32" s="12">
        <v>5</v>
      </c>
      <c r="AB32" s="12">
        <v>31</v>
      </c>
      <c r="AC32" s="12">
        <v>14</v>
      </c>
      <c r="AD32" s="12">
        <v>25</v>
      </c>
      <c r="AE32" s="12">
        <v>20</v>
      </c>
      <c r="AF32" s="12">
        <v>21</v>
      </c>
    </row>
    <row r="33" spans="1:32" ht="21.5" x14ac:dyDescent="0.35">
      <c r="A33" s="19"/>
      <c r="B33" s="13" t="s">
        <v>921</v>
      </c>
      <c r="C33" s="15">
        <v>0.02</v>
      </c>
      <c r="D33" s="15">
        <v>0.03</v>
      </c>
      <c r="E33" s="15">
        <v>0.02</v>
      </c>
      <c r="F33" s="15">
        <v>0.03</v>
      </c>
      <c r="G33" s="15">
        <v>0.03</v>
      </c>
      <c r="H33" s="15">
        <v>0.02</v>
      </c>
      <c r="I33" s="15">
        <v>0.02</v>
      </c>
      <c r="J33" s="15">
        <v>0.02</v>
      </c>
      <c r="K33" s="15">
        <v>0.04</v>
      </c>
      <c r="L33" s="15">
        <v>0.02</v>
      </c>
      <c r="M33" s="15">
        <v>0.01</v>
      </c>
      <c r="N33" s="15">
        <v>0.02</v>
      </c>
      <c r="O33" s="15">
        <v>0.02</v>
      </c>
      <c r="P33" s="15">
        <v>0.02</v>
      </c>
      <c r="Q33" s="15">
        <v>0.02</v>
      </c>
      <c r="R33" s="15">
        <v>0.01</v>
      </c>
      <c r="S33" s="15">
        <v>0.02</v>
      </c>
      <c r="T33" s="15">
        <v>0.02</v>
      </c>
      <c r="U33" s="15">
        <v>0.01</v>
      </c>
      <c r="V33" s="15">
        <v>0.04</v>
      </c>
      <c r="W33" s="15">
        <v>0.02</v>
      </c>
      <c r="X33" s="15">
        <v>0.01</v>
      </c>
      <c r="Y33" s="15">
        <v>0.04</v>
      </c>
      <c r="Z33" s="15">
        <v>0.03</v>
      </c>
      <c r="AA33" s="15">
        <v>0.01</v>
      </c>
      <c r="AB33" s="15">
        <v>0.03</v>
      </c>
      <c r="AC33" s="15">
        <v>0.01</v>
      </c>
      <c r="AD33" s="15">
        <v>0.03</v>
      </c>
      <c r="AE33" s="15">
        <v>0.02</v>
      </c>
      <c r="AF33" s="15">
        <v>0.02</v>
      </c>
    </row>
    <row r="34" spans="1:32" x14ac:dyDescent="0.35">
      <c r="A34" s="19"/>
      <c r="B34" s="11" t="s">
        <v>597</v>
      </c>
      <c r="C34" s="12">
        <v>2301</v>
      </c>
      <c r="D34" s="12">
        <v>75</v>
      </c>
      <c r="E34" s="12">
        <v>71</v>
      </c>
      <c r="F34" s="12">
        <v>69</v>
      </c>
      <c r="G34" s="12">
        <v>41</v>
      </c>
      <c r="H34" s="12">
        <v>45</v>
      </c>
      <c r="I34" s="12">
        <v>64</v>
      </c>
      <c r="J34" s="12">
        <v>18</v>
      </c>
      <c r="K34" s="12">
        <v>61</v>
      </c>
      <c r="L34" s="12">
        <v>182</v>
      </c>
      <c r="M34" s="12">
        <v>123</v>
      </c>
      <c r="N34" s="12">
        <v>118</v>
      </c>
      <c r="O34" s="12">
        <v>117</v>
      </c>
      <c r="P34" s="12">
        <v>82</v>
      </c>
      <c r="Q34" s="12">
        <v>86</v>
      </c>
      <c r="R34" s="12">
        <v>51</v>
      </c>
      <c r="S34" s="12">
        <v>143</v>
      </c>
      <c r="T34" s="12">
        <v>112</v>
      </c>
      <c r="U34" s="12">
        <v>53</v>
      </c>
      <c r="V34" s="12">
        <v>117</v>
      </c>
      <c r="W34" s="12">
        <v>64</v>
      </c>
      <c r="X34" s="12">
        <v>39</v>
      </c>
      <c r="Y34" s="12">
        <v>48</v>
      </c>
      <c r="Z34" s="12">
        <v>113</v>
      </c>
      <c r="AA34" s="12">
        <v>222</v>
      </c>
      <c r="AB34" s="12">
        <v>91</v>
      </c>
      <c r="AC34" s="12">
        <v>129</v>
      </c>
      <c r="AD34" s="12">
        <v>124</v>
      </c>
      <c r="AE34" s="12">
        <v>20</v>
      </c>
      <c r="AF34" s="12">
        <v>6</v>
      </c>
    </row>
    <row r="35" spans="1:32" x14ac:dyDescent="0.35">
      <c r="A35" s="19"/>
      <c r="B35" s="13" t="s">
        <v>598</v>
      </c>
      <c r="C35" s="15">
        <v>0.09</v>
      </c>
      <c r="D35" s="15">
        <v>7.0000000000000007E-2</v>
      </c>
      <c r="E35" s="15">
        <v>7.0000000000000007E-2</v>
      </c>
      <c r="F35" s="15">
        <v>0.06</v>
      </c>
      <c r="G35" s="15">
        <v>0.04</v>
      </c>
      <c r="H35" s="15">
        <v>0.04</v>
      </c>
      <c r="I35" s="15">
        <v>0.04</v>
      </c>
      <c r="J35" s="15">
        <v>0.06</v>
      </c>
      <c r="K35" s="15">
        <v>0.06</v>
      </c>
      <c r="L35" s="15">
        <v>0.18</v>
      </c>
      <c r="M35" s="15">
        <v>0.12</v>
      </c>
      <c r="N35" s="15">
        <v>0.12</v>
      </c>
      <c r="O35" s="15">
        <v>0.12</v>
      </c>
      <c r="P35" s="15">
        <v>0.08</v>
      </c>
      <c r="Q35" s="15">
        <v>0.08</v>
      </c>
      <c r="R35" s="15">
        <v>0.1</v>
      </c>
      <c r="S35" s="15">
        <v>0.14000000000000001</v>
      </c>
      <c r="T35" s="15">
        <v>0.11</v>
      </c>
      <c r="U35" s="15">
        <v>0.11</v>
      </c>
      <c r="V35" s="15">
        <v>0.11</v>
      </c>
      <c r="W35" s="15">
        <v>0.13</v>
      </c>
      <c r="X35" s="15">
        <v>0.04</v>
      </c>
      <c r="Y35" s="15">
        <v>0.05</v>
      </c>
      <c r="Z35" s="15">
        <v>0.11</v>
      </c>
      <c r="AA35" s="15">
        <v>0.22</v>
      </c>
      <c r="AB35" s="15">
        <v>0.09</v>
      </c>
      <c r="AC35" s="15">
        <v>0.13</v>
      </c>
      <c r="AD35" s="15">
        <v>0.12</v>
      </c>
      <c r="AE35" s="15">
        <v>0.02</v>
      </c>
      <c r="AF35" s="15">
        <v>0.01</v>
      </c>
    </row>
    <row r="36" spans="1:32" x14ac:dyDescent="0.35">
      <c r="A36" s="19"/>
      <c r="B36" s="11" t="s">
        <v>922</v>
      </c>
      <c r="C36" s="12">
        <v>1297</v>
      </c>
      <c r="D36" s="12">
        <v>48</v>
      </c>
      <c r="E36" s="12">
        <v>42</v>
      </c>
      <c r="F36" s="12">
        <v>42</v>
      </c>
      <c r="G36" s="12">
        <v>35</v>
      </c>
      <c r="H36" s="12">
        <v>104</v>
      </c>
      <c r="I36" s="12">
        <v>119</v>
      </c>
      <c r="J36" s="12">
        <v>15</v>
      </c>
      <c r="K36" s="12">
        <v>21</v>
      </c>
      <c r="L36" s="12">
        <v>23</v>
      </c>
      <c r="M36" s="12">
        <v>37</v>
      </c>
      <c r="N36" s="12">
        <v>24</v>
      </c>
      <c r="O36" s="12">
        <v>34</v>
      </c>
      <c r="P36" s="12">
        <v>34</v>
      </c>
      <c r="Q36" s="12">
        <v>56</v>
      </c>
      <c r="R36" s="12">
        <v>7</v>
      </c>
      <c r="S36" s="12">
        <v>23</v>
      </c>
      <c r="T36" s="12">
        <v>19</v>
      </c>
      <c r="U36" s="12">
        <v>38</v>
      </c>
      <c r="V36" s="12">
        <v>58</v>
      </c>
      <c r="W36" s="12">
        <v>32</v>
      </c>
      <c r="X36" s="12">
        <v>50</v>
      </c>
      <c r="Y36" s="12">
        <v>59</v>
      </c>
      <c r="Z36" s="12">
        <v>41</v>
      </c>
      <c r="AA36" s="12">
        <v>15</v>
      </c>
      <c r="AB36" s="12">
        <v>56</v>
      </c>
      <c r="AC36" s="12">
        <v>15</v>
      </c>
      <c r="AD36" s="12">
        <v>46</v>
      </c>
      <c r="AE36" s="12">
        <v>48</v>
      </c>
      <c r="AF36" s="12">
        <v>130</v>
      </c>
    </row>
    <row r="37" spans="1:32" x14ac:dyDescent="0.35">
      <c r="A37" s="19"/>
      <c r="B37" s="13" t="s">
        <v>923</v>
      </c>
      <c r="C37" s="15">
        <v>0.05</v>
      </c>
      <c r="D37" s="15">
        <v>0.05</v>
      </c>
      <c r="E37" s="15">
        <v>0.04</v>
      </c>
      <c r="F37" s="15">
        <v>0.04</v>
      </c>
      <c r="G37" s="15">
        <v>0.04</v>
      </c>
      <c r="H37" s="15">
        <v>0.08</v>
      </c>
      <c r="I37" s="15">
        <v>0.08</v>
      </c>
      <c r="J37" s="15">
        <v>0.05</v>
      </c>
      <c r="K37" s="15">
        <v>0.02</v>
      </c>
      <c r="L37" s="15">
        <v>0.02</v>
      </c>
      <c r="M37" s="15">
        <v>0.04</v>
      </c>
      <c r="N37" s="15">
        <v>0.02</v>
      </c>
      <c r="O37" s="15">
        <v>0.03</v>
      </c>
      <c r="P37" s="15">
        <v>0.03</v>
      </c>
      <c r="Q37" s="15">
        <v>0.05</v>
      </c>
      <c r="R37" s="15">
        <v>0.02</v>
      </c>
      <c r="S37" s="15">
        <v>0.02</v>
      </c>
      <c r="T37" s="15">
        <v>0.02</v>
      </c>
      <c r="U37" s="15">
        <v>7.0000000000000007E-2</v>
      </c>
      <c r="V37" s="15">
        <v>0.06</v>
      </c>
      <c r="W37" s="15">
        <v>0.06</v>
      </c>
      <c r="X37" s="15">
        <v>0.05</v>
      </c>
      <c r="Y37" s="15">
        <v>0.06</v>
      </c>
      <c r="Z37" s="15">
        <v>0.04</v>
      </c>
      <c r="AA37" s="15">
        <v>0.01</v>
      </c>
      <c r="AB37" s="15">
        <v>0.05</v>
      </c>
      <c r="AC37" s="15">
        <v>0.02</v>
      </c>
      <c r="AD37" s="15">
        <v>0.05</v>
      </c>
      <c r="AE37" s="15">
        <v>0.05</v>
      </c>
      <c r="AF37" s="15">
        <v>0.12</v>
      </c>
    </row>
    <row r="38" spans="1:32" ht="51.5" x14ac:dyDescent="0.35">
      <c r="A38" s="19"/>
      <c r="B38" s="11" t="s">
        <v>924</v>
      </c>
      <c r="C38" s="12">
        <v>654</v>
      </c>
      <c r="D38" s="12">
        <v>27</v>
      </c>
      <c r="E38" s="12">
        <v>37</v>
      </c>
      <c r="F38" s="12">
        <v>32</v>
      </c>
      <c r="G38" s="12">
        <v>17</v>
      </c>
      <c r="H38" s="12">
        <v>33</v>
      </c>
      <c r="I38" s="12">
        <v>41</v>
      </c>
      <c r="J38" s="12">
        <v>7</v>
      </c>
      <c r="K38" s="12">
        <v>49</v>
      </c>
      <c r="L38" s="12">
        <v>20</v>
      </c>
      <c r="M38" s="12">
        <v>17</v>
      </c>
      <c r="N38" s="12">
        <v>14</v>
      </c>
      <c r="O38" s="12">
        <v>19</v>
      </c>
      <c r="P38" s="12">
        <v>36</v>
      </c>
      <c r="Q38" s="12">
        <v>23</v>
      </c>
      <c r="R38" s="12">
        <v>6</v>
      </c>
      <c r="S38" s="12">
        <v>11</v>
      </c>
      <c r="T38" s="12">
        <v>28</v>
      </c>
      <c r="U38" s="12">
        <v>11</v>
      </c>
      <c r="V38" s="12">
        <v>21</v>
      </c>
      <c r="W38" s="12">
        <v>25</v>
      </c>
      <c r="X38" s="12">
        <v>48</v>
      </c>
      <c r="Y38" s="12">
        <v>34</v>
      </c>
      <c r="Z38" s="12">
        <v>34</v>
      </c>
      <c r="AA38" s="12">
        <v>15</v>
      </c>
      <c r="AB38" s="12">
        <v>40</v>
      </c>
      <c r="AC38" s="12">
        <v>24</v>
      </c>
      <c r="AD38" s="12">
        <v>27</v>
      </c>
      <c r="AE38" s="12">
        <v>14</v>
      </c>
      <c r="AF38" s="12">
        <v>19</v>
      </c>
    </row>
    <row r="39" spans="1:32" ht="41.5" x14ac:dyDescent="0.35">
      <c r="A39" s="19"/>
      <c r="B39" s="13" t="s">
        <v>925</v>
      </c>
      <c r="C39" s="15">
        <v>0.02</v>
      </c>
      <c r="D39" s="15">
        <v>0.03</v>
      </c>
      <c r="E39" s="15">
        <v>0.04</v>
      </c>
      <c r="F39" s="15">
        <v>0.03</v>
      </c>
      <c r="G39" s="15">
        <v>0.02</v>
      </c>
      <c r="H39" s="15">
        <v>0.03</v>
      </c>
      <c r="I39" s="15">
        <v>0.03</v>
      </c>
      <c r="J39" s="15">
        <v>0.03</v>
      </c>
      <c r="K39" s="15">
        <v>0.05</v>
      </c>
      <c r="L39" s="15">
        <v>0.02</v>
      </c>
      <c r="M39" s="15">
        <v>0.02</v>
      </c>
      <c r="N39" s="15">
        <v>0.01</v>
      </c>
      <c r="O39" s="15">
        <v>0.02</v>
      </c>
      <c r="P39" s="15">
        <v>0.04</v>
      </c>
      <c r="Q39" s="15">
        <v>0.02</v>
      </c>
      <c r="R39" s="15">
        <v>0.01</v>
      </c>
      <c r="S39" s="15">
        <v>0.01</v>
      </c>
      <c r="T39" s="15">
        <v>0.03</v>
      </c>
      <c r="U39" s="15">
        <v>0.02</v>
      </c>
      <c r="V39" s="15">
        <v>0.02</v>
      </c>
      <c r="W39" s="15">
        <v>0.05</v>
      </c>
      <c r="X39" s="15">
        <v>0.05</v>
      </c>
      <c r="Y39" s="15">
        <v>0.03</v>
      </c>
      <c r="Z39" s="15">
        <v>0.03</v>
      </c>
      <c r="AA39" s="15">
        <v>0.02</v>
      </c>
      <c r="AB39" s="15">
        <v>0.04</v>
      </c>
      <c r="AC39" s="15">
        <v>0.02</v>
      </c>
      <c r="AD39" s="15">
        <v>0.03</v>
      </c>
      <c r="AE39" s="15">
        <v>0.01</v>
      </c>
      <c r="AF39" s="15">
        <v>0.02</v>
      </c>
    </row>
    <row r="40" spans="1:32" ht="21.5" x14ac:dyDescent="0.35">
      <c r="A40" s="19"/>
      <c r="B40" s="11" t="s">
        <v>926</v>
      </c>
      <c r="C40" s="12">
        <v>1111</v>
      </c>
      <c r="D40" s="12">
        <v>40</v>
      </c>
      <c r="E40" s="12">
        <v>42</v>
      </c>
      <c r="F40" s="12">
        <v>30</v>
      </c>
      <c r="G40" s="12">
        <v>65</v>
      </c>
      <c r="H40" s="12">
        <v>69</v>
      </c>
      <c r="I40" s="12">
        <v>80</v>
      </c>
      <c r="J40" s="12">
        <v>11</v>
      </c>
      <c r="K40" s="12">
        <v>34</v>
      </c>
      <c r="L40" s="12">
        <v>24</v>
      </c>
      <c r="M40" s="12">
        <v>14</v>
      </c>
      <c r="N40" s="12">
        <v>34</v>
      </c>
      <c r="O40" s="12">
        <v>48</v>
      </c>
      <c r="P40" s="12">
        <v>54</v>
      </c>
      <c r="Q40" s="12">
        <v>27</v>
      </c>
      <c r="R40" s="12">
        <v>10</v>
      </c>
      <c r="S40" s="12">
        <v>35</v>
      </c>
      <c r="T40" s="12">
        <v>25</v>
      </c>
      <c r="U40" s="12">
        <v>33</v>
      </c>
      <c r="V40" s="12">
        <v>39</v>
      </c>
      <c r="W40" s="12">
        <v>14</v>
      </c>
      <c r="X40" s="12">
        <v>58</v>
      </c>
      <c r="Y40" s="12">
        <v>47</v>
      </c>
      <c r="Z40" s="12">
        <v>42</v>
      </c>
      <c r="AA40" s="12">
        <v>15</v>
      </c>
      <c r="AB40" s="12">
        <v>52</v>
      </c>
      <c r="AC40" s="12">
        <v>62</v>
      </c>
      <c r="AD40" s="12">
        <v>65</v>
      </c>
      <c r="AE40" s="12">
        <v>45</v>
      </c>
      <c r="AF40" s="12">
        <v>71</v>
      </c>
    </row>
    <row r="41" spans="1:32" ht="21.5" x14ac:dyDescent="0.35">
      <c r="A41" s="19"/>
      <c r="B41" s="13" t="s">
        <v>927</v>
      </c>
      <c r="C41" s="15">
        <v>0.04</v>
      </c>
      <c r="D41" s="15">
        <v>0.04</v>
      </c>
      <c r="E41" s="15">
        <v>0.04</v>
      </c>
      <c r="F41" s="15">
        <v>0.03</v>
      </c>
      <c r="G41" s="15">
        <v>0.06</v>
      </c>
      <c r="H41" s="15">
        <v>0.06</v>
      </c>
      <c r="I41" s="15">
        <v>0.05</v>
      </c>
      <c r="J41" s="15">
        <v>0.04</v>
      </c>
      <c r="K41" s="15">
        <v>0.03</v>
      </c>
      <c r="L41" s="15">
        <v>0.03</v>
      </c>
      <c r="M41" s="15">
        <v>0.01</v>
      </c>
      <c r="N41" s="15">
        <v>0.03</v>
      </c>
      <c r="O41" s="15">
        <v>0.05</v>
      </c>
      <c r="P41" s="15">
        <v>0.05</v>
      </c>
      <c r="Q41" s="15">
        <v>0.03</v>
      </c>
      <c r="R41" s="15">
        <v>0.02</v>
      </c>
      <c r="S41" s="15">
        <v>0.04</v>
      </c>
      <c r="T41" s="15">
        <v>0.02</v>
      </c>
      <c r="U41" s="15">
        <v>7.0000000000000007E-2</v>
      </c>
      <c r="V41" s="15">
        <v>0.04</v>
      </c>
      <c r="W41" s="15">
        <v>0.03</v>
      </c>
      <c r="X41" s="15">
        <v>0.06</v>
      </c>
      <c r="Y41" s="15">
        <v>0.05</v>
      </c>
      <c r="Z41" s="15">
        <v>0.04</v>
      </c>
      <c r="AA41" s="15">
        <v>0.01</v>
      </c>
      <c r="AB41" s="15">
        <v>0.05</v>
      </c>
      <c r="AC41" s="15">
        <v>0.06</v>
      </c>
      <c r="AD41" s="15">
        <v>7.0000000000000007E-2</v>
      </c>
      <c r="AE41" s="15">
        <v>0.05</v>
      </c>
      <c r="AF41" s="15">
        <v>7.0000000000000007E-2</v>
      </c>
    </row>
    <row r="42" spans="1:32" x14ac:dyDescent="0.35">
      <c r="A42" s="19"/>
      <c r="B42" s="11" t="s">
        <v>611</v>
      </c>
      <c r="C42" s="12">
        <v>82</v>
      </c>
      <c r="D42" s="12">
        <v>1</v>
      </c>
      <c r="E42" s="12">
        <v>4</v>
      </c>
      <c r="F42" s="12">
        <v>3</v>
      </c>
      <c r="G42" s="12">
        <v>3</v>
      </c>
      <c r="H42" s="12">
        <v>9</v>
      </c>
      <c r="I42" s="12">
        <v>10</v>
      </c>
      <c r="J42" s="12">
        <v>1</v>
      </c>
      <c r="K42" s="12">
        <v>7</v>
      </c>
      <c r="L42" s="12">
        <v>0</v>
      </c>
      <c r="M42" s="12">
        <v>2</v>
      </c>
      <c r="N42" s="12">
        <v>4</v>
      </c>
      <c r="O42" s="12">
        <v>5</v>
      </c>
      <c r="P42" s="12">
        <v>0</v>
      </c>
      <c r="Q42" s="12">
        <v>0</v>
      </c>
      <c r="R42" s="12">
        <v>0</v>
      </c>
      <c r="S42" s="12">
        <v>2</v>
      </c>
      <c r="T42" s="12">
        <v>0</v>
      </c>
      <c r="U42" s="12">
        <v>1</v>
      </c>
      <c r="V42" s="12">
        <v>0</v>
      </c>
      <c r="W42" s="12">
        <v>1</v>
      </c>
      <c r="X42" s="12">
        <v>4</v>
      </c>
      <c r="Y42" s="12">
        <v>10</v>
      </c>
      <c r="Z42" s="12">
        <v>0</v>
      </c>
      <c r="AA42" s="12">
        <v>0</v>
      </c>
      <c r="AB42" s="12">
        <v>0</v>
      </c>
      <c r="AC42" s="12">
        <v>3</v>
      </c>
      <c r="AD42" s="12">
        <v>3</v>
      </c>
      <c r="AE42" s="12">
        <v>0</v>
      </c>
      <c r="AF42" s="12">
        <v>3</v>
      </c>
    </row>
    <row r="43" spans="1:32" x14ac:dyDescent="0.35">
      <c r="A43" s="19"/>
      <c r="B43" s="13" t="s">
        <v>612</v>
      </c>
      <c r="C43" s="14" t="s">
        <v>475</v>
      </c>
      <c r="D43" s="14" t="s">
        <v>475</v>
      </c>
      <c r="E43" s="14" t="s">
        <v>475</v>
      </c>
      <c r="F43" s="14" t="s">
        <v>475</v>
      </c>
      <c r="G43" s="14" t="s">
        <v>475</v>
      </c>
      <c r="H43" s="15">
        <v>0.01</v>
      </c>
      <c r="I43" s="15">
        <v>0.01</v>
      </c>
      <c r="J43" s="14" t="s">
        <v>475</v>
      </c>
      <c r="K43" s="15">
        <v>0.01</v>
      </c>
      <c r="L43" s="14" t="s">
        <v>475</v>
      </c>
      <c r="M43" s="14" t="s">
        <v>475</v>
      </c>
      <c r="N43" s="14" t="s">
        <v>475</v>
      </c>
      <c r="O43" s="14" t="s">
        <v>475</v>
      </c>
      <c r="P43" s="14" t="s">
        <v>475</v>
      </c>
      <c r="Q43" s="14" t="s">
        <v>475</v>
      </c>
      <c r="R43" s="14" t="s">
        <v>475</v>
      </c>
      <c r="S43" s="14" t="s">
        <v>475</v>
      </c>
      <c r="T43" s="14" t="s">
        <v>475</v>
      </c>
      <c r="U43" s="14" t="s">
        <v>475</v>
      </c>
      <c r="V43" s="14" t="s">
        <v>475</v>
      </c>
      <c r="W43" s="14" t="s">
        <v>475</v>
      </c>
      <c r="X43" s="14" t="s">
        <v>475</v>
      </c>
      <c r="Y43" s="15">
        <v>0.01</v>
      </c>
      <c r="Z43" s="14" t="s">
        <v>475</v>
      </c>
      <c r="AA43" s="14" t="s">
        <v>475</v>
      </c>
      <c r="AB43" s="14" t="s">
        <v>475</v>
      </c>
      <c r="AC43" s="14" t="s">
        <v>475</v>
      </c>
      <c r="AD43" s="14" t="s">
        <v>475</v>
      </c>
      <c r="AE43" s="14" t="s">
        <v>475</v>
      </c>
      <c r="AF43" s="14" t="s">
        <v>475</v>
      </c>
    </row>
    <row r="44" spans="1:32" x14ac:dyDescent="0.35">
      <c r="A44" s="19"/>
      <c r="B44" s="11" t="s">
        <v>613</v>
      </c>
      <c r="C44" s="12">
        <v>106</v>
      </c>
      <c r="D44" s="12">
        <v>1</v>
      </c>
      <c r="E44" s="12">
        <v>4</v>
      </c>
      <c r="F44" s="12">
        <v>13</v>
      </c>
      <c r="G44" s="12">
        <v>3</v>
      </c>
      <c r="H44" s="12">
        <v>10</v>
      </c>
      <c r="I44" s="12">
        <v>10</v>
      </c>
      <c r="J44" s="12">
        <v>0</v>
      </c>
      <c r="K44" s="12">
        <v>1</v>
      </c>
      <c r="L44" s="12">
        <v>1</v>
      </c>
      <c r="M44" s="12">
        <v>2</v>
      </c>
      <c r="N44" s="12">
        <v>4</v>
      </c>
      <c r="O44" s="12">
        <v>5</v>
      </c>
      <c r="P44" s="12">
        <v>1</v>
      </c>
      <c r="Q44" s="12">
        <v>3</v>
      </c>
      <c r="R44" s="12">
        <v>2</v>
      </c>
      <c r="S44" s="12">
        <v>0</v>
      </c>
      <c r="T44" s="12">
        <v>1</v>
      </c>
      <c r="U44" s="12">
        <v>1</v>
      </c>
      <c r="V44" s="12">
        <v>1</v>
      </c>
      <c r="W44" s="12">
        <v>0</v>
      </c>
      <c r="X44" s="12">
        <v>8</v>
      </c>
      <c r="Y44" s="12">
        <v>5</v>
      </c>
      <c r="Z44" s="12">
        <v>2</v>
      </c>
      <c r="AA44" s="12">
        <v>0</v>
      </c>
      <c r="AB44" s="12">
        <v>0</v>
      </c>
      <c r="AC44" s="12">
        <v>0</v>
      </c>
      <c r="AD44" s="12">
        <v>1</v>
      </c>
      <c r="AE44" s="12">
        <v>0</v>
      </c>
      <c r="AF44" s="12">
        <v>2</v>
      </c>
    </row>
    <row r="45" spans="1:32" x14ac:dyDescent="0.35">
      <c r="A45" s="19"/>
      <c r="B45" s="13" t="s">
        <v>614</v>
      </c>
      <c r="C45" s="14" t="s">
        <v>475</v>
      </c>
      <c r="D45" s="14" t="s">
        <v>475</v>
      </c>
      <c r="E45" s="14" t="s">
        <v>475</v>
      </c>
      <c r="F45" s="15">
        <v>0.01</v>
      </c>
      <c r="G45" s="14" t="s">
        <v>475</v>
      </c>
      <c r="H45" s="15">
        <v>0.01</v>
      </c>
      <c r="I45" s="15">
        <v>0.01</v>
      </c>
      <c r="J45" s="14" t="s">
        <v>475</v>
      </c>
      <c r="K45" s="14" t="s">
        <v>475</v>
      </c>
      <c r="L45" s="14" t="s">
        <v>475</v>
      </c>
      <c r="M45" s="14" t="s">
        <v>475</v>
      </c>
      <c r="N45" s="15">
        <v>0.01</v>
      </c>
      <c r="O45" s="14" t="s">
        <v>475</v>
      </c>
      <c r="P45" s="14" t="s">
        <v>475</v>
      </c>
      <c r="Q45" s="14" t="s">
        <v>475</v>
      </c>
      <c r="R45" s="14" t="s">
        <v>475</v>
      </c>
      <c r="S45" s="14" t="s">
        <v>475</v>
      </c>
      <c r="T45" s="14" t="s">
        <v>475</v>
      </c>
      <c r="U45" s="14" t="s">
        <v>475</v>
      </c>
      <c r="V45" s="14" t="s">
        <v>475</v>
      </c>
      <c r="W45" s="14" t="s">
        <v>475</v>
      </c>
      <c r="X45" s="15">
        <v>0.01</v>
      </c>
      <c r="Y45" s="14" t="s">
        <v>475</v>
      </c>
      <c r="Z45" s="14" t="s">
        <v>475</v>
      </c>
      <c r="AA45" s="14" t="s">
        <v>475</v>
      </c>
      <c r="AB45" s="14" t="s">
        <v>475</v>
      </c>
      <c r="AC45" s="14" t="s">
        <v>475</v>
      </c>
      <c r="AD45" s="14" t="s">
        <v>475</v>
      </c>
      <c r="AE45" s="14" t="s">
        <v>475</v>
      </c>
      <c r="AF45" s="14" t="s">
        <v>475</v>
      </c>
    </row>
    <row r="46" spans="1:32" x14ac:dyDescent="0.35">
      <c r="A46" s="19"/>
      <c r="B46" s="11" t="s">
        <v>485</v>
      </c>
      <c r="C46" s="12">
        <v>257</v>
      </c>
      <c r="D46" s="12">
        <v>1</v>
      </c>
      <c r="E46" s="12">
        <v>27</v>
      </c>
      <c r="F46" s="12">
        <v>28</v>
      </c>
      <c r="G46" s="12">
        <v>15</v>
      </c>
      <c r="H46" s="12">
        <v>7</v>
      </c>
      <c r="I46" s="12">
        <v>7</v>
      </c>
      <c r="J46" s="12">
        <v>0</v>
      </c>
      <c r="K46" s="12">
        <v>26</v>
      </c>
      <c r="L46" s="12">
        <v>6</v>
      </c>
      <c r="M46" s="12">
        <v>1</v>
      </c>
      <c r="N46" s="12">
        <v>13</v>
      </c>
      <c r="O46" s="12">
        <v>10</v>
      </c>
      <c r="P46" s="12">
        <v>1</v>
      </c>
      <c r="Q46" s="12">
        <v>16</v>
      </c>
      <c r="R46" s="12">
        <v>21</v>
      </c>
      <c r="S46" s="12">
        <v>15</v>
      </c>
      <c r="T46" s="12">
        <v>13</v>
      </c>
      <c r="U46" s="12">
        <v>3</v>
      </c>
      <c r="V46" s="12">
        <v>7</v>
      </c>
      <c r="W46" s="12">
        <v>3</v>
      </c>
      <c r="X46" s="12">
        <v>2</v>
      </c>
      <c r="Y46" s="12">
        <v>19</v>
      </c>
      <c r="Z46" s="12">
        <v>2</v>
      </c>
      <c r="AA46" s="12">
        <v>22</v>
      </c>
      <c r="AB46" s="12">
        <v>18</v>
      </c>
      <c r="AC46" s="12">
        <v>7</v>
      </c>
      <c r="AD46" s="12">
        <v>2</v>
      </c>
      <c r="AE46" s="12">
        <v>11</v>
      </c>
      <c r="AF46" s="12">
        <v>2</v>
      </c>
    </row>
    <row r="47" spans="1:32" x14ac:dyDescent="0.35">
      <c r="A47" s="19"/>
      <c r="B47" s="13" t="s">
        <v>486</v>
      </c>
      <c r="C47" s="15">
        <v>0.01</v>
      </c>
      <c r="D47" s="14" t="s">
        <v>475</v>
      </c>
      <c r="E47" s="15">
        <v>0.03</v>
      </c>
      <c r="F47" s="15">
        <v>0.03</v>
      </c>
      <c r="G47" s="15">
        <v>0.01</v>
      </c>
      <c r="H47" s="14" t="s">
        <v>475</v>
      </c>
      <c r="I47" s="14" t="s">
        <v>475</v>
      </c>
      <c r="J47" s="14" t="s">
        <v>475</v>
      </c>
      <c r="K47" s="15">
        <v>0.03</v>
      </c>
      <c r="L47" s="15">
        <v>0.01</v>
      </c>
      <c r="M47" s="14" t="s">
        <v>475</v>
      </c>
      <c r="N47" s="15">
        <v>0.01</v>
      </c>
      <c r="O47" s="15">
        <v>0.01</v>
      </c>
      <c r="P47" s="14" t="s">
        <v>475</v>
      </c>
      <c r="Q47" s="15">
        <v>0.02</v>
      </c>
      <c r="R47" s="15">
        <v>0.04</v>
      </c>
      <c r="S47" s="15">
        <v>0.02</v>
      </c>
      <c r="T47" s="15">
        <v>0.01</v>
      </c>
      <c r="U47" s="15">
        <v>0.01</v>
      </c>
      <c r="V47" s="15">
        <v>0.01</v>
      </c>
      <c r="W47" s="15">
        <v>0.01</v>
      </c>
      <c r="X47" s="14" t="s">
        <v>475</v>
      </c>
      <c r="Y47" s="15">
        <v>0.02</v>
      </c>
      <c r="Z47" s="14" t="s">
        <v>475</v>
      </c>
      <c r="AA47" s="15">
        <v>0.02</v>
      </c>
      <c r="AB47" s="15">
        <v>0.02</v>
      </c>
      <c r="AC47" s="15">
        <v>0.01</v>
      </c>
      <c r="AD47" s="14" t="s">
        <v>475</v>
      </c>
      <c r="AE47" s="15">
        <v>0.01</v>
      </c>
      <c r="AF47" s="14" t="s">
        <v>475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177</v>
      </c>
      <c r="C3" s="18"/>
      <c r="D3" s="18"/>
      <c r="E3" s="18"/>
      <c r="F3" s="18"/>
      <c r="H3" s="18" t="s">
        <v>178</v>
      </c>
      <c r="I3" s="18"/>
      <c r="J3" s="18"/>
      <c r="K3" s="18"/>
      <c r="L3" s="18"/>
    </row>
    <row r="4" spans="1:32" ht="27" customHeight="1" x14ac:dyDescent="0.35">
      <c r="B4" s="18"/>
      <c r="C4" s="18"/>
      <c r="D4" s="18"/>
      <c r="E4" s="18"/>
      <c r="F4" s="18"/>
      <c r="H4" s="18"/>
      <c r="I4" s="18"/>
      <c r="J4" s="18"/>
      <c r="K4" s="18"/>
      <c r="L4" s="18"/>
    </row>
    <row r="5" spans="1:32" ht="24" customHeight="1" x14ac:dyDescent="0.35">
      <c r="B5" s="18" t="s">
        <v>928</v>
      </c>
      <c r="C5" s="18"/>
      <c r="D5" s="18"/>
      <c r="E5" s="18"/>
      <c r="F5" s="18"/>
      <c r="H5" s="18" t="s">
        <v>929</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26083</v>
      </c>
      <c r="D10" s="10">
        <v>1011</v>
      </c>
      <c r="E10" s="10">
        <v>1000</v>
      </c>
      <c r="F10" s="10">
        <v>1061</v>
      </c>
      <c r="G10" s="10">
        <v>988</v>
      </c>
      <c r="H10" s="10">
        <v>1204</v>
      </c>
      <c r="I10" s="10">
        <v>1499</v>
      </c>
      <c r="J10" s="10">
        <v>295</v>
      </c>
      <c r="K10" s="10">
        <v>975</v>
      </c>
      <c r="L10" s="10">
        <v>995</v>
      </c>
      <c r="M10" s="10">
        <v>1007</v>
      </c>
      <c r="N10" s="10">
        <v>985</v>
      </c>
      <c r="O10" s="10">
        <v>986</v>
      </c>
      <c r="P10" s="10">
        <v>984</v>
      </c>
      <c r="Q10" s="10">
        <v>1009</v>
      </c>
      <c r="R10" s="10">
        <v>482</v>
      </c>
      <c r="S10" s="10">
        <v>987</v>
      </c>
      <c r="T10" s="10">
        <v>993</v>
      </c>
      <c r="U10" s="10">
        <v>500</v>
      </c>
      <c r="V10" s="10">
        <v>1007</v>
      </c>
      <c r="W10" s="10">
        <v>505</v>
      </c>
      <c r="X10" s="10">
        <v>999</v>
      </c>
      <c r="Y10" s="10">
        <v>979</v>
      </c>
      <c r="Z10" s="10">
        <v>1026</v>
      </c>
      <c r="AA10" s="10">
        <v>1011</v>
      </c>
      <c r="AB10" s="10">
        <v>1033</v>
      </c>
      <c r="AC10" s="10">
        <v>996</v>
      </c>
      <c r="AD10" s="10">
        <v>1002</v>
      </c>
      <c r="AE10" s="10">
        <v>1001</v>
      </c>
      <c r="AF10" s="10">
        <v>1039</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902</v>
      </c>
      <c r="C12" s="12">
        <v>4356</v>
      </c>
      <c r="D12" s="12">
        <v>142</v>
      </c>
      <c r="E12" s="12">
        <v>215</v>
      </c>
      <c r="F12" s="12">
        <v>167</v>
      </c>
      <c r="G12" s="12">
        <v>163</v>
      </c>
      <c r="H12" s="12">
        <v>224</v>
      </c>
      <c r="I12" s="12">
        <v>285</v>
      </c>
      <c r="J12" s="12">
        <v>61</v>
      </c>
      <c r="K12" s="12">
        <v>208</v>
      </c>
      <c r="L12" s="12">
        <v>168</v>
      </c>
      <c r="M12" s="12">
        <v>253</v>
      </c>
      <c r="N12" s="12">
        <v>146</v>
      </c>
      <c r="O12" s="12">
        <v>142</v>
      </c>
      <c r="P12" s="12">
        <v>231</v>
      </c>
      <c r="Q12" s="12">
        <v>183</v>
      </c>
      <c r="R12" s="12">
        <v>119</v>
      </c>
      <c r="S12" s="12">
        <v>188</v>
      </c>
      <c r="T12" s="12">
        <v>206</v>
      </c>
      <c r="U12" s="12">
        <v>61</v>
      </c>
      <c r="V12" s="12">
        <v>180</v>
      </c>
      <c r="W12" s="12">
        <v>77</v>
      </c>
      <c r="X12" s="12">
        <v>96</v>
      </c>
      <c r="Y12" s="12">
        <v>176</v>
      </c>
      <c r="Z12" s="12">
        <v>160</v>
      </c>
      <c r="AA12" s="12">
        <v>146</v>
      </c>
      <c r="AB12" s="12">
        <v>169</v>
      </c>
      <c r="AC12" s="12">
        <v>179</v>
      </c>
      <c r="AD12" s="12">
        <v>148</v>
      </c>
      <c r="AE12" s="12">
        <v>204</v>
      </c>
      <c r="AF12" s="12">
        <v>169</v>
      </c>
    </row>
    <row r="13" spans="1:32" ht="21.5" x14ac:dyDescent="0.35">
      <c r="A13" s="19"/>
      <c r="B13" s="13" t="s">
        <v>903</v>
      </c>
      <c r="C13" s="15">
        <v>0.19</v>
      </c>
      <c r="D13" s="15">
        <v>0.16</v>
      </c>
      <c r="E13" s="15">
        <v>0.26</v>
      </c>
      <c r="F13" s="15">
        <v>0.18</v>
      </c>
      <c r="G13" s="15">
        <v>0.18</v>
      </c>
      <c r="H13" s="15">
        <v>0.21</v>
      </c>
      <c r="I13" s="15">
        <v>0.21</v>
      </c>
      <c r="J13" s="15">
        <v>0.25</v>
      </c>
      <c r="K13" s="15">
        <v>0.25</v>
      </c>
      <c r="L13" s="15">
        <v>0.18</v>
      </c>
      <c r="M13" s="15">
        <v>0.36</v>
      </c>
      <c r="N13" s="15">
        <v>0.17</v>
      </c>
      <c r="O13" s="15">
        <v>0.16</v>
      </c>
      <c r="P13" s="15">
        <v>0.27</v>
      </c>
      <c r="Q13" s="15">
        <v>0.21</v>
      </c>
      <c r="R13" s="15">
        <v>0.28000000000000003</v>
      </c>
      <c r="S13" s="15">
        <v>0.22</v>
      </c>
      <c r="T13" s="15">
        <v>0.24</v>
      </c>
      <c r="U13" s="15">
        <v>0.13</v>
      </c>
      <c r="V13" s="15">
        <v>0.21</v>
      </c>
      <c r="W13" s="15">
        <v>0.16</v>
      </c>
      <c r="X13" s="15">
        <v>0.1</v>
      </c>
      <c r="Y13" s="15">
        <v>0.21</v>
      </c>
      <c r="Z13" s="15">
        <v>0.17</v>
      </c>
      <c r="AA13" s="15">
        <v>0.16</v>
      </c>
      <c r="AB13" s="15">
        <v>0.18</v>
      </c>
      <c r="AC13" s="15">
        <v>0.21</v>
      </c>
      <c r="AD13" s="15">
        <v>0.17</v>
      </c>
      <c r="AE13" s="15">
        <v>0.23</v>
      </c>
      <c r="AF13" s="15">
        <v>0.17</v>
      </c>
    </row>
    <row r="14" spans="1:32" x14ac:dyDescent="0.35">
      <c r="A14" s="19"/>
      <c r="B14" s="11" t="s">
        <v>904</v>
      </c>
      <c r="C14" s="12">
        <v>3631</v>
      </c>
      <c r="D14" s="12">
        <v>151</v>
      </c>
      <c r="E14" s="12">
        <v>156</v>
      </c>
      <c r="F14" s="12">
        <v>109</v>
      </c>
      <c r="G14" s="12">
        <v>42</v>
      </c>
      <c r="H14" s="12">
        <v>93</v>
      </c>
      <c r="I14" s="12">
        <v>114</v>
      </c>
      <c r="J14" s="12">
        <v>21</v>
      </c>
      <c r="K14" s="12">
        <v>125</v>
      </c>
      <c r="L14" s="12">
        <v>137</v>
      </c>
      <c r="M14" s="12">
        <v>308</v>
      </c>
      <c r="N14" s="12">
        <v>231</v>
      </c>
      <c r="O14" s="12">
        <v>130</v>
      </c>
      <c r="P14" s="12">
        <v>175</v>
      </c>
      <c r="Q14" s="12">
        <v>169</v>
      </c>
      <c r="R14" s="12">
        <v>72</v>
      </c>
      <c r="S14" s="12">
        <v>140</v>
      </c>
      <c r="T14" s="12">
        <v>142</v>
      </c>
      <c r="U14" s="12">
        <v>75</v>
      </c>
      <c r="V14" s="12">
        <v>138</v>
      </c>
      <c r="W14" s="12">
        <v>41</v>
      </c>
      <c r="X14" s="12">
        <v>54</v>
      </c>
      <c r="Y14" s="12">
        <v>143</v>
      </c>
      <c r="Z14" s="12">
        <v>102</v>
      </c>
      <c r="AA14" s="12">
        <v>246</v>
      </c>
      <c r="AB14" s="12">
        <v>178</v>
      </c>
      <c r="AC14" s="12">
        <v>102</v>
      </c>
      <c r="AD14" s="12">
        <v>103</v>
      </c>
      <c r="AE14" s="12">
        <v>152</v>
      </c>
      <c r="AF14" s="12">
        <v>106</v>
      </c>
    </row>
    <row r="15" spans="1:32" x14ac:dyDescent="0.35">
      <c r="A15" s="19"/>
      <c r="B15" s="13" t="s">
        <v>905</v>
      </c>
      <c r="C15" s="15">
        <v>0.15</v>
      </c>
      <c r="D15" s="15">
        <v>0.16</v>
      </c>
      <c r="E15" s="15">
        <v>0.17</v>
      </c>
      <c r="F15" s="15">
        <v>0.11</v>
      </c>
      <c r="G15" s="15">
        <v>0.04</v>
      </c>
      <c r="H15" s="15">
        <v>0.08</v>
      </c>
      <c r="I15" s="15">
        <v>0.08</v>
      </c>
      <c r="J15" s="15">
        <v>7.0000000000000007E-2</v>
      </c>
      <c r="K15" s="15">
        <v>0.14000000000000001</v>
      </c>
      <c r="L15" s="15">
        <v>0.15</v>
      </c>
      <c r="M15" s="15">
        <v>0.36</v>
      </c>
      <c r="N15" s="15">
        <v>0.27</v>
      </c>
      <c r="O15" s="15">
        <v>0.14000000000000001</v>
      </c>
      <c r="P15" s="15">
        <v>0.19</v>
      </c>
      <c r="Q15" s="15">
        <v>0.2</v>
      </c>
      <c r="R15" s="15">
        <v>0.16</v>
      </c>
      <c r="S15" s="15">
        <v>0.15</v>
      </c>
      <c r="T15" s="15">
        <v>0.15</v>
      </c>
      <c r="U15" s="15">
        <v>0.16</v>
      </c>
      <c r="V15" s="15">
        <v>0.15</v>
      </c>
      <c r="W15" s="15">
        <v>0.09</v>
      </c>
      <c r="X15" s="15">
        <v>0.05</v>
      </c>
      <c r="Y15" s="15">
        <v>0.15</v>
      </c>
      <c r="Z15" s="15">
        <v>0.1</v>
      </c>
      <c r="AA15" s="15">
        <v>0.28000000000000003</v>
      </c>
      <c r="AB15" s="15">
        <v>0.19</v>
      </c>
      <c r="AC15" s="15">
        <v>0.11</v>
      </c>
      <c r="AD15" s="15">
        <v>0.11</v>
      </c>
      <c r="AE15" s="15">
        <v>0.17</v>
      </c>
      <c r="AF15" s="15">
        <v>0.11</v>
      </c>
    </row>
    <row r="16" spans="1:32" x14ac:dyDescent="0.35">
      <c r="A16" s="19"/>
      <c r="B16" s="11" t="s">
        <v>906</v>
      </c>
      <c r="C16" s="12">
        <v>3276</v>
      </c>
      <c r="D16" s="12">
        <v>113</v>
      </c>
      <c r="E16" s="12">
        <v>219</v>
      </c>
      <c r="F16" s="12">
        <v>134</v>
      </c>
      <c r="G16" s="12">
        <v>124</v>
      </c>
      <c r="H16" s="12">
        <v>121</v>
      </c>
      <c r="I16" s="12">
        <v>163</v>
      </c>
      <c r="J16" s="12">
        <v>42</v>
      </c>
      <c r="K16" s="12">
        <v>134</v>
      </c>
      <c r="L16" s="12">
        <v>114</v>
      </c>
      <c r="M16" s="12">
        <v>155</v>
      </c>
      <c r="N16" s="12">
        <v>119</v>
      </c>
      <c r="O16" s="12">
        <v>151</v>
      </c>
      <c r="P16" s="12">
        <v>123</v>
      </c>
      <c r="Q16" s="12">
        <v>89</v>
      </c>
      <c r="R16" s="12">
        <v>67</v>
      </c>
      <c r="S16" s="12">
        <v>145</v>
      </c>
      <c r="T16" s="12">
        <v>185</v>
      </c>
      <c r="U16" s="12">
        <v>74</v>
      </c>
      <c r="V16" s="12">
        <v>128</v>
      </c>
      <c r="W16" s="12">
        <v>63</v>
      </c>
      <c r="X16" s="12">
        <v>123</v>
      </c>
      <c r="Y16" s="12">
        <v>127</v>
      </c>
      <c r="Z16" s="12">
        <v>112</v>
      </c>
      <c r="AA16" s="12">
        <v>240</v>
      </c>
      <c r="AB16" s="12">
        <v>136</v>
      </c>
      <c r="AC16" s="12">
        <v>145</v>
      </c>
      <c r="AD16" s="12">
        <v>163</v>
      </c>
      <c r="AE16" s="12">
        <v>113</v>
      </c>
      <c r="AF16" s="12">
        <v>154</v>
      </c>
    </row>
    <row r="17" spans="1:32" x14ac:dyDescent="0.35">
      <c r="A17" s="19"/>
      <c r="B17" s="13" t="s">
        <v>907</v>
      </c>
      <c r="C17" s="15">
        <v>0.13</v>
      </c>
      <c r="D17" s="15">
        <v>0.12</v>
      </c>
      <c r="E17" s="15">
        <v>0.26</v>
      </c>
      <c r="F17" s="15">
        <v>0.14000000000000001</v>
      </c>
      <c r="G17" s="15">
        <v>0.13</v>
      </c>
      <c r="H17" s="15">
        <v>0.11</v>
      </c>
      <c r="I17" s="15">
        <v>0.12</v>
      </c>
      <c r="J17" s="15">
        <v>0.15</v>
      </c>
      <c r="K17" s="15">
        <v>0.15</v>
      </c>
      <c r="L17" s="15">
        <v>0.12</v>
      </c>
      <c r="M17" s="15">
        <v>0.17</v>
      </c>
      <c r="N17" s="15">
        <v>0.13</v>
      </c>
      <c r="O17" s="15">
        <v>0.16</v>
      </c>
      <c r="P17" s="15">
        <v>0.13</v>
      </c>
      <c r="Q17" s="15">
        <v>0.09</v>
      </c>
      <c r="R17" s="15">
        <v>0.15</v>
      </c>
      <c r="S17" s="15">
        <v>0.16</v>
      </c>
      <c r="T17" s="15">
        <v>0.21</v>
      </c>
      <c r="U17" s="15">
        <v>0.16</v>
      </c>
      <c r="V17" s="15">
        <v>0.14000000000000001</v>
      </c>
      <c r="W17" s="15">
        <v>0.13</v>
      </c>
      <c r="X17" s="15">
        <v>0.13</v>
      </c>
      <c r="Y17" s="15">
        <v>0.14000000000000001</v>
      </c>
      <c r="Z17" s="15">
        <v>0.11</v>
      </c>
      <c r="AA17" s="15">
        <v>0.27</v>
      </c>
      <c r="AB17" s="15">
        <v>0.14000000000000001</v>
      </c>
      <c r="AC17" s="15">
        <v>0.16</v>
      </c>
      <c r="AD17" s="15">
        <v>0.18</v>
      </c>
      <c r="AE17" s="15">
        <v>0.12</v>
      </c>
      <c r="AF17" s="15">
        <v>0.16</v>
      </c>
    </row>
    <row r="18" spans="1:32" x14ac:dyDescent="0.35">
      <c r="A18" s="19"/>
      <c r="B18" s="11" t="s">
        <v>908</v>
      </c>
      <c r="C18" s="12">
        <v>3138</v>
      </c>
      <c r="D18" s="12">
        <v>124</v>
      </c>
      <c r="E18" s="12">
        <v>104</v>
      </c>
      <c r="F18" s="12">
        <v>76</v>
      </c>
      <c r="G18" s="12">
        <v>60</v>
      </c>
      <c r="H18" s="12">
        <v>97</v>
      </c>
      <c r="I18" s="12">
        <v>123</v>
      </c>
      <c r="J18" s="12">
        <v>26</v>
      </c>
      <c r="K18" s="12">
        <v>128</v>
      </c>
      <c r="L18" s="12">
        <v>135</v>
      </c>
      <c r="M18" s="12">
        <v>157</v>
      </c>
      <c r="N18" s="12">
        <v>175</v>
      </c>
      <c r="O18" s="12">
        <v>165</v>
      </c>
      <c r="P18" s="12">
        <v>143</v>
      </c>
      <c r="Q18" s="12">
        <v>118</v>
      </c>
      <c r="R18" s="12">
        <v>76</v>
      </c>
      <c r="S18" s="12">
        <v>176</v>
      </c>
      <c r="T18" s="12">
        <v>136</v>
      </c>
      <c r="U18" s="12">
        <v>71</v>
      </c>
      <c r="V18" s="12">
        <v>69</v>
      </c>
      <c r="W18" s="12">
        <v>65</v>
      </c>
      <c r="X18" s="12">
        <v>107</v>
      </c>
      <c r="Y18" s="12">
        <v>94</v>
      </c>
      <c r="Z18" s="12">
        <v>78</v>
      </c>
      <c r="AA18" s="12">
        <v>126</v>
      </c>
      <c r="AB18" s="12">
        <v>144</v>
      </c>
      <c r="AC18" s="12">
        <v>83</v>
      </c>
      <c r="AD18" s="12">
        <v>142</v>
      </c>
      <c r="AE18" s="12">
        <v>144</v>
      </c>
      <c r="AF18" s="12">
        <v>88</v>
      </c>
    </row>
    <row r="19" spans="1:32" x14ac:dyDescent="0.35">
      <c r="A19" s="19"/>
      <c r="B19" s="13" t="s">
        <v>909</v>
      </c>
      <c r="C19" s="15">
        <v>0.13</v>
      </c>
      <c r="D19" s="15">
        <v>0.13</v>
      </c>
      <c r="E19" s="15">
        <v>0.11</v>
      </c>
      <c r="F19" s="15">
        <v>7.0000000000000007E-2</v>
      </c>
      <c r="G19" s="15">
        <v>0.06</v>
      </c>
      <c r="H19" s="15">
        <v>0.08</v>
      </c>
      <c r="I19" s="15">
        <v>0.08</v>
      </c>
      <c r="J19" s="15">
        <v>0.09</v>
      </c>
      <c r="K19" s="15">
        <v>0.14000000000000001</v>
      </c>
      <c r="L19" s="15">
        <v>0.14000000000000001</v>
      </c>
      <c r="M19" s="15">
        <v>0.16</v>
      </c>
      <c r="N19" s="15">
        <v>0.19</v>
      </c>
      <c r="O19" s="15">
        <v>0.18</v>
      </c>
      <c r="P19" s="15">
        <v>0.15</v>
      </c>
      <c r="Q19" s="15">
        <v>0.12</v>
      </c>
      <c r="R19" s="15">
        <v>0.17</v>
      </c>
      <c r="S19" s="15">
        <v>0.19</v>
      </c>
      <c r="T19" s="15">
        <v>0.14000000000000001</v>
      </c>
      <c r="U19" s="15">
        <v>0.15</v>
      </c>
      <c r="V19" s="15">
        <v>7.0000000000000007E-2</v>
      </c>
      <c r="W19" s="15">
        <v>0.14000000000000001</v>
      </c>
      <c r="X19" s="15">
        <v>0.11</v>
      </c>
      <c r="Y19" s="15">
        <v>0.1</v>
      </c>
      <c r="Z19" s="15">
        <v>0.08</v>
      </c>
      <c r="AA19" s="15">
        <v>0.13</v>
      </c>
      <c r="AB19" s="15">
        <v>0.15</v>
      </c>
      <c r="AC19" s="15">
        <v>0.09</v>
      </c>
      <c r="AD19" s="15">
        <v>0.15</v>
      </c>
      <c r="AE19" s="15">
        <v>0.15</v>
      </c>
      <c r="AF19" s="15">
        <v>0.09</v>
      </c>
    </row>
    <row r="20" spans="1:32" x14ac:dyDescent="0.35">
      <c r="A20" s="19"/>
      <c r="B20" s="11" t="s">
        <v>910</v>
      </c>
      <c r="C20" s="12">
        <v>2743</v>
      </c>
      <c r="D20" s="12">
        <v>69</v>
      </c>
      <c r="E20" s="12">
        <v>76</v>
      </c>
      <c r="F20" s="12">
        <v>131</v>
      </c>
      <c r="G20" s="12">
        <v>132</v>
      </c>
      <c r="H20" s="12">
        <v>128</v>
      </c>
      <c r="I20" s="12">
        <v>157</v>
      </c>
      <c r="J20" s="12">
        <v>29</v>
      </c>
      <c r="K20" s="12">
        <v>99</v>
      </c>
      <c r="L20" s="12">
        <v>69</v>
      </c>
      <c r="M20" s="12">
        <v>80</v>
      </c>
      <c r="N20" s="12">
        <v>98</v>
      </c>
      <c r="O20" s="12">
        <v>79</v>
      </c>
      <c r="P20" s="12">
        <v>71</v>
      </c>
      <c r="Q20" s="12">
        <v>179</v>
      </c>
      <c r="R20" s="12">
        <v>26</v>
      </c>
      <c r="S20" s="12">
        <v>50</v>
      </c>
      <c r="T20" s="12">
        <v>65</v>
      </c>
      <c r="U20" s="12">
        <v>47</v>
      </c>
      <c r="V20" s="12">
        <v>83</v>
      </c>
      <c r="W20" s="12">
        <v>34</v>
      </c>
      <c r="X20" s="12">
        <v>90</v>
      </c>
      <c r="Y20" s="12">
        <v>145</v>
      </c>
      <c r="Z20" s="12">
        <v>80</v>
      </c>
      <c r="AA20" s="12">
        <v>81</v>
      </c>
      <c r="AB20" s="12">
        <v>94</v>
      </c>
      <c r="AC20" s="12">
        <v>81</v>
      </c>
      <c r="AD20" s="12">
        <v>78</v>
      </c>
      <c r="AE20" s="12">
        <v>113</v>
      </c>
      <c r="AF20" s="12">
        <v>167</v>
      </c>
    </row>
    <row r="21" spans="1:32" x14ac:dyDescent="0.35">
      <c r="A21" s="19"/>
      <c r="B21" s="13" t="s">
        <v>911</v>
      </c>
      <c r="C21" s="15">
        <v>0.11</v>
      </c>
      <c r="D21" s="15">
        <v>7.0000000000000007E-2</v>
      </c>
      <c r="E21" s="15">
        <v>0.08</v>
      </c>
      <c r="F21" s="15">
        <v>0.13</v>
      </c>
      <c r="G21" s="15">
        <v>0.14000000000000001</v>
      </c>
      <c r="H21" s="15">
        <v>0.11</v>
      </c>
      <c r="I21" s="15">
        <v>0.11</v>
      </c>
      <c r="J21" s="15">
        <v>0.1</v>
      </c>
      <c r="K21" s="15">
        <v>0.11</v>
      </c>
      <c r="L21" s="15">
        <v>7.0000000000000007E-2</v>
      </c>
      <c r="M21" s="15">
        <v>0.08</v>
      </c>
      <c r="N21" s="15">
        <v>0.1</v>
      </c>
      <c r="O21" s="15">
        <v>0.08</v>
      </c>
      <c r="P21" s="15">
        <v>7.0000000000000007E-2</v>
      </c>
      <c r="Q21" s="15">
        <v>0.19</v>
      </c>
      <c r="R21" s="15">
        <v>0.06</v>
      </c>
      <c r="S21" s="15">
        <v>0.05</v>
      </c>
      <c r="T21" s="15">
        <v>7.0000000000000007E-2</v>
      </c>
      <c r="U21" s="15">
        <v>0.1</v>
      </c>
      <c r="V21" s="15">
        <v>0.08</v>
      </c>
      <c r="W21" s="15">
        <v>7.0000000000000007E-2</v>
      </c>
      <c r="X21" s="15">
        <v>0.09</v>
      </c>
      <c r="Y21" s="15">
        <v>0.15</v>
      </c>
      <c r="Z21" s="15">
        <v>0.08</v>
      </c>
      <c r="AA21" s="15">
        <v>0.08</v>
      </c>
      <c r="AB21" s="15">
        <v>0.09</v>
      </c>
      <c r="AC21" s="15">
        <v>0.08</v>
      </c>
      <c r="AD21" s="15">
        <v>0.08</v>
      </c>
      <c r="AE21" s="15">
        <v>0.12</v>
      </c>
      <c r="AF21" s="15">
        <v>0.17</v>
      </c>
    </row>
    <row r="22" spans="1:32" x14ac:dyDescent="0.35">
      <c r="A22" s="19"/>
      <c r="B22" s="11" t="s">
        <v>912</v>
      </c>
      <c r="C22" s="12">
        <v>3716</v>
      </c>
      <c r="D22" s="12">
        <v>132</v>
      </c>
      <c r="E22" s="12">
        <v>107</v>
      </c>
      <c r="F22" s="12">
        <v>94</v>
      </c>
      <c r="G22" s="12">
        <v>312</v>
      </c>
      <c r="H22" s="12">
        <v>183</v>
      </c>
      <c r="I22" s="12">
        <v>233</v>
      </c>
      <c r="J22" s="12">
        <v>50</v>
      </c>
      <c r="K22" s="12">
        <v>48</v>
      </c>
      <c r="L22" s="12">
        <v>157</v>
      </c>
      <c r="M22" s="12">
        <v>102</v>
      </c>
      <c r="N22" s="12">
        <v>113</v>
      </c>
      <c r="O22" s="12">
        <v>169</v>
      </c>
      <c r="P22" s="12">
        <v>102</v>
      </c>
      <c r="Q22" s="12">
        <v>142</v>
      </c>
      <c r="R22" s="12">
        <v>50</v>
      </c>
      <c r="S22" s="12">
        <v>46</v>
      </c>
      <c r="T22" s="12">
        <v>71</v>
      </c>
      <c r="U22" s="12">
        <v>78</v>
      </c>
      <c r="V22" s="12">
        <v>160</v>
      </c>
      <c r="W22" s="12">
        <v>99</v>
      </c>
      <c r="X22" s="12">
        <v>219</v>
      </c>
      <c r="Y22" s="12">
        <v>145</v>
      </c>
      <c r="Z22" s="12">
        <v>98</v>
      </c>
      <c r="AA22" s="12">
        <v>118</v>
      </c>
      <c r="AB22" s="12">
        <v>88</v>
      </c>
      <c r="AC22" s="12">
        <v>114</v>
      </c>
      <c r="AD22" s="12">
        <v>103</v>
      </c>
      <c r="AE22" s="12">
        <v>157</v>
      </c>
      <c r="AF22" s="12">
        <v>256</v>
      </c>
    </row>
    <row r="23" spans="1:32" x14ac:dyDescent="0.35">
      <c r="A23" s="19"/>
      <c r="B23" s="13" t="s">
        <v>913</v>
      </c>
      <c r="C23" s="15">
        <v>0.16</v>
      </c>
      <c r="D23" s="15">
        <v>0.15</v>
      </c>
      <c r="E23" s="15">
        <v>0.11</v>
      </c>
      <c r="F23" s="15">
        <v>0.09</v>
      </c>
      <c r="G23" s="15">
        <v>0.4</v>
      </c>
      <c r="H23" s="15">
        <v>0.17</v>
      </c>
      <c r="I23" s="15">
        <v>0.17</v>
      </c>
      <c r="J23" s="15">
        <v>0.18</v>
      </c>
      <c r="K23" s="15">
        <v>0.05</v>
      </c>
      <c r="L23" s="15">
        <v>0.18</v>
      </c>
      <c r="M23" s="15">
        <v>0.1</v>
      </c>
      <c r="N23" s="15">
        <v>0.12</v>
      </c>
      <c r="O23" s="15">
        <v>0.19</v>
      </c>
      <c r="P23" s="15">
        <v>0.11</v>
      </c>
      <c r="Q23" s="15">
        <v>0.15</v>
      </c>
      <c r="R23" s="15">
        <v>0.11</v>
      </c>
      <c r="S23" s="15">
        <v>0.05</v>
      </c>
      <c r="T23" s="15">
        <v>7.0000000000000007E-2</v>
      </c>
      <c r="U23" s="15">
        <v>0.17</v>
      </c>
      <c r="V23" s="15">
        <v>0.17</v>
      </c>
      <c r="W23" s="15">
        <v>0.23</v>
      </c>
      <c r="X23" s="15">
        <v>0.27</v>
      </c>
      <c r="Y23" s="15">
        <v>0.16</v>
      </c>
      <c r="Z23" s="15">
        <v>0.1</v>
      </c>
      <c r="AA23" s="15">
        <v>0.12</v>
      </c>
      <c r="AB23" s="15">
        <v>0.09</v>
      </c>
      <c r="AC23" s="15">
        <v>0.12</v>
      </c>
      <c r="AD23" s="15">
        <v>0.11</v>
      </c>
      <c r="AE23" s="15">
        <v>0.18</v>
      </c>
      <c r="AF23" s="15">
        <v>0.33</v>
      </c>
    </row>
    <row r="24" spans="1:32" x14ac:dyDescent="0.35">
      <c r="A24" s="19"/>
      <c r="B24" s="11" t="s">
        <v>914</v>
      </c>
      <c r="C24" s="12">
        <v>3638</v>
      </c>
      <c r="D24" s="12">
        <v>178</v>
      </c>
      <c r="E24" s="12">
        <v>89</v>
      </c>
      <c r="F24" s="12">
        <v>174</v>
      </c>
      <c r="G24" s="12">
        <v>112</v>
      </c>
      <c r="H24" s="12">
        <v>208</v>
      </c>
      <c r="I24" s="12">
        <v>264</v>
      </c>
      <c r="J24" s="12">
        <v>56</v>
      </c>
      <c r="K24" s="12">
        <v>92</v>
      </c>
      <c r="L24" s="12">
        <v>185</v>
      </c>
      <c r="M24" s="12">
        <v>177</v>
      </c>
      <c r="N24" s="12">
        <v>141</v>
      </c>
      <c r="O24" s="12">
        <v>131</v>
      </c>
      <c r="P24" s="12">
        <v>110</v>
      </c>
      <c r="Q24" s="12">
        <v>143</v>
      </c>
      <c r="R24" s="12">
        <v>106</v>
      </c>
      <c r="S24" s="12">
        <v>87</v>
      </c>
      <c r="T24" s="12">
        <v>151</v>
      </c>
      <c r="U24" s="12">
        <v>76</v>
      </c>
      <c r="V24" s="12">
        <v>139</v>
      </c>
      <c r="W24" s="12">
        <v>114</v>
      </c>
      <c r="X24" s="12">
        <v>177</v>
      </c>
      <c r="Y24" s="12">
        <v>135</v>
      </c>
      <c r="Z24" s="12">
        <v>100</v>
      </c>
      <c r="AA24" s="12">
        <v>116</v>
      </c>
      <c r="AB24" s="12">
        <v>55</v>
      </c>
      <c r="AC24" s="12">
        <v>115</v>
      </c>
      <c r="AD24" s="12">
        <v>87</v>
      </c>
      <c r="AE24" s="12">
        <v>76</v>
      </c>
      <c r="AF24" s="12">
        <v>120</v>
      </c>
    </row>
    <row r="25" spans="1:32" x14ac:dyDescent="0.35">
      <c r="A25" s="19"/>
      <c r="B25" s="13" t="s">
        <v>915</v>
      </c>
      <c r="C25" s="15">
        <v>0.16</v>
      </c>
      <c r="D25" s="15">
        <v>0.21</v>
      </c>
      <c r="E25" s="15">
        <v>0.09</v>
      </c>
      <c r="F25" s="15">
        <v>0.2</v>
      </c>
      <c r="G25" s="15">
        <v>0.12</v>
      </c>
      <c r="H25" s="15">
        <v>0.19</v>
      </c>
      <c r="I25" s="15">
        <v>0.2</v>
      </c>
      <c r="J25" s="15">
        <v>0.22</v>
      </c>
      <c r="K25" s="15">
        <v>0.1</v>
      </c>
      <c r="L25" s="15">
        <v>0.24</v>
      </c>
      <c r="M25" s="15">
        <v>0.19</v>
      </c>
      <c r="N25" s="15">
        <v>0.17</v>
      </c>
      <c r="O25" s="15">
        <v>0.15</v>
      </c>
      <c r="P25" s="15">
        <v>0.12</v>
      </c>
      <c r="Q25" s="15">
        <v>0.16</v>
      </c>
      <c r="R25" s="15">
        <v>0.32</v>
      </c>
      <c r="S25" s="15">
        <v>0.09</v>
      </c>
      <c r="T25" s="15">
        <v>0.16</v>
      </c>
      <c r="U25" s="15">
        <v>0.17</v>
      </c>
      <c r="V25" s="15">
        <v>0.15</v>
      </c>
      <c r="W25" s="15">
        <v>0.27</v>
      </c>
      <c r="X25" s="15">
        <v>0.22</v>
      </c>
      <c r="Y25" s="15">
        <v>0.15</v>
      </c>
      <c r="Z25" s="15">
        <v>0.11</v>
      </c>
      <c r="AA25" s="15">
        <v>0.13</v>
      </c>
      <c r="AB25" s="15">
        <v>0.06</v>
      </c>
      <c r="AC25" s="15">
        <v>0.13</v>
      </c>
      <c r="AD25" s="15">
        <v>0.09</v>
      </c>
      <c r="AE25" s="15">
        <v>0.08</v>
      </c>
      <c r="AF25" s="15">
        <v>0.12</v>
      </c>
    </row>
    <row r="26" spans="1:32" x14ac:dyDescent="0.35">
      <c r="A26" s="19"/>
      <c r="B26" s="11" t="s">
        <v>607</v>
      </c>
      <c r="C26" s="12">
        <v>4829</v>
      </c>
      <c r="D26" s="12">
        <v>216</v>
      </c>
      <c r="E26" s="12">
        <v>151</v>
      </c>
      <c r="F26" s="12">
        <v>224</v>
      </c>
      <c r="G26" s="12">
        <v>218</v>
      </c>
      <c r="H26" s="12">
        <v>255</v>
      </c>
      <c r="I26" s="12">
        <v>321</v>
      </c>
      <c r="J26" s="12">
        <v>66</v>
      </c>
      <c r="K26" s="12">
        <v>194</v>
      </c>
      <c r="L26" s="12">
        <v>136</v>
      </c>
      <c r="M26" s="12">
        <v>122</v>
      </c>
      <c r="N26" s="12">
        <v>126</v>
      </c>
      <c r="O26" s="12">
        <v>182</v>
      </c>
      <c r="P26" s="12">
        <v>154</v>
      </c>
      <c r="Q26" s="12">
        <v>180</v>
      </c>
      <c r="R26" s="12">
        <v>111</v>
      </c>
      <c r="S26" s="12">
        <v>183</v>
      </c>
      <c r="T26" s="12">
        <v>230</v>
      </c>
      <c r="U26" s="12">
        <v>111</v>
      </c>
      <c r="V26" s="12">
        <v>168</v>
      </c>
      <c r="W26" s="12">
        <v>82</v>
      </c>
      <c r="X26" s="12">
        <v>215</v>
      </c>
      <c r="Y26" s="12">
        <v>166</v>
      </c>
      <c r="Z26" s="12">
        <v>221</v>
      </c>
      <c r="AA26" s="12">
        <v>146</v>
      </c>
      <c r="AB26" s="12">
        <v>172</v>
      </c>
      <c r="AC26" s="12">
        <v>145</v>
      </c>
      <c r="AD26" s="12">
        <v>160</v>
      </c>
      <c r="AE26" s="12">
        <v>236</v>
      </c>
      <c r="AF26" s="12">
        <v>233</v>
      </c>
    </row>
    <row r="27" spans="1:32" x14ac:dyDescent="0.35">
      <c r="A27" s="19"/>
      <c r="B27" s="13" t="s">
        <v>608</v>
      </c>
      <c r="C27" s="15">
        <v>0.22</v>
      </c>
      <c r="D27" s="15">
        <v>0.24</v>
      </c>
      <c r="E27" s="15">
        <v>0.17</v>
      </c>
      <c r="F27" s="15">
        <v>0.26</v>
      </c>
      <c r="G27" s="15">
        <v>0.32</v>
      </c>
      <c r="H27" s="15">
        <v>0.28000000000000003</v>
      </c>
      <c r="I27" s="15">
        <v>0.28000000000000003</v>
      </c>
      <c r="J27" s="15">
        <v>0.28000000000000003</v>
      </c>
      <c r="K27" s="15">
        <v>0.26</v>
      </c>
      <c r="L27" s="15">
        <v>0.15</v>
      </c>
      <c r="M27" s="15">
        <v>0.13</v>
      </c>
      <c r="N27" s="15">
        <v>0.14000000000000001</v>
      </c>
      <c r="O27" s="15">
        <v>0.22</v>
      </c>
      <c r="P27" s="15">
        <v>0.17</v>
      </c>
      <c r="Q27" s="15">
        <v>0.2</v>
      </c>
      <c r="R27" s="15">
        <v>0.26</v>
      </c>
      <c r="S27" s="15">
        <v>0.25</v>
      </c>
      <c r="T27" s="15">
        <v>0.34</v>
      </c>
      <c r="U27" s="15">
        <v>0.26</v>
      </c>
      <c r="V27" s="15">
        <v>0.2</v>
      </c>
      <c r="W27" s="15">
        <v>0.18</v>
      </c>
      <c r="X27" s="15">
        <v>0.27</v>
      </c>
      <c r="Y27" s="15">
        <v>0.2</v>
      </c>
      <c r="Z27" s="15">
        <v>0.28000000000000003</v>
      </c>
      <c r="AA27" s="15">
        <v>0.16</v>
      </c>
      <c r="AB27" s="15">
        <v>0.19</v>
      </c>
      <c r="AC27" s="15">
        <v>0.16</v>
      </c>
      <c r="AD27" s="15">
        <v>0.19</v>
      </c>
      <c r="AE27" s="15">
        <v>0.33</v>
      </c>
      <c r="AF27" s="15">
        <v>0.27</v>
      </c>
    </row>
    <row r="28" spans="1:32" x14ac:dyDescent="0.35">
      <c r="A28" s="19"/>
      <c r="B28" s="11" t="s">
        <v>916</v>
      </c>
      <c r="C28" s="12">
        <v>2315</v>
      </c>
      <c r="D28" s="12">
        <v>72</v>
      </c>
      <c r="E28" s="12">
        <v>132</v>
      </c>
      <c r="F28" s="12">
        <v>94</v>
      </c>
      <c r="G28" s="12">
        <v>76</v>
      </c>
      <c r="H28" s="12">
        <v>77</v>
      </c>
      <c r="I28" s="12">
        <v>98</v>
      </c>
      <c r="J28" s="12">
        <v>21</v>
      </c>
      <c r="K28" s="12">
        <v>127</v>
      </c>
      <c r="L28" s="12">
        <v>80</v>
      </c>
      <c r="M28" s="12">
        <v>126</v>
      </c>
      <c r="N28" s="12">
        <v>68</v>
      </c>
      <c r="O28" s="12">
        <v>101</v>
      </c>
      <c r="P28" s="12">
        <v>163</v>
      </c>
      <c r="Q28" s="12">
        <v>80</v>
      </c>
      <c r="R28" s="12">
        <v>35</v>
      </c>
      <c r="S28" s="12">
        <v>156</v>
      </c>
      <c r="T28" s="12">
        <v>98</v>
      </c>
      <c r="U28" s="12">
        <v>41</v>
      </c>
      <c r="V28" s="12">
        <v>115</v>
      </c>
      <c r="W28" s="12">
        <v>27</v>
      </c>
      <c r="X28" s="12">
        <v>56</v>
      </c>
      <c r="Y28" s="12">
        <v>108</v>
      </c>
      <c r="Z28" s="12">
        <v>99</v>
      </c>
      <c r="AA28" s="12">
        <v>115</v>
      </c>
      <c r="AB28" s="12">
        <v>147</v>
      </c>
      <c r="AC28" s="12">
        <v>175</v>
      </c>
      <c r="AD28" s="12">
        <v>153</v>
      </c>
      <c r="AE28" s="12">
        <v>89</v>
      </c>
      <c r="AF28" s="12">
        <v>78</v>
      </c>
    </row>
    <row r="29" spans="1:32" x14ac:dyDescent="0.35">
      <c r="A29" s="19"/>
      <c r="B29" s="13" t="s">
        <v>917</v>
      </c>
      <c r="C29" s="15">
        <v>0.09</v>
      </c>
      <c r="D29" s="15">
        <v>7.0000000000000007E-2</v>
      </c>
      <c r="E29" s="15">
        <v>0.14000000000000001</v>
      </c>
      <c r="F29" s="15">
        <v>0.09</v>
      </c>
      <c r="G29" s="15">
        <v>0.08</v>
      </c>
      <c r="H29" s="15">
        <v>7.0000000000000007E-2</v>
      </c>
      <c r="I29" s="15">
        <v>7.0000000000000007E-2</v>
      </c>
      <c r="J29" s="15">
        <v>7.0000000000000007E-2</v>
      </c>
      <c r="K29" s="15">
        <v>0.14000000000000001</v>
      </c>
      <c r="L29" s="15">
        <v>0.08</v>
      </c>
      <c r="M29" s="15">
        <v>0.13</v>
      </c>
      <c r="N29" s="15">
        <v>7.0000000000000007E-2</v>
      </c>
      <c r="O29" s="15">
        <v>0.11</v>
      </c>
      <c r="P29" s="15">
        <v>0.18</v>
      </c>
      <c r="Q29" s="15">
        <v>0.08</v>
      </c>
      <c r="R29" s="15">
        <v>7.0000000000000007E-2</v>
      </c>
      <c r="S29" s="15">
        <v>0.17</v>
      </c>
      <c r="T29" s="15">
        <v>0.1</v>
      </c>
      <c r="U29" s="15">
        <v>0.08</v>
      </c>
      <c r="V29" s="15">
        <v>0.12</v>
      </c>
      <c r="W29" s="15">
        <v>0.05</v>
      </c>
      <c r="X29" s="15">
        <v>0.06</v>
      </c>
      <c r="Y29" s="15">
        <v>0.11</v>
      </c>
      <c r="Z29" s="15">
        <v>0.1</v>
      </c>
      <c r="AA29" s="15">
        <v>0.12</v>
      </c>
      <c r="AB29" s="15">
        <v>0.16</v>
      </c>
      <c r="AC29" s="15">
        <v>0.2</v>
      </c>
      <c r="AD29" s="15">
        <v>0.17</v>
      </c>
      <c r="AE29" s="15">
        <v>0.09</v>
      </c>
      <c r="AF29" s="15">
        <v>0.08</v>
      </c>
    </row>
    <row r="30" spans="1:32" ht="41.5" x14ac:dyDescent="0.35">
      <c r="A30" s="19"/>
      <c r="B30" s="11" t="s">
        <v>918</v>
      </c>
      <c r="C30" s="12">
        <v>2132</v>
      </c>
      <c r="D30" s="12">
        <v>51</v>
      </c>
      <c r="E30" s="12">
        <v>91</v>
      </c>
      <c r="F30" s="12">
        <v>144</v>
      </c>
      <c r="G30" s="12">
        <v>48</v>
      </c>
      <c r="H30" s="12">
        <v>104</v>
      </c>
      <c r="I30" s="12">
        <v>144</v>
      </c>
      <c r="J30" s="12">
        <v>40</v>
      </c>
      <c r="K30" s="12">
        <v>112</v>
      </c>
      <c r="L30" s="12">
        <v>50</v>
      </c>
      <c r="M30" s="12">
        <v>46</v>
      </c>
      <c r="N30" s="12">
        <v>52</v>
      </c>
      <c r="O30" s="12">
        <v>59</v>
      </c>
      <c r="P30" s="12">
        <v>115</v>
      </c>
      <c r="Q30" s="12">
        <v>102</v>
      </c>
      <c r="R30" s="12">
        <v>6</v>
      </c>
      <c r="S30" s="12">
        <v>90</v>
      </c>
      <c r="T30" s="12">
        <v>62</v>
      </c>
      <c r="U30" s="12">
        <v>28</v>
      </c>
      <c r="V30" s="12">
        <v>99</v>
      </c>
      <c r="W30" s="12">
        <v>19</v>
      </c>
      <c r="X30" s="12">
        <v>35</v>
      </c>
      <c r="Y30" s="12">
        <v>124</v>
      </c>
      <c r="Z30" s="12">
        <v>111</v>
      </c>
      <c r="AA30" s="12">
        <v>87</v>
      </c>
      <c r="AB30" s="12">
        <v>128</v>
      </c>
      <c r="AC30" s="12">
        <v>78</v>
      </c>
      <c r="AD30" s="12">
        <v>107</v>
      </c>
      <c r="AE30" s="12">
        <v>45</v>
      </c>
      <c r="AF30" s="12">
        <v>38</v>
      </c>
    </row>
    <row r="31" spans="1:32" ht="31.5" x14ac:dyDescent="0.35">
      <c r="A31" s="19"/>
      <c r="B31" s="13" t="s">
        <v>919</v>
      </c>
      <c r="C31" s="15">
        <v>0.08</v>
      </c>
      <c r="D31" s="15">
        <v>0.05</v>
      </c>
      <c r="E31" s="15">
        <v>0.09</v>
      </c>
      <c r="F31" s="15">
        <v>0.15</v>
      </c>
      <c r="G31" s="15">
        <v>0.05</v>
      </c>
      <c r="H31" s="15">
        <v>0.09</v>
      </c>
      <c r="I31" s="15">
        <v>0.1</v>
      </c>
      <c r="J31" s="15">
        <v>0.14000000000000001</v>
      </c>
      <c r="K31" s="15">
        <v>0.12</v>
      </c>
      <c r="L31" s="15">
        <v>0.05</v>
      </c>
      <c r="M31" s="15">
        <v>0.05</v>
      </c>
      <c r="N31" s="15">
        <v>0.05</v>
      </c>
      <c r="O31" s="15">
        <v>0.06</v>
      </c>
      <c r="P31" s="15">
        <v>0.12</v>
      </c>
      <c r="Q31" s="15">
        <v>0.1</v>
      </c>
      <c r="R31" s="15">
        <v>0.01</v>
      </c>
      <c r="S31" s="15">
        <v>0.09</v>
      </c>
      <c r="T31" s="15">
        <v>0.06</v>
      </c>
      <c r="U31" s="15">
        <v>0.06</v>
      </c>
      <c r="V31" s="15">
        <v>0.1</v>
      </c>
      <c r="W31" s="15">
        <v>0.04</v>
      </c>
      <c r="X31" s="15">
        <v>0.04</v>
      </c>
      <c r="Y31" s="15">
        <v>0.13</v>
      </c>
      <c r="Z31" s="15">
        <v>0.12</v>
      </c>
      <c r="AA31" s="15">
        <v>0.09</v>
      </c>
      <c r="AB31" s="15">
        <v>0.13</v>
      </c>
      <c r="AC31" s="15">
        <v>0.08</v>
      </c>
      <c r="AD31" s="15">
        <v>0.11</v>
      </c>
      <c r="AE31" s="15">
        <v>0.05</v>
      </c>
      <c r="AF31" s="15">
        <v>0.04</v>
      </c>
    </row>
    <row r="32" spans="1:32" ht="21.5" x14ac:dyDescent="0.35">
      <c r="A32" s="19"/>
      <c r="B32" s="11" t="s">
        <v>920</v>
      </c>
      <c r="C32" s="12">
        <v>1410</v>
      </c>
      <c r="D32" s="12">
        <v>58</v>
      </c>
      <c r="E32" s="12">
        <v>49</v>
      </c>
      <c r="F32" s="12">
        <v>64</v>
      </c>
      <c r="G32" s="12">
        <v>87</v>
      </c>
      <c r="H32" s="12">
        <v>103</v>
      </c>
      <c r="I32" s="12">
        <v>124</v>
      </c>
      <c r="J32" s="12">
        <v>21</v>
      </c>
      <c r="K32" s="12">
        <v>74</v>
      </c>
      <c r="L32" s="12">
        <v>80</v>
      </c>
      <c r="M32" s="12">
        <v>28</v>
      </c>
      <c r="N32" s="12">
        <v>34</v>
      </c>
      <c r="O32" s="12">
        <v>18</v>
      </c>
      <c r="P32" s="12">
        <v>83</v>
      </c>
      <c r="Q32" s="12">
        <v>62</v>
      </c>
      <c r="R32" s="12">
        <v>8</v>
      </c>
      <c r="S32" s="12">
        <v>66</v>
      </c>
      <c r="T32" s="12">
        <v>23</v>
      </c>
      <c r="U32" s="12">
        <v>19</v>
      </c>
      <c r="V32" s="12">
        <v>75</v>
      </c>
      <c r="W32" s="12">
        <v>25</v>
      </c>
      <c r="X32" s="12">
        <v>43</v>
      </c>
      <c r="Y32" s="12">
        <v>72</v>
      </c>
      <c r="Z32" s="12">
        <v>51</v>
      </c>
      <c r="AA32" s="12">
        <v>33</v>
      </c>
      <c r="AB32" s="12">
        <v>79</v>
      </c>
      <c r="AC32" s="12">
        <v>51</v>
      </c>
      <c r="AD32" s="12">
        <v>52</v>
      </c>
      <c r="AE32" s="12">
        <v>78</v>
      </c>
      <c r="AF32" s="12">
        <v>55</v>
      </c>
    </row>
    <row r="33" spans="1:32" ht="21.5" x14ac:dyDescent="0.35">
      <c r="A33" s="19"/>
      <c r="B33" s="13" t="s">
        <v>921</v>
      </c>
      <c r="C33" s="15">
        <v>0.06</v>
      </c>
      <c r="D33" s="15">
        <v>0.06</v>
      </c>
      <c r="E33" s="15">
        <v>0.05</v>
      </c>
      <c r="F33" s="15">
        <v>0.06</v>
      </c>
      <c r="G33" s="15">
        <v>0.09</v>
      </c>
      <c r="H33" s="15">
        <v>0.09</v>
      </c>
      <c r="I33" s="15">
        <v>0.08</v>
      </c>
      <c r="J33" s="15">
        <v>7.0000000000000007E-2</v>
      </c>
      <c r="K33" s="15">
        <v>0.08</v>
      </c>
      <c r="L33" s="15">
        <v>0.08</v>
      </c>
      <c r="M33" s="15">
        <v>0.03</v>
      </c>
      <c r="N33" s="15">
        <v>0.04</v>
      </c>
      <c r="O33" s="15">
        <v>0.02</v>
      </c>
      <c r="P33" s="15">
        <v>0.08</v>
      </c>
      <c r="Q33" s="15">
        <v>0.06</v>
      </c>
      <c r="R33" s="15">
        <v>0.02</v>
      </c>
      <c r="S33" s="15">
        <v>7.0000000000000007E-2</v>
      </c>
      <c r="T33" s="15">
        <v>0.02</v>
      </c>
      <c r="U33" s="15">
        <v>0.04</v>
      </c>
      <c r="V33" s="15">
        <v>0.08</v>
      </c>
      <c r="W33" s="15">
        <v>0.05</v>
      </c>
      <c r="X33" s="15">
        <v>0.04</v>
      </c>
      <c r="Y33" s="15">
        <v>0.08</v>
      </c>
      <c r="Z33" s="15">
        <v>0.05</v>
      </c>
      <c r="AA33" s="15">
        <v>0.03</v>
      </c>
      <c r="AB33" s="15">
        <v>0.08</v>
      </c>
      <c r="AC33" s="15">
        <v>0.05</v>
      </c>
      <c r="AD33" s="15">
        <v>0.05</v>
      </c>
      <c r="AE33" s="15">
        <v>0.08</v>
      </c>
      <c r="AF33" s="15">
        <v>0.05</v>
      </c>
    </row>
    <row r="34" spans="1:32" x14ac:dyDescent="0.35">
      <c r="A34" s="19"/>
      <c r="B34" s="11" t="s">
        <v>597</v>
      </c>
      <c r="C34" s="12">
        <v>4238</v>
      </c>
      <c r="D34" s="12">
        <v>166</v>
      </c>
      <c r="E34" s="12">
        <v>181</v>
      </c>
      <c r="F34" s="12">
        <v>191</v>
      </c>
      <c r="G34" s="12">
        <v>108</v>
      </c>
      <c r="H34" s="12">
        <v>96</v>
      </c>
      <c r="I34" s="12">
        <v>137</v>
      </c>
      <c r="J34" s="12">
        <v>41</v>
      </c>
      <c r="K34" s="12">
        <v>127</v>
      </c>
      <c r="L34" s="12">
        <v>256</v>
      </c>
      <c r="M34" s="12">
        <v>237</v>
      </c>
      <c r="N34" s="12">
        <v>206</v>
      </c>
      <c r="O34" s="12">
        <v>220</v>
      </c>
      <c r="P34" s="12">
        <v>128</v>
      </c>
      <c r="Q34" s="12">
        <v>154</v>
      </c>
      <c r="R34" s="12">
        <v>112</v>
      </c>
      <c r="S34" s="12">
        <v>210</v>
      </c>
      <c r="T34" s="12">
        <v>172</v>
      </c>
      <c r="U34" s="12">
        <v>68</v>
      </c>
      <c r="V34" s="12">
        <v>184</v>
      </c>
      <c r="W34" s="12">
        <v>98</v>
      </c>
      <c r="X34" s="12">
        <v>93</v>
      </c>
      <c r="Y34" s="12">
        <v>125</v>
      </c>
      <c r="Z34" s="12">
        <v>166</v>
      </c>
      <c r="AA34" s="12">
        <v>324</v>
      </c>
      <c r="AB34" s="12">
        <v>156</v>
      </c>
      <c r="AC34" s="12">
        <v>186</v>
      </c>
      <c r="AD34" s="12">
        <v>201</v>
      </c>
      <c r="AE34" s="12">
        <v>94</v>
      </c>
      <c r="AF34" s="12">
        <v>71</v>
      </c>
    </row>
    <row r="35" spans="1:32" x14ac:dyDescent="0.35">
      <c r="A35" s="19"/>
      <c r="B35" s="13" t="s">
        <v>598</v>
      </c>
      <c r="C35" s="15">
        <v>0.18</v>
      </c>
      <c r="D35" s="15">
        <v>0.18</v>
      </c>
      <c r="E35" s="15">
        <v>0.19</v>
      </c>
      <c r="F35" s="15">
        <v>0.19</v>
      </c>
      <c r="G35" s="15">
        <v>0.11</v>
      </c>
      <c r="H35" s="15">
        <v>0.08</v>
      </c>
      <c r="I35" s="15">
        <v>0.1</v>
      </c>
      <c r="J35" s="15">
        <v>0.15</v>
      </c>
      <c r="K35" s="15">
        <v>0.14000000000000001</v>
      </c>
      <c r="L35" s="15">
        <v>0.31</v>
      </c>
      <c r="M35" s="15">
        <v>0.27</v>
      </c>
      <c r="N35" s="15">
        <v>0.24</v>
      </c>
      <c r="O35" s="15">
        <v>0.25</v>
      </c>
      <c r="P35" s="15">
        <v>0.14000000000000001</v>
      </c>
      <c r="Q35" s="15">
        <v>0.17</v>
      </c>
      <c r="R35" s="15">
        <v>0.26</v>
      </c>
      <c r="S35" s="15">
        <v>0.25</v>
      </c>
      <c r="T35" s="15">
        <v>0.2</v>
      </c>
      <c r="U35" s="15">
        <v>0.15</v>
      </c>
      <c r="V35" s="15">
        <v>0.21</v>
      </c>
      <c r="W35" s="15">
        <v>0.22</v>
      </c>
      <c r="X35" s="15">
        <v>0.1</v>
      </c>
      <c r="Y35" s="15">
        <v>0.13</v>
      </c>
      <c r="Z35" s="15">
        <v>0.18</v>
      </c>
      <c r="AA35" s="15">
        <v>0.41</v>
      </c>
      <c r="AB35" s="15">
        <v>0.17</v>
      </c>
      <c r="AC35" s="15">
        <v>0.21</v>
      </c>
      <c r="AD35" s="15">
        <v>0.23</v>
      </c>
      <c r="AE35" s="15">
        <v>0.1</v>
      </c>
      <c r="AF35" s="15">
        <v>7.0000000000000007E-2</v>
      </c>
    </row>
    <row r="36" spans="1:32" x14ac:dyDescent="0.35">
      <c r="A36" s="19"/>
      <c r="B36" s="11" t="s">
        <v>922</v>
      </c>
      <c r="C36" s="12">
        <v>2643</v>
      </c>
      <c r="D36" s="12">
        <v>124</v>
      </c>
      <c r="E36" s="12">
        <v>72</v>
      </c>
      <c r="F36" s="12">
        <v>78</v>
      </c>
      <c r="G36" s="12">
        <v>129</v>
      </c>
      <c r="H36" s="12">
        <v>186</v>
      </c>
      <c r="I36" s="12">
        <v>219</v>
      </c>
      <c r="J36" s="12">
        <v>33</v>
      </c>
      <c r="K36" s="12">
        <v>44</v>
      </c>
      <c r="L36" s="12">
        <v>86</v>
      </c>
      <c r="M36" s="12">
        <v>90</v>
      </c>
      <c r="N36" s="12">
        <v>81</v>
      </c>
      <c r="O36" s="12">
        <v>69</v>
      </c>
      <c r="P36" s="12">
        <v>87</v>
      </c>
      <c r="Q36" s="12">
        <v>92</v>
      </c>
      <c r="R36" s="12">
        <v>33</v>
      </c>
      <c r="S36" s="12">
        <v>56</v>
      </c>
      <c r="T36" s="12">
        <v>58</v>
      </c>
      <c r="U36" s="12">
        <v>52</v>
      </c>
      <c r="V36" s="12">
        <v>117</v>
      </c>
      <c r="W36" s="12">
        <v>42</v>
      </c>
      <c r="X36" s="12">
        <v>143</v>
      </c>
      <c r="Y36" s="12">
        <v>95</v>
      </c>
      <c r="Z36" s="12">
        <v>77</v>
      </c>
      <c r="AA36" s="12">
        <v>59</v>
      </c>
      <c r="AB36" s="12">
        <v>89</v>
      </c>
      <c r="AC36" s="12">
        <v>75</v>
      </c>
      <c r="AD36" s="12">
        <v>83</v>
      </c>
      <c r="AE36" s="12">
        <v>104</v>
      </c>
      <c r="AF36" s="12">
        <v>254</v>
      </c>
    </row>
    <row r="37" spans="1:32" x14ac:dyDescent="0.35">
      <c r="A37" s="19"/>
      <c r="B37" s="13" t="s">
        <v>923</v>
      </c>
      <c r="C37" s="15">
        <v>0.11</v>
      </c>
      <c r="D37" s="15">
        <v>0.13</v>
      </c>
      <c r="E37" s="15">
        <v>7.0000000000000007E-2</v>
      </c>
      <c r="F37" s="15">
        <v>0.08</v>
      </c>
      <c r="G37" s="15">
        <v>0.14000000000000001</v>
      </c>
      <c r="H37" s="15">
        <v>0.17</v>
      </c>
      <c r="I37" s="15">
        <v>0.16</v>
      </c>
      <c r="J37" s="15">
        <v>0.12</v>
      </c>
      <c r="K37" s="15">
        <v>0.05</v>
      </c>
      <c r="L37" s="15">
        <v>0.09</v>
      </c>
      <c r="M37" s="15">
        <v>0.09</v>
      </c>
      <c r="N37" s="15">
        <v>0.08</v>
      </c>
      <c r="O37" s="15">
        <v>7.0000000000000007E-2</v>
      </c>
      <c r="P37" s="15">
        <v>0.09</v>
      </c>
      <c r="Q37" s="15">
        <v>0.1</v>
      </c>
      <c r="R37" s="15">
        <v>7.0000000000000007E-2</v>
      </c>
      <c r="S37" s="15">
        <v>0.06</v>
      </c>
      <c r="T37" s="15">
        <v>0.06</v>
      </c>
      <c r="U37" s="15">
        <v>0.11</v>
      </c>
      <c r="V37" s="15">
        <v>0.12</v>
      </c>
      <c r="W37" s="15">
        <v>0.09</v>
      </c>
      <c r="X37" s="15">
        <v>0.15</v>
      </c>
      <c r="Y37" s="15">
        <v>0.1</v>
      </c>
      <c r="Z37" s="15">
        <v>0.08</v>
      </c>
      <c r="AA37" s="15">
        <v>0.06</v>
      </c>
      <c r="AB37" s="15">
        <v>0.09</v>
      </c>
      <c r="AC37" s="15">
        <v>0.08</v>
      </c>
      <c r="AD37" s="15">
        <v>0.09</v>
      </c>
      <c r="AE37" s="15">
        <v>0.11</v>
      </c>
      <c r="AF37" s="15">
        <v>0.28000000000000003</v>
      </c>
    </row>
    <row r="38" spans="1:32" ht="51.5" x14ac:dyDescent="0.35">
      <c r="A38" s="19"/>
      <c r="B38" s="11" t="s">
        <v>924</v>
      </c>
      <c r="C38" s="12">
        <v>1563</v>
      </c>
      <c r="D38" s="12">
        <v>52</v>
      </c>
      <c r="E38" s="12">
        <v>73</v>
      </c>
      <c r="F38" s="12">
        <v>47</v>
      </c>
      <c r="G38" s="12">
        <v>94</v>
      </c>
      <c r="H38" s="12">
        <v>81</v>
      </c>
      <c r="I38" s="12">
        <v>97</v>
      </c>
      <c r="J38" s="12">
        <v>16</v>
      </c>
      <c r="K38" s="12">
        <v>71</v>
      </c>
      <c r="L38" s="12">
        <v>56</v>
      </c>
      <c r="M38" s="12">
        <v>64</v>
      </c>
      <c r="N38" s="12">
        <v>28</v>
      </c>
      <c r="O38" s="12">
        <v>34</v>
      </c>
      <c r="P38" s="12">
        <v>78</v>
      </c>
      <c r="Q38" s="12">
        <v>80</v>
      </c>
      <c r="R38" s="12">
        <v>13</v>
      </c>
      <c r="S38" s="12">
        <v>32</v>
      </c>
      <c r="T38" s="12">
        <v>71</v>
      </c>
      <c r="U38" s="12">
        <v>23</v>
      </c>
      <c r="V38" s="12">
        <v>67</v>
      </c>
      <c r="W38" s="12">
        <v>47</v>
      </c>
      <c r="X38" s="12">
        <v>94</v>
      </c>
      <c r="Y38" s="12">
        <v>113</v>
      </c>
      <c r="Z38" s="12">
        <v>88</v>
      </c>
      <c r="AA38" s="12">
        <v>35</v>
      </c>
      <c r="AB38" s="12">
        <v>65</v>
      </c>
      <c r="AC38" s="12">
        <v>57</v>
      </c>
      <c r="AD38" s="12">
        <v>83</v>
      </c>
      <c r="AE38" s="12">
        <v>39</v>
      </c>
      <c r="AF38" s="12">
        <v>31</v>
      </c>
    </row>
    <row r="39" spans="1:32" ht="41.5" x14ac:dyDescent="0.35">
      <c r="A39" s="19"/>
      <c r="B39" s="13" t="s">
        <v>925</v>
      </c>
      <c r="C39" s="15">
        <v>0.06</v>
      </c>
      <c r="D39" s="15">
        <v>0.05</v>
      </c>
      <c r="E39" s="15">
        <v>0.08</v>
      </c>
      <c r="F39" s="15">
        <v>0.05</v>
      </c>
      <c r="G39" s="15">
        <v>0.1</v>
      </c>
      <c r="H39" s="15">
        <v>7.0000000000000007E-2</v>
      </c>
      <c r="I39" s="15">
        <v>7.0000000000000007E-2</v>
      </c>
      <c r="J39" s="15">
        <v>0.05</v>
      </c>
      <c r="K39" s="15">
        <v>0.08</v>
      </c>
      <c r="L39" s="15">
        <v>0.06</v>
      </c>
      <c r="M39" s="15">
        <v>0.06</v>
      </c>
      <c r="N39" s="15">
        <v>0.03</v>
      </c>
      <c r="O39" s="15">
        <v>0.04</v>
      </c>
      <c r="P39" s="15">
        <v>0.08</v>
      </c>
      <c r="Q39" s="15">
        <v>0.08</v>
      </c>
      <c r="R39" s="15">
        <v>0.03</v>
      </c>
      <c r="S39" s="15">
        <v>0.03</v>
      </c>
      <c r="T39" s="15">
        <v>7.0000000000000007E-2</v>
      </c>
      <c r="U39" s="15">
        <v>0.05</v>
      </c>
      <c r="V39" s="15">
        <v>7.0000000000000007E-2</v>
      </c>
      <c r="W39" s="15">
        <v>0.1</v>
      </c>
      <c r="X39" s="15">
        <v>0.1</v>
      </c>
      <c r="Y39" s="15">
        <v>0.12</v>
      </c>
      <c r="Z39" s="15">
        <v>0.09</v>
      </c>
      <c r="AA39" s="15">
        <v>0.03</v>
      </c>
      <c r="AB39" s="15">
        <v>7.0000000000000007E-2</v>
      </c>
      <c r="AC39" s="15">
        <v>0.06</v>
      </c>
      <c r="AD39" s="15">
        <v>0.08</v>
      </c>
      <c r="AE39" s="15">
        <v>0.04</v>
      </c>
      <c r="AF39" s="15">
        <v>0.03</v>
      </c>
    </row>
    <row r="40" spans="1:32" ht="21.5" x14ac:dyDescent="0.35">
      <c r="A40" s="19"/>
      <c r="B40" s="11" t="s">
        <v>926</v>
      </c>
      <c r="C40" s="12">
        <v>2218</v>
      </c>
      <c r="D40" s="12">
        <v>97</v>
      </c>
      <c r="E40" s="12">
        <v>93</v>
      </c>
      <c r="F40" s="12">
        <v>78</v>
      </c>
      <c r="G40" s="12">
        <v>130</v>
      </c>
      <c r="H40" s="12">
        <v>117</v>
      </c>
      <c r="I40" s="12">
        <v>140</v>
      </c>
      <c r="J40" s="12">
        <v>23</v>
      </c>
      <c r="K40" s="12">
        <v>79</v>
      </c>
      <c r="L40" s="12">
        <v>55</v>
      </c>
      <c r="M40" s="12">
        <v>28</v>
      </c>
      <c r="N40" s="12">
        <v>73</v>
      </c>
      <c r="O40" s="12">
        <v>85</v>
      </c>
      <c r="P40" s="12">
        <v>94</v>
      </c>
      <c r="Q40" s="12">
        <v>66</v>
      </c>
      <c r="R40" s="12">
        <v>8</v>
      </c>
      <c r="S40" s="12">
        <v>54</v>
      </c>
      <c r="T40" s="12">
        <v>82</v>
      </c>
      <c r="U40" s="12">
        <v>45</v>
      </c>
      <c r="V40" s="12">
        <v>58</v>
      </c>
      <c r="W40" s="12">
        <v>46</v>
      </c>
      <c r="X40" s="12">
        <v>164</v>
      </c>
      <c r="Y40" s="12">
        <v>101</v>
      </c>
      <c r="Z40" s="12">
        <v>78</v>
      </c>
      <c r="AA40" s="12">
        <v>43</v>
      </c>
      <c r="AB40" s="12">
        <v>86</v>
      </c>
      <c r="AC40" s="12">
        <v>112</v>
      </c>
      <c r="AD40" s="12">
        <v>115</v>
      </c>
      <c r="AE40" s="12">
        <v>110</v>
      </c>
      <c r="AF40" s="12">
        <v>147</v>
      </c>
    </row>
    <row r="41" spans="1:32" x14ac:dyDescent="0.35">
      <c r="A41" s="19"/>
      <c r="B41" s="13" t="s">
        <v>930</v>
      </c>
      <c r="C41" s="15">
        <v>0.09</v>
      </c>
      <c r="D41" s="15">
        <v>0.1</v>
      </c>
      <c r="E41" s="15">
        <v>0.1</v>
      </c>
      <c r="F41" s="15">
        <v>0.08</v>
      </c>
      <c r="G41" s="15">
        <v>0.14000000000000001</v>
      </c>
      <c r="H41" s="15">
        <v>0.1</v>
      </c>
      <c r="I41" s="15">
        <v>0.1</v>
      </c>
      <c r="J41" s="15">
        <v>0.08</v>
      </c>
      <c r="K41" s="15">
        <v>0.08</v>
      </c>
      <c r="L41" s="15">
        <v>0.06</v>
      </c>
      <c r="M41" s="15">
        <v>0.03</v>
      </c>
      <c r="N41" s="15">
        <v>0.08</v>
      </c>
      <c r="O41" s="15">
        <v>0.09</v>
      </c>
      <c r="P41" s="15">
        <v>0.1</v>
      </c>
      <c r="Q41" s="15">
        <v>7.0000000000000007E-2</v>
      </c>
      <c r="R41" s="15">
        <v>0.02</v>
      </c>
      <c r="S41" s="15">
        <v>0.06</v>
      </c>
      <c r="T41" s="15">
        <v>0.08</v>
      </c>
      <c r="U41" s="15">
        <v>0.1</v>
      </c>
      <c r="V41" s="15">
        <v>0.06</v>
      </c>
      <c r="W41" s="15">
        <v>0.09</v>
      </c>
      <c r="X41" s="15">
        <v>0.17</v>
      </c>
      <c r="Y41" s="15">
        <v>0.11</v>
      </c>
      <c r="Z41" s="15">
        <v>0.08</v>
      </c>
      <c r="AA41" s="15">
        <v>0.04</v>
      </c>
      <c r="AB41" s="15">
        <v>0.09</v>
      </c>
      <c r="AC41" s="15">
        <v>0.12</v>
      </c>
      <c r="AD41" s="15">
        <v>0.12</v>
      </c>
      <c r="AE41" s="15">
        <v>0.12</v>
      </c>
      <c r="AF41" s="15">
        <v>0.15</v>
      </c>
    </row>
    <row r="42" spans="1:32" x14ac:dyDescent="0.35">
      <c r="A42" s="19"/>
      <c r="B42" s="11" t="s">
        <v>611</v>
      </c>
      <c r="C42" s="12">
        <v>92</v>
      </c>
      <c r="D42" s="12">
        <v>2</v>
      </c>
      <c r="E42" s="12">
        <v>6</v>
      </c>
      <c r="F42" s="12">
        <v>2</v>
      </c>
      <c r="G42" s="12">
        <v>2</v>
      </c>
      <c r="H42" s="12">
        <v>11</v>
      </c>
      <c r="I42" s="12">
        <v>11</v>
      </c>
      <c r="J42" s="12">
        <v>0</v>
      </c>
      <c r="K42" s="12">
        <v>10</v>
      </c>
      <c r="L42" s="12">
        <v>1</v>
      </c>
      <c r="M42" s="12">
        <v>1</v>
      </c>
      <c r="N42" s="12">
        <v>5</v>
      </c>
      <c r="O42" s="12">
        <v>5</v>
      </c>
      <c r="P42" s="12">
        <v>0</v>
      </c>
      <c r="Q42" s="12">
        <v>0</v>
      </c>
      <c r="R42" s="12">
        <v>1</v>
      </c>
      <c r="S42" s="12">
        <v>1</v>
      </c>
      <c r="T42" s="12">
        <v>0</v>
      </c>
      <c r="U42" s="12">
        <v>8</v>
      </c>
      <c r="V42" s="12">
        <v>0</v>
      </c>
      <c r="W42" s="12">
        <v>1</v>
      </c>
      <c r="X42" s="12">
        <v>4</v>
      </c>
      <c r="Y42" s="12">
        <v>12</v>
      </c>
      <c r="Z42" s="12">
        <v>0</v>
      </c>
      <c r="AA42" s="12">
        <v>0</v>
      </c>
      <c r="AB42" s="12">
        <v>2</v>
      </c>
      <c r="AC42" s="12">
        <v>2</v>
      </c>
      <c r="AD42" s="12">
        <v>1</v>
      </c>
      <c r="AE42" s="12">
        <v>0</v>
      </c>
      <c r="AF42" s="12">
        <v>2</v>
      </c>
    </row>
    <row r="43" spans="1:32" x14ac:dyDescent="0.35">
      <c r="A43" s="19"/>
      <c r="B43" s="13" t="s">
        <v>612</v>
      </c>
      <c r="C43" s="14" t="s">
        <v>475</v>
      </c>
      <c r="D43" s="14" t="s">
        <v>475</v>
      </c>
      <c r="E43" s="15">
        <v>0.01</v>
      </c>
      <c r="F43" s="14" t="s">
        <v>475</v>
      </c>
      <c r="G43" s="14" t="s">
        <v>475</v>
      </c>
      <c r="H43" s="15">
        <v>0.01</v>
      </c>
      <c r="I43" s="15">
        <v>0.01</v>
      </c>
      <c r="J43" s="14" t="s">
        <v>475</v>
      </c>
      <c r="K43" s="15">
        <v>0.01</v>
      </c>
      <c r="L43" s="14" t="s">
        <v>475</v>
      </c>
      <c r="M43" s="14" t="s">
        <v>475</v>
      </c>
      <c r="N43" s="15">
        <v>0.01</v>
      </c>
      <c r="O43" s="15">
        <v>0.01</v>
      </c>
      <c r="P43" s="14" t="s">
        <v>475</v>
      </c>
      <c r="Q43" s="14" t="s">
        <v>475</v>
      </c>
      <c r="R43" s="14" t="s">
        <v>475</v>
      </c>
      <c r="S43" s="14" t="s">
        <v>475</v>
      </c>
      <c r="T43" s="14" t="s">
        <v>475</v>
      </c>
      <c r="U43" s="15">
        <v>0.02</v>
      </c>
      <c r="V43" s="14" t="s">
        <v>475</v>
      </c>
      <c r="W43" s="14" t="s">
        <v>475</v>
      </c>
      <c r="X43" s="14" t="s">
        <v>475</v>
      </c>
      <c r="Y43" s="15">
        <v>0.01</v>
      </c>
      <c r="Z43" s="14" t="s">
        <v>475</v>
      </c>
      <c r="AA43" s="14" t="s">
        <v>475</v>
      </c>
      <c r="AB43" s="14" t="s">
        <v>475</v>
      </c>
      <c r="AC43" s="14" t="s">
        <v>475</v>
      </c>
      <c r="AD43" s="14" t="s">
        <v>475</v>
      </c>
      <c r="AE43" s="14" t="s">
        <v>475</v>
      </c>
      <c r="AF43" s="14" t="s">
        <v>475</v>
      </c>
    </row>
    <row r="44" spans="1:32" x14ac:dyDescent="0.35">
      <c r="A44" s="19"/>
      <c r="B44" s="11" t="s">
        <v>613</v>
      </c>
      <c r="C44" s="12">
        <v>67</v>
      </c>
      <c r="D44" s="12">
        <v>0</v>
      </c>
      <c r="E44" s="12">
        <v>1</v>
      </c>
      <c r="F44" s="12">
        <v>4</v>
      </c>
      <c r="G44" s="12">
        <v>9</v>
      </c>
      <c r="H44" s="12">
        <v>6</v>
      </c>
      <c r="I44" s="12">
        <v>7</v>
      </c>
      <c r="J44" s="12">
        <v>1</v>
      </c>
      <c r="K44" s="12">
        <v>2</v>
      </c>
      <c r="L44" s="12">
        <v>1</v>
      </c>
      <c r="M44" s="12">
        <v>2</v>
      </c>
      <c r="N44" s="12">
        <v>2</v>
      </c>
      <c r="O44" s="12">
        <v>2</v>
      </c>
      <c r="P44" s="12">
        <v>0</v>
      </c>
      <c r="Q44" s="12">
        <v>1</v>
      </c>
      <c r="R44" s="12">
        <v>0</v>
      </c>
      <c r="S44" s="12">
        <v>3</v>
      </c>
      <c r="T44" s="12">
        <v>0</v>
      </c>
      <c r="U44" s="12">
        <v>7</v>
      </c>
      <c r="V44" s="12">
        <v>1</v>
      </c>
      <c r="W44" s="12">
        <v>4</v>
      </c>
      <c r="X44" s="12">
        <v>4</v>
      </c>
      <c r="Y44" s="12">
        <v>0</v>
      </c>
      <c r="Z44" s="12">
        <v>2</v>
      </c>
      <c r="AA44" s="12">
        <v>1</v>
      </c>
      <c r="AB44" s="12">
        <v>1</v>
      </c>
      <c r="AC44" s="12">
        <v>3</v>
      </c>
      <c r="AD44" s="12">
        <v>1</v>
      </c>
      <c r="AE44" s="12">
        <v>6</v>
      </c>
      <c r="AF44" s="12">
        <v>11</v>
      </c>
    </row>
    <row r="45" spans="1:32" x14ac:dyDescent="0.35">
      <c r="A45" s="19"/>
      <c r="B45" s="13" t="s">
        <v>614</v>
      </c>
      <c r="C45" s="14" t="s">
        <v>475</v>
      </c>
      <c r="D45" s="14" t="s">
        <v>475</v>
      </c>
      <c r="E45" s="14" t="s">
        <v>475</v>
      </c>
      <c r="F45" s="14" t="s">
        <v>475</v>
      </c>
      <c r="G45" s="15">
        <v>0.01</v>
      </c>
      <c r="H45" s="15">
        <v>0.01</v>
      </c>
      <c r="I45" s="14" t="s">
        <v>475</v>
      </c>
      <c r="J45" s="14" t="s">
        <v>475</v>
      </c>
      <c r="K45" s="14" t="s">
        <v>475</v>
      </c>
      <c r="L45" s="14" t="s">
        <v>475</v>
      </c>
      <c r="M45" s="14" t="s">
        <v>475</v>
      </c>
      <c r="N45" s="14" t="s">
        <v>475</v>
      </c>
      <c r="O45" s="14" t="s">
        <v>475</v>
      </c>
      <c r="P45" s="14" t="s">
        <v>475</v>
      </c>
      <c r="Q45" s="14" t="s">
        <v>475</v>
      </c>
      <c r="R45" s="14" t="s">
        <v>475</v>
      </c>
      <c r="S45" s="14" t="s">
        <v>475</v>
      </c>
      <c r="T45" s="14" t="s">
        <v>475</v>
      </c>
      <c r="U45" s="15">
        <v>0.01</v>
      </c>
      <c r="V45" s="14" t="s">
        <v>475</v>
      </c>
      <c r="W45" s="15">
        <v>0.01</v>
      </c>
      <c r="X45" s="14" t="s">
        <v>475</v>
      </c>
      <c r="Y45" s="14" t="s">
        <v>475</v>
      </c>
      <c r="Z45" s="14" t="s">
        <v>475</v>
      </c>
      <c r="AA45" s="14" t="s">
        <v>475</v>
      </c>
      <c r="AB45" s="14" t="s">
        <v>475</v>
      </c>
      <c r="AC45" s="14" t="s">
        <v>475</v>
      </c>
      <c r="AD45" s="14" t="s">
        <v>475</v>
      </c>
      <c r="AE45" s="15">
        <v>0.01</v>
      </c>
      <c r="AF45" s="15">
        <v>0.01</v>
      </c>
    </row>
    <row r="46" spans="1:32" x14ac:dyDescent="0.35">
      <c r="A46" s="19"/>
      <c r="B46" s="11" t="s">
        <v>485</v>
      </c>
      <c r="C46" s="12">
        <v>124</v>
      </c>
      <c r="D46" s="12">
        <v>0</v>
      </c>
      <c r="E46" s="12">
        <v>8</v>
      </c>
      <c r="F46" s="12">
        <v>6</v>
      </c>
      <c r="G46" s="12">
        <v>3</v>
      </c>
      <c r="H46" s="12">
        <v>0</v>
      </c>
      <c r="I46" s="12">
        <v>1</v>
      </c>
      <c r="J46" s="12">
        <v>1</v>
      </c>
      <c r="K46" s="12">
        <v>10</v>
      </c>
      <c r="L46" s="12">
        <v>3</v>
      </c>
      <c r="M46" s="12">
        <v>1</v>
      </c>
      <c r="N46" s="12">
        <v>14</v>
      </c>
      <c r="O46" s="12">
        <v>8</v>
      </c>
      <c r="P46" s="12">
        <v>0</v>
      </c>
      <c r="Q46" s="12">
        <v>6</v>
      </c>
      <c r="R46" s="12">
        <v>3</v>
      </c>
      <c r="S46" s="12">
        <v>11</v>
      </c>
      <c r="T46" s="12">
        <v>4</v>
      </c>
      <c r="U46" s="12">
        <v>2</v>
      </c>
      <c r="V46" s="12">
        <v>0</v>
      </c>
      <c r="W46" s="12">
        <v>3</v>
      </c>
      <c r="X46" s="12">
        <v>5</v>
      </c>
      <c r="Y46" s="12">
        <v>5</v>
      </c>
      <c r="Z46" s="12">
        <v>2</v>
      </c>
      <c r="AA46" s="12">
        <v>1</v>
      </c>
      <c r="AB46" s="12">
        <v>0</v>
      </c>
      <c r="AC46" s="12">
        <v>4</v>
      </c>
      <c r="AD46" s="12">
        <v>4</v>
      </c>
      <c r="AE46" s="12">
        <v>13</v>
      </c>
      <c r="AF46" s="12">
        <v>0</v>
      </c>
    </row>
    <row r="47" spans="1:32" x14ac:dyDescent="0.35">
      <c r="A47" s="19"/>
      <c r="B47" s="13" t="s">
        <v>486</v>
      </c>
      <c r="C47" s="14" t="s">
        <v>475</v>
      </c>
      <c r="D47" s="14" t="s">
        <v>475</v>
      </c>
      <c r="E47" s="15">
        <v>0.01</v>
      </c>
      <c r="F47" s="15">
        <v>0.01</v>
      </c>
      <c r="G47" s="14" t="s">
        <v>475</v>
      </c>
      <c r="H47" s="14" t="s">
        <v>475</v>
      </c>
      <c r="I47" s="14" t="s">
        <v>475</v>
      </c>
      <c r="J47" s="14" t="s">
        <v>475</v>
      </c>
      <c r="K47" s="15">
        <v>0.01</v>
      </c>
      <c r="L47" s="14" t="s">
        <v>475</v>
      </c>
      <c r="M47" s="14" t="s">
        <v>475</v>
      </c>
      <c r="N47" s="15">
        <v>0.01</v>
      </c>
      <c r="O47" s="15">
        <v>0.01</v>
      </c>
      <c r="P47" s="14" t="s">
        <v>475</v>
      </c>
      <c r="Q47" s="15">
        <v>0.01</v>
      </c>
      <c r="R47" s="15">
        <v>0.01</v>
      </c>
      <c r="S47" s="15">
        <v>0.01</v>
      </c>
      <c r="T47" s="14" t="s">
        <v>475</v>
      </c>
      <c r="U47" s="14" t="s">
        <v>475</v>
      </c>
      <c r="V47" s="14" t="s">
        <v>475</v>
      </c>
      <c r="W47" s="15">
        <v>0.01</v>
      </c>
      <c r="X47" s="14" t="s">
        <v>475</v>
      </c>
      <c r="Y47" s="14" t="s">
        <v>475</v>
      </c>
      <c r="Z47" s="14" t="s">
        <v>475</v>
      </c>
      <c r="AA47" s="14" t="s">
        <v>475</v>
      </c>
      <c r="AB47" s="14" t="s">
        <v>475</v>
      </c>
      <c r="AC47" s="14" t="s">
        <v>475</v>
      </c>
      <c r="AD47" s="14" t="s">
        <v>475</v>
      </c>
      <c r="AE47" s="15">
        <v>0.01</v>
      </c>
      <c r="AF47" s="14" t="s">
        <v>475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179</v>
      </c>
      <c r="C3" s="18"/>
      <c r="D3" s="18"/>
      <c r="E3" s="18"/>
      <c r="F3" s="18"/>
      <c r="H3" s="18" t="s">
        <v>180</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902</v>
      </c>
      <c r="C12" s="12">
        <v>7169</v>
      </c>
      <c r="D12" s="12">
        <v>242</v>
      </c>
      <c r="E12" s="12">
        <v>399</v>
      </c>
      <c r="F12" s="12">
        <v>305</v>
      </c>
      <c r="G12" s="12">
        <v>227</v>
      </c>
      <c r="H12" s="12">
        <v>349</v>
      </c>
      <c r="I12" s="12">
        <v>457</v>
      </c>
      <c r="J12" s="12">
        <v>108</v>
      </c>
      <c r="K12" s="12">
        <v>365</v>
      </c>
      <c r="L12" s="12">
        <v>241</v>
      </c>
      <c r="M12" s="12">
        <v>549</v>
      </c>
      <c r="N12" s="12">
        <v>251</v>
      </c>
      <c r="O12" s="12">
        <v>217</v>
      </c>
      <c r="P12" s="12">
        <v>377</v>
      </c>
      <c r="Q12" s="12">
        <v>306</v>
      </c>
      <c r="R12" s="12">
        <v>176</v>
      </c>
      <c r="S12" s="12">
        <v>324</v>
      </c>
      <c r="T12" s="12">
        <v>335</v>
      </c>
      <c r="U12" s="12">
        <v>93</v>
      </c>
      <c r="V12" s="12">
        <v>347</v>
      </c>
      <c r="W12" s="12">
        <v>117</v>
      </c>
      <c r="X12" s="12">
        <v>143</v>
      </c>
      <c r="Y12" s="12">
        <v>307</v>
      </c>
      <c r="Z12" s="12">
        <v>250</v>
      </c>
      <c r="AA12" s="12">
        <v>247</v>
      </c>
      <c r="AB12" s="12">
        <v>262</v>
      </c>
      <c r="AC12" s="12">
        <v>325</v>
      </c>
      <c r="AD12" s="12">
        <v>267</v>
      </c>
      <c r="AE12" s="12">
        <v>329</v>
      </c>
      <c r="AF12" s="12">
        <v>230</v>
      </c>
    </row>
    <row r="13" spans="1:32" ht="21.5" x14ac:dyDescent="0.35">
      <c r="A13" s="19"/>
      <c r="B13" s="13" t="s">
        <v>903</v>
      </c>
      <c r="C13" s="15">
        <v>0.27</v>
      </c>
      <c r="D13" s="15">
        <v>0.24</v>
      </c>
      <c r="E13" s="15">
        <v>0.39</v>
      </c>
      <c r="F13" s="15">
        <v>0.28000000000000003</v>
      </c>
      <c r="G13" s="15">
        <v>0.23</v>
      </c>
      <c r="H13" s="15">
        <v>0.28999999999999998</v>
      </c>
      <c r="I13" s="15">
        <v>0.3</v>
      </c>
      <c r="J13" s="15">
        <v>0.37</v>
      </c>
      <c r="K13" s="15">
        <v>0.36</v>
      </c>
      <c r="L13" s="15">
        <v>0.24</v>
      </c>
      <c r="M13" s="15">
        <v>0.54</v>
      </c>
      <c r="N13" s="15">
        <v>0.25</v>
      </c>
      <c r="O13" s="15">
        <v>0.22</v>
      </c>
      <c r="P13" s="15">
        <v>0.38</v>
      </c>
      <c r="Q13" s="15">
        <v>0.3</v>
      </c>
      <c r="R13" s="15">
        <v>0.35</v>
      </c>
      <c r="S13" s="15">
        <v>0.32</v>
      </c>
      <c r="T13" s="15">
        <v>0.33</v>
      </c>
      <c r="U13" s="15">
        <v>0.19</v>
      </c>
      <c r="V13" s="15">
        <v>0.34</v>
      </c>
      <c r="W13" s="15">
        <v>0.23</v>
      </c>
      <c r="X13" s="15">
        <v>0.14000000000000001</v>
      </c>
      <c r="Y13" s="15">
        <v>0.31</v>
      </c>
      <c r="Z13" s="15">
        <v>0.24</v>
      </c>
      <c r="AA13" s="15">
        <v>0.24</v>
      </c>
      <c r="AB13" s="15">
        <v>0.25</v>
      </c>
      <c r="AC13" s="15">
        <v>0.32</v>
      </c>
      <c r="AD13" s="15">
        <v>0.27</v>
      </c>
      <c r="AE13" s="15">
        <v>0.33</v>
      </c>
      <c r="AF13" s="15">
        <v>0.22</v>
      </c>
    </row>
    <row r="14" spans="1:32" x14ac:dyDescent="0.35">
      <c r="A14" s="19"/>
      <c r="B14" s="11" t="s">
        <v>904</v>
      </c>
      <c r="C14" s="12">
        <v>5667</v>
      </c>
      <c r="D14" s="12">
        <v>245</v>
      </c>
      <c r="E14" s="12">
        <v>229</v>
      </c>
      <c r="F14" s="12">
        <v>143</v>
      </c>
      <c r="G14" s="12">
        <v>57</v>
      </c>
      <c r="H14" s="12">
        <v>116</v>
      </c>
      <c r="I14" s="12">
        <v>145</v>
      </c>
      <c r="J14" s="12">
        <v>29</v>
      </c>
      <c r="K14" s="12">
        <v>178</v>
      </c>
      <c r="L14" s="12">
        <v>205</v>
      </c>
      <c r="M14" s="12">
        <v>466</v>
      </c>
      <c r="N14" s="12">
        <v>375</v>
      </c>
      <c r="O14" s="12">
        <v>198</v>
      </c>
      <c r="P14" s="12">
        <v>265</v>
      </c>
      <c r="Q14" s="12">
        <v>313</v>
      </c>
      <c r="R14" s="12">
        <v>96</v>
      </c>
      <c r="S14" s="12">
        <v>187</v>
      </c>
      <c r="T14" s="12">
        <v>191</v>
      </c>
      <c r="U14" s="12">
        <v>103</v>
      </c>
      <c r="V14" s="12">
        <v>199</v>
      </c>
      <c r="W14" s="12">
        <v>62</v>
      </c>
      <c r="X14" s="12">
        <v>64</v>
      </c>
      <c r="Y14" s="12">
        <v>196</v>
      </c>
      <c r="Z14" s="12">
        <v>154</v>
      </c>
      <c r="AA14" s="12">
        <v>394</v>
      </c>
      <c r="AB14" s="12">
        <v>296</v>
      </c>
      <c r="AC14" s="12">
        <v>140</v>
      </c>
      <c r="AD14" s="12">
        <v>176</v>
      </c>
      <c r="AE14" s="12">
        <v>233</v>
      </c>
      <c r="AF14" s="12">
        <v>141</v>
      </c>
    </row>
    <row r="15" spans="1:32" x14ac:dyDescent="0.35">
      <c r="A15" s="19"/>
      <c r="B15" s="13" t="s">
        <v>905</v>
      </c>
      <c r="C15" s="15">
        <v>0.21</v>
      </c>
      <c r="D15" s="15">
        <v>0.24</v>
      </c>
      <c r="E15" s="15">
        <v>0.22</v>
      </c>
      <c r="F15" s="15">
        <v>0.13</v>
      </c>
      <c r="G15" s="15">
        <v>0.06</v>
      </c>
      <c r="H15" s="15">
        <v>0.1</v>
      </c>
      <c r="I15" s="15">
        <v>0.1</v>
      </c>
      <c r="J15" s="15">
        <v>0.1</v>
      </c>
      <c r="K15" s="15">
        <v>0.18</v>
      </c>
      <c r="L15" s="15">
        <v>0.2</v>
      </c>
      <c r="M15" s="15">
        <v>0.46</v>
      </c>
      <c r="N15" s="15">
        <v>0.37</v>
      </c>
      <c r="O15" s="15">
        <v>0.2</v>
      </c>
      <c r="P15" s="15">
        <v>0.26</v>
      </c>
      <c r="Q15" s="15">
        <v>0.3</v>
      </c>
      <c r="R15" s="15">
        <v>0.19</v>
      </c>
      <c r="S15" s="15">
        <v>0.19</v>
      </c>
      <c r="T15" s="15">
        <v>0.19</v>
      </c>
      <c r="U15" s="15">
        <v>0.2</v>
      </c>
      <c r="V15" s="15">
        <v>0.2</v>
      </c>
      <c r="W15" s="15">
        <v>0.12</v>
      </c>
      <c r="X15" s="15">
        <v>0.06</v>
      </c>
      <c r="Y15" s="15">
        <v>0.2</v>
      </c>
      <c r="Z15" s="15">
        <v>0.15</v>
      </c>
      <c r="AA15" s="15">
        <v>0.38</v>
      </c>
      <c r="AB15" s="15">
        <v>0.28000000000000003</v>
      </c>
      <c r="AC15" s="15">
        <v>0.14000000000000001</v>
      </c>
      <c r="AD15" s="15">
        <v>0.18</v>
      </c>
      <c r="AE15" s="15">
        <v>0.23</v>
      </c>
      <c r="AF15" s="15">
        <v>0.13</v>
      </c>
    </row>
    <row r="16" spans="1:32" x14ac:dyDescent="0.35">
      <c r="A16" s="19"/>
      <c r="B16" s="11" t="s">
        <v>906</v>
      </c>
      <c r="C16" s="12">
        <v>5028</v>
      </c>
      <c r="D16" s="12">
        <v>165</v>
      </c>
      <c r="E16" s="12">
        <v>371</v>
      </c>
      <c r="F16" s="12">
        <v>211</v>
      </c>
      <c r="G16" s="12">
        <v>172</v>
      </c>
      <c r="H16" s="12">
        <v>223</v>
      </c>
      <c r="I16" s="12">
        <v>283</v>
      </c>
      <c r="J16" s="12">
        <v>60</v>
      </c>
      <c r="K16" s="12">
        <v>190</v>
      </c>
      <c r="L16" s="12">
        <v>168</v>
      </c>
      <c r="M16" s="12">
        <v>223</v>
      </c>
      <c r="N16" s="12">
        <v>182</v>
      </c>
      <c r="O16" s="12">
        <v>215</v>
      </c>
      <c r="P16" s="12">
        <v>186</v>
      </c>
      <c r="Q16" s="12">
        <v>144</v>
      </c>
      <c r="R16" s="12">
        <v>107</v>
      </c>
      <c r="S16" s="12">
        <v>213</v>
      </c>
      <c r="T16" s="12">
        <v>297</v>
      </c>
      <c r="U16" s="12">
        <v>119</v>
      </c>
      <c r="V16" s="12">
        <v>207</v>
      </c>
      <c r="W16" s="12">
        <v>84</v>
      </c>
      <c r="X16" s="12">
        <v>170</v>
      </c>
      <c r="Y16" s="12">
        <v>206</v>
      </c>
      <c r="Z16" s="12">
        <v>160</v>
      </c>
      <c r="AA16" s="12">
        <v>374</v>
      </c>
      <c r="AB16" s="12">
        <v>203</v>
      </c>
      <c r="AC16" s="12">
        <v>227</v>
      </c>
      <c r="AD16" s="12">
        <v>245</v>
      </c>
      <c r="AE16" s="12">
        <v>166</v>
      </c>
      <c r="AF16" s="12">
        <v>213</v>
      </c>
    </row>
    <row r="17" spans="1:32" x14ac:dyDescent="0.35">
      <c r="A17" s="19"/>
      <c r="B17" s="13" t="s">
        <v>907</v>
      </c>
      <c r="C17" s="15">
        <v>0.19</v>
      </c>
      <c r="D17" s="15">
        <v>0.16</v>
      </c>
      <c r="E17" s="15">
        <v>0.36</v>
      </c>
      <c r="F17" s="15">
        <v>0.19</v>
      </c>
      <c r="G17" s="15">
        <v>0.17</v>
      </c>
      <c r="H17" s="15">
        <v>0.18</v>
      </c>
      <c r="I17" s="15">
        <v>0.19</v>
      </c>
      <c r="J17" s="15">
        <v>0.2</v>
      </c>
      <c r="K17" s="15">
        <v>0.19</v>
      </c>
      <c r="L17" s="15">
        <v>0.17</v>
      </c>
      <c r="M17" s="15">
        <v>0.22</v>
      </c>
      <c r="N17" s="15">
        <v>0.18</v>
      </c>
      <c r="O17" s="15">
        <v>0.21</v>
      </c>
      <c r="P17" s="15">
        <v>0.18</v>
      </c>
      <c r="Q17" s="15">
        <v>0.14000000000000001</v>
      </c>
      <c r="R17" s="15">
        <v>0.21</v>
      </c>
      <c r="S17" s="15">
        <v>0.21</v>
      </c>
      <c r="T17" s="15">
        <v>0.28999999999999998</v>
      </c>
      <c r="U17" s="15">
        <v>0.24</v>
      </c>
      <c r="V17" s="15">
        <v>0.2</v>
      </c>
      <c r="W17" s="15">
        <v>0.16</v>
      </c>
      <c r="X17" s="15">
        <v>0.17</v>
      </c>
      <c r="Y17" s="15">
        <v>0.21</v>
      </c>
      <c r="Z17" s="15">
        <v>0.16</v>
      </c>
      <c r="AA17" s="15">
        <v>0.36</v>
      </c>
      <c r="AB17" s="15">
        <v>0.19</v>
      </c>
      <c r="AC17" s="15">
        <v>0.23</v>
      </c>
      <c r="AD17" s="15">
        <v>0.24</v>
      </c>
      <c r="AE17" s="15">
        <v>0.16</v>
      </c>
      <c r="AF17" s="15">
        <v>0.2</v>
      </c>
    </row>
    <row r="18" spans="1:32" x14ac:dyDescent="0.35">
      <c r="A18" s="19"/>
      <c r="B18" s="11" t="s">
        <v>908</v>
      </c>
      <c r="C18" s="12">
        <v>4298</v>
      </c>
      <c r="D18" s="12">
        <v>182</v>
      </c>
      <c r="E18" s="12">
        <v>140</v>
      </c>
      <c r="F18" s="12">
        <v>99</v>
      </c>
      <c r="G18" s="12">
        <v>73</v>
      </c>
      <c r="H18" s="12">
        <v>136</v>
      </c>
      <c r="I18" s="12">
        <v>174</v>
      </c>
      <c r="J18" s="12">
        <v>38</v>
      </c>
      <c r="K18" s="12">
        <v>201</v>
      </c>
      <c r="L18" s="12">
        <v>176</v>
      </c>
      <c r="M18" s="12">
        <v>200</v>
      </c>
      <c r="N18" s="12">
        <v>236</v>
      </c>
      <c r="O18" s="12">
        <v>231</v>
      </c>
      <c r="P18" s="12">
        <v>209</v>
      </c>
      <c r="Q18" s="12">
        <v>168</v>
      </c>
      <c r="R18" s="12">
        <v>102</v>
      </c>
      <c r="S18" s="12">
        <v>230</v>
      </c>
      <c r="T18" s="12">
        <v>189</v>
      </c>
      <c r="U18" s="12">
        <v>99</v>
      </c>
      <c r="V18" s="12">
        <v>98</v>
      </c>
      <c r="W18" s="12">
        <v>96</v>
      </c>
      <c r="X18" s="12">
        <v>127</v>
      </c>
      <c r="Y18" s="12">
        <v>139</v>
      </c>
      <c r="Z18" s="12">
        <v>105</v>
      </c>
      <c r="AA18" s="12">
        <v>161</v>
      </c>
      <c r="AB18" s="12">
        <v>198</v>
      </c>
      <c r="AC18" s="12">
        <v>125</v>
      </c>
      <c r="AD18" s="12">
        <v>175</v>
      </c>
      <c r="AE18" s="12">
        <v>166</v>
      </c>
      <c r="AF18" s="12">
        <v>111</v>
      </c>
    </row>
    <row r="19" spans="1:32" x14ac:dyDescent="0.35">
      <c r="A19" s="19"/>
      <c r="B19" s="13" t="s">
        <v>909</v>
      </c>
      <c r="C19" s="15">
        <v>0.16</v>
      </c>
      <c r="D19" s="15">
        <v>0.18</v>
      </c>
      <c r="E19" s="15">
        <v>0.14000000000000001</v>
      </c>
      <c r="F19" s="15">
        <v>0.09</v>
      </c>
      <c r="G19" s="15">
        <v>7.0000000000000007E-2</v>
      </c>
      <c r="H19" s="15">
        <v>0.11</v>
      </c>
      <c r="I19" s="15">
        <v>0.12</v>
      </c>
      <c r="J19" s="15">
        <v>0.13</v>
      </c>
      <c r="K19" s="15">
        <v>0.2</v>
      </c>
      <c r="L19" s="15">
        <v>0.18</v>
      </c>
      <c r="M19" s="15">
        <v>0.2</v>
      </c>
      <c r="N19" s="15">
        <v>0.24</v>
      </c>
      <c r="O19" s="15">
        <v>0.23</v>
      </c>
      <c r="P19" s="15">
        <v>0.21</v>
      </c>
      <c r="Q19" s="15">
        <v>0.16</v>
      </c>
      <c r="R19" s="15">
        <v>0.2</v>
      </c>
      <c r="S19" s="15">
        <v>0.23</v>
      </c>
      <c r="T19" s="15">
        <v>0.19</v>
      </c>
      <c r="U19" s="15">
        <v>0.2</v>
      </c>
      <c r="V19" s="15">
        <v>0.1</v>
      </c>
      <c r="W19" s="15">
        <v>0.19</v>
      </c>
      <c r="X19" s="15">
        <v>0.13</v>
      </c>
      <c r="Y19" s="15">
        <v>0.14000000000000001</v>
      </c>
      <c r="Z19" s="15">
        <v>0.1</v>
      </c>
      <c r="AA19" s="15">
        <v>0.16</v>
      </c>
      <c r="AB19" s="15">
        <v>0.19</v>
      </c>
      <c r="AC19" s="15">
        <v>0.12</v>
      </c>
      <c r="AD19" s="15">
        <v>0.17</v>
      </c>
      <c r="AE19" s="15">
        <v>0.16</v>
      </c>
      <c r="AF19" s="15">
        <v>0.11</v>
      </c>
    </row>
    <row r="20" spans="1:32" x14ac:dyDescent="0.35">
      <c r="A20" s="19"/>
      <c r="B20" s="11" t="s">
        <v>910</v>
      </c>
      <c r="C20" s="12">
        <v>3667</v>
      </c>
      <c r="D20" s="12">
        <v>87</v>
      </c>
      <c r="E20" s="12">
        <v>110</v>
      </c>
      <c r="F20" s="12">
        <v>184</v>
      </c>
      <c r="G20" s="12">
        <v>164</v>
      </c>
      <c r="H20" s="12">
        <v>165</v>
      </c>
      <c r="I20" s="12">
        <v>202</v>
      </c>
      <c r="J20" s="12">
        <v>37</v>
      </c>
      <c r="K20" s="12">
        <v>146</v>
      </c>
      <c r="L20" s="12">
        <v>90</v>
      </c>
      <c r="M20" s="12">
        <v>88</v>
      </c>
      <c r="N20" s="12">
        <v>139</v>
      </c>
      <c r="O20" s="12">
        <v>108</v>
      </c>
      <c r="P20" s="12">
        <v>96</v>
      </c>
      <c r="Q20" s="12">
        <v>239</v>
      </c>
      <c r="R20" s="12">
        <v>38</v>
      </c>
      <c r="S20" s="12">
        <v>65</v>
      </c>
      <c r="T20" s="12">
        <v>93</v>
      </c>
      <c r="U20" s="12">
        <v>62</v>
      </c>
      <c r="V20" s="12">
        <v>111</v>
      </c>
      <c r="W20" s="12">
        <v>54</v>
      </c>
      <c r="X20" s="12">
        <v>124</v>
      </c>
      <c r="Y20" s="12">
        <v>186</v>
      </c>
      <c r="Z20" s="12">
        <v>108</v>
      </c>
      <c r="AA20" s="12">
        <v>96</v>
      </c>
      <c r="AB20" s="12">
        <v>131</v>
      </c>
      <c r="AC20" s="12">
        <v>119</v>
      </c>
      <c r="AD20" s="12">
        <v>108</v>
      </c>
      <c r="AE20" s="12">
        <v>153</v>
      </c>
      <c r="AF20" s="12">
        <v>222</v>
      </c>
    </row>
    <row r="21" spans="1:32" x14ac:dyDescent="0.35">
      <c r="A21" s="19"/>
      <c r="B21" s="13" t="s">
        <v>911</v>
      </c>
      <c r="C21" s="15">
        <v>0.14000000000000001</v>
      </c>
      <c r="D21" s="15">
        <v>0.09</v>
      </c>
      <c r="E21" s="15">
        <v>0.11</v>
      </c>
      <c r="F21" s="15">
        <v>0.17</v>
      </c>
      <c r="G21" s="15">
        <v>0.16</v>
      </c>
      <c r="H21" s="15">
        <v>0.13</v>
      </c>
      <c r="I21" s="15">
        <v>0.13</v>
      </c>
      <c r="J21" s="15">
        <v>0.13</v>
      </c>
      <c r="K21" s="15">
        <v>0.15</v>
      </c>
      <c r="L21" s="15">
        <v>0.09</v>
      </c>
      <c r="M21" s="15">
        <v>0.09</v>
      </c>
      <c r="N21" s="15">
        <v>0.14000000000000001</v>
      </c>
      <c r="O21" s="15">
        <v>0.11</v>
      </c>
      <c r="P21" s="15">
        <v>0.1</v>
      </c>
      <c r="Q21" s="15">
        <v>0.23</v>
      </c>
      <c r="R21" s="15">
        <v>0.08</v>
      </c>
      <c r="S21" s="15">
        <v>0.06</v>
      </c>
      <c r="T21" s="15">
        <v>0.09</v>
      </c>
      <c r="U21" s="15">
        <v>0.12</v>
      </c>
      <c r="V21" s="15">
        <v>0.11</v>
      </c>
      <c r="W21" s="15">
        <v>0.11</v>
      </c>
      <c r="X21" s="15">
        <v>0.12</v>
      </c>
      <c r="Y21" s="15">
        <v>0.19</v>
      </c>
      <c r="Z21" s="15">
        <v>0.11</v>
      </c>
      <c r="AA21" s="15">
        <v>0.09</v>
      </c>
      <c r="AB21" s="15">
        <v>0.12</v>
      </c>
      <c r="AC21" s="15">
        <v>0.12</v>
      </c>
      <c r="AD21" s="15">
        <v>0.11</v>
      </c>
      <c r="AE21" s="15">
        <v>0.15</v>
      </c>
      <c r="AF21" s="15">
        <v>0.21</v>
      </c>
    </row>
    <row r="22" spans="1:32" x14ac:dyDescent="0.35">
      <c r="A22" s="19"/>
      <c r="B22" s="11" t="s">
        <v>912</v>
      </c>
      <c r="C22" s="12">
        <v>5989</v>
      </c>
      <c r="D22" s="12">
        <v>260</v>
      </c>
      <c r="E22" s="12">
        <v>164</v>
      </c>
      <c r="F22" s="12">
        <v>135</v>
      </c>
      <c r="G22" s="12">
        <v>520</v>
      </c>
      <c r="H22" s="12">
        <v>289</v>
      </c>
      <c r="I22" s="12">
        <v>357</v>
      </c>
      <c r="J22" s="12">
        <v>68</v>
      </c>
      <c r="K22" s="12">
        <v>76</v>
      </c>
      <c r="L22" s="12">
        <v>261</v>
      </c>
      <c r="M22" s="12">
        <v>138</v>
      </c>
      <c r="N22" s="12">
        <v>162</v>
      </c>
      <c r="O22" s="12">
        <v>284</v>
      </c>
      <c r="P22" s="12">
        <v>164</v>
      </c>
      <c r="Q22" s="12">
        <v>231</v>
      </c>
      <c r="R22" s="12">
        <v>73</v>
      </c>
      <c r="S22" s="12">
        <v>70</v>
      </c>
      <c r="T22" s="12">
        <v>82</v>
      </c>
      <c r="U22" s="12">
        <v>121</v>
      </c>
      <c r="V22" s="12">
        <v>230</v>
      </c>
      <c r="W22" s="12">
        <v>172</v>
      </c>
      <c r="X22" s="12">
        <v>416</v>
      </c>
      <c r="Y22" s="12">
        <v>228</v>
      </c>
      <c r="Z22" s="12">
        <v>145</v>
      </c>
      <c r="AA22" s="12">
        <v>153</v>
      </c>
      <c r="AB22" s="12">
        <v>137</v>
      </c>
      <c r="AC22" s="12">
        <v>178</v>
      </c>
      <c r="AD22" s="12">
        <v>147</v>
      </c>
      <c r="AE22" s="12">
        <v>289</v>
      </c>
      <c r="AF22" s="12">
        <v>527</v>
      </c>
    </row>
    <row r="23" spans="1:32" x14ac:dyDescent="0.35">
      <c r="A23" s="19"/>
      <c r="B23" s="13" t="s">
        <v>913</v>
      </c>
      <c r="C23" s="15">
        <v>0.23</v>
      </c>
      <c r="D23" s="15">
        <v>0.26</v>
      </c>
      <c r="E23" s="15">
        <v>0.16</v>
      </c>
      <c r="F23" s="15">
        <v>0.12</v>
      </c>
      <c r="G23" s="15">
        <v>0.52</v>
      </c>
      <c r="H23" s="15">
        <v>0.24</v>
      </c>
      <c r="I23" s="15">
        <v>0.24</v>
      </c>
      <c r="J23" s="15">
        <v>0.23</v>
      </c>
      <c r="K23" s="15">
        <v>0.08</v>
      </c>
      <c r="L23" s="15">
        <v>0.26</v>
      </c>
      <c r="M23" s="15">
        <v>0.14000000000000001</v>
      </c>
      <c r="N23" s="15">
        <v>0.16</v>
      </c>
      <c r="O23" s="15">
        <v>0.28000000000000003</v>
      </c>
      <c r="P23" s="15">
        <v>0.16</v>
      </c>
      <c r="Q23" s="15">
        <v>0.22</v>
      </c>
      <c r="R23" s="15">
        <v>0.14000000000000001</v>
      </c>
      <c r="S23" s="15">
        <v>7.0000000000000007E-2</v>
      </c>
      <c r="T23" s="15">
        <v>0.08</v>
      </c>
      <c r="U23" s="15">
        <v>0.24</v>
      </c>
      <c r="V23" s="15">
        <v>0.23</v>
      </c>
      <c r="W23" s="15">
        <v>0.34</v>
      </c>
      <c r="X23" s="15">
        <v>0.41</v>
      </c>
      <c r="Y23" s="15">
        <v>0.23</v>
      </c>
      <c r="Z23" s="15">
        <v>0.14000000000000001</v>
      </c>
      <c r="AA23" s="15">
        <v>0.15</v>
      </c>
      <c r="AB23" s="15">
        <v>0.13</v>
      </c>
      <c r="AC23" s="15">
        <v>0.18</v>
      </c>
      <c r="AD23" s="15">
        <v>0.15</v>
      </c>
      <c r="AE23" s="15">
        <v>0.28999999999999998</v>
      </c>
      <c r="AF23" s="15">
        <v>0.5</v>
      </c>
    </row>
    <row r="24" spans="1:32" x14ac:dyDescent="0.35">
      <c r="A24" s="19"/>
      <c r="B24" s="11" t="s">
        <v>914</v>
      </c>
      <c r="C24" s="12">
        <v>6546</v>
      </c>
      <c r="D24" s="12">
        <v>334</v>
      </c>
      <c r="E24" s="12">
        <v>127</v>
      </c>
      <c r="F24" s="12">
        <v>353</v>
      </c>
      <c r="G24" s="12">
        <v>185</v>
      </c>
      <c r="H24" s="12">
        <v>320</v>
      </c>
      <c r="I24" s="12">
        <v>419</v>
      </c>
      <c r="J24" s="12">
        <v>99</v>
      </c>
      <c r="K24" s="12">
        <v>135</v>
      </c>
      <c r="L24" s="12">
        <v>413</v>
      </c>
      <c r="M24" s="12">
        <v>249</v>
      </c>
      <c r="N24" s="12">
        <v>298</v>
      </c>
      <c r="O24" s="12">
        <v>245</v>
      </c>
      <c r="P24" s="12">
        <v>184</v>
      </c>
      <c r="Q24" s="12">
        <v>242</v>
      </c>
      <c r="R24" s="12">
        <v>253</v>
      </c>
      <c r="S24" s="12">
        <v>145</v>
      </c>
      <c r="T24" s="12">
        <v>207</v>
      </c>
      <c r="U24" s="12">
        <v>139</v>
      </c>
      <c r="V24" s="12">
        <v>223</v>
      </c>
      <c r="W24" s="12">
        <v>197</v>
      </c>
      <c r="X24" s="12">
        <v>377</v>
      </c>
      <c r="Y24" s="12">
        <v>242</v>
      </c>
      <c r="Z24" s="12">
        <v>213</v>
      </c>
      <c r="AA24" s="12">
        <v>207</v>
      </c>
      <c r="AB24" s="12">
        <v>104</v>
      </c>
      <c r="AC24" s="12">
        <v>236</v>
      </c>
      <c r="AD24" s="12">
        <v>144</v>
      </c>
      <c r="AE24" s="12">
        <v>110</v>
      </c>
      <c r="AF24" s="12">
        <v>183</v>
      </c>
    </row>
    <row r="25" spans="1:32" x14ac:dyDescent="0.35">
      <c r="A25" s="19"/>
      <c r="B25" s="13" t="s">
        <v>915</v>
      </c>
      <c r="C25" s="15">
        <v>0.25</v>
      </c>
      <c r="D25" s="15">
        <v>0.33</v>
      </c>
      <c r="E25" s="15">
        <v>0.12</v>
      </c>
      <c r="F25" s="15">
        <v>0.32</v>
      </c>
      <c r="G25" s="15">
        <v>0.18</v>
      </c>
      <c r="H25" s="15">
        <v>0.26</v>
      </c>
      <c r="I25" s="15">
        <v>0.28000000000000003</v>
      </c>
      <c r="J25" s="15">
        <v>0.34</v>
      </c>
      <c r="K25" s="15">
        <v>0.13</v>
      </c>
      <c r="L25" s="15">
        <v>0.41</v>
      </c>
      <c r="M25" s="15">
        <v>0.25</v>
      </c>
      <c r="N25" s="15">
        <v>0.3</v>
      </c>
      <c r="O25" s="15">
        <v>0.24</v>
      </c>
      <c r="P25" s="15">
        <v>0.18</v>
      </c>
      <c r="Q25" s="15">
        <v>0.24</v>
      </c>
      <c r="R25" s="15">
        <v>0.5</v>
      </c>
      <c r="S25" s="15">
        <v>0.14000000000000001</v>
      </c>
      <c r="T25" s="15">
        <v>0.21</v>
      </c>
      <c r="U25" s="15">
        <v>0.28000000000000003</v>
      </c>
      <c r="V25" s="15">
        <v>0.22</v>
      </c>
      <c r="W25" s="15">
        <v>0.39</v>
      </c>
      <c r="X25" s="15">
        <v>0.37</v>
      </c>
      <c r="Y25" s="15">
        <v>0.24</v>
      </c>
      <c r="Z25" s="15">
        <v>0.21</v>
      </c>
      <c r="AA25" s="15">
        <v>0.2</v>
      </c>
      <c r="AB25" s="15">
        <v>0.1</v>
      </c>
      <c r="AC25" s="15">
        <v>0.24</v>
      </c>
      <c r="AD25" s="15">
        <v>0.14000000000000001</v>
      </c>
      <c r="AE25" s="15">
        <v>0.11</v>
      </c>
      <c r="AF25" s="15">
        <v>0.18</v>
      </c>
    </row>
    <row r="26" spans="1:32" x14ac:dyDescent="0.35">
      <c r="A26" s="19"/>
      <c r="B26" s="11" t="s">
        <v>607</v>
      </c>
      <c r="C26" s="12">
        <v>9073</v>
      </c>
      <c r="D26" s="12">
        <v>343</v>
      </c>
      <c r="E26" s="12">
        <v>269</v>
      </c>
      <c r="F26" s="12">
        <v>425</v>
      </c>
      <c r="G26" s="12">
        <v>527</v>
      </c>
      <c r="H26" s="12">
        <v>543</v>
      </c>
      <c r="I26" s="12">
        <v>669</v>
      </c>
      <c r="J26" s="12">
        <v>126</v>
      </c>
      <c r="K26" s="12">
        <v>415</v>
      </c>
      <c r="L26" s="12">
        <v>218</v>
      </c>
      <c r="M26" s="12">
        <v>190</v>
      </c>
      <c r="N26" s="12">
        <v>206</v>
      </c>
      <c r="O26" s="12">
        <v>324</v>
      </c>
      <c r="P26" s="12">
        <v>271</v>
      </c>
      <c r="Q26" s="12">
        <v>303</v>
      </c>
      <c r="R26" s="12">
        <v>174</v>
      </c>
      <c r="S26" s="12">
        <v>437</v>
      </c>
      <c r="T26" s="12">
        <v>544</v>
      </c>
      <c r="U26" s="12">
        <v>187</v>
      </c>
      <c r="V26" s="12">
        <v>323</v>
      </c>
      <c r="W26" s="12">
        <v>132</v>
      </c>
      <c r="X26" s="12">
        <v>423</v>
      </c>
      <c r="Y26" s="12">
        <v>306</v>
      </c>
      <c r="Z26" s="12">
        <v>471</v>
      </c>
      <c r="AA26" s="12">
        <v>263</v>
      </c>
      <c r="AB26" s="12">
        <v>290</v>
      </c>
      <c r="AC26" s="12">
        <v>224</v>
      </c>
      <c r="AD26" s="12">
        <v>304</v>
      </c>
      <c r="AE26" s="12">
        <v>532</v>
      </c>
      <c r="AF26" s="12">
        <v>395</v>
      </c>
    </row>
    <row r="27" spans="1:32" x14ac:dyDescent="0.35">
      <c r="A27" s="19"/>
      <c r="B27" s="13" t="s">
        <v>608</v>
      </c>
      <c r="C27" s="15">
        <v>0.34</v>
      </c>
      <c r="D27" s="15">
        <v>0.34</v>
      </c>
      <c r="E27" s="15">
        <v>0.26</v>
      </c>
      <c r="F27" s="15">
        <v>0.39</v>
      </c>
      <c r="G27" s="15">
        <v>0.52</v>
      </c>
      <c r="H27" s="15">
        <v>0.44</v>
      </c>
      <c r="I27" s="15">
        <v>0.44</v>
      </c>
      <c r="J27" s="15">
        <v>0.43</v>
      </c>
      <c r="K27" s="15">
        <v>0.41</v>
      </c>
      <c r="L27" s="15">
        <v>0.22</v>
      </c>
      <c r="M27" s="15">
        <v>0.19</v>
      </c>
      <c r="N27" s="15">
        <v>0.21</v>
      </c>
      <c r="O27" s="15">
        <v>0.32</v>
      </c>
      <c r="P27" s="15">
        <v>0.27</v>
      </c>
      <c r="Q27" s="15">
        <v>0.28999999999999998</v>
      </c>
      <c r="R27" s="15">
        <v>0.35</v>
      </c>
      <c r="S27" s="15">
        <v>0.44</v>
      </c>
      <c r="T27" s="15">
        <v>0.54</v>
      </c>
      <c r="U27" s="15">
        <v>0.37</v>
      </c>
      <c r="V27" s="15">
        <v>0.32</v>
      </c>
      <c r="W27" s="15">
        <v>0.26</v>
      </c>
      <c r="X27" s="15">
        <v>0.42</v>
      </c>
      <c r="Y27" s="15">
        <v>0.3</v>
      </c>
      <c r="Z27" s="15">
        <v>0.46</v>
      </c>
      <c r="AA27" s="15">
        <v>0.25</v>
      </c>
      <c r="AB27" s="15">
        <v>0.28000000000000003</v>
      </c>
      <c r="AC27" s="15">
        <v>0.22</v>
      </c>
      <c r="AD27" s="15">
        <v>0.3</v>
      </c>
      <c r="AE27" s="15">
        <v>0.53</v>
      </c>
      <c r="AF27" s="15">
        <v>0.38</v>
      </c>
    </row>
    <row r="28" spans="1:32" x14ac:dyDescent="0.35">
      <c r="A28" s="19"/>
      <c r="B28" s="11" t="s">
        <v>916</v>
      </c>
      <c r="C28" s="12">
        <v>3297</v>
      </c>
      <c r="D28" s="12">
        <v>100</v>
      </c>
      <c r="E28" s="12">
        <v>183</v>
      </c>
      <c r="F28" s="12">
        <v>133</v>
      </c>
      <c r="G28" s="12">
        <v>97</v>
      </c>
      <c r="H28" s="12">
        <v>98</v>
      </c>
      <c r="I28" s="12">
        <v>122</v>
      </c>
      <c r="J28" s="12">
        <v>24</v>
      </c>
      <c r="K28" s="12">
        <v>168</v>
      </c>
      <c r="L28" s="12">
        <v>114</v>
      </c>
      <c r="M28" s="12">
        <v>171</v>
      </c>
      <c r="N28" s="12">
        <v>123</v>
      </c>
      <c r="O28" s="12">
        <v>159</v>
      </c>
      <c r="P28" s="12">
        <v>239</v>
      </c>
      <c r="Q28" s="12">
        <v>98</v>
      </c>
      <c r="R28" s="12">
        <v>42</v>
      </c>
      <c r="S28" s="12">
        <v>223</v>
      </c>
      <c r="T28" s="12">
        <v>128</v>
      </c>
      <c r="U28" s="12">
        <v>55</v>
      </c>
      <c r="V28" s="12">
        <v>142</v>
      </c>
      <c r="W28" s="12">
        <v>34</v>
      </c>
      <c r="X28" s="12">
        <v>71</v>
      </c>
      <c r="Y28" s="12">
        <v>137</v>
      </c>
      <c r="Z28" s="12">
        <v>130</v>
      </c>
      <c r="AA28" s="12">
        <v>143</v>
      </c>
      <c r="AB28" s="12">
        <v>245</v>
      </c>
      <c r="AC28" s="12">
        <v>279</v>
      </c>
      <c r="AD28" s="12">
        <v>233</v>
      </c>
      <c r="AE28" s="12">
        <v>148</v>
      </c>
      <c r="AF28" s="12">
        <v>123</v>
      </c>
    </row>
    <row r="29" spans="1:32" x14ac:dyDescent="0.35">
      <c r="A29" s="19"/>
      <c r="B29" s="13" t="s">
        <v>917</v>
      </c>
      <c r="C29" s="15">
        <v>0.12</v>
      </c>
      <c r="D29" s="15">
        <v>0.1</v>
      </c>
      <c r="E29" s="15">
        <v>0.18</v>
      </c>
      <c r="F29" s="15">
        <v>0.12</v>
      </c>
      <c r="G29" s="15">
        <v>0.1</v>
      </c>
      <c r="H29" s="15">
        <v>0.08</v>
      </c>
      <c r="I29" s="15">
        <v>0.08</v>
      </c>
      <c r="J29" s="15">
        <v>0.08</v>
      </c>
      <c r="K29" s="15">
        <v>0.17</v>
      </c>
      <c r="L29" s="15">
        <v>0.11</v>
      </c>
      <c r="M29" s="15">
        <v>0.17</v>
      </c>
      <c r="N29" s="15">
        <v>0.12</v>
      </c>
      <c r="O29" s="15">
        <v>0.16</v>
      </c>
      <c r="P29" s="15">
        <v>0.24</v>
      </c>
      <c r="Q29" s="15">
        <v>0.1</v>
      </c>
      <c r="R29" s="15">
        <v>0.08</v>
      </c>
      <c r="S29" s="15">
        <v>0.22</v>
      </c>
      <c r="T29" s="15">
        <v>0.13</v>
      </c>
      <c r="U29" s="15">
        <v>0.11</v>
      </c>
      <c r="V29" s="15">
        <v>0.14000000000000001</v>
      </c>
      <c r="W29" s="15">
        <v>7.0000000000000007E-2</v>
      </c>
      <c r="X29" s="15">
        <v>7.0000000000000007E-2</v>
      </c>
      <c r="Y29" s="15">
        <v>0.14000000000000001</v>
      </c>
      <c r="Z29" s="15">
        <v>0.13</v>
      </c>
      <c r="AA29" s="15">
        <v>0.14000000000000001</v>
      </c>
      <c r="AB29" s="15">
        <v>0.23</v>
      </c>
      <c r="AC29" s="15">
        <v>0.28000000000000003</v>
      </c>
      <c r="AD29" s="15">
        <v>0.23</v>
      </c>
      <c r="AE29" s="15">
        <v>0.15</v>
      </c>
      <c r="AF29" s="15">
        <v>0.12</v>
      </c>
    </row>
    <row r="30" spans="1:32" ht="41.5" x14ac:dyDescent="0.35">
      <c r="A30" s="19"/>
      <c r="B30" s="11" t="s">
        <v>918</v>
      </c>
      <c r="C30" s="12">
        <v>3112</v>
      </c>
      <c r="D30" s="12">
        <v>81</v>
      </c>
      <c r="E30" s="12">
        <v>127</v>
      </c>
      <c r="F30" s="12">
        <v>210</v>
      </c>
      <c r="G30" s="12">
        <v>63</v>
      </c>
      <c r="H30" s="12">
        <v>173</v>
      </c>
      <c r="I30" s="12">
        <v>229</v>
      </c>
      <c r="J30" s="12">
        <v>56</v>
      </c>
      <c r="K30" s="12">
        <v>157</v>
      </c>
      <c r="L30" s="12">
        <v>70</v>
      </c>
      <c r="M30" s="12">
        <v>59</v>
      </c>
      <c r="N30" s="12">
        <v>70</v>
      </c>
      <c r="O30" s="12">
        <v>77</v>
      </c>
      <c r="P30" s="12">
        <v>174</v>
      </c>
      <c r="Q30" s="12">
        <v>137</v>
      </c>
      <c r="R30" s="12">
        <v>11</v>
      </c>
      <c r="S30" s="12">
        <v>116</v>
      </c>
      <c r="T30" s="12">
        <v>71</v>
      </c>
      <c r="U30" s="12">
        <v>43</v>
      </c>
      <c r="V30" s="12">
        <v>134</v>
      </c>
      <c r="W30" s="12">
        <v>33</v>
      </c>
      <c r="X30" s="12">
        <v>42</v>
      </c>
      <c r="Y30" s="12">
        <v>158</v>
      </c>
      <c r="Z30" s="12">
        <v>186</v>
      </c>
      <c r="AA30" s="12">
        <v>123</v>
      </c>
      <c r="AB30" s="12">
        <v>207</v>
      </c>
      <c r="AC30" s="12">
        <v>113</v>
      </c>
      <c r="AD30" s="12">
        <v>160</v>
      </c>
      <c r="AE30" s="12">
        <v>56</v>
      </c>
      <c r="AF30" s="12">
        <v>56</v>
      </c>
    </row>
    <row r="31" spans="1:32" ht="31.5" x14ac:dyDescent="0.35">
      <c r="A31" s="19"/>
      <c r="B31" s="13" t="s">
        <v>919</v>
      </c>
      <c r="C31" s="15">
        <v>0.12</v>
      </c>
      <c r="D31" s="15">
        <v>0.08</v>
      </c>
      <c r="E31" s="15">
        <v>0.12</v>
      </c>
      <c r="F31" s="15">
        <v>0.19</v>
      </c>
      <c r="G31" s="15">
        <v>0.06</v>
      </c>
      <c r="H31" s="15">
        <v>0.14000000000000001</v>
      </c>
      <c r="I31" s="15">
        <v>0.15</v>
      </c>
      <c r="J31" s="15">
        <v>0.19</v>
      </c>
      <c r="K31" s="15">
        <v>0.16</v>
      </c>
      <c r="L31" s="15">
        <v>7.0000000000000007E-2</v>
      </c>
      <c r="M31" s="15">
        <v>0.06</v>
      </c>
      <c r="N31" s="15">
        <v>7.0000000000000007E-2</v>
      </c>
      <c r="O31" s="15">
        <v>0.08</v>
      </c>
      <c r="P31" s="15">
        <v>0.17</v>
      </c>
      <c r="Q31" s="15">
        <v>0.13</v>
      </c>
      <c r="R31" s="15">
        <v>0.02</v>
      </c>
      <c r="S31" s="15">
        <v>0.12</v>
      </c>
      <c r="T31" s="15">
        <v>7.0000000000000007E-2</v>
      </c>
      <c r="U31" s="15">
        <v>0.09</v>
      </c>
      <c r="V31" s="15">
        <v>0.13</v>
      </c>
      <c r="W31" s="15">
        <v>0.06</v>
      </c>
      <c r="X31" s="15">
        <v>0.04</v>
      </c>
      <c r="Y31" s="15">
        <v>0.16</v>
      </c>
      <c r="Z31" s="15">
        <v>0.18</v>
      </c>
      <c r="AA31" s="15">
        <v>0.12</v>
      </c>
      <c r="AB31" s="15">
        <v>0.2</v>
      </c>
      <c r="AC31" s="15">
        <v>0.11</v>
      </c>
      <c r="AD31" s="15">
        <v>0.16</v>
      </c>
      <c r="AE31" s="15">
        <v>0.06</v>
      </c>
      <c r="AF31" s="15">
        <v>0.05</v>
      </c>
    </row>
    <row r="32" spans="1:32" ht="21.5" x14ac:dyDescent="0.35">
      <c r="A32" s="19"/>
      <c r="B32" s="11" t="s">
        <v>920</v>
      </c>
      <c r="C32" s="12">
        <v>1976</v>
      </c>
      <c r="D32" s="12">
        <v>85</v>
      </c>
      <c r="E32" s="12">
        <v>71</v>
      </c>
      <c r="F32" s="12">
        <v>99</v>
      </c>
      <c r="G32" s="12">
        <v>116</v>
      </c>
      <c r="H32" s="12">
        <v>126</v>
      </c>
      <c r="I32" s="12">
        <v>154</v>
      </c>
      <c r="J32" s="12">
        <v>28</v>
      </c>
      <c r="K32" s="12">
        <v>112</v>
      </c>
      <c r="L32" s="12">
        <v>103</v>
      </c>
      <c r="M32" s="12">
        <v>36</v>
      </c>
      <c r="N32" s="12">
        <v>54</v>
      </c>
      <c r="O32" s="12">
        <v>34</v>
      </c>
      <c r="P32" s="12">
        <v>101</v>
      </c>
      <c r="Q32" s="12">
        <v>84</v>
      </c>
      <c r="R32" s="12">
        <v>11</v>
      </c>
      <c r="S32" s="12">
        <v>89</v>
      </c>
      <c r="T32" s="12">
        <v>43</v>
      </c>
      <c r="U32" s="12">
        <v>23</v>
      </c>
      <c r="V32" s="12">
        <v>111</v>
      </c>
      <c r="W32" s="12">
        <v>34</v>
      </c>
      <c r="X32" s="12">
        <v>57</v>
      </c>
      <c r="Y32" s="12">
        <v>111</v>
      </c>
      <c r="Z32" s="12">
        <v>86</v>
      </c>
      <c r="AA32" s="12">
        <v>38</v>
      </c>
      <c r="AB32" s="12">
        <v>110</v>
      </c>
      <c r="AC32" s="12">
        <v>65</v>
      </c>
      <c r="AD32" s="12">
        <v>78</v>
      </c>
      <c r="AE32" s="12">
        <v>98</v>
      </c>
      <c r="AF32" s="12">
        <v>76</v>
      </c>
    </row>
    <row r="33" spans="1:32" ht="21.5" x14ac:dyDescent="0.35">
      <c r="A33" s="19"/>
      <c r="B33" s="13" t="s">
        <v>921</v>
      </c>
      <c r="C33" s="15">
        <v>7.0000000000000007E-2</v>
      </c>
      <c r="D33" s="15">
        <v>0.08</v>
      </c>
      <c r="E33" s="15">
        <v>7.0000000000000007E-2</v>
      </c>
      <c r="F33" s="15">
        <v>0.09</v>
      </c>
      <c r="G33" s="15">
        <v>0.12</v>
      </c>
      <c r="H33" s="15">
        <v>0.1</v>
      </c>
      <c r="I33" s="15">
        <v>0.1</v>
      </c>
      <c r="J33" s="15">
        <v>0.09</v>
      </c>
      <c r="K33" s="15">
        <v>0.11</v>
      </c>
      <c r="L33" s="15">
        <v>0.1</v>
      </c>
      <c r="M33" s="15">
        <v>0.04</v>
      </c>
      <c r="N33" s="15">
        <v>0.05</v>
      </c>
      <c r="O33" s="15">
        <v>0.03</v>
      </c>
      <c r="P33" s="15">
        <v>0.1</v>
      </c>
      <c r="Q33" s="15">
        <v>0.08</v>
      </c>
      <c r="R33" s="15">
        <v>0.02</v>
      </c>
      <c r="S33" s="15">
        <v>0.09</v>
      </c>
      <c r="T33" s="15">
        <v>0.04</v>
      </c>
      <c r="U33" s="15">
        <v>0.04</v>
      </c>
      <c r="V33" s="15">
        <v>0.11</v>
      </c>
      <c r="W33" s="15">
        <v>7.0000000000000007E-2</v>
      </c>
      <c r="X33" s="15">
        <v>0.06</v>
      </c>
      <c r="Y33" s="15">
        <v>0.11</v>
      </c>
      <c r="Z33" s="15">
        <v>0.08</v>
      </c>
      <c r="AA33" s="15">
        <v>0.04</v>
      </c>
      <c r="AB33" s="15">
        <v>0.1</v>
      </c>
      <c r="AC33" s="15">
        <v>0.06</v>
      </c>
      <c r="AD33" s="15">
        <v>0.08</v>
      </c>
      <c r="AE33" s="15">
        <v>0.1</v>
      </c>
      <c r="AF33" s="15">
        <v>7.0000000000000007E-2</v>
      </c>
    </row>
    <row r="34" spans="1:32" x14ac:dyDescent="0.35">
      <c r="A34" s="19"/>
      <c r="B34" s="11" t="s">
        <v>597</v>
      </c>
      <c r="C34" s="12">
        <v>6539</v>
      </c>
      <c r="D34" s="12">
        <v>241</v>
      </c>
      <c r="E34" s="12">
        <v>252</v>
      </c>
      <c r="F34" s="12">
        <v>260</v>
      </c>
      <c r="G34" s="12">
        <v>150</v>
      </c>
      <c r="H34" s="12">
        <v>141</v>
      </c>
      <c r="I34" s="12">
        <v>200</v>
      </c>
      <c r="J34" s="12">
        <v>59</v>
      </c>
      <c r="K34" s="12">
        <v>189</v>
      </c>
      <c r="L34" s="12">
        <v>438</v>
      </c>
      <c r="M34" s="12">
        <v>360</v>
      </c>
      <c r="N34" s="12">
        <v>323</v>
      </c>
      <c r="O34" s="12">
        <v>336</v>
      </c>
      <c r="P34" s="12">
        <v>210</v>
      </c>
      <c r="Q34" s="12">
        <v>240</v>
      </c>
      <c r="R34" s="12">
        <v>163</v>
      </c>
      <c r="S34" s="12">
        <v>353</v>
      </c>
      <c r="T34" s="12">
        <v>284</v>
      </c>
      <c r="U34" s="12">
        <v>122</v>
      </c>
      <c r="V34" s="12">
        <v>301</v>
      </c>
      <c r="W34" s="12">
        <v>163</v>
      </c>
      <c r="X34" s="12">
        <v>132</v>
      </c>
      <c r="Y34" s="12">
        <v>173</v>
      </c>
      <c r="Z34" s="12">
        <v>279</v>
      </c>
      <c r="AA34" s="12">
        <v>546</v>
      </c>
      <c r="AB34" s="12">
        <v>247</v>
      </c>
      <c r="AC34" s="12">
        <v>314</v>
      </c>
      <c r="AD34" s="12">
        <v>325</v>
      </c>
      <c r="AE34" s="12">
        <v>113</v>
      </c>
      <c r="AF34" s="12">
        <v>78</v>
      </c>
    </row>
    <row r="35" spans="1:32" x14ac:dyDescent="0.35">
      <c r="A35" s="19"/>
      <c r="B35" s="13" t="s">
        <v>598</v>
      </c>
      <c r="C35" s="15">
        <v>0.25</v>
      </c>
      <c r="D35" s="15">
        <v>0.24</v>
      </c>
      <c r="E35" s="15">
        <v>0.24</v>
      </c>
      <c r="F35" s="15">
        <v>0.24</v>
      </c>
      <c r="G35" s="15">
        <v>0.15</v>
      </c>
      <c r="H35" s="15">
        <v>0.12</v>
      </c>
      <c r="I35" s="15">
        <v>0.13</v>
      </c>
      <c r="J35" s="15">
        <v>0.2</v>
      </c>
      <c r="K35" s="15">
        <v>0.19</v>
      </c>
      <c r="L35" s="15">
        <v>0.44</v>
      </c>
      <c r="M35" s="15">
        <v>0.36</v>
      </c>
      <c r="N35" s="15">
        <v>0.32</v>
      </c>
      <c r="O35" s="15">
        <v>0.34</v>
      </c>
      <c r="P35" s="15">
        <v>0.21</v>
      </c>
      <c r="Q35" s="15">
        <v>0.23</v>
      </c>
      <c r="R35" s="15">
        <v>0.32</v>
      </c>
      <c r="S35" s="15">
        <v>0.35</v>
      </c>
      <c r="T35" s="15">
        <v>0.28000000000000003</v>
      </c>
      <c r="U35" s="15">
        <v>0.24</v>
      </c>
      <c r="V35" s="15">
        <v>0.3</v>
      </c>
      <c r="W35" s="15">
        <v>0.32</v>
      </c>
      <c r="X35" s="15">
        <v>0.13</v>
      </c>
      <c r="Y35" s="15">
        <v>0.17</v>
      </c>
      <c r="Z35" s="15">
        <v>0.27</v>
      </c>
      <c r="AA35" s="15">
        <v>0.53</v>
      </c>
      <c r="AB35" s="15">
        <v>0.24</v>
      </c>
      <c r="AC35" s="15">
        <v>0.31</v>
      </c>
      <c r="AD35" s="15">
        <v>0.32</v>
      </c>
      <c r="AE35" s="15">
        <v>0.11</v>
      </c>
      <c r="AF35" s="15">
        <v>7.0000000000000007E-2</v>
      </c>
    </row>
    <row r="36" spans="1:32" x14ac:dyDescent="0.35">
      <c r="A36" s="19"/>
      <c r="B36" s="11" t="s">
        <v>922</v>
      </c>
      <c r="C36" s="12">
        <v>3939</v>
      </c>
      <c r="D36" s="12">
        <v>172</v>
      </c>
      <c r="E36" s="12">
        <v>114</v>
      </c>
      <c r="F36" s="12">
        <v>120</v>
      </c>
      <c r="G36" s="12">
        <v>165</v>
      </c>
      <c r="H36" s="12">
        <v>290</v>
      </c>
      <c r="I36" s="12">
        <v>338</v>
      </c>
      <c r="J36" s="12">
        <v>48</v>
      </c>
      <c r="K36" s="12">
        <v>65</v>
      </c>
      <c r="L36" s="12">
        <v>109</v>
      </c>
      <c r="M36" s="12">
        <v>126</v>
      </c>
      <c r="N36" s="12">
        <v>106</v>
      </c>
      <c r="O36" s="12">
        <v>103</v>
      </c>
      <c r="P36" s="12">
        <v>121</v>
      </c>
      <c r="Q36" s="12">
        <v>147</v>
      </c>
      <c r="R36" s="12">
        <v>40</v>
      </c>
      <c r="S36" s="12">
        <v>79</v>
      </c>
      <c r="T36" s="12">
        <v>77</v>
      </c>
      <c r="U36" s="12">
        <v>90</v>
      </c>
      <c r="V36" s="12">
        <v>175</v>
      </c>
      <c r="W36" s="12">
        <v>75</v>
      </c>
      <c r="X36" s="12">
        <v>194</v>
      </c>
      <c r="Y36" s="12">
        <v>154</v>
      </c>
      <c r="Z36" s="12">
        <v>118</v>
      </c>
      <c r="AA36" s="12">
        <v>74</v>
      </c>
      <c r="AB36" s="12">
        <v>145</v>
      </c>
      <c r="AC36" s="12">
        <v>90</v>
      </c>
      <c r="AD36" s="12">
        <v>129</v>
      </c>
      <c r="AE36" s="12">
        <v>152</v>
      </c>
      <c r="AF36" s="12">
        <v>383</v>
      </c>
    </row>
    <row r="37" spans="1:32" x14ac:dyDescent="0.35">
      <c r="A37" s="19"/>
      <c r="B37" s="13" t="s">
        <v>923</v>
      </c>
      <c r="C37" s="15">
        <v>0.15</v>
      </c>
      <c r="D37" s="15">
        <v>0.17</v>
      </c>
      <c r="E37" s="15">
        <v>0.11</v>
      </c>
      <c r="F37" s="15">
        <v>0.11</v>
      </c>
      <c r="G37" s="15">
        <v>0.16</v>
      </c>
      <c r="H37" s="15">
        <v>0.24</v>
      </c>
      <c r="I37" s="15">
        <v>0.22</v>
      </c>
      <c r="J37" s="15">
        <v>0.16</v>
      </c>
      <c r="K37" s="15">
        <v>7.0000000000000007E-2</v>
      </c>
      <c r="L37" s="15">
        <v>0.11</v>
      </c>
      <c r="M37" s="15">
        <v>0.13</v>
      </c>
      <c r="N37" s="15">
        <v>0.11</v>
      </c>
      <c r="O37" s="15">
        <v>0.1</v>
      </c>
      <c r="P37" s="15">
        <v>0.12</v>
      </c>
      <c r="Q37" s="15">
        <v>0.14000000000000001</v>
      </c>
      <c r="R37" s="15">
        <v>0.08</v>
      </c>
      <c r="S37" s="15">
        <v>0.08</v>
      </c>
      <c r="T37" s="15">
        <v>0.08</v>
      </c>
      <c r="U37" s="15">
        <v>0.18</v>
      </c>
      <c r="V37" s="15">
        <v>0.17</v>
      </c>
      <c r="W37" s="15">
        <v>0.15</v>
      </c>
      <c r="X37" s="15">
        <v>0.19</v>
      </c>
      <c r="Y37" s="15">
        <v>0.15</v>
      </c>
      <c r="Z37" s="15">
        <v>0.11</v>
      </c>
      <c r="AA37" s="15">
        <v>7.0000000000000007E-2</v>
      </c>
      <c r="AB37" s="15">
        <v>0.14000000000000001</v>
      </c>
      <c r="AC37" s="15">
        <v>0.09</v>
      </c>
      <c r="AD37" s="15">
        <v>0.13</v>
      </c>
      <c r="AE37" s="15">
        <v>0.15</v>
      </c>
      <c r="AF37" s="15">
        <v>0.37</v>
      </c>
    </row>
    <row r="38" spans="1:32" ht="51.5" x14ac:dyDescent="0.35">
      <c r="A38" s="19"/>
      <c r="B38" s="11" t="s">
        <v>924</v>
      </c>
      <c r="C38" s="12">
        <v>2216</v>
      </c>
      <c r="D38" s="12">
        <v>79</v>
      </c>
      <c r="E38" s="12">
        <v>110</v>
      </c>
      <c r="F38" s="12">
        <v>79</v>
      </c>
      <c r="G38" s="12">
        <v>111</v>
      </c>
      <c r="H38" s="12">
        <v>114</v>
      </c>
      <c r="I38" s="12">
        <v>137</v>
      </c>
      <c r="J38" s="12">
        <v>23</v>
      </c>
      <c r="K38" s="12">
        <v>120</v>
      </c>
      <c r="L38" s="12">
        <v>76</v>
      </c>
      <c r="M38" s="12">
        <v>81</v>
      </c>
      <c r="N38" s="12">
        <v>43</v>
      </c>
      <c r="O38" s="12">
        <v>53</v>
      </c>
      <c r="P38" s="12">
        <v>114</v>
      </c>
      <c r="Q38" s="12">
        <v>103</v>
      </c>
      <c r="R38" s="12">
        <v>19</v>
      </c>
      <c r="S38" s="12">
        <v>43</v>
      </c>
      <c r="T38" s="12">
        <v>100</v>
      </c>
      <c r="U38" s="12">
        <v>34</v>
      </c>
      <c r="V38" s="12">
        <v>87</v>
      </c>
      <c r="W38" s="12">
        <v>72</v>
      </c>
      <c r="X38" s="12">
        <v>142</v>
      </c>
      <c r="Y38" s="12">
        <v>147</v>
      </c>
      <c r="Z38" s="12">
        <v>123</v>
      </c>
      <c r="AA38" s="12">
        <v>50</v>
      </c>
      <c r="AB38" s="12">
        <v>106</v>
      </c>
      <c r="AC38" s="12">
        <v>81</v>
      </c>
      <c r="AD38" s="12">
        <v>110</v>
      </c>
      <c r="AE38" s="12">
        <v>52</v>
      </c>
      <c r="AF38" s="12">
        <v>50</v>
      </c>
    </row>
    <row r="39" spans="1:32" ht="41.5" x14ac:dyDescent="0.35">
      <c r="A39" s="19"/>
      <c r="B39" s="13" t="s">
        <v>925</v>
      </c>
      <c r="C39" s="15">
        <v>0.08</v>
      </c>
      <c r="D39" s="15">
        <v>0.08</v>
      </c>
      <c r="E39" s="15">
        <v>0.11</v>
      </c>
      <c r="F39" s="15">
        <v>7.0000000000000007E-2</v>
      </c>
      <c r="G39" s="15">
        <v>0.11</v>
      </c>
      <c r="H39" s="15">
        <v>0.09</v>
      </c>
      <c r="I39" s="15">
        <v>0.09</v>
      </c>
      <c r="J39" s="15">
        <v>0.08</v>
      </c>
      <c r="K39" s="15">
        <v>0.12</v>
      </c>
      <c r="L39" s="15">
        <v>0.08</v>
      </c>
      <c r="M39" s="15">
        <v>0.08</v>
      </c>
      <c r="N39" s="15">
        <v>0.04</v>
      </c>
      <c r="O39" s="15">
        <v>0.05</v>
      </c>
      <c r="P39" s="15">
        <v>0.11</v>
      </c>
      <c r="Q39" s="15">
        <v>0.1</v>
      </c>
      <c r="R39" s="15">
        <v>0.04</v>
      </c>
      <c r="S39" s="15">
        <v>0.04</v>
      </c>
      <c r="T39" s="15">
        <v>0.1</v>
      </c>
      <c r="U39" s="15">
        <v>7.0000000000000007E-2</v>
      </c>
      <c r="V39" s="15">
        <v>0.09</v>
      </c>
      <c r="W39" s="15">
        <v>0.14000000000000001</v>
      </c>
      <c r="X39" s="15">
        <v>0.14000000000000001</v>
      </c>
      <c r="Y39" s="15">
        <v>0.15</v>
      </c>
      <c r="Z39" s="15">
        <v>0.12</v>
      </c>
      <c r="AA39" s="15">
        <v>0.05</v>
      </c>
      <c r="AB39" s="15">
        <v>0.1</v>
      </c>
      <c r="AC39" s="15">
        <v>0.08</v>
      </c>
      <c r="AD39" s="15">
        <v>0.11</v>
      </c>
      <c r="AE39" s="15">
        <v>0.05</v>
      </c>
      <c r="AF39" s="15">
        <v>0.05</v>
      </c>
    </row>
    <row r="40" spans="1:32" ht="21.5" x14ac:dyDescent="0.35">
      <c r="A40" s="19"/>
      <c r="B40" s="11" t="s">
        <v>926</v>
      </c>
      <c r="C40" s="12">
        <v>3330</v>
      </c>
      <c r="D40" s="12">
        <v>137</v>
      </c>
      <c r="E40" s="12">
        <v>135</v>
      </c>
      <c r="F40" s="12">
        <v>108</v>
      </c>
      <c r="G40" s="12">
        <v>195</v>
      </c>
      <c r="H40" s="12">
        <v>187</v>
      </c>
      <c r="I40" s="12">
        <v>220</v>
      </c>
      <c r="J40" s="12">
        <v>33</v>
      </c>
      <c r="K40" s="12">
        <v>113</v>
      </c>
      <c r="L40" s="12">
        <v>79</v>
      </c>
      <c r="M40" s="12">
        <v>42</v>
      </c>
      <c r="N40" s="12">
        <v>107</v>
      </c>
      <c r="O40" s="12">
        <v>133</v>
      </c>
      <c r="P40" s="12">
        <v>148</v>
      </c>
      <c r="Q40" s="12">
        <v>94</v>
      </c>
      <c r="R40" s="12">
        <v>18</v>
      </c>
      <c r="S40" s="12">
        <v>89</v>
      </c>
      <c r="T40" s="12">
        <v>107</v>
      </c>
      <c r="U40" s="12">
        <v>79</v>
      </c>
      <c r="V40" s="12">
        <v>97</v>
      </c>
      <c r="W40" s="12">
        <v>60</v>
      </c>
      <c r="X40" s="12">
        <v>223</v>
      </c>
      <c r="Y40" s="12">
        <v>148</v>
      </c>
      <c r="Z40" s="12">
        <v>120</v>
      </c>
      <c r="AA40" s="12">
        <v>58</v>
      </c>
      <c r="AB40" s="12">
        <v>138</v>
      </c>
      <c r="AC40" s="12">
        <v>174</v>
      </c>
      <c r="AD40" s="12">
        <v>180</v>
      </c>
      <c r="AE40" s="12">
        <v>155</v>
      </c>
      <c r="AF40" s="12">
        <v>217</v>
      </c>
    </row>
    <row r="41" spans="1:32" x14ac:dyDescent="0.35">
      <c r="A41" s="19"/>
      <c r="B41" s="13" t="s">
        <v>930</v>
      </c>
      <c r="C41" s="15">
        <v>0.13</v>
      </c>
      <c r="D41" s="15">
        <v>0.14000000000000001</v>
      </c>
      <c r="E41" s="15">
        <v>0.13</v>
      </c>
      <c r="F41" s="15">
        <v>0.1</v>
      </c>
      <c r="G41" s="15">
        <v>0.19</v>
      </c>
      <c r="H41" s="15">
        <v>0.15</v>
      </c>
      <c r="I41" s="15">
        <v>0.15</v>
      </c>
      <c r="J41" s="15">
        <v>0.11</v>
      </c>
      <c r="K41" s="15">
        <v>0.11</v>
      </c>
      <c r="L41" s="15">
        <v>0.08</v>
      </c>
      <c r="M41" s="15">
        <v>0.04</v>
      </c>
      <c r="N41" s="15">
        <v>0.11</v>
      </c>
      <c r="O41" s="15">
        <v>0.13</v>
      </c>
      <c r="P41" s="15">
        <v>0.15</v>
      </c>
      <c r="Q41" s="15">
        <v>0.09</v>
      </c>
      <c r="R41" s="15">
        <v>0.04</v>
      </c>
      <c r="S41" s="15">
        <v>0.09</v>
      </c>
      <c r="T41" s="15">
        <v>0.11</v>
      </c>
      <c r="U41" s="15">
        <v>0.16</v>
      </c>
      <c r="V41" s="15">
        <v>0.1</v>
      </c>
      <c r="W41" s="15">
        <v>0.12</v>
      </c>
      <c r="X41" s="15">
        <v>0.22</v>
      </c>
      <c r="Y41" s="15">
        <v>0.15</v>
      </c>
      <c r="Z41" s="15">
        <v>0.12</v>
      </c>
      <c r="AA41" s="15">
        <v>0.06</v>
      </c>
      <c r="AB41" s="15">
        <v>0.13</v>
      </c>
      <c r="AC41" s="15">
        <v>0.17</v>
      </c>
      <c r="AD41" s="15">
        <v>0.18</v>
      </c>
      <c r="AE41" s="15">
        <v>0.15</v>
      </c>
      <c r="AF41" s="15">
        <v>0.21</v>
      </c>
    </row>
    <row r="42" spans="1:32" x14ac:dyDescent="0.35">
      <c r="A42" s="19"/>
      <c r="B42" s="11" t="s">
        <v>611</v>
      </c>
      <c r="C42" s="12">
        <v>149</v>
      </c>
      <c r="D42" s="12">
        <v>2</v>
      </c>
      <c r="E42" s="12">
        <v>6</v>
      </c>
      <c r="F42" s="12">
        <v>4</v>
      </c>
      <c r="G42" s="12">
        <v>3</v>
      </c>
      <c r="H42" s="12">
        <v>16</v>
      </c>
      <c r="I42" s="12">
        <v>17</v>
      </c>
      <c r="J42" s="12">
        <v>1</v>
      </c>
      <c r="K42" s="12">
        <v>17</v>
      </c>
      <c r="L42" s="12">
        <v>1</v>
      </c>
      <c r="M42" s="12">
        <v>3</v>
      </c>
      <c r="N42" s="12">
        <v>8</v>
      </c>
      <c r="O42" s="12">
        <v>10</v>
      </c>
      <c r="P42" s="12">
        <v>0</v>
      </c>
      <c r="Q42" s="12">
        <v>0</v>
      </c>
      <c r="R42" s="12">
        <v>1</v>
      </c>
      <c r="S42" s="12">
        <v>3</v>
      </c>
      <c r="T42" s="12">
        <v>0</v>
      </c>
      <c r="U42" s="12">
        <v>9</v>
      </c>
      <c r="V42" s="12">
        <v>0</v>
      </c>
      <c r="W42" s="12">
        <v>2</v>
      </c>
      <c r="X42" s="12">
        <v>7</v>
      </c>
      <c r="Y42" s="12">
        <v>15</v>
      </c>
      <c r="Z42" s="12">
        <v>0</v>
      </c>
      <c r="AA42" s="12">
        <v>0</v>
      </c>
      <c r="AB42" s="12">
        <v>2</v>
      </c>
      <c r="AC42" s="12">
        <v>3</v>
      </c>
      <c r="AD42" s="12">
        <v>3</v>
      </c>
      <c r="AE42" s="12">
        <v>0</v>
      </c>
      <c r="AF42" s="12">
        <v>4</v>
      </c>
    </row>
    <row r="43" spans="1:32" x14ac:dyDescent="0.35">
      <c r="A43" s="19"/>
      <c r="B43" s="13" t="s">
        <v>612</v>
      </c>
      <c r="C43" s="15">
        <v>0.01</v>
      </c>
      <c r="D43" s="14" t="s">
        <v>475</v>
      </c>
      <c r="E43" s="15">
        <v>0.01</v>
      </c>
      <c r="F43" s="14" t="s">
        <v>475</v>
      </c>
      <c r="G43" s="14" t="s">
        <v>475</v>
      </c>
      <c r="H43" s="15">
        <v>0.01</v>
      </c>
      <c r="I43" s="15">
        <v>0.01</v>
      </c>
      <c r="J43" s="14" t="s">
        <v>475</v>
      </c>
      <c r="K43" s="15">
        <v>0.02</v>
      </c>
      <c r="L43" s="14" t="s">
        <v>475</v>
      </c>
      <c r="M43" s="14" t="s">
        <v>475</v>
      </c>
      <c r="N43" s="15">
        <v>0.01</v>
      </c>
      <c r="O43" s="15">
        <v>0.01</v>
      </c>
      <c r="P43" s="14" t="s">
        <v>475</v>
      </c>
      <c r="Q43" s="14" t="s">
        <v>475</v>
      </c>
      <c r="R43" s="14" t="s">
        <v>475</v>
      </c>
      <c r="S43" s="14" t="s">
        <v>475</v>
      </c>
      <c r="T43" s="14" t="s">
        <v>475</v>
      </c>
      <c r="U43" s="15">
        <v>0.02</v>
      </c>
      <c r="V43" s="14" t="s">
        <v>475</v>
      </c>
      <c r="W43" s="14" t="s">
        <v>475</v>
      </c>
      <c r="X43" s="15">
        <v>0.01</v>
      </c>
      <c r="Y43" s="15">
        <v>0.02</v>
      </c>
      <c r="Z43" s="14" t="s">
        <v>475</v>
      </c>
      <c r="AA43" s="14" t="s">
        <v>475</v>
      </c>
      <c r="AB43" s="14" t="s">
        <v>475</v>
      </c>
      <c r="AC43" s="14" t="s">
        <v>475</v>
      </c>
      <c r="AD43" s="14" t="s">
        <v>475</v>
      </c>
      <c r="AE43" s="14" t="s">
        <v>475</v>
      </c>
      <c r="AF43" s="14" t="s">
        <v>475</v>
      </c>
    </row>
    <row r="44" spans="1:32" x14ac:dyDescent="0.35">
      <c r="A44" s="19"/>
      <c r="B44" s="11" t="s">
        <v>613</v>
      </c>
      <c r="C44" s="12">
        <v>106</v>
      </c>
      <c r="D44" s="12">
        <v>1</v>
      </c>
      <c r="E44" s="12">
        <v>4</v>
      </c>
      <c r="F44" s="12">
        <v>13</v>
      </c>
      <c r="G44" s="12">
        <v>3</v>
      </c>
      <c r="H44" s="12">
        <v>10</v>
      </c>
      <c r="I44" s="12">
        <v>10</v>
      </c>
      <c r="J44" s="12">
        <v>0</v>
      </c>
      <c r="K44" s="12">
        <v>1</v>
      </c>
      <c r="L44" s="12">
        <v>1</v>
      </c>
      <c r="M44" s="12">
        <v>2</v>
      </c>
      <c r="N44" s="12">
        <v>4</v>
      </c>
      <c r="O44" s="12">
        <v>5</v>
      </c>
      <c r="P44" s="12">
        <v>1</v>
      </c>
      <c r="Q44" s="12">
        <v>3</v>
      </c>
      <c r="R44" s="12">
        <v>2</v>
      </c>
      <c r="S44" s="12">
        <v>0</v>
      </c>
      <c r="T44" s="12">
        <v>1</v>
      </c>
      <c r="U44" s="12">
        <v>1</v>
      </c>
      <c r="V44" s="12">
        <v>1</v>
      </c>
      <c r="W44" s="12">
        <v>0</v>
      </c>
      <c r="X44" s="12">
        <v>8</v>
      </c>
      <c r="Y44" s="12">
        <v>5</v>
      </c>
      <c r="Z44" s="12">
        <v>2</v>
      </c>
      <c r="AA44" s="12">
        <v>0</v>
      </c>
      <c r="AB44" s="12">
        <v>0</v>
      </c>
      <c r="AC44" s="12">
        <v>0</v>
      </c>
      <c r="AD44" s="12">
        <v>1</v>
      </c>
      <c r="AE44" s="12">
        <v>0</v>
      </c>
      <c r="AF44" s="12">
        <v>2</v>
      </c>
    </row>
    <row r="45" spans="1:32" x14ac:dyDescent="0.35">
      <c r="A45" s="19"/>
      <c r="B45" s="13" t="s">
        <v>614</v>
      </c>
      <c r="C45" s="14" t="s">
        <v>475</v>
      </c>
      <c r="D45" s="14" t="s">
        <v>475</v>
      </c>
      <c r="E45" s="14" t="s">
        <v>475</v>
      </c>
      <c r="F45" s="15">
        <v>0.01</v>
      </c>
      <c r="G45" s="14" t="s">
        <v>475</v>
      </c>
      <c r="H45" s="15">
        <v>0.01</v>
      </c>
      <c r="I45" s="15">
        <v>0.01</v>
      </c>
      <c r="J45" s="14" t="s">
        <v>475</v>
      </c>
      <c r="K45" s="14" t="s">
        <v>475</v>
      </c>
      <c r="L45" s="14" t="s">
        <v>475</v>
      </c>
      <c r="M45" s="14" t="s">
        <v>475</v>
      </c>
      <c r="N45" s="14" t="s">
        <v>475</v>
      </c>
      <c r="O45" s="14" t="s">
        <v>475</v>
      </c>
      <c r="P45" s="14" t="s">
        <v>475</v>
      </c>
      <c r="Q45" s="14" t="s">
        <v>475</v>
      </c>
      <c r="R45" s="14" t="s">
        <v>475</v>
      </c>
      <c r="S45" s="14" t="s">
        <v>475</v>
      </c>
      <c r="T45" s="14" t="s">
        <v>475</v>
      </c>
      <c r="U45" s="14" t="s">
        <v>475</v>
      </c>
      <c r="V45" s="14" t="s">
        <v>475</v>
      </c>
      <c r="W45" s="14" t="s">
        <v>475</v>
      </c>
      <c r="X45" s="15">
        <v>0.01</v>
      </c>
      <c r="Y45" s="14" t="s">
        <v>475</v>
      </c>
      <c r="Z45" s="14" t="s">
        <v>475</v>
      </c>
      <c r="AA45" s="14" t="s">
        <v>475</v>
      </c>
      <c r="AB45" s="14" t="s">
        <v>475</v>
      </c>
      <c r="AC45" s="14" t="s">
        <v>475</v>
      </c>
      <c r="AD45" s="14" t="s">
        <v>475</v>
      </c>
      <c r="AE45" s="14" t="s">
        <v>475</v>
      </c>
      <c r="AF45" s="14" t="s">
        <v>475</v>
      </c>
    </row>
    <row r="46" spans="1:32" x14ac:dyDescent="0.35">
      <c r="A46" s="19"/>
      <c r="B46" s="11" t="s">
        <v>485</v>
      </c>
      <c r="C46" s="12">
        <v>257</v>
      </c>
      <c r="D46" s="12">
        <v>1</v>
      </c>
      <c r="E46" s="12">
        <v>27</v>
      </c>
      <c r="F46" s="12">
        <v>28</v>
      </c>
      <c r="G46" s="12">
        <v>15</v>
      </c>
      <c r="H46" s="12">
        <v>7</v>
      </c>
      <c r="I46" s="12">
        <v>7</v>
      </c>
      <c r="J46" s="12">
        <v>0</v>
      </c>
      <c r="K46" s="12">
        <v>26</v>
      </c>
      <c r="L46" s="12">
        <v>6</v>
      </c>
      <c r="M46" s="12">
        <v>1</v>
      </c>
      <c r="N46" s="12">
        <v>13</v>
      </c>
      <c r="O46" s="12">
        <v>10</v>
      </c>
      <c r="P46" s="12">
        <v>1</v>
      </c>
      <c r="Q46" s="12">
        <v>16</v>
      </c>
      <c r="R46" s="12">
        <v>21</v>
      </c>
      <c r="S46" s="12">
        <v>15</v>
      </c>
      <c r="T46" s="12">
        <v>13</v>
      </c>
      <c r="U46" s="12">
        <v>3</v>
      </c>
      <c r="V46" s="12">
        <v>7</v>
      </c>
      <c r="W46" s="12">
        <v>3</v>
      </c>
      <c r="X46" s="12">
        <v>2</v>
      </c>
      <c r="Y46" s="12">
        <v>19</v>
      </c>
      <c r="Z46" s="12">
        <v>2</v>
      </c>
      <c r="AA46" s="12">
        <v>22</v>
      </c>
      <c r="AB46" s="12">
        <v>18</v>
      </c>
      <c r="AC46" s="12">
        <v>7</v>
      </c>
      <c r="AD46" s="12">
        <v>2</v>
      </c>
      <c r="AE46" s="12">
        <v>11</v>
      </c>
      <c r="AF46" s="12">
        <v>2</v>
      </c>
    </row>
    <row r="47" spans="1:32" x14ac:dyDescent="0.35">
      <c r="A47" s="19"/>
      <c r="B47" s="13" t="s">
        <v>486</v>
      </c>
      <c r="C47" s="15">
        <v>0.01</v>
      </c>
      <c r="D47" s="14" t="s">
        <v>475</v>
      </c>
      <c r="E47" s="15">
        <v>0.03</v>
      </c>
      <c r="F47" s="15">
        <v>0.03</v>
      </c>
      <c r="G47" s="15">
        <v>0.01</v>
      </c>
      <c r="H47" s="15">
        <v>0.01</v>
      </c>
      <c r="I47" s="14" t="s">
        <v>475</v>
      </c>
      <c r="J47" s="14" t="s">
        <v>475</v>
      </c>
      <c r="K47" s="15">
        <v>0.03</v>
      </c>
      <c r="L47" s="15">
        <v>0.01</v>
      </c>
      <c r="M47" s="14" t="s">
        <v>475</v>
      </c>
      <c r="N47" s="15">
        <v>0.01</v>
      </c>
      <c r="O47" s="15">
        <v>0.01</v>
      </c>
      <c r="P47" s="14" t="s">
        <v>475</v>
      </c>
      <c r="Q47" s="15">
        <v>0.02</v>
      </c>
      <c r="R47" s="15">
        <v>0.04</v>
      </c>
      <c r="S47" s="15">
        <v>0.02</v>
      </c>
      <c r="T47" s="15">
        <v>0.01</v>
      </c>
      <c r="U47" s="15">
        <v>0.01</v>
      </c>
      <c r="V47" s="15">
        <v>0.01</v>
      </c>
      <c r="W47" s="15">
        <v>0.01</v>
      </c>
      <c r="X47" s="14" t="s">
        <v>475</v>
      </c>
      <c r="Y47" s="15">
        <v>0.02</v>
      </c>
      <c r="Z47" s="14" t="s">
        <v>475</v>
      </c>
      <c r="AA47" s="15">
        <v>0.02</v>
      </c>
      <c r="AB47" s="15">
        <v>0.02</v>
      </c>
      <c r="AC47" s="15">
        <v>0.01</v>
      </c>
      <c r="AD47" s="14" t="s">
        <v>475</v>
      </c>
      <c r="AE47" s="15">
        <v>0.01</v>
      </c>
      <c r="AF47" s="14" t="s">
        <v>475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45"/>
  <sheetViews>
    <sheetView workbookViewId="0">
      <pane xSplit="3" ySplit="9" topLeftCell="Z17" activePane="bottomRight" state="frozen"/>
      <selection pane="topRight"/>
      <selection pane="bottomLeft"/>
      <selection pane="bottomRight" activeCell="A9" sqref="A9"/>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181</v>
      </c>
      <c r="C3" s="18"/>
      <c r="D3" s="18"/>
      <c r="E3" s="18"/>
      <c r="F3" s="18"/>
      <c r="H3" s="18" t="s">
        <v>182</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19"/>
      <c r="B12" s="11" t="s">
        <v>931</v>
      </c>
      <c r="C12" s="12">
        <v>1256</v>
      </c>
      <c r="D12" s="12">
        <v>67</v>
      </c>
      <c r="E12" s="12">
        <v>42</v>
      </c>
      <c r="F12" s="12">
        <v>47</v>
      </c>
      <c r="G12" s="12">
        <v>74</v>
      </c>
      <c r="H12" s="12">
        <v>45</v>
      </c>
      <c r="I12" s="12">
        <v>59</v>
      </c>
      <c r="J12" s="12">
        <v>14</v>
      </c>
      <c r="K12" s="12">
        <v>30</v>
      </c>
      <c r="L12" s="12">
        <v>43</v>
      </c>
      <c r="M12" s="12">
        <v>42</v>
      </c>
      <c r="N12" s="12">
        <v>23</v>
      </c>
      <c r="O12" s="12">
        <v>34</v>
      </c>
      <c r="P12" s="12">
        <v>67</v>
      </c>
      <c r="Q12" s="12">
        <v>72</v>
      </c>
      <c r="R12" s="12">
        <v>32</v>
      </c>
      <c r="S12" s="12">
        <v>9</v>
      </c>
      <c r="T12" s="12">
        <v>24</v>
      </c>
      <c r="U12" s="12">
        <v>14</v>
      </c>
      <c r="V12" s="12">
        <v>76</v>
      </c>
      <c r="W12" s="12">
        <v>56</v>
      </c>
      <c r="X12" s="12">
        <v>78</v>
      </c>
      <c r="Y12" s="12">
        <v>68</v>
      </c>
      <c r="Z12" s="12">
        <v>50</v>
      </c>
      <c r="AA12" s="12">
        <v>20</v>
      </c>
      <c r="AB12" s="12">
        <v>63</v>
      </c>
      <c r="AC12" s="12">
        <v>40</v>
      </c>
      <c r="AD12" s="12">
        <v>58</v>
      </c>
      <c r="AE12" s="12">
        <v>38</v>
      </c>
      <c r="AF12" s="12">
        <v>89</v>
      </c>
    </row>
    <row r="13" spans="1:32" ht="21.5" x14ac:dyDescent="0.35">
      <c r="A13" s="19"/>
      <c r="B13" s="13" t="s">
        <v>932</v>
      </c>
      <c r="C13" s="15">
        <v>0.05</v>
      </c>
      <c r="D13" s="15">
        <v>7.0000000000000007E-2</v>
      </c>
      <c r="E13" s="15">
        <v>0.04</v>
      </c>
      <c r="F13" s="15">
        <v>0.04</v>
      </c>
      <c r="G13" s="15">
        <v>7.0000000000000007E-2</v>
      </c>
      <c r="H13" s="15">
        <v>0.04</v>
      </c>
      <c r="I13" s="15">
        <v>0.04</v>
      </c>
      <c r="J13" s="15">
        <v>0.05</v>
      </c>
      <c r="K13" s="15">
        <v>0.03</v>
      </c>
      <c r="L13" s="15">
        <v>0.04</v>
      </c>
      <c r="M13" s="15">
        <v>0.04</v>
      </c>
      <c r="N13" s="15">
        <v>0.02</v>
      </c>
      <c r="O13" s="15">
        <v>0.03</v>
      </c>
      <c r="P13" s="15">
        <v>7.0000000000000007E-2</v>
      </c>
      <c r="Q13" s="15">
        <v>7.0000000000000007E-2</v>
      </c>
      <c r="R13" s="15">
        <v>0.06</v>
      </c>
      <c r="S13" s="15">
        <v>0.01</v>
      </c>
      <c r="T13" s="15">
        <v>0.02</v>
      </c>
      <c r="U13" s="15">
        <v>0.03</v>
      </c>
      <c r="V13" s="15">
        <v>7.0000000000000007E-2</v>
      </c>
      <c r="W13" s="15">
        <v>0.11</v>
      </c>
      <c r="X13" s="15">
        <v>0.08</v>
      </c>
      <c r="Y13" s="15">
        <v>7.0000000000000007E-2</v>
      </c>
      <c r="Z13" s="15">
        <v>0.05</v>
      </c>
      <c r="AA13" s="15">
        <v>0.02</v>
      </c>
      <c r="AB13" s="15">
        <v>0.06</v>
      </c>
      <c r="AC13" s="15">
        <v>0.04</v>
      </c>
      <c r="AD13" s="15">
        <v>0.06</v>
      </c>
      <c r="AE13" s="15">
        <v>0.04</v>
      </c>
      <c r="AF13" s="15">
        <v>0.09</v>
      </c>
    </row>
    <row r="14" spans="1:32" ht="31.5" x14ac:dyDescent="0.35">
      <c r="A14" s="19"/>
      <c r="B14" s="11" t="s">
        <v>933</v>
      </c>
      <c r="C14" s="12">
        <v>821</v>
      </c>
      <c r="D14" s="12">
        <v>19</v>
      </c>
      <c r="E14" s="12">
        <v>54</v>
      </c>
      <c r="F14" s="12">
        <v>41</v>
      </c>
      <c r="G14" s="12">
        <v>32</v>
      </c>
      <c r="H14" s="12">
        <v>17</v>
      </c>
      <c r="I14" s="12">
        <v>21</v>
      </c>
      <c r="J14" s="12">
        <v>4</v>
      </c>
      <c r="K14" s="12">
        <v>30</v>
      </c>
      <c r="L14" s="12">
        <v>13</v>
      </c>
      <c r="M14" s="12">
        <v>58</v>
      </c>
      <c r="N14" s="12">
        <v>28</v>
      </c>
      <c r="O14" s="12">
        <v>22</v>
      </c>
      <c r="P14" s="12">
        <v>39</v>
      </c>
      <c r="Q14" s="12">
        <v>47</v>
      </c>
      <c r="R14" s="12">
        <v>15</v>
      </c>
      <c r="S14" s="12">
        <v>43</v>
      </c>
      <c r="T14" s="12">
        <v>28</v>
      </c>
      <c r="U14" s="12">
        <v>10</v>
      </c>
      <c r="V14" s="12">
        <v>40</v>
      </c>
      <c r="W14" s="12">
        <v>28</v>
      </c>
      <c r="X14" s="12">
        <v>25</v>
      </c>
      <c r="Y14" s="12">
        <v>37</v>
      </c>
      <c r="Z14" s="12">
        <v>38</v>
      </c>
      <c r="AA14" s="12">
        <v>22</v>
      </c>
      <c r="AB14" s="12">
        <v>67</v>
      </c>
      <c r="AC14" s="12">
        <v>48</v>
      </c>
      <c r="AD14" s="12">
        <v>58</v>
      </c>
      <c r="AE14" s="12">
        <v>36</v>
      </c>
      <c r="AF14" s="12">
        <v>31</v>
      </c>
    </row>
    <row r="15" spans="1:32" ht="31.5" x14ac:dyDescent="0.35">
      <c r="A15" s="19"/>
      <c r="B15" s="13" t="s">
        <v>934</v>
      </c>
      <c r="C15" s="15">
        <v>0.03</v>
      </c>
      <c r="D15" s="15">
        <v>0.02</v>
      </c>
      <c r="E15" s="15">
        <v>0.05</v>
      </c>
      <c r="F15" s="15">
        <v>0.04</v>
      </c>
      <c r="G15" s="15">
        <v>0.03</v>
      </c>
      <c r="H15" s="15">
        <v>0.02</v>
      </c>
      <c r="I15" s="15">
        <v>0.01</v>
      </c>
      <c r="J15" s="15">
        <v>0.01</v>
      </c>
      <c r="K15" s="15">
        <v>0.03</v>
      </c>
      <c r="L15" s="15">
        <v>0.01</v>
      </c>
      <c r="M15" s="15">
        <v>0.06</v>
      </c>
      <c r="N15" s="15">
        <v>0.03</v>
      </c>
      <c r="O15" s="15">
        <v>0.02</v>
      </c>
      <c r="P15" s="15">
        <v>0.04</v>
      </c>
      <c r="Q15" s="15">
        <v>0.05</v>
      </c>
      <c r="R15" s="15">
        <v>0.03</v>
      </c>
      <c r="S15" s="15">
        <v>0.04</v>
      </c>
      <c r="T15" s="15">
        <v>0.03</v>
      </c>
      <c r="U15" s="15">
        <v>0.02</v>
      </c>
      <c r="V15" s="15">
        <v>0.04</v>
      </c>
      <c r="W15" s="15">
        <v>0.06</v>
      </c>
      <c r="X15" s="15">
        <v>0.02</v>
      </c>
      <c r="Y15" s="15">
        <v>0.04</v>
      </c>
      <c r="Z15" s="15">
        <v>0.04</v>
      </c>
      <c r="AA15" s="15">
        <v>0.02</v>
      </c>
      <c r="AB15" s="15">
        <v>0.06</v>
      </c>
      <c r="AC15" s="15">
        <v>0.05</v>
      </c>
      <c r="AD15" s="15">
        <v>0.06</v>
      </c>
      <c r="AE15" s="15">
        <v>0.04</v>
      </c>
      <c r="AF15" s="15">
        <v>0.03</v>
      </c>
    </row>
    <row r="16" spans="1:32" ht="21.5" x14ac:dyDescent="0.35">
      <c r="A16" s="19"/>
      <c r="B16" s="11" t="s">
        <v>935</v>
      </c>
      <c r="C16" s="12">
        <v>1099</v>
      </c>
      <c r="D16" s="12">
        <v>36</v>
      </c>
      <c r="E16" s="12">
        <v>104</v>
      </c>
      <c r="F16" s="12">
        <v>77</v>
      </c>
      <c r="G16" s="12">
        <v>28</v>
      </c>
      <c r="H16" s="12">
        <v>29</v>
      </c>
      <c r="I16" s="12">
        <v>35</v>
      </c>
      <c r="J16" s="12">
        <v>6</v>
      </c>
      <c r="K16" s="12">
        <v>56</v>
      </c>
      <c r="L16" s="12">
        <v>20</v>
      </c>
      <c r="M16" s="12">
        <v>42</v>
      </c>
      <c r="N16" s="12">
        <v>26</v>
      </c>
      <c r="O16" s="12">
        <v>42</v>
      </c>
      <c r="P16" s="12">
        <v>66</v>
      </c>
      <c r="Q16" s="12">
        <v>32</v>
      </c>
      <c r="R16" s="12">
        <v>9</v>
      </c>
      <c r="S16" s="12">
        <v>61</v>
      </c>
      <c r="T16" s="12">
        <v>80</v>
      </c>
      <c r="U16" s="12">
        <v>19</v>
      </c>
      <c r="V16" s="12">
        <v>58</v>
      </c>
      <c r="W16" s="12">
        <v>9</v>
      </c>
      <c r="X16" s="12">
        <v>16</v>
      </c>
      <c r="Y16" s="12">
        <v>39</v>
      </c>
      <c r="Z16" s="12">
        <v>55</v>
      </c>
      <c r="AA16" s="12">
        <v>171</v>
      </c>
      <c r="AB16" s="12">
        <v>89</v>
      </c>
      <c r="AC16" s="12">
        <v>44</v>
      </c>
      <c r="AD16" s="12">
        <v>102</v>
      </c>
      <c r="AE16" s="12">
        <v>43</v>
      </c>
      <c r="AF16" s="12">
        <v>13</v>
      </c>
    </row>
    <row r="17" spans="1:32" ht="21.5" x14ac:dyDescent="0.35">
      <c r="A17" s="19"/>
      <c r="B17" s="13" t="s">
        <v>936</v>
      </c>
      <c r="C17" s="15">
        <v>0.04</v>
      </c>
      <c r="D17" s="15">
        <v>0.04</v>
      </c>
      <c r="E17" s="15">
        <v>0.1</v>
      </c>
      <c r="F17" s="15">
        <v>7.0000000000000007E-2</v>
      </c>
      <c r="G17" s="15">
        <v>0.03</v>
      </c>
      <c r="H17" s="15">
        <v>0.03</v>
      </c>
      <c r="I17" s="15">
        <v>0.02</v>
      </c>
      <c r="J17" s="15">
        <v>0.02</v>
      </c>
      <c r="K17" s="15">
        <v>0.06</v>
      </c>
      <c r="L17" s="15">
        <v>0.02</v>
      </c>
      <c r="M17" s="15">
        <v>0.04</v>
      </c>
      <c r="N17" s="15">
        <v>0.03</v>
      </c>
      <c r="O17" s="15">
        <v>0.04</v>
      </c>
      <c r="P17" s="15">
        <v>7.0000000000000007E-2</v>
      </c>
      <c r="Q17" s="15">
        <v>0.03</v>
      </c>
      <c r="R17" s="15">
        <v>0.02</v>
      </c>
      <c r="S17" s="15">
        <v>0.06</v>
      </c>
      <c r="T17" s="15">
        <v>0.08</v>
      </c>
      <c r="U17" s="15">
        <v>0.04</v>
      </c>
      <c r="V17" s="15">
        <v>0.06</v>
      </c>
      <c r="W17" s="15">
        <v>0.02</v>
      </c>
      <c r="X17" s="15">
        <v>0.02</v>
      </c>
      <c r="Y17" s="15">
        <v>0.04</v>
      </c>
      <c r="Z17" s="15">
        <v>0.05</v>
      </c>
      <c r="AA17" s="15">
        <v>0.17</v>
      </c>
      <c r="AB17" s="15">
        <v>0.08</v>
      </c>
      <c r="AC17" s="15">
        <v>0.04</v>
      </c>
      <c r="AD17" s="15">
        <v>0.1</v>
      </c>
      <c r="AE17" s="15">
        <v>0.04</v>
      </c>
      <c r="AF17" s="15">
        <v>0.01</v>
      </c>
    </row>
    <row r="18" spans="1:32" ht="21.5" x14ac:dyDescent="0.35">
      <c r="A18" s="19"/>
      <c r="B18" s="11" t="s">
        <v>937</v>
      </c>
      <c r="C18" s="12">
        <v>2896</v>
      </c>
      <c r="D18" s="12">
        <v>82</v>
      </c>
      <c r="E18" s="12">
        <v>164</v>
      </c>
      <c r="F18" s="12">
        <v>64</v>
      </c>
      <c r="G18" s="12">
        <v>36</v>
      </c>
      <c r="H18" s="12">
        <v>67</v>
      </c>
      <c r="I18" s="12">
        <v>83</v>
      </c>
      <c r="J18" s="12">
        <v>16</v>
      </c>
      <c r="K18" s="12">
        <v>131</v>
      </c>
      <c r="L18" s="12">
        <v>101</v>
      </c>
      <c r="M18" s="12">
        <v>201</v>
      </c>
      <c r="N18" s="12">
        <v>171</v>
      </c>
      <c r="O18" s="12">
        <v>111</v>
      </c>
      <c r="P18" s="12">
        <v>134</v>
      </c>
      <c r="Q18" s="12">
        <v>182</v>
      </c>
      <c r="R18" s="12">
        <v>90</v>
      </c>
      <c r="S18" s="12">
        <v>132</v>
      </c>
      <c r="T18" s="12">
        <v>101</v>
      </c>
      <c r="U18" s="12">
        <v>46</v>
      </c>
      <c r="V18" s="12">
        <v>96</v>
      </c>
      <c r="W18" s="12">
        <v>54</v>
      </c>
      <c r="X18" s="12">
        <v>21</v>
      </c>
      <c r="Y18" s="12">
        <v>97</v>
      </c>
      <c r="Z18" s="12">
        <v>93</v>
      </c>
      <c r="AA18" s="12">
        <v>120</v>
      </c>
      <c r="AB18" s="12">
        <v>141</v>
      </c>
      <c r="AC18" s="12">
        <v>65</v>
      </c>
      <c r="AD18" s="12">
        <v>89</v>
      </c>
      <c r="AE18" s="12">
        <v>102</v>
      </c>
      <c r="AF18" s="12">
        <v>67</v>
      </c>
    </row>
    <row r="19" spans="1:32" ht="21.5" x14ac:dyDescent="0.35">
      <c r="A19" s="19"/>
      <c r="B19" s="13" t="s">
        <v>938</v>
      </c>
      <c r="C19" s="15">
        <v>0.11</v>
      </c>
      <c r="D19" s="15">
        <v>0.08</v>
      </c>
      <c r="E19" s="15">
        <v>0.16</v>
      </c>
      <c r="F19" s="15">
        <v>0.06</v>
      </c>
      <c r="G19" s="15">
        <v>0.04</v>
      </c>
      <c r="H19" s="15">
        <v>0.06</v>
      </c>
      <c r="I19" s="15">
        <v>0.05</v>
      </c>
      <c r="J19" s="15">
        <v>0.06</v>
      </c>
      <c r="K19" s="15">
        <v>0.13</v>
      </c>
      <c r="L19" s="15">
        <v>0.1</v>
      </c>
      <c r="M19" s="15">
        <v>0.2</v>
      </c>
      <c r="N19" s="15">
        <v>0.17</v>
      </c>
      <c r="O19" s="15">
        <v>0.11</v>
      </c>
      <c r="P19" s="15">
        <v>0.13</v>
      </c>
      <c r="Q19" s="15">
        <v>0.18</v>
      </c>
      <c r="R19" s="15">
        <v>0.18</v>
      </c>
      <c r="S19" s="15">
        <v>0.13</v>
      </c>
      <c r="T19" s="15">
        <v>0.1</v>
      </c>
      <c r="U19" s="15">
        <v>0.09</v>
      </c>
      <c r="V19" s="15">
        <v>0.09</v>
      </c>
      <c r="W19" s="15">
        <v>0.11</v>
      </c>
      <c r="X19" s="15">
        <v>0.02</v>
      </c>
      <c r="Y19" s="15">
        <v>0.1</v>
      </c>
      <c r="Z19" s="15">
        <v>0.09</v>
      </c>
      <c r="AA19" s="15">
        <v>0.12</v>
      </c>
      <c r="AB19" s="15">
        <v>0.13</v>
      </c>
      <c r="AC19" s="15">
        <v>7.0000000000000007E-2</v>
      </c>
      <c r="AD19" s="15">
        <v>0.09</v>
      </c>
      <c r="AE19" s="15">
        <v>0.1</v>
      </c>
      <c r="AF19" s="15">
        <v>0.06</v>
      </c>
    </row>
    <row r="20" spans="1:32" ht="21.5" x14ac:dyDescent="0.35">
      <c r="A20" s="19"/>
      <c r="B20" s="11" t="s">
        <v>939</v>
      </c>
      <c r="C20" s="12">
        <v>2294</v>
      </c>
      <c r="D20" s="12">
        <v>103</v>
      </c>
      <c r="E20" s="12">
        <v>19</v>
      </c>
      <c r="F20" s="12">
        <v>72</v>
      </c>
      <c r="G20" s="12">
        <v>80</v>
      </c>
      <c r="H20" s="12">
        <v>113</v>
      </c>
      <c r="I20" s="12">
        <v>150</v>
      </c>
      <c r="J20" s="12">
        <v>37</v>
      </c>
      <c r="K20" s="12">
        <v>50</v>
      </c>
      <c r="L20" s="12">
        <v>174</v>
      </c>
      <c r="M20" s="12">
        <v>48</v>
      </c>
      <c r="N20" s="12">
        <v>85</v>
      </c>
      <c r="O20" s="12">
        <v>95</v>
      </c>
      <c r="P20" s="12">
        <v>42</v>
      </c>
      <c r="Q20" s="12">
        <v>130</v>
      </c>
      <c r="R20" s="12">
        <v>67</v>
      </c>
      <c r="S20" s="12">
        <v>40</v>
      </c>
      <c r="T20" s="12">
        <v>51</v>
      </c>
      <c r="U20" s="12">
        <v>34</v>
      </c>
      <c r="V20" s="12">
        <v>58</v>
      </c>
      <c r="W20" s="12">
        <v>52</v>
      </c>
      <c r="X20" s="12">
        <v>85</v>
      </c>
      <c r="Y20" s="12">
        <v>93</v>
      </c>
      <c r="Z20" s="12">
        <v>81</v>
      </c>
      <c r="AA20" s="12">
        <v>62</v>
      </c>
      <c r="AB20" s="12">
        <v>36</v>
      </c>
      <c r="AC20" s="12">
        <v>62</v>
      </c>
      <c r="AD20" s="12">
        <v>39</v>
      </c>
      <c r="AE20" s="12">
        <v>58</v>
      </c>
      <c r="AF20" s="12">
        <v>24</v>
      </c>
    </row>
    <row r="21" spans="1:32" ht="21.5" x14ac:dyDescent="0.35">
      <c r="A21" s="19"/>
      <c r="B21" s="13" t="s">
        <v>940</v>
      </c>
      <c r="C21" s="15">
        <v>0.09</v>
      </c>
      <c r="D21" s="15">
        <v>0.1</v>
      </c>
      <c r="E21" s="15">
        <v>0.02</v>
      </c>
      <c r="F21" s="15">
        <v>7.0000000000000007E-2</v>
      </c>
      <c r="G21" s="15">
        <v>0.08</v>
      </c>
      <c r="H21" s="15">
        <v>0.09</v>
      </c>
      <c r="I21" s="15">
        <v>0.1</v>
      </c>
      <c r="J21" s="15">
        <v>0.13</v>
      </c>
      <c r="K21" s="15">
        <v>0.05</v>
      </c>
      <c r="L21" s="15">
        <v>0.17</v>
      </c>
      <c r="M21" s="15">
        <v>0.05</v>
      </c>
      <c r="N21" s="15">
        <v>0.08</v>
      </c>
      <c r="O21" s="15">
        <v>0.1</v>
      </c>
      <c r="P21" s="15">
        <v>0.04</v>
      </c>
      <c r="Q21" s="15">
        <v>0.13</v>
      </c>
      <c r="R21" s="15">
        <v>0.13</v>
      </c>
      <c r="S21" s="15">
        <v>0.04</v>
      </c>
      <c r="T21" s="15">
        <v>0.05</v>
      </c>
      <c r="U21" s="15">
        <v>7.0000000000000007E-2</v>
      </c>
      <c r="V21" s="15">
        <v>0.06</v>
      </c>
      <c r="W21" s="15">
        <v>0.1</v>
      </c>
      <c r="X21" s="15">
        <v>0.08</v>
      </c>
      <c r="Y21" s="15">
        <v>0.09</v>
      </c>
      <c r="Z21" s="15">
        <v>0.08</v>
      </c>
      <c r="AA21" s="15">
        <v>0.06</v>
      </c>
      <c r="AB21" s="15">
        <v>0.03</v>
      </c>
      <c r="AC21" s="15">
        <v>0.06</v>
      </c>
      <c r="AD21" s="15">
        <v>0.04</v>
      </c>
      <c r="AE21" s="15">
        <v>0.06</v>
      </c>
      <c r="AF21" s="15">
        <v>0.02</v>
      </c>
    </row>
    <row r="22" spans="1:32" x14ac:dyDescent="0.35">
      <c r="A22" s="19"/>
      <c r="B22" s="11" t="s">
        <v>941</v>
      </c>
      <c r="C22" s="12">
        <v>5412</v>
      </c>
      <c r="D22" s="12">
        <v>182</v>
      </c>
      <c r="E22" s="12">
        <v>179</v>
      </c>
      <c r="F22" s="12">
        <v>222</v>
      </c>
      <c r="G22" s="12">
        <v>332</v>
      </c>
      <c r="H22" s="12">
        <v>307</v>
      </c>
      <c r="I22" s="12">
        <v>383</v>
      </c>
      <c r="J22" s="12">
        <v>76</v>
      </c>
      <c r="K22" s="12">
        <v>260</v>
      </c>
      <c r="L22" s="12">
        <v>137</v>
      </c>
      <c r="M22" s="12">
        <v>212</v>
      </c>
      <c r="N22" s="12">
        <v>156</v>
      </c>
      <c r="O22" s="12">
        <v>219</v>
      </c>
      <c r="P22" s="12">
        <v>148</v>
      </c>
      <c r="Q22" s="12">
        <v>154</v>
      </c>
      <c r="R22" s="12">
        <v>76</v>
      </c>
      <c r="S22" s="12">
        <v>283</v>
      </c>
      <c r="T22" s="12">
        <v>258</v>
      </c>
      <c r="U22" s="12">
        <v>120</v>
      </c>
      <c r="V22" s="12">
        <v>184</v>
      </c>
      <c r="W22" s="12">
        <v>97</v>
      </c>
      <c r="X22" s="12">
        <v>259</v>
      </c>
      <c r="Y22" s="12">
        <v>180</v>
      </c>
      <c r="Z22" s="12">
        <v>225</v>
      </c>
      <c r="AA22" s="12">
        <v>189</v>
      </c>
      <c r="AB22" s="12">
        <v>124</v>
      </c>
      <c r="AC22" s="12">
        <v>218</v>
      </c>
      <c r="AD22" s="12">
        <v>217</v>
      </c>
      <c r="AE22" s="12">
        <v>316</v>
      </c>
      <c r="AF22" s="12">
        <v>309</v>
      </c>
    </row>
    <row r="23" spans="1:32" x14ac:dyDescent="0.35">
      <c r="A23" s="19"/>
      <c r="B23" s="13" t="s">
        <v>942</v>
      </c>
      <c r="C23" s="15">
        <v>0.2</v>
      </c>
      <c r="D23" s="15">
        <v>0.18</v>
      </c>
      <c r="E23" s="15">
        <v>0.17</v>
      </c>
      <c r="F23" s="15">
        <v>0.2</v>
      </c>
      <c r="G23" s="15">
        <v>0.33</v>
      </c>
      <c r="H23" s="15">
        <v>0.25</v>
      </c>
      <c r="I23" s="15">
        <v>0.25</v>
      </c>
      <c r="J23" s="15">
        <v>0.26</v>
      </c>
      <c r="K23" s="15">
        <v>0.26</v>
      </c>
      <c r="L23" s="15">
        <v>0.14000000000000001</v>
      </c>
      <c r="M23" s="15">
        <v>0.21</v>
      </c>
      <c r="N23" s="15">
        <v>0.16</v>
      </c>
      <c r="O23" s="15">
        <v>0.22</v>
      </c>
      <c r="P23" s="15">
        <v>0.15</v>
      </c>
      <c r="Q23" s="15">
        <v>0.15</v>
      </c>
      <c r="R23" s="15">
        <v>0.15</v>
      </c>
      <c r="S23" s="15">
        <v>0.28000000000000003</v>
      </c>
      <c r="T23" s="15">
        <v>0.26</v>
      </c>
      <c r="U23" s="15">
        <v>0.24</v>
      </c>
      <c r="V23" s="15">
        <v>0.18</v>
      </c>
      <c r="W23" s="15">
        <v>0.19</v>
      </c>
      <c r="X23" s="15">
        <v>0.26</v>
      </c>
      <c r="Y23" s="15">
        <v>0.18</v>
      </c>
      <c r="Z23" s="15">
        <v>0.22</v>
      </c>
      <c r="AA23" s="15">
        <v>0.18</v>
      </c>
      <c r="AB23" s="15">
        <v>0.12</v>
      </c>
      <c r="AC23" s="15">
        <v>0.22</v>
      </c>
      <c r="AD23" s="15">
        <v>0.22</v>
      </c>
      <c r="AE23" s="15">
        <v>0.31</v>
      </c>
      <c r="AF23" s="15">
        <v>0.3</v>
      </c>
    </row>
    <row r="24" spans="1:32" ht="21.5" x14ac:dyDescent="0.35">
      <c r="A24" s="19"/>
      <c r="B24" s="11" t="s">
        <v>943</v>
      </c>
      <c r="C24" s="12">
        <v>434</v>
      </c>
      <c r="D24" s="12">
        <v>16</v>
      </c>
      <c r="E24" s="12">
        <v>23</v>
      </c>
      <c r="F24" s="12">
        <v>16</v>
      </c>
      <c r="G24" s="12">
        <v>12</v>
      </c>
      <c r="H24" s="12">
        <v>14</v>
      </c>
      <c r="I24" s="12">
        <v>18</v>
      </c>
      <c r="J24" s="12">
        <v>4</v>
      </c>
      <c r="K24" s="12">
        <v>16</v>
      </c>
      <c r="L24" s="12">
        <v>15</v>
      </c>
      <c r="M24" s="12">
        <v>19</v>
      </c>
      <c r="N24" s="12">
        <v>7</v>
      </c>
      <c r="O24" s="12">
        <v>13</v>
      </c>
      <c r="P24" s="12">
        <v>28</v>
      </c>
      <c r="Q24" s="12">
        <v>25</v>
      </c>
      <c r="R24" s="12">
        <v>6</v>
      </c>
      <c r="S24" s="12">
        <v>21</v>
      </c>
      <c r="T24" s="12">
        <v>14</v>
      </c>
      <c r="U24" s="12">
        <v>6</v>
      </c>
      <c r="V24" s="12">
        <v>27</v>
      </c>
      <c r="W24" s="12">
        <v>6</v>
      </c>
      <c r="X24" s="12">
        <v>12</v>
      </c>
      <c r="Y24" s="12">
        <v>23</v>
      </c>
      <c r="Z24" s="12">
        <v>25</v>
      </c>
      <c r="AA24" s="12">
        <v>14</v>
      </c>
      <c r="AB24" s="12">
        <v>18</v>
      </c>
      <c r="AC24" s="12">
        <v>26</v>
      </c>
      <c r="AD24" s="12">
        <v>26</v>
      </c>
      <c r="AE24" s="12">
        <v>12</v>
      </c>
      <c r="AF24" s="12">
        <v>30</v>
      </c>
    </row>
    <row r="25" spans="1:32" ht="21.5" x14ac:dyDescent="0.35">
      <c r="A25" s="19"/>
      <c r="B25" s="13" t="s">
        <v>944</v>
      </c>
      <c r="C25" s="15">
        <v>0.02</v>
      </c>
      <c r="D25" s="15">
        <v>0.02</v>
      </c>
      <c r="E25" s="15">
        <v>0.02</v>
      </c>
      <c r="F25" s="15">
        <v>0.01</v>
      </c>
      <c r="G25" s="15">
        <v>0.01</v>
      </c>
      <c r="H25" s="15">
        <v>0.01</v>
      </c>
      <c r="I25" s="15">
        <v>0.01</v>
      </c>
      <c r="J25" s="15">
        <v>0.01</v>
      </c>
      <c r="K25" s="15">
        <v>0.02</v>
      </c>
      <c r="L25" s="15">
        <v>0.02</v>
      </c>
      <c r="M25" s="15">
        <v>0.02</v>
      </c>
      <c r="N25" s="15">
        <v>0.01</v>
      </c>
      <c r="O25" s="15">
        <v>0.01</v>
      </c>
      <c r="P25" s="15">
        <v>0.03</v>
      </c>
      <c r="Q25" s="15">
        <v>0.02</v>
      </c>
      <c r="R25" s="15">
        <v>0.01</v>
      </c>
      <c r="S25" s="15">
        <v>0.02</v>
      </c>
      <c r="T25" s="15">
        <v>0.01</v>
      </c>
      <c r="U25" s="15">
        <v>0.01</v>
      </c>
      <c r="V25" s="15">
        <v>0.03</v>
      </c>
      <c r="W25" s="15">
        <v>0.01</v>
      </c>
      <c r="X25" s="15">
        <v>0.01</v>
      </c>
      <c r="Y25" s="15">
        <v>0.02</v>
      </c>
      <c r="Z25" s="15">
        <v>0.02</v>
      </c>
      <c r="AA25" s="15">
        <v>0.01</v>
      </c>
      <c r="AB25" s="15">
        <v>0.02</v>
      </c>
      <c r="AC25" s="15">
        <v>0.03</v>
      </c>
      <c r="AD25" s="15">
        <v>0.03</v>
      </c>
      <c r="AE25" s="15">
        <v>0.01</v>
      </c>
      <c r="AF25" s="15">
        <v>0.03</v>
      </c>
    </row>
    <row r="26" spans="1:32" ht="21.5" x14ac:dyDescent="0.35">
      <c r="A26" s="19"/>
      <c r="B26" s="11" t="s">
        <v>945</v>
      </c>
      <c r="C26" s="12">
        <v>1843</v>
      </c>
      <c r="D26" s="12">
        <v>73</v>
      </c>
      <c r="E26" s="12">
        <v>71</v>
      </c>
      <c r="F26" s="12">
        <v>81</v>
      </c>
      <c r="G26" s="12">
        <v>136</v>
      </c>
      <c r="H26" s="12">
        <v>86</v>
      </c>
      <c r="I26" s="12">
        <v>108</v>
      </c>
      <c r="J26" s="12">
        <v>21</v>
      </c>
      <c r="K26" s="12">
        <v>86</v>
      </c>
      <c r="L26" s="12">
        <v>44</v>
      </c>
      <c r="M26" s="12">
        <v>56</v>
      </c>
      <c r="N26" s="12">
        <v>38</v>
      </c>
      <c r="O26" s="12">
        <v>80</v>
      </c>
      <c r="P26" s="12">
        <v>73</v>
      </c>
      <c r="Q26" s="12">
        <v>53</v>
      </c>
      <c r="R26" s="12">
        <v>36</v>
      </c>
      <c r="S26" s="12">
        <v>98</v>
      </c>
      <c r="T26" s="12">
        <v>108</v>
      </c>
      <c r="U26" s="12">
        <v>31</v>
      </c>
      <c r="V26" s="12">
        <v>56</v>
      </c>
      <c r="W26" s="12">
        <v>36</v>
      </c>
      <c r="X26" s="12">
        <v>99</v>
      </c>
      <c r="Y26" s="12">
        <v>75</v>
      </c>
      <c r="Z26" s="12">
        <v>104</v>
      </c>
      <c r="AA26" s="12">
        <v>38</v>
      </c>
      <c r="AB26" s="12">
        <v>69</v>
      </c>
      <c r="AC26" s="12">
        <v>55</v>
      </c>
      <c r="AD26" s="12">
        <v>66</v>
      </c>
      <c r="AE26" s="12">
        <v>133</v>
      </c>
      <c r="AF26" s="12">
        <v>81</v>
      </c>
    </row>
    <row r="27" spans="1:32" ht="21.5" x14ac:dyDescent="0.35">
      <c r="A27" s="19"/>
      <c r="B27" s="13" t="s">
        <v>946</v>
      </c>
      <c r="C27" s="15">
        <v>7.0000000000000007E-2</v>
      </c>
      <c r="D27" s="15">
        <v>7.0000000000000007E-2</v>
      </c>
      <c r="E27" s="15">
        <v>7.0000000000000007E-2</v>
      </c>
      <c r="F27" s="15">
        <v>7.0000000000000007E-2</v>
      </c>
      <c r="G27" s="15">
        <v>0.14000000000000001</v>
      </c>
      <c r="H27" s="15">
        <v>7.0000000000000007E-2</v>
      </c>
      <c r="I27" s="15">
        <v>7.0000000000000007E-2</v>
      </c>
      <c r="J27" s="15">
        <v>7.0000000000000007E-2</v>
      </c>
      <c r="K27" s="15">
        <v>0.09</v>
      </c>
      <c r="L27" s="15">
        <v>0.04</v>
      </c>
      <c r="M27" s="15">
        <v>0.05</v>
      </c>
      <c r="N27" s="15">
        <v>0.04</v>
      </c>
      <c r="O27" s="15">
        <v>0.08</v>
      </c>
      <c r="P27" s="15">
        <v>7.0000000000000007E-2</v>
      </c>
      <c r="Q27" s="15">
        <v>0.05</v>
      </c>
      <c r="R27" s="15">
        <v>7.0000000000000007E-2</v>
      </c>
      <c r="S27" s="15">
        <v>0.1</v>
      </c>
      <c r="T27" s="15">
        <v>0.11</v>
      </c>
      <c r="U27" s="15">
        <v>0.06</v>
      </c>
      <c r="V27" s="15">
        <v>0.06</v>
      </c>
      <c r="W27" s="15">
        <v>7.0000000000000007E-2</v>
      </c>
      <c r="X27" s="15">
        <v>0.1</v>
      </c>
      <c r="Y27" s="15">
        <v>7.0000000000000007E-2</v>
      </c>
      <c r="Z27" s="15">
        <v>0.1</v>
      </c>
      <c r="AA27" s="15">
        <v>0.04</v>
      </c>
      <c r="AB27" s="15">
        <v>7.0000000000000007E-2</v>
      </c>
      <c r="AC27" s="15">
        <v>0.05</v>
      </c>
      <c r="AD27" s="15">
        <v>0.06</v>
      </c>
      <c r="AE27" s="15">
        <v>0.13</v>
      </c>
      <c r="AF27" s="15">
        <v>0.08</v>
      </c>
    </row>
    <row r="28" spans="1:32" ht="41.5" x14ac:dyDescent="0.35">
      <c r="A28" s="19"/>
      <c r="B28" s="11" t="s">
        <v>947</v>
      </c>
      <c r="C28" s="12">
        <v>902</v>
      </c>
      <c r="D28" s="12">
        <v>43</v>
      </c>
      <c r="E28" s="12">
        <v>45</v>
      </c>
      <c r="F28" s="12">
        <v>45</v>
      </c>
      <c r="G28" s="12">
        <v>62</v>
      </c>
      <c r="H28" s="12">
        <v>37</v>
      </c>
      <c r="I28" s="12">
        <v>48</v>
      </c>
      <c r="J28" s="12">
        <v>11</v>
      </c>
      <c r="K28" s="12">
        <v>24</v>
      </c>
      <c r="L28" s="12">
        <v>55</v>
      </c>
      <c r="M28" s="12">
        <v>20</v>
      </c>
      <c r="N28" s="12">
        <v>18</v>
      </c>
      <c r="O28" s="12">
        <v>23</v>
      </c>
      <c r="P28" s="12">
        <v>35</v>
      </c>
      <c r="Q28" s="12">
        <v>28</v>
      </c>
      <c r="R28" s="12">
        <v>3</v>
      </c>
      <c r="S28" s="12">
        <v>23</v>
      </c>
      <c r="T28" s="12">
        <v>26</v>
      </c>
      <c r="U28" s="12">
        <v>9</v>
      </c>
      <c r="V28" s="12">
        <v>29</v>
      </c>
      <c r="W28" s="12">
        <v>35</v>
      </c>
      <c r="X28" s="12">
        <v>66</v>
      </c>
      <c r="Y28" s="12">
        <v>41</v>
      </c>
      <c r="Z28" s="12">
        <v>58</v>
      </c>
      <c r="AA28" s="12">
        <v>18</v>
      </c>
      <c r="AB28" s="12">
        <v>51</v>
      </c>
      <c r="AC28" s="12">
        <v>31</v>
      </c>
      <c r="AD28" s="12">
        <v>37</v>
      </c>
      <c r="AE28" s="12">
        <v>44</v>
      </c>
      <c r="AF28" s="12">
        <v>74</v>
      </c>
    </row>
    <row r="29" spans="1:32" ht="31.5" x14ac:dyDescent="0.35">
      <c r="A29" s="19"/>
      <c r="B29" s="13" t="s">
        <v>948</v>
      </c>
      <c r="C29" s="15">
        <v>0.03</v>
      </c>
      <c r="D29" s="15">
        <v>0.04</v>
      </c>
      <c r="E29" s="15">
        <v>0.04</v>
      </c>
      <c r="F29" s="15">
        <v>0.04</v>
      </c>
      <c r="G29" s="15">
        <v>0.06</v>
      </c>
      <c r="H29" s="15">
        <v>0.03</v>
      </c>
      <c r="I29" s="15">
        <v>0.03</v>
      </c>
      <c r="J29" s="15">
        <v>0.04</v>
      </c>
      <c r="K29" s="15">
        <v>0.02</v>
      </c>
      <c r="L29" s="15">
        <v>0.06</v>
      </c>
      <c r="M29" s="15">
        <v>0.02</v>
      </c>
      <c r="N29" s="15">
        <v>0.02</v>
      </c>
      <c r="O29" s="15">
        <v>0.02</v>
      </c>
      <c r="P29" s="15">
        <v>0.03</v>
      </c>
      <c r="Q29" s="15">
        <v>0.03</v>
      </c>
      <c r="R29" s="15">
        <v>0.01</v>
      </c>
      <c r="S29" s="15">
        <v>0.02</v>
      </c>
      <c r="T29" s="15">
        <v>0.03</v>
      </c>
      <c r="U29" s="15">
        <v>0.02</v>
      </c>
      <c r="V29" s="15">
        <v>0.03</v>
      </c>
      <c r="W29" s="15">
        <v>7.0000000000000007E-2</v>
      </c>
      <c r="X29" s="15">
        <v>7.0000000000000007E-2</v>
      </c>
      <c r="Y29" s="15">
        <v>0.04</v>
      </c>
      <c r="Z29" s="15">
        <v>0.06</v>
      </c>
      <c r="AA29" s="15">
        <v>0.02</v>
      </c>
      <c r="AB29" s="15">
        <v>0.05</v>
      </c>
      <c r="AC29" s="15">
        <v>0.03</v>
      </c>
      <c r="AD29" s="15">
        <v>0.04</v>
      </c>
      <c r="AE29" s="15">
        <v>0.04</v>
      </c>
      <c r="AF29" s="15">
        <v>7.0000000000000007E-2</v>
      </c>
    </row>
    <row r="30" spans="1:32" ht="51.5" x14ac:dyDescent="0.35">
      <c r="A30" s="19"/>
      <c r="B30" s="11" t="s">
        <v>949</v>
      </c>
      <c r="C30" s="12">
        <v>2547</v>
      </c>
      <c r="D30" s="12">
        <v>73</v>
      </c>
      <c r="E30" s="12">
        <v>106</v>
      </c>
      <c r="F30" s="12">
        <v>109</v>
      </c>
      <c r="G30" s="12">
        <v>84</v>
      </c>
      <c r="H30" s="12">
        <v>143</v>
      </c>
      <c r="I30" s="12">
        <v>193</v>
      </c>
      <c r="J30" s="12">
        <v>51</v>
      </c>
      <c r="K30" s="12">
        <v>89</v>
      </c>
      <c r="L30" s="12">
        <v>147</v>
      </c>
      <c r="M30" s="12">
        <v>108</v>
      </c>
      <c r="N30" s="12">
        <v>87</v>
      </c>
      <c r="O30" s="12">
        <v>70</v>
      </c>
      <c r="P30" s="12">
        <v>96</v>
      </c>
      <c r="Q30" s="12">
        <v>70</v>
      </c>
      <c r="R30" s="12">
        <v>24</v>
      </c>
      <c r="S30" s="12">
        <v>84</v>
      </c>
      <c r="T30" s="12">
        <v>125</v>
      </c>
      <c r="U30" s="12">
        <v>40</v>
      </c>
      <c r="V30" s="12">
        <v>164</v>
      </c>
      <c r="W30" s="12">
        <v>47</v>
      </c>
      <c r="X30" s="12">
        <v>81</v>
      </c>
      <c r="Y30" s="12">
        <v>154</v>
      </c>
      <c r="Z30" s="12">
        <v>66</v>
      </c>
      <c r="AA30" s="12">
        <v>125</v>
      </c>
      <c r="AB30" s="12">
        <v>136</v>
      </c>
      <c r="AC30" s="12">
        <v>169</v>
      </c>
      <c r="AD30" s="12">
        <v>139</v>
      </c>
      <c r="AE30" s="12">
        <v>77</v>
      </c>
      <c r="AF30" s="12">
        <v>134</v>
      </c>
    </row>
    <row r="31" spans="1:32" ht="21.5" x14ac:dyDescent="0.35">
      <c r="A31" s="19"/>
      <c r="B31" s="13" t="s">
        <v>950</v>
      </c>
      <c r="C31" s="15">
        <v>0.1</v>
      </c>
      <c r="D31" s="15">
        <v>7.0000000000000007E-2</v>
      </c>
      <c r="E31" s="15">
        <v>0.1</v>
      </c>
      <c r="F31" s="15">
        <v>0.1</v>
      </c>
      <c r="G31" s="15">
        <v>0.08</v>
      </c>
      <c r="H31" s="15">
        <v>0.12</v>
      </c>
      <c r="I31" s="15">
        <v>0.13</v>
      </c>
      <c r="J31" s="15">
        <v>0.17</v>
      </c>
      <c r="K31" s="15">
        <v>0.09</v>
      </c>
      <c r="L31" s="15">
        <v>0.15</v>
      </c>
      <c r="M31" s="15">
        <v>0.11</v>
      </c>
      <c r="N31" s="15">
        <v>0.09</v>
      </c>
      <c r="O31" s="15">
        <v>7.0000000000000007E-2</v>
      </c>
      <c r="P31" s="15">
        <v>0.09</v>
      </c>
      <c r="Q31" s="15">
        <v>7.0000000000000007E-2</v>
      </c>
      <c r="R31" s="15">
        <v>0.05</v>
      </c>
      <c r="S31" s="15">
        <v>0.09</v>
      </c>
      <c r="T31" s="15">
        <v>0.13</v>
      </c>
      <c r="U31" s="15">
        <v>0.08</v>
      </c>
      <c r="V31" s="15">
        <v>0.16</v>
      </c>
      <c r="W31" s="15">
        <v>0.09</v>
      </c>
      <c r="X31" s="15">
        <v>0.08</v>
      </c>
      <c r="Y31" s="15">
        <v>0.15</v>
      </c>
      <c r="Z31" s="15">
        <v>0.06</v>
      </c>
      <c r="AA31" s="15">
        <v>0.12</v>
      </c>
      <c r="AB31" s="15">
        <v>0.13</v>
      </c>
      <c r="AC31" s="15">
        <v>0.17</v>
      </c>
      <c r="AD31" s="15">
        <v>0.14000000000000001</v>
      </c>
      <c r="AE31" s="15">
        <v>0.08</v>
      </c>
      <c r="AF31" s="15">
        <v>0.13</v>
      </c>
    </row>
    <row r="32" spans="1:32" ht="31.5" x14ac:dyDescent="0.35">
      <c r="A32" s="19"/>
      <c r="B32" s="11" t="s">
        <v>951</v>
      </c>
      <c r="C32" s="12">
        <v>1354</v>
      </c>
      <c r="D32" s="12">
        <v>69</v>
      </c>
      <c r="E32" s="12">
        <v>34</v>
      </c>
      <c r="F32" s="12">
        <v>31</v>
      </c>
      <c r="G32" s="12">
        <v>12</v>
      </c>
      <c r="H32" s="12">
        <v>53</v>
      </c>
      <c r="I32" s="12">
        <v>66</v>
      </c>
      <c r="J32" s="12">
        <v>13</v>
      </c>
      <c r="K32" s="12">
        <v>63</v>
      </c>
      <c r="L32" s="12">
        <v>41</v>
      </c>
      <c r="M32" s="12">
        <v>64</v>
      </c>
      <c r="N32" s="12">
        <v>87</v>
      </c>
      <c r="O32" s="12">
        <v>63</v>
      </c>
      <c r="P32" s="12">
        <v>53</v>
      </c>
      <c r="Q32" s="12">
        <v>37</v>
      </c>
      <c r="R32" s="12">
        <v>23</v>
      </c>
      <c r="S32" s="12">
        <v>60</v>
      </c>
      <c r="T32" s="12">
        <v>54</v>
      </c>
      <c r="U32" s="12">
        <v>23</v>
      </c>
      <c r="V32" s="12">
        <v>54</v>
      </c>
      <c r="W32" s="12">
        <v>31</v>
      </c>
      <c r="X32" s="12">
        <v>53</v>
      </c>
      <c r="Y32" s="12">
        <v>50</v>
      </c>
      <c r="Z32" s="12">
        <v>34</v>
      </c>
      <c r="AA32" s="12">
        <v>48</v>
      </c>
      <c r="AB32" s="12">
        <v>80</v>
      </c>
      <c r="AC32" s="12">
        <v>31</v>
      </c>
      <c r="AD32" s="12">
        <v>44</v>
      </c>
      <c r="AE32" s="12">
        <v>32</v>
      </c>
      <c r="AF32" s="12">
        <v>24</v>
      </c>
    </row>
    <row r="33" spans="1:32" ht="21.5" x14ac:dyDescent="0.35">
      <c r="A33" s="19"/>
      <c r="B33" s="13" t="s">
        <v>952</v>
      </c>
      <c r="C33" s="15">
        <v>0.05</v>
      </c>
      <c r="D33" s="15">
        <v>7.0000000000000007E-2</v>
      </c>
      <c r="E33" s="15">
        <v>0.03</v>
      </c>
      <c r="F33" s="15">
        <v>0.03</v>
      </c>
      <c r="G33" s="15">
        <v>0.01</v>
      </c>
      <c r="H33" s="15">
        <v>0.04</v>
      </c>
      <c r="I33" s="15">
        <v>0.04</v>
      </c>
      <c r="J33" s="15">
        <v>0.04</v>
      </c>
      <c r="K33" s="15">
        <v>0.06</v>
      </c>
      <c r="L33" s="15">
        <v>0.04</v>
      </c>
      <c r="M33" s="15">
        <v>0.06</v>
      </c>
      <c r="N33" s="15">
        <v>0.09</v>
      </c>
      <c r="O33" s="15">
        <v>0.06</v>
      </c>
      <c r="P33" s="15">
        <v>0.05</v>
      </c>
      <c r="Q33" s="15">
        <v>0.04</v>
      </c>
      <c r="R33" s="15">
        <v>0.05</v>
      </c>
      <c r="S33" s="15">
        <v>0.06</v>
      </c>
      <c r="T33" s="15">
        <v>0.05</v>
      </c>
      <c r="U33" s="15">
        <v>0.05</v>
      </c>
      <c r="V33" s="15">
        <v>0.05</v>
      </c>
      <c r="W33" s="15">
        <v>0.06</v>
      </c>
      <c r="X33" s="15">
        <v>0.05</v>
      </c>
      <c r="Y33" s="15">
        <v>0.05</v>
      </c>
      <c r="Z33" s="15">
        <v>0.03</v>
      </c>
      <c r="AA33" s="15">
        <v>0.05</v>
      </c>
      <c r="AB33" s="15">
        <v>0.08</v>
      </c>
      <c r="AC33" s="15">
        <v>0.03</v>
      </c>
      <c r="AD33" s="15">
        <v>0.04</v>
      </c>
      <c r="AE33" s="15">
        <v>0.03</v>
      </c>
      <c r="AF33" s="15">
        <v>0.02</v>
      </c>
    </row>
    <row r="34" spans="1:32" ht="21.5" x14ac:dyDescent="0.35">
      <c r="A34" s="19"/>
      <c r="B34" s="11" t="s">
        <v>953</v>
      </c>
      <c r="C34" s="12">
        <v>1552</v>
      </c>
      <c r="D34" s="12">
        <v>51</v>
      </c>
      <c r="E34" s="12">
        <v>16</v>
      </c>
      <c r="F34" s="12">
        <v>103</v>
      </c>
      <c r="G34" s="12">
        <v>16</v>
      </c>
      <c r="H34" s="12">
        <v>66</v>
      </c>
      <c r="I34" s="12">
        <v>74</v>
      </c>
      <c r="J34" s="12">
        <v>8</v>
      </c>
      <c r="K34" s="12">
        <v>61</v>
      </c>
      <c r="L34" s="12">
        <v>132</v>
      </c>
      <c r="M34" s="12">
        <v>32</v>
      </c>
      <c r="N34" s="12">
        <v>153</v>
      </c>
      <c r="O34" s="12">
        <v>46</v>
      </c>
      <c r="P34" s="12">
        <v>76</v>
      </c>
      <c r="Q34" s="12">
        <v>22</v>
      </c>
      <c r="R34" s="12">
        <v>45</v>
      </c>
      <c r="S34" s="12">
        <v>56</v>
      </c>
      <c r="T34" s="12">
        <v>59</v>
      </c>
      <c r="U34" s="12">
        <v>79</v>
      </c>
      <c r="V34" s="12">
        <v>57</v>
      </c>
      <c r="W34" s="12">
        <v>15</v>
      </c>
      <c r="X34" s="12">
        <v>92</v>
      </c>
      <c r="Y34" s="12">
        <v>34</v>
      </c>
      <c r="Z34" s="12">
        <v>50</v>
      </c>
      <c r="AA34" s="12">
        <v>63</v>
      </c>
      <c r="AB34" s="12">
        <v>65</v>
      </c>
      <c r="AC34" s="12">
        <v>70</v>
      </c>
      <c r="AD34" s="12">
        <v>42</v>
      </c>
      <c r="AE34" s="12">
        <v>19</v>
      </c>
      <c r="AF34" s="12">
        <v>21</v>
      </c>
    </row>
    <row r="35" spans="1:32" ht="21.5" x14ac:dyDescent="0.35">
      <c r="A35" s="19"/>
      <c r="B35" s="13" t="s">
        <v>954</v>
      </c>
      <c r="C35" s="15">
        <v>0.06</v>
      </c>
      <c r="D35" s="15">
        <v>0.05</v>
      </c>
      <c r="E35" s="15">
        <v>0.02</v>
      </c>
      <c r="F35" s="15">
        <v>0.09</v>
      </c>
      <c r="G35" s="15">
        <v>0.02</v>
      </c>
      <c r="H35" s="15">
        <v>0.05</v>
      </c>
      <c r="I35" s="15">
        <v>0.05</v>
      </c>
      <c r="J35" s="15">
        <v>0.03</v>
      </c>
      <c r="K35" s="15">
        <v>0.06</v>
      </c>
      <c r="L35" s="15">
        <v>0.13</v>
      </c>
      <c r="M35" s="15">
        <v>0.03</v>
      </c>
      <c r="N35" s="15">
        <v>0.15</v>
      </c>
      <c r="O35" s="15">
        <v>0.05</v>
      </c>
      <c r="P35" s="15">
        <v>0.08</v>
      </c>
      <c r="Q35" s="15">
        <v>0.02</v>
      </c>
      <c r="R35" s="15">
        <v>0.09</v>
      </c>
      <c r="S35" s="15">
        <v>0.06</v>
      </c>
      <c r="T35" s="15">
        <v>0.06</v>
      </c>
      <c r="U35" s="15">
        <v>0.16</v>
      </c>
      <c r="V35" s="15">
        <v>0.06</v>
      </c>
      <c r="W35" s="15">
        <v>0.03</v>
      </c>
      <c r="X35" s="15">
        <v>0.09</v>
      </c>
      <c r="Y35" s="15">
        <v>0.03</v>
      </c>
      <c r="Z35" s="15">
        <v>0.05</v>
      </c>
      <c r="AA35" s="15">
        <v>0.06</v>
      </c>
      <c r="AB35" s="15">
        <v>0.06</v>
      </c>
      <c r="AC35" s="15">
        <v>7.0000000000000007E-2</v>
      </c>
      <c r="AD35" s="15">
        <v>0.04</v>
      </c>
      <c r="AE35" s="15">
        <v>0.02</v>
      </c>
      <c r="AF35" s="15">
        <v>0.02</v>
      </c>
    </row>
    <row r="36" spans="1:32" x14ac:dyDescent="0.35">
      <c r="A36" s="19"/>
      <c r="B36" s="11" t="s">
        <v>955</v>
      </c>
      <c r="C36" s="12">
        <v>1941</v>
      </c>
      <c r="D36" s="12">
        <v>155</v>
      </c>
      <c r="E36" s="12">
        <v>67</v>
      </c>
      <c r="F36" s="12">
        <v>77</v>
      </c>
      <c r="G36" s="12">
        <v>49</v>
      </c>
      <c r="H36" s="12">
        <v>66</v>
      </c>
      <c r="I36" s="12">
        <v>86</v>
      </c>
      <c r="J36" s="12">
        <v>20</v>
      </c>
      <c r="K36" s="12">
        <v>23</v>
      </c>
      <c r="L36" s="12">
        <v>59</v>
      </c>
      <c r="M36" s="12">
        <v>77</v>
      </c>
      <c r="N36" s="12">
        <v>56</v>
      </c>
      <c r="O36" s="12">
        <v>89</v>
      </c>
      <c r="P36" s="12">
        <v>78</v>
      </c>
      <c r="Q36" s="12">
        <v>97</v>
      </c>
      <c r="R36" s="12">
        <v>47</v>
      </c>
      <c r="S36" s="12">
        <v>25</v>
      </c>
      <c r="T36" s="12">
        <v>43</v>
      </c>
      <c r="U36" s="12">
        <v>49</v>
      </c>
      <c r="V36" s="12">
        <v>55</v>
      </c>
      <c r="W36" s="12">
        <v>25</v>
      </c>
      <c r="X36" s="12">
        <v>69</v>
      </c>
      <c r="Y36" s="12">
        <v>43</v>
      </c>
      <c r="Z36" s="12">
        <v>94</v>
      </c>
      <c r="AA36" s="12">
        <v>70</v>
      </c>
      <c r="AB36" s="12">
        <v>48</v>
      </c>
      <c r="AC36" s="12">
        <v>78</v>
      </c>
      <c r="AD36" s="12">
        <v>30</v>
      </c>
      <c r="AE36" s="12">
        <v>50</v>
      </c>
      <c r="AF36" s="12">
        <v>116</v>
      </c>
    </row>
    <row r="37" spans="1:32" x14ac:dyDescent="0.35">
      <c r="A37" s="19"/>
      <c r="B37" s="13" t="s">
        <v>956</v>
      </c>
      <c r="C37" s="15">
        <v>7.0000000000000007E-2</v>
      </c>
      <c r="D37" s="15">
        <v>0.15</v>
      </c>
      <c r="E37" s="15">
        <v>7.0000000000000007E-2</v>
      </c>
      <c r="F37" s="15">
        <v>7.0000000000000007E-2</v>
      </c>
      <c r="G37" s="15">
        <v>0.05</v>
      </c>
      <c r="H37" s="15">
        <v>0.05</v>
      </c>
      <c r="I37" s="15">
        <v>0.06</v>
      </c>
      <c r="J37" s="15">
        <v>7.0000000000000007E-2</v>
      </c>
      <c r="K37" s="15">
        <v>0.02</v>
      </c>
      <c r="L37" s="15">
        <v>0.06</v>
      </c>
      <c r="M37" s="15">
        <v>0.08</v>
      </c>
      <c r="N37" s="15">
        <v>0.05</v>
      </c>
      <c r="O37" s="15">
        <v>0.09</v>
      </c>
      <c r="P37" s="15">
        <v>0.08</v>
      </c>
      <c r="Q37" s="15">
        <v>0.09</v>
      </c>
      <c r="R37" s="15">
        <v>0.09</v>
      </c>
      <c r="S37" s="15">
        <v>0.03</v>
      </c>
      <c r="T37" s="15">
        <v>0.04</v>
      </c>
      <c r="U37" s="15">
        <v>0.1</v>
      </c>
      <c r="V37" s="15">
        <v>0.05</v>
      </c>
      <c r="W37" s="15">
        <v>0.05</v>
      </c>
      <c r="X37" s="15">
        <v>7.0000000000000007E-2</v>
      </c>
      <c r="Y37" s="15">
        <v>0.04</v>
      </c>
      <c r="Z37" s="15">
        <v>0.09</v>
      </c>
      <c r="AA37" s="15">
        <v>7.0000000000000007E-2</v>
      </c>
      <c r="AB37" s="15">
        <v>0.05</v>
      </c>
      <c r="AC37" s="15">
        <v>0.08</v>
      </c>
      <c r="AD37" s="15">
        <v>0.03</v>
      </c>
      <c r="AE37" s="15">
        <v>0.05</v>
      </c>
      <c r="AF37" s="15">
        <v>0.11</v>
      </c>
    </row>
    <row r="38" spans="1:32" ht="31.5" x14ac:dyDescent="0.35">
      <c r="A38" s="19"/>
      <c r="B38" s="11" t="s">
        <v>957</v>
      </c>
      <c r="C38" s="12">
        <v>936</v>
      </c>
      <c r="D38" s="12">
        <v>31</v>
      </c>
      <c r="E38" s="12">
        <v>18</v>
      </c>
      <c r="F38" s="12">
        <v>43</v>
      </c>
      <c r="G38" s="12">
        <v>24</v>
      </c>
      <c r="H38" s="12">
        <v>76</v>
      </c>
      <c r="I38" s="12">
        <v>85</v>
      </c>
      <c r="J38" s="12">
        <v>10</v>
      </c>
      <c r="K38" s="12">
        <v>26</v>
      </c>
      <c r="L38" s="12">
        <v>10</v>
      </c>
      <c r="M38" s="12">
        <v>12</v>
      </c>
      <c r="N38" s="12">
        <v>25</v>
      </c>
      <c r="O38" s="12">
        <v>36</v>
      </c>
      <c r="P38" s="12">
        <v>38</v>
      </c>
      <c r="Q38" s="12">
        <v>33</v>
      </c>
      <c r="R38" s="12">
        <v>2</v>
      </c>
      <c r="S38" s="12">
        <v>31</v>
      </c>
      <c r="T38" s="12">
        <v>7</v>
      </c>
      <c r="U38" s="12">
        <v>12</v>
      </c>
      <c r="V38" s="12">
        <v>16</v>
      </c>
      <c r="W38" s="12">
        <v>13</v>
      </c>
      <c r="X38" s="12">
        <v>16</v>
      </c>
      <c r="Y38" s="12">
        <v>37</v>
      </c>
      <c r="Z38" s="12">
        <v>46</v>
      </c>
      <c r="AA38" s="12">
        <v>38</v>
      </c>
      <c r="AB38" s="12">
        <v>36</v>
      </c>
      <c r="AC38" s="12">
        <v>53</v>
      </c>
      <c r="AD38" s="12">
        <v>47</v>
      </c>
      <c r="AE38" s="12">
        <v>26</v>
      </c>
      <c r="AF38" s="12">
        <v>14</v>
      </c>
    </row>
    <row r="39" spans="1:32" ht="21.5" x14ac:dyDescent="0.35">
      <c r="A39" s="19"/>
      <c r="B39" s="13" t="s">
        <v>958</v>
      </c>
      <c r="C39" s="15">
        <v>0.03</v>
      </c>
      <c r="D39" s="15">
        <v>0.03</v>
      </c>
      <c r="E39" s="15">
        <v>0.02</v>
      </c>
      <c r="F39" s="15">
        <v>0.04</v>
      </c>
      <c r="G39" s="15">
        <v>0.02</v>
      </c>
      <c r="H39" s="15">
        <v>0.06</v>
      </c>
      <c r="I39" s="15">
        <v>0.06</v>
      </c>
      <c r="J39" s="15">
        <v>0.03</v>
      </c>
      <c r="K39" s="15">
        <v>0.03</v>
      </c>
      <c r="L39" s="15">
        <v>0.01</v>
      </c>
      <c r="M39" s="15">
        <v>0.01</v>
      </c>
      <c r="N39" s="15">
        <v>0.02</v>
      </c>
      <c r="O39" s="15">
        <v>0.04</v>
      </c>
      <c r="P39" s="15">
        <v>0.04</v>
      </c>
      <c r="Q39" s="15">
        <v>0.03</v>
      </c>
      <c r="R39" s="15">
        <v>0.01</v>
      </c>
      <c r="S39" s="15">
        <v>0.03</v>
      </c>
      <c r="T39" s="15">
        <v>0.01</v>
      </c>
      <c r="U39" s="15">
        <v>0.02</v>
      </c>
      <c r="V39" s="15">
        <v>0.02</v>
      </c>
      <c r="W39" s="15">
        <v>0.02</v>
      </c>
      <c r="X39" s="15">
        <v>0.02</v>
      </c>
      <c r="Y39" s="15">
        <v>0.04</v>
      </c>
      <c r="Z39" s="15">
        <v>0.04</v>
      </c>
      <c r="AA39" s="15">
        <v>0.04</v>
      </c>
      <c r="AB39" s="15">
        <v>0.03</v>
      </c>
      <c r="AC39" s="15">
        <v>0.05</v>
      </c>
      <c r="AD39" s="15">
        <v>0.05</v>
      </c>
      <c r="AE39" s="15">
        <v>0.03</v>
      </c>
      <c r="AF39" s="15">
        <v>0.01</v>
      </c>
    </row>
    <row r="40" spans="1:32" x14ac:dyDescent="0.35">
      <c r="A40" s="19"/>
      <c r="B40" s="11" t="s">
        <v>611</v>
      </c>
      <c r="C40" s="12">
        <v>150</v>
      </c>
      <c r="D40" s="12">
        <v>1</v>
      </c>
      <c r="E40" s="12">
        <v>4</v>
      </c>
      <c r="F40" s="12">
        <v>2</v>
      </c>
      <c r="G40" s="12">
        <v>2</v>
      </c>
      <c r="H40" s="12">
        <v>11</v>
      </c>
      <c r="I40" s="12">
        <v>11</v>
      </c>
      <c r="J40" s="12">
        <v>0</v>
      </c>
      <c r="K40" s="12">
        <v>12</v>
      </c>
      <c r="L40" s="12">
        <v>0</v>
      </c>
      <c r="M40" s="12">
        <v>8</v>
      </c>
      <c r="N40" s="12">
        <v>6</v>
      </c>
      <c r="O40" s="12">
        <v>12</v>
      </c>
      <c r="P40" s="12">
        <v>0</v>
      </c>
      <c r="Q40" s="12">
        <v>6</v>
      </c>
      <c r="R40" s="12">
        <v>2</v>
      </c>
      <c r="S40" s="12">
        <v>1</v>
      </c>
      <c r="T40" s="12">
        <v>4</v>
      </c>
      <c r="U40" s="12">
        <v>2</v>
      </c>
      <c r="V40" s="12">
        <v>0</v>
      </c>
      <c r="W40" s="12">
        <v>0</v>
      </c>
      <c r="X40" s="12">
        <v>6</v>
      </c>
      <c r="Y40" s="12">
        <v>10</v>
      </c>
      <c r="Z40" s="12">
        <v>1</v>
      </c>
      <c r="AA40" s="12">
        <v>5</v>
      </c>
      <c r="AB40" s="12">
        <v>2</v>
      </c>
      <c r="AC40" s="12">
        <v>1</v>
      </c>
      <c r="AD40" s="12">
        <v>2</v>
      </c>
      <c r="AE40" s="12">
        <v>2</v>
      </c>
      <c r="AF40" s="12">
        <v>3</v>
      </c>
    </row>
    <row r="41" spans="1:32" x14ac:dyDescent="0.35">
      <c r="A41" s="19"/>
      <c r="B41" s="13" t="s">
        <v>612</v>
      </c>
      <c r="C41" s="15">
        <v>0.01</v>
      </c>
      <c r="D41" s="14" t="s">
        <v>475</v>
      </c>
      <c r="E41" s="15">
        <v>0.01</v>
      </c>
      <c r="F41" s="14" t="s">
        <v>475</v>
      </c>
      <c r="G41" s="14" t="s">
        <v>475</v>
      </c>
      <c r="H41" s="15">
        <v>0.01</v>
      </c>
      <c r="I41" s="15">
        <v>0.01</v>
      </c>
      <c r="J41" s="14" t="s">
        <v>475</v>
      </c>
      <c r="K41" s="15">
        <v>0.01</v>
      </c>
      <c r="L41" s="14" t="s">
        <v>475</v>
      </c>
      <c r="M41" s="15">
        <v>0.01</v>
      </c>
      <c r="N41" s="14" t="s">
        <v>475</v>
      </c>
      <c r="O41" s="15">
        <v>0.01</v>
      </c>
      <c r="P41" s="14" t="s">
        <v>475</v>
      </c>
      <c r="Q41" s="14" t="s">
        <v>475</v>
      </c>
      <c r="R41" s="14" t="s">
        <v>475</v>
      </c>
      <c r="S41" s="14" t="s">
        <v>475</v>
      </c>
      <c r="T41" s="14" t="s">
        <v>475</v>
      </c>
      <c r="U41" s="14" t="s">
        <v>475</v>
      </c>
      <c r="V41" s="14" t="s">
        <v>475</v>
      </c>
      <c r="W41" s="14" t="s">
        <v>475</v>
      </c>
      <c r="X41" s="14" t="s">
        <v>475</v>
      </c>
      <c r="Y41" s="15">
        <v>0.01</v>
      </c>
      <c r="Z41" s="14" t="s">
        <v>475</v>
      </c>
      <c r="AA41" s="14" t="s">
        <v>475</v>
      </c>
      <c r="AB41" s="14" t="s">
        <v>475</v>
      </c>
      <c r="AC41" s="14" t="s">
        <v>475</v>
      </c>
      <c r="AD41" s="14" t="s">
        <v>475</v>
      </c>
      <c r="AE41" s="14" t="s">
        <v>475</v>
      </c>
      <c r="AF41" s="14" t="s">
        <v>475</v>
      </c>
    </row>
    <row r="42" spans="1:32" x14ac:dyDescent="0.35">
      <c r="A42" s="19"/>
      <c r="B42" s="11" t="s">
        <v>613</v>
      </c>
      <c r="C42" s="12">
        <v>411</v>
      </c>
      <c r="D42" s="12">
        <v>8</v>
      </c>
      <c r="E42" s="12">
        <v>49</v>
      </c>
      <c r="F42" s="12">
        <v>22</v>
      </c>
      <c r="G42" s="12">
        <v>11</v>
      </c>
      <c r="H42" s="12">
        <v>39</v>
      </c>
      <c r="I42" s="12">
        <v>42</v>
      </c>
      <c r="J42" s="12">
        <v>3</v>
      </c>
      <c r="K42" s="12">
        <v>14</v>
      </c>
      <c r="L42" s="12">
        <v>7</v>
      </c>
      <c r="M42" s="12">
        <v>7</v>
      </c>
      <c r="N42" s="12">
        <v>11</v>
      </c>
      <c r="O42" s="12">
        <v>18</v>
      </c>
      <c r="P42" s="12">
        <v>17</v>
      </c>
      <c r="Q42" s="12">
        <v>8</v>
      </c>
      <c r="R42" s="12">
        <v>0</v>
      </c>
      <c r="S42" s="12">
        <v>12</v>
      </c>
      <c r="T42" s="12">
        <v>13</v>
      </c>
      <c r="U42" s="12">
        <v>2</v>
      </c>
      <c r="V42" s="12">
        <v>31</v>
      </c>
      <c r="W42" s="12">
        <v>0</v>
      </c>
      <c r="X42" s="12">
        <v>28</v>
      </c>
      <c r="Y42" s="12">
        <v>7</v>
      </c>
      <c r="Z42" s="12">
        <v>6</v>
      </c>
      <c r="AA42" s="12">
        <v>5</v>
      </c>
      <c r="AB42" s="12">
        <v>7</v>
      </c>
      <c r="AC42" s="12">
        <v>11</v>
      </c>
      <c r="AD42" s="12">
        <v>3</v>
      </c>
      <c r="AE42" s="12">
        <v>12</v>
      </c>
      <c r="AF42" s="12">
        <v>9</v>
      </c>
    </row>
    <row r="43" spans="1:32" x14ac:dyDescent="0.35">
      <c r="A43" s="19"/>
      <c r="B43" s="13" t="s">
        <v>614</v>
      </c>
      <c r="C43" s="15">
        <v>0.02</v>
      </c>
      <c r="D43" s="15">
        <v>0.01</v>
      </c>
      <c r="E43" s="15">
        <v>0.05</v>
      </c>
      <c r="F43" s="15">
        <v>0.02</v>
      </c>
      <c r="G43" s="15">
        <v>0.01</v>
      </c>
      <c r="H43" s="15">
        <v>0.03</v>
      </c>
      <c r="I43" s="15">
        <v>0.03</v>
      </c>
      <c r="J43" s="15">
        <v>0.01</v>
      </c>
      <c r="K43" s="15">
        <v>0.01</v>
      </c>
      <c r="L43" s="15">
        <v>0.01</v>
      </c>
      <c r="M43" s="15">
        <v>0.01</v>
      </c>
      <c r="N43" s="15">
        <v>0.01</v>
      </c>
      <c r="O43" s="15">
        <v>0.02</v>
      </c>
      <c r="P43" s="15">
        <v>0.02</v>
      </c>
      <c r="Q43" s="15">
        <v>0.01</v>
      </c>
      <c r="R43" s="14" t="s">
        <v>475</v>
      </c>
      <c r="S43" s="15">
        <v>0.01</v>
      </c>
      <c r="T43" s="15">
        <v>0.01</v>
      </c>
      <c r="U43" s="14" t="s">
        <v>475</v>
      </c>
      <c r="V43" s="15">
        <v>0.03</v>
      </c>
      <c r="W43" s="14" t="s">
        <v>475</v>
      </c>
      <c r="X43" s="15">
        <v>0.03</v>
      </c>
      <c r="Y43" s="15">
        <v>0.01</v>
      </c>
      <c r="Z43" s="15">
        <v>0.01</v>
      </c>
      <c r="AA43" s="14" t="s">
        <v>475</v>
      </c>
      <c r="AB43" s="15">
        <v>0.01</v>
      </c>
      <c r="AC43" s="15">
        <v>0.01</v>
      </c>
      <c r="AD43" s="14" t="s">
        <v>475</v>
      </c>
      <c r="AE43" s="15">
        <v>0.01</v>
      </c>
      <c r="AF43" s="15">
        <v>0.01</v>
      </c>
    </row>
    <row r="44" spans="1:32" x14ac:dyDescent="0.35">
      <c r="A44" s="19"/>
      <c r="B44" s="11" t="s">
        <v>485</v>
      </c>
      <c r="C44" s="12">
        <v>598</v>
      </c>
      <c r="D44" s="12">
        <v>4</v>
      </c>
      <c r="E44" s="12">
        <v>34</v>
      </c>
      <c r="F44" s="12">
        <v>51</v>
      </c>
      <c r="G44" s="12">
        <v>17</v>
      </c>
      <c r="H44" s="12">
        <v>53</v>
      </c>
      <c r="I44" s="12">
        <v>53</v>
      </c>
      <c r="J44" s="12">
        <v>0</v>
      </c>
      <c r="K44" s="12">
        <v>31</v>
      </c>
      <c r="L44" s="12">
        <v>4</v>
      </c>
      <c r="M44" s="12">
        <v>5</v>
      </c>
      <c r="N44" s="12">
        <v>26</v>
      </c>
      <c r="O44" s="12">
        <v>27</v>
      </c>
      <c r="P44" s="12">
        <v>13</v>
      </c>
      <c r="Q44" s="12">
        <v>29</v>
      </c>
      <c r="R44" s="12">
        <v>26</v>
      </c>
      <c r="S44" s="12">
        <v>22</v>
      </c>
      <c r="T44" s="12">
        <v>12</v>
      </c>
      <c r="U44" s="12">
        <v>6</v>
      </c>
      <c r="V44" s="12">
        <v>13</v>
      </c>
      <c r="W44" s="12">
        <v>4</v>
      </c>
      <c r="X44" s="12">
        <v>5</v>
      </c>
      <c r="Y44" s="12">
        <v>16</v>
      </c>
      <c r="Z44" s="12">
        <v>5</v>
      </c>
      <c r="AA44" s="12">
        <v>25</v>
      </c>
      <c r="AB44" s="12">
        <v>17</v>
      </c>
      <c r="AC44" s="12">
        <v>4</v>
      </c>
      <c r="AD44" s="12">
        <v>6</v>
      </c>
      <c r="AE44" s="12">
        <v>13</v>
      </c>
      <c r="AF44" s="12">
        <v>6</v>
      </c>
    </row>
    <row r="45" spans="1:32" x14ac:dyDescent="0.35">
      <c r="A45" s="19"/>
      <c r="B45" s="13" t="s">
        <v>486</v>
      </c>
      <c r="C45" s="15">
        <v>0.02</v>
      </c>
      <c r="D45" s="14" t="s">
        <v>475</v>
      </c>
      <c r="E45" s="15">
        <v>0.03</v>
      </c>
      <c r="F45" s="15">
        <v>0.05</v>
      </c>
      <c r="G45" s="15">
        <v>0.02</v>
      </c>
      <c r="H45" s="15">
        <v>0.04</v>
      </c>
      <c r="I45" s="15">
        <v>0.04</v>
      </c>
      <c r="J45" s="14" t="s">
        <v>475</v>
      </c>
      <c r="K45" s="15">
        <v>0.03</v>
      </c>
      <c r="L45" s="14" t="s">
        <v>475</v>
      </c>
      <c r="M45" s="14" t="s">
        <v>475</v>
      </c>
      <c r="N45" s="15">
        <v>0.03</v>
      </c>
      <c r="O45" s="15">
        <v>0.03</v>
      </c>
      <c r="P45" s="15">
        <v>0.01</v>
      </c>
      <c r="Q45" s="15">
        <v>0.03</v>
      </c>
      <c r="R45" s="15">
        <v>0.05</v>
      </c>
      <c r="S45" s="15">
        <v>0.02</v>
      </c>
      <c r="T45" s="15">
        <v>0.01</v>
      </c>
      <c r="U45" s="15">
        <v>0.01</v>
      </c>
      <c r="V45" s="15">
        <v>0.01</v>
      </c>
      <c r="W45" s="15">
        <v>0.01</v>
      </c>
      <c r="X45" s="14" t="s">
        <v>475</v>
      </c>
      <c r="Y45" s="15">
        <v>0.02</v>
      </c>
      <c r="Z45" s="15">
        <v>0.01</v>
      </c>
      <c r="AA45" s="15">
        <v>0.02</v>
      </c>
      <c r="AB45" s="15">
        <v>0.02</v>
      </c>
      <c r="AC45" s="14" t="s">
        <v>475</v>
      </c>
      <c r="AD45" s="14" t="s">
        <v>475</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4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183</v>
      </c>
      <c r="C3" s="18"/>
      <c r="D3" s="18"/>
      <c r="E3" s="18"/>
      <c r="F3" s="18"/>
      <c r="H3" s="18" t="s">
        <v>184</v>
      </c>
      <c r="I3" s="18"/>
      <c r="J3" s="18"/>
      <c r="K3" s="18"/>
      <c r="L3" s="18"/>
    </row>
    <row r="4" spans="1:32" ht="27" customHeight="1" x14ac:dyDescent="0.35">
      <c r="B4" s="18"/>
      <c r="C4" s="18"/>
      <c r="D4" s="18"/>
      <c r="E4" s="18"/>
      <c r="F4" s="18"/>
      <c r="H4" s="18"/>
      <c r="I4" s="18"/>
      <c r="J4" s="18"/>
      <c r="K4" s="18"/>
      <c r="L4" s="18"/>
    </row>
    <row r="5" spans="1:32" ht="24" customHeight="1" x14ac:dyDescent="0.35">
      <c r="B5" s="18" t="s">
        <v>959</v>
      </c>
      <c r="C5" s="18"/>
      <c r="D5" s="18"/>
      <c r="E5" s="18"/>
      <c r="F5" s="18"/>
      <c r="H5" s="18" t="s">
        <v>960</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25436</v>
      </c>
      <c r="D10" s="10">
        <v>1001</v>
      </c>
      <c r="E10" s="10">
        <v>947</v>
      </c>
      <c r="F10" s="10">
        <v>1029</v>
      </c>
      <c r="G10" s="10">
        <v>978</v>
      </c>
      <c r="H10" s="10">
        <v>1129</v>
      </c>
      <c r="I10" s="10">
        <v>1421</v>
      </c>
      <c r="J10" s="10">
        <v>292</v>
      </c>
      <c r="K10" s="10">
        <v>957</v>
      </c>
      <c r="L10" s="10">
        <v>991</v>
      </c>
      <c r="M10" s="10">
        <v>999</v>
      </c>
      <c r="N10" s="10">
        <v>966</v>
      </c>
      <c r="O10" s="10">
        <v>956</v>
      </c>
      <c r="P10" s="10">
        <v>975</v>
      </c>
      <c r="Q10" s="10">
        <v>989</v>
      </c>
      <c r="R10" s="10">
        <v>478</v>
      </c>
      <c r="S10" s="10">
        <v>968</v>
      </c>
      <c r="T10" s="10">
        <v>981</v>
      </c>
      <c r="U10" s="10">
        <v>496</v>
      </c>
      <c r="V10" s="10">
        <v>971</v>
      </c>
      <c r="W10" s="10">
        <v>503</v>
      </c>
      <c r="X10" s="10">
        <v>976</v>
      </c>
      <c r="Y10" s="10">
        <v>979</v>
      </c>
      <c r="Z10" s="10">
        <v>1020</v>
      </c>
      <c r="AA10" s="10">
        <v>1003</v>
      </c>
      <c r="AB10" s="10">
        <v>1026</v>
      </c>
      <c r="AC10" s="10">
        <v>989</v>
      </c>
      <c r="AD10" s="10">
        <v>996</v>
      </c>
      <c r="AE10" s="10">
        <v>987</v>
      </c>
      <c r="AF10" s="10">
        <v>1029</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19"/>
      <c r="B12" s="11" t="s">
        <v>961</v>
      </c>
      <c r="C12" s="12">
        <v>2847</v>
      </c>
      <c r="D12" s="12">
        <v>90</v>
      </c>
      <c r="E12" s="12">
        <v>101</v>
      </c>
      <c r="F12" s="12">
        <v>122</v>
      </c>
      <c r="G12" s="12">
        <v>213</v>
      </c>
      <c r="H12" s="12">
        <v>122</v>
      </c>
      <c r="I12" s="12">
        <v>155</v>
      </c>
      <c r="J12" s="12">
        <v>33</v>
      </c>
      <c r="K12" s="12">
        <v>64</v>
      </c>
      <c r="L12" s="12">
        <v>115</v>
      </c>
      <c r="M12" s="12">
        <v>148</v>
      </c>
      <c r="N12" s="12">
        <v>53</v>
      </c>
      <c r="O12" s="12">
        <v>82</v>
      </c>
      <c r="P12" s="12">
        <v>139</v>
      </c>
      <c r="Q12" s="12">
        <v>139</v>
      </c>
      <c r="R12" s="12">
        <v>43</v>
      </c>
      <c r="S12" s="12">
        <v>32</v>
      </c>
      <c r="T12" s="12">
        <v>81</v>
      </c>
      <c r="U12" s="12">
        <v>45</v>
      </c>
      <c r="V12" s="12">
        <v>156</v>
      </c>
      <c r="W12" s="12">
        <v>77</v>
      </c>
      <c r="X12" s="12">
        <v>183</v>
      </c>
      <c r="Y12" s="12">
        <v>148</v>
      </c>
      <c r="Z12" s="12">
        <v>94</v>
      </c>
      <c r="AA12" s="12">
        <v>47</v>
      </c>
      <c r="AB12" s="12">
        <v>145</v>
      </c>
      <c r="AC12" s="12">
        <v>126</v>
      </c>
      <c r="AD12" s="12">
        <v>106</v>
      </c>
      <c r="AE12" s="12">
        <v>117</v>
      </c>
      <c r="AF12" s="12">
        <v>222</v>
      </c>
    </row>
    <row r="13" spans="1:32" ht="31.5" x14ac:dyDescent="0.35">
      <c r="A13" s="19"/>
      <c r="B13" s="13" t="s">
        <v>962</v>
      </c>
      <c r="C13" s="15">
        <v>0.12</v>
      </c>
      <c r="D13" s="15">
        <v>0.1</v>
      </c>
      <c r="E13" s="15">
        <v>0.11</v>
      </c>
      <c r="F13" s="15">
        <v>0.12</v>
      </c>
      <c r="G13" s="15">
        <v>0.24</v>
      </c>
      <c r="H13" s="15">
        <v>0.11</v>
      </c>
      <c r="I13" s="15">
        <v>0.11</v>
      </c>
      <c r="J13" s="15">
        <v>0.12</v>
      </c>
      <c r="K13" s="15">
        <v>7.0000000000000007E-2</v>
      </c>
      <c r="L13" s="15">
        <v>0.12</v>
      </c>
      <c r="M13" s="15">
        <v>0.15</v>
      </c>
      <c r="N13" s="15">
        <v>0.06</v>
      </c>
      <c r="O13" s="15">
        <v>0.09</v>
      </c>
      <c r="P13" s="15">
        <v>0.15</v>
      </c>
      <c r="Q13" s="15">
        <v>0.15</v>
      </c>
      <c r="R13" s="15">
        <v>0.1</v>
      </c>
      <c r="S13" s="15">
        <v>0.03</v>
      </c>
      <c r="T13" s="15">
        <v>0.08</v>
      </c>
      <c r="U13" s="15">
        <v>0.09</v>
      </c>
      <c r="V13" s="15">
        <v>0.17</v>
      </c>
      <c r="W13" s="15">
        <v>0.17</v>
      </c>
      <c r="X13" s="15">
        <v>0.2</v>
      </c>
      <c r="Y13" s="15">
        <v>0.16</v>
      </c>
      <c r="Z13" s="15">
        <v>0.1</v>
      </c>
      <c r="AA13" s="15">
        <v>0.05</v>
      </c>
      <c r="AB13" s="15">
        <v>0.15</v>
      </c>
      <c r="AC13" s="15">
        <v>0.13</v>
      </c>
      <c r="AD13" s="15">
        <v>0.11</v>
      </c>
      <c r="AE13" s="15">
        <v>0.12</v>
      </c>
      <c r="AF13" s="15">
        <v>0.24</v>
      </c>
    </row>
    <row r="14" spans="1:32" ht="31.5" x14ac:dyDescent="0.35">
      <c r="A14" s="19"/>
      <c r="B14" s="11" t="s">
        <v>933</v>
      </c>
      <c r="C14" s="12">
        <v>1902</v>
      </c>
      <c r="D14" s="12">
        <v>58</v>
      </c>
      <c r="E14" s="12">
        <v>74</v>
      </c>
      <c r="F14" s="12">
        <v>87</v>
      </c>
      <c r="G14" s="12">
        <v>75</v>
      </c>
      <c r="H14" s="12">
        <v>50</v>
      </c>
      <c r="I14" s="12">
        <v>75</v>
      </c>
      <c r="J14" s="12">
        <v>24</v>
      </c>
      <c r="K14" s="12">
        <v>70</v>
      </c>
      <c r="L14" s="12">
        <v>55</v>
      </c>
      <c r="M14" s="12">
        <v>152</v>
      </c>
      <c r="N14" s="12">
        <v>70</v>
      </c>
      <c r="O14" s="12">
        <v>61</v>
      </c>
      <c r="P14" s="12">
        <v>108</v>
      </c>
      <c r="Q14" s="12">
        <v>96</v>
      </c>
      <c r="R14" s="12">
        <v>21</v>
      </c>
      <c r="S14" s="12">
        <v>68</v>
      </c>
      <c r="T14" s="12">
        <v>58</v>
      </c>
      <c r="U14" s="12">
        <v>20</v>
      </c>
      <c r="V14" s="12">
        <v>95</v>
      </c>
      <c r="W14" s="12">
        <v>49</v>
      </c>
      <c r="X14" s="12">
        <v>26</v>
      </c>
      <c r="Y14" s="12">
        <v>108</v>
      </c>
      <c r="Z14" s="12">
        <v>87</v>
      </c>
      <c r="AA14" s="12">
        <v>65</v>
      </c>
      <c r="AB14" s="12">
        <v>120</v>
      </c>
      <c r="AC14" s="12">
        <v>84</v>
      </c>
      <c r="AD14" s="12">
        <v>102</v>
      </c>
      <c r="AE14" s="12">
        <v>57</v>
      </c>
      <c r="AF14" s="12">
        <v>52</v>
      </c>
    </row>
    <row r="15" spans="1:32" ht="31.5" x14ac:dyDescent="0.35">
      <c r="A15" s="19"/>
      <c r="B15" s="13" t="s">
        <v>934</v>
      </c>
      <c r="C15" s="15">
        <v>0.08</v>
      </c>
      <c r="D15" s="15">
        <v>0.06</v>
      </c>
      <c r="E15" s="15">
        <v>0.08</v>
      </c>
      <c r="F15" s="15">
        <v>0.09</v>
      </c>
      <c r="G15" s="15">
        <v>0.08</v>
      </c>
      <c r="H15" s="15">
        <v>0.05</v>
      </c>
      <c r="I15" s="15">
        <v>0.05</v>
      </c>
      <c r="J15" s="15">
        <v>0.08</v>
      </c>
      <c r="K15" s="15">
        <v>0.08</v>
      </c>
      <c r="L15" s="15">
        <v>0.06</v>
      </c>
      <c r="M15" s="15">
        <v>0.16</v>
      </c>
      <c r="N15" s="15">
        <v>7.0000000000000007E-2</v>
      </c>
      <c r="O15" s="15">
        <v>7.0000000000000007E-2</v>
      </c>
      <c r="P15" s="15">
        <v>0.12</v>
      </c>
      <c r="Q15" s="15">
        <v>0.1</v>
      </c>
      <c r="R15" s="15">
        <v>0.05</v>
      </c>
      <c r="S15" s="15">
        <v>7.0000000000000007E-2</v>
      </c>
      <c r="T15" s="15">
        <v>0.06</v>
      </c>
      <c r="U15" s="15">
        <v>0.04</v>
      </c>
      <c r="V15" s="15">
        <v>0.1</v>
      </c>
      <c r="W15" s="15">
        <v>0.1</v>
      </c>
      <c r="X15" s="15">
        <v>0.03</v>
      </c>
      <c r="Y15" s="15">
        <v>0.11</v>
      </c>
      <c r="Z15" s="15">
        <v>0.09</v>
      </c>
      <c r="AA15" s="15">
        <v>7.0000000000000007E-2</v>
      </c>
      <c r="AB15" s="15">
        <v>0.13</v>
      </c>
      <c r="AC15" s="15">
        <v>0.09</v>
      </c>
      <c r="AD15" s="15">
        <v>0.11</v>
      </c>
      <c r="AE15" s="15">
        <v>0.06</v>
      </c>
      <c r="AF15" s="15">
        <v>0.05</v>
      </c>
    </row>
    <row r="16" spans="1:32" ht="21.5" x14ac:dyDescent="0.35">
      <c r="A16" s="19"/>
      <c r="B16" s="11" t="s">
        <v>935</v>
      </c>
      <c r="C16" s="12">
        <v>2358</v>
      </c>
      <c r="D16" s="12">
        <v>82</v>
      </c>
      <c r="E16" s="12">
        <v>196</v>
      </c>
      <c r="F16" s="12">
        <v>126</v>
      </c>
      <c r="G16" s="12">
        <v>135</v>
      </c>
      <c r="H16" s="12">
        <v>59</v>
      </c>
      <c r="I16" s="12">
        <v>86</v>
      </c>
      <c r="J16" s="12">
        <v>27</v>
      </c>
      <c r="K16" s="12">
        <v>118</v>
      </c>
      <c r="L16" s="12">
        <v>57</v>
      </c>
      <c r="M16" s="12">
        <v>103</v>
      </c>
      <c r="N16" s="12">
        <v>87</v>
      </c>
      <c r="O16" s="12">
        <v>66</v>
      </c>
      <c r="P16" s="12">
        <v>119</v>
      </c>
      <c r="Q16" s="12">
        <v>108</v>
      </c>
      <c r="R16" s="12">
        <v>26</v>
      </c>
      <c r="S16" s="12">
        <v>105</v>
      </c>
      <c r="T16" s="12">
        <v>148</v>
      </c>
      <c r="U16" s="12">
        <v>42</v>
      </c>
      <c r="V16" s="12">
        <v>107</v>
      </c>
      <c r="W16" s="12">
        <v>24</v>
      </c>
      <c r="X16" s="12">
        <v>55</v>
      </c>
      <c r="Y16" s="12">
        <v>84</v>
      </c>
      <c r="Z16" s="12">
        <v>107</v>
      </c>
      <c r="AA16" s="12">
        <v>138</v>
      </c>
      <c r="AB16" s="12">
        <v>144</v>
      </c>
      <c r="AC16" s="12">
        <v>90</v>
      </c>
      <c r="AD16" s="12">
        <v>233</v>
      </c>
      <c r="AE16" s="12">
        <v>120</v>
      </c>
      <c r="AF16" s="12">
        <v>64</v>
      </c>
    </row>
    <row r="17" spans="1:32" ht="21.5" x14ac:dyDescent="0.35">
      <c r="A17" s="19"/>
      <c r="B17" s="13" t="s">
        <v>936</v>
      </c>
      <c r="C17" s="15">
        <v>0.1</v>
      </c>
      <c r="D17" s="15">
        <v>0.09</v>
      </c>
      <c r="E17" s="15">
        <v>0.23</v>
      </c>
      <c r="F17" s="15">
        <v>0.13</v>
      </c>
      <c r="G17" s="15">
        <v>0.14000000000000001</v>
      </c>
      <c r="H17" s="15">
        <v>0.05</v>
      </c>
      <c r="I17" s="15">
        <v>0.06</v>
      </c>
      <c r="J17" s="15">
        <v>0.1</v>
      </c>
      <c r="K17" s="15">
        <v>0.13</v>
      </c>
      <c r="L17" s="15">
        <v>0.06</v>
      </c>
      <c r="M17" s="15">
        <v>0.11</v>
      </c>
      <c r="N17" s="15">
        <v>0.09</v>
      </c>
      <c r="O17" s="15">
        <v>7.0000000000000007E-2</v>
      </c>
      <c r="P17" s="15">
        <v>0.13</v>
      </c>
      <c r="Q17" s="15">
        <v>0.11</v>
      </c>
      <c r="R17" s="15">
        <v>0.06</v>
      </c>
      <c r="S17" s="15">
        <v>0.12</v>
      </c>
      <c r="T17" s="15">
        <v>0.16</v>
      </c>
      <c r="U17" s="15">
        <v>0.09</v>
      </c>
      <c r="V17" s="15">
        <v>0.12</v>
      </c>
      <c r="W17" s="15">
        <v>0.05</v>
      </c>
      <c r="X17" s="15">
        <v>0.06</v>
      </c>
      <c r="Y17" s="15">
        <v>0.09</v>
      </c>
      <c r="Z17" s="15">
        <v>0.11</v>
      </c>
      <c r="AA17" s="15">
        <v>0.17</v>
      </c>
      <c r="AB17" s="15">
        <v>0.15</v>
      </c>
      <c r="AC17" s="15">
        <v>0.1</v>
      </c>
      <c r="AD17" s="15">
        <v>0.26</v>
      </c>
      <c r="AE17" s="15">
        <v>0.13</v>
      </c>
      <c r="AF17" s="15">
        <v>0.06</v>
      </c>
    </row>
    <row r="18" spans="1:32" ht="21.5" x14ac:dyDescent="0.35">
      <c r="A18" s="19"/>
      <c r="B18" s="11" t="s">
        <v>937</v>
      </c>
      <c r="C18" s="12">
        <v>3860</v>
      </c>
      <c r="D18" s="12">
        <v>172</v>
      </c>
      <c r="E18" s="12">
        <v>208</v>
      </c>
      <c r="F18" s="12">
        <v>125</v>
      </c>
      <c r="G18" s="12">
        <v>84</v>
      </c>
      <c r="H18" s="12">
        <v>102</v>
      </c>
      <c r="I18" s="12">
        <v>133</v>
      </c>
      <c r="J18" s="12">
        <v>32</v>
      </c>
      <c r="K18" s="12">
        <v>173</v>
      </c>
      <c r="L18" s="12">
        <v>168</v>
      </c>
      <c r="M18" s="12">
        <v>242</v>
      </c>
      <c r="N18" s="12">
        <v>195</v>
      </c>
      <c r="O18" s="12">
        <v>132</v>
      </c>
      <c r="P18" s="12">
        <v>160</v>
      </c>
      <c r="Q18" s="12">
        <v>203</v>
      </c>
      <c r="R18" s="12">
        <v>104</v>
      </c>
      <c r="S18" s="12">
        <v>185</v>
      </c>
      <c r="T18" s="12">
        <v>174</v>
      </c>
      <c r="U18" s="12">
        <v>88</v>
      </c>
      <c r="V18" s="12">
        <v>172</v>
      </c>
      <c r="W18" s="12">
        <v>74</v>
      </c>
      <c r="X18" s="12">
        <v>49</v>
      </c>
      <c r="Y18" s="12">
        <v>129</v>
      </c>
      <c r="Z18" s="12">
        <v>137</v>
      </c>
      <c r="AA18" s="12">
        <v>259</v>
      </c>
      <c r="AB18" s="12">
        <v>164</v>
      </c>
      <c r="AC18" s="12">
        <v>101</v>
      </c>
      <c r="AD18" s="12">
        <v>142</v>
      </c>
      <c r="AE18" s="12">
        <v>176</v>
      </c>
      <c r="AF18" s="12">
        <v>126</v>
      </c>
    </row>
    <row r="19" spans="1:32" ht="21.5" x14ac:dyDescent="0.35">
      <c r="A19" s="19"/>
      <c r="B19" s="13" t="s">
        <v>938</v>
      </c>
      <c r="C19" s="15">
        <v>0.17</v>
      </c>
      <c r="D19" s="15">
        <v>0.19</v>
      </c>
      <c r="E19" s="15">
        <v>0.27</v>
      </c>
      <c r="F19" s="15">
        <v>0.13</v>
      </c>
      <c r="G19" s="15">
        <v>0.09</v>
      </c>
      <c r="H19" s="15">
        <v>0.1</v>
      </c>
      <c r="I19" s="15">
        <v>0.1</v>
      </c>
      <c r="J19" s="15">
        <v>0.11</v>
      </c>
      <c r="K19" s="15">
        <v>0.21</v>
      </c>
      <c r="L19" s="15">
        <v>0.19</v>
      </c>
      <c r="M19" s="15">
        <v>0.3</v>
      </c>
      <c r="N19" s="15">
        <v>0.25</v>
      </c>
      <c r="O19" s="15">
        <v>0.16</v>
      </c>
      <c r="P19" s="15">
        <v>0.19</v>
      </c>
      <c r="Q19" s="15">
        <v>0.25</v>
      </c>
      <c r="R19" s="15">
        <v>0.27</v>
      </c>
      <c r="S19" s="15">
        <v>0.22</v>
      </c>
      <c r="T19" s="15">
        <v>0.2</v>
      </c>
      <c r="U19" s="15">
        <v>0.2</v>
      </c>
      <c r="V19" s="15">
        <v>0.2</v>
      </c>
      <c r="W19" s="15">
        <v>0.17</v>
      </c>
      <c r="X19" s="15">
        <v>0.05</v>
      </c>
      <c r="Y19" s="15">
        <v>0.15</v>
      </c>
      <c r="Z19" s="15">
        <v>0.15</v>
      </c>
      <c r="AA19" s="15">
        <v>0.28999999999999998</v>
      </c>
      <c r="AB19" s="15">
        <v>0.19</v>
      </c>
      <c r="AC19" s="15">
        <v>0.11</v>
      </c>
      <c r="AD19" s="15">
        <v>0.16</v>
      </c>
      <c r="AE19" s="15">
        <v>0.2</v>
      </c>
      <c r="AF19" s="15">
        <v>0.13</v>
      </c>
    </row>
    <row r="20" spans="1:32" ht="21.5" x14ac:dyDescent="0.35">
      <c r="A20" s="19"/>
      <c r="B20" s="11" t="s">
        <v>939</v>
      </c>
      <c r="C20" s="12">
        <v>4114</v>
      </c>
      <c r="D20" s="12">
        <v>156</v>
      </c>
      <c r="E20" s="12">
        <v>101</v>
      </c>
      <c r="F20" s="12">
        <v>135</v>
      </c>
      <c r="G20" s="12">
        <v>154</v>
      </c>
      <c r="H20" s="12">
        <v>204</v>
      </c>
      <c r="I20" s="12">
        <v>261</v>
      </c>
      <c r="J20" s="12">
        <v>56</v>
      </c>
      <c r="K20" s="12">
        <v>115</v>
      </c>
      <c r="L20" s="12">
        <v>212</v>
      </c>
      <c r="M20" s="12">
        <v>177</v>
      </c>
      <c r="N20" s="12">
        <v>143</v>
      </c>
      <c r="O20" s="12">
        <v>182</v>
      </c>
      <c r="P20" s="12">
        <v>94</v>
      </c>
      <c r="Q20" s="12">
        <v>226</v>
      </c>
      <c r="R20" s="12">
        <v>103</v>
      </c>
      <c r="S20" s="12">
        <v>96</v>
      </c>
      <c r="T20" s="12">
        <v>158</v>
      </c>
      <c r="U20" s="12">
        <v>94</v>
      </c>
      <c r="V20" s="12">
        <v>120</v>
      </c>
      <c r="W20" s="12">
        <v>86</v>
      </c>
      <c r="X20" s="12">
        <v>122</v>
      </c>
      <c r="Y20" s="12">
        <v>170</v>
      </c>
      <c r="Z20" s="12">
        <v>108</v>
      </c>
      <c r="AA20" s="12">
        <v>130</v>
      </c>
      <c r="AB20" s="12">
        <v>77</v>
      </c>
      <c r="AC20" s="12">
        <v>133</v>
      </c>
      <c r="AD20" s="12">
        <v>102</v>
      </c>
      <c r="AE20" s="12">
        <v>120</v>
      </c>
      <c r="AF20" s="12">
        <v>91</v>
      </c>
    </row>
    <row r="21" spans="1:32" ht="21.5" x14ac:dyDescent="0.35">
      <c r="A21" s="19"/>
      <c r="B21" s="13" t="s">
        <v>940</v>
      </c>
      <c r="C21" s="15">
        <v>0.18</v>
      </c>
      <c r="D21" s="15">
        <v>0.17</v>
      </c>
      <c r="E21" s="15">
        <v>0.11</v>
      </c>
      <c r="F21" s="15">
        <v>0.14000000000000001</v>
      </c>
      <c r="G21" s="15">
        <v>0.17</v>
      </c>
      <c r="H21" s="15">
        <v>0.2</v>
      </c>
      <c r="I21" s="15">
        <v>0.21</v>
      </c>
      <c r="J21" s="15">
        <v>0.22</v>
      </c>
      <c r="K21" s="15">
        <v>0.13</v>
      </c>
      <c r="L21" s="15">
        <v>0.26</v>
      </c>
      <c r="M21" s="15">
        <v>0.19</v>
      </c>
      <c r="N21" s="15">
        <v>0.16</v>
      </c>
      <c r="O21" s="15">
        <v>0.21</v>
      </c>
      <c r="P21" s="15">
        <v>0.1</v>
      </c>
      <c r="Q21" s="15">
        <v>0.26</v>
      </c>
      <c r="R21" s="15">
        <v>0.25</v>
      </c>
      <c r="S21" s="15">
        <v>0.1</v>
      </c>
      <c r="T21" s="15">
        <v>0.17</v>
      </c>
      <c r="U21" s="15">
        <v>0.2</v>
      </c>
      <c r="V21" s="15">
        <v>0.13</v>
      </c>
      <c r="W21" s="15">
        <v>0.19</v>
      </c>
      <c r="X21" s="15">
        <v>0.14000000000000001</v>
      </c>
      <c r="Y21" s="15">
        <v>0.19</v>
      </c>
      <c r="Z21" s="15">
        <v>0.11</v>
      </c>
      <c r="AA21" s="15">
        <v>0.14000000000000001</v>
      </c>
      <c r="AB21" s="15">
        <v>0.08</v>
      </c>
      <c r="AC21" s="15">
        <v>0.14000000000000001</v>
      </c>
      <c r="AD21" s="15">
        <v>0.11</v>
      </c>
      <c r="AE21" s="15">
        <v>0.13</v>
      </c>
      <c r="AF21" s="15">
        <v>0.09</v>
      </c>
    </row>
    <row r="22" spans="1:32" x14ac:dyDescent="0.35">
      <c r="A22" s="19"/>
      <c r="B22" s="11" t="s">
        <v>941</v>
      </c>
      <c r="C22" s="12">
        <v>5715</v>
      </c>
      <c r="D22" s="12">
        <v>229</v>
      </c>
      <c r="E22" s="12">
        <v>227</v>
      </c>
      <c r="F22" s="12">
        <v>216</v>
      </c>
      <c r="G22" s="12">
        <v>231</v>
      </c>
      <c r="H22" s="12">
        <v>271</v>
      </c>
      <c r="I22" s="12">
        <v>342</v>
      </c>
      <c r="J22" s="12">
        <v>71</v>
      </c>
      <c r="K22" s="12">
        <v>216</v>
      </c>
      <c r="L22" s="12">
        <v>233</v>
      </c>
      <c r="M22" s="12">
        <v>232</v>
      </c>
      <c r="N22" s="12">
        <v>197</v>
      </c>
      <c r="O22" s="12">
        <v>250</v>
      </c>
      <c r="P22" s="12">
        <v>217</v>
      </c>
      <c r="Q22" s="12">
        <v>216</v>
      </c>
      <c r="R22" s="12">
        <v>107</v>
      </c>
      <c r="S22" s="12">
        <v>192</v>
      </c>
      <c r="T22" s="12">
        <v>221</v>
      </c>
      <c r="U22" s="12">
        <v>113</v>
      </c>
      <c r="V22" s="12">
        <v>173</v>
      </c>
      <c r="W22" s="12">
        <v>97</v>
      </c>
      <c r="X22" s="12">
        <v>228</v>
      </c>
      <c r="Y22" s="12">
        <v>240</v>
      </c>
      <c r="Z22" s="12">
        <v>183</v>
      </c>
      <c r="AA22" s="12">
        <v>211</v>
      </c>
      <c r="AB22" s="12">
        <v>191</v>
      </c>
      <c r="AC22" s="12">
        <v>242</v>
      </c>
      <c r="AD22" s="12">
        <v>227</v>
      </c>
      <c r="AE22" s="12">
        <v>237</v>
      </c>
      <c r="AF22" s="12">
        <v>238</v>
      </c>
    </row>
    <row r="23" spans="1:32" x14ac:dyDescent="0.35">
      <c r="A23" s="19"/>
      <c r="B23" s="13" t="s">
        <v>942</v>
      </c>
      <c r="C23" s="15">
        <v>0.28999999999999998</v>
      </c>
      <c r="D23" s="15">
        <v>0.28000000000000003</v>
      </c>
      <c r="E23" s="15">
        <v>0.3</v>
      </c>
      <c r="F23" s="15">
        <v>0.27</v>
      </c>
      <c r="G23" s="15">
        <v>0.36</v>
      </c>
      <c r="H23" s="15">
        <v>0.33</v>
      </c>
      <c r="I23" s="15">
        <v>0.33</v>
      </c>
      <c r="J23" s="15">
        <v>0.33</v>
      </c>
      <c r="K23" s="15">
        <v>0.31</v>
      </c>
      <c r="L23" s="15">
        <v>0.27</v>
      </c>
      <c r="M23" s="15">
        <v>0.28999999999999998</v>
      </c>
      <c r="N23" s="15">
        <v>0.24</v>
      </c>
      <c r="O23" s="15">
        <v>0.34</v>
      </c>
      <c r="P23" s="15">
        <v>0.26</v>
      </c>
      <c r="Q23" s="15">
        <v>0.26</v>
      </c>
      <c r="R23" s="15">
        <v>0.27</v>
      </c>
      <c r="S23" s="15">
        <v>0.28000000000000003</v>
      </c>
      <c r="T23" s="15">
        <v>0.31</v>
      </c>
      <c r="U23" s="15">
        <v>0.3</v>
      </c>
      <c r="V23" s="15">
        <v>0.22</v>
      </c>
      <c r="W23" s="15">
        <v>0.24</v>
      </c>
      <c r="X23" s="15">
        <v>0.32</v>
      </c>
      <c r="Y23" s="15">
        <v>0.3</v>
      </c>
      <c r="Z23" s="15">
        <v>0.23</v>
      </c>
      <c r="AA23" s="15">
        <v>0.26</v>
      </c>
      <c r="AB23" s="15">
        <v>0.21</v>
      </c>
      <c r="AC23" s="15">
        <v>0.31</v>
      </c>
      <c r="AD23" s="15">
        <v>0.28999999999999998</v>
      </c>
      <c r="AE23" s="15">
        <v>0.35</v>
      </c>
      <c r="AF23" s="15">
        <v>0.33</v>
      </c>
    </row>
    <row r="24" spans="1:32" ht="21.5" x14ac:dyDescent="0.35">
      <c r="A24" s="19"/>
      <c r="B24" s="11" t="s">
        <v>943</v>
      </c>
      <c r="C24" s="12">
        <v>1318</v>
      </c>
      <c r="D24" s="12">
        <v>53</v>
      </c>
      <c r="E24" s="12">
        <v>76</v>
      </c>
      <c r="F24" s="12">
        <v>43</v>
      </c>
      <c r="G24" s="12">
        <v>78</v>
      </c>
      <c r="H24" s="12">
        <v>43</v>
      </c>
      <c r="I24" s="12">
        <v>52</v>
      </c>
      <c r="J24" s="12">
        <v>10</v>
      </c>
      <c r="K24" s="12">
        <v>54</v>
      </c>
      <c r="L24" s="12">
        <v>41</v>
      </c>
      <c r="M24" s="12">
        <v>39</v>
      </c>
      <c r="N24" s="12">
        <v>40</v>
      </c>
      <c r="O24" s="12">
        <v>27</v>
      </c>
      <c r="P24" s="12">
        <v>71</v>
      </c>
      <c r="Q24" s="12">
        <v>74</v>
      </c>
      <c r="R24" s="12">
        <v>16</v>
      </c>
      <c r="S24" s="12">
        <v>52</v>
      </c>
      <c r="T24" s="12">
        <v>50</v>
      </c>
      <c r="U24" s="12">
        <v>14</v>
      </c>
      <c r="V24" s="12">
        <v>51</v>
      </c>
      <c r="W24" s="12">
        <v>23</v>
      </c>
      <c r="X24" s="12">
        <v>54</v>
      </c>
      <c r="Y24" s="12">
        <v>64</v>
      </c>
      <c r="Z24" s="12">
        <v>83</v>
      </c>
      <c r="AA24" s="12">
        <v>39</v>
      </c>
      <c r="AB24" s="12">
        <v>72</v>
      </c>
      <c r="AC24" s="12">
        <v>49</v>
      </c>
      <c r="AD24" s="12">
        <v>60</v>
      </c>
      <c r="AE24" s="12">
        <v>50</v>
      </c>
      <c r="AF24" s="12">
        <v>82</v>
      </c>
    </row>
    <row r="25" spans="1:32" ht="21.5" x14ac:dyDescent="0.35">
      <c r="A25" s="19"/>
      <c r="B25" s="13" t="s">
        <v>944</v>
      </c>
      <c r="C25" s="15">
        <v>0.05</v>
      </c>
      <c r="D25" s="15">
        <v>0.05</v>
      </c>
      <c r="E25" s="15">
        <v>0.08</v>
      </c>
      <c r="F25" s="15">
        <v>0.04</v>
      </c>
      <c r="G25" s="15">
        <v>0.08</v>
      </c>
      <c r="H25" s="15">
        <v>0.04</v>
      </c>
      <c r="I25" s="15">
        <v>0.04</v>
      </c>
      <c r="J25" s="15">
        <v>0.03</v>
      </c>
      <c r="K25" s="15">
        <v>0.06</v>
      </c>
      <c r="L25" s="15">
        <v>0.04</v>
      </c>
      <c r="M25" s="15">
        <v>0.04</v>
      </c>
      <c r="N25" s="15">
        <v>0.04</v>
      </c>
      <c r="O25" s="15">
        <v>0.03</v>
      </c>
      <c r="P25" s="15">
        <v>7.0000000000000007E-2</v>
      </c>
      <c r="Q25" s="15">
        <v>0.08</v>
      </c>
      <c r="R25" s="15">
        <v>0.03</v>
      </c>
      <c r="S25" s="15">
        <v>0.05</v>
      </c>
      <c r="T25" s="15">
        <v>0.05</v>
      </c>
      <c r="U25" s="15">
        <v>0.03</v>
      </c>
      <c r="V25" s="15">
        <v>0.05</v>
      </c>
      <c r="W25" s="15">
        <v>0.05</v>
      </c>
      <c r="X25" s="15">
        <v>0.06</v>
      </c>
      <c r="Y25" s="15">
        <v>7.0000000000000007E-2</v>
      </c>
      <c r="Z25" s="15">
        <v>0.08</v>
      </c>
      <c r="AA25" s="15">
        <v>0.04</v>
      </c>
      <c r="AB25" s="15">
        <v>7.0000000000000007E-2</v>
      </c>
      <c r="AC25" s="15">
        <v>0.05</v>
      </c>
      <c r="AD25" s="15">
        <v>0.06</v>
      </c>
      <c r="AE25" s="15">
        <v>0.05</v>
      </c>
      <c r="AF25" s="15">
        <v>0.08</v>
      </c>
    </row>
    <row r="26" spans="1:32" ht="21.5" x14ac:dyDescent="0.35">
      <c r="A26" s="19"/>
      <c r="B26" s="11" t="s">
        <v>945</v>
      </c>
      <c r="C26" s="12">
        <v>4016</v>
      </c>
      <c r="D26" s="12">
        <v>162</v>
      </c>
      <c r="E26" s="12">
        <v>140</v>
      </c>
      <c r="F26" s="12">
        <v>162</v>
      </c>
      <c r="G26" s="12">
        <v>265</v>
      </c>
      <c r="H26" s="12">
        <v>224</v>
      </c>
      <c r="I26" s="12">
        <v>268</v>
      </c>
      <c r="J26" s="12">
        <v>43</v>
      </c>
      <c r="K26" s="12">
        <v>158</v>
      </c>
      <c r="L26" s="12">
        <v>96</v>
      </c>
      <c r="M26" s="12">
        <v>135</v>
      </c>
      <c r="N26" s="12">
        <v>103</v>
      </c>
      <c r="O26" s="12">
        <v>180</v>
      </c>
      <c r="P26" s="12">
        <v>142</v>
      </c>
      <c r="Q26" s="12">
        <v>133</v>
      </c>
      <c r="R26" s="12">
        <v>99</v>
      </c>
      <c r="S26" s="12">
        <v>133</v>
      </c>
      <c r="T26" s="12">
        <v>188</v>
      </c>
      <c r="U26" s="12">
        <v>84</v>
      </c>
      <c r="V26" s="12">
        <v>134</v>
      </c>
      <c r="W26" s="12">
        <v>75</v>
      </c>
      <c r="X26" s="12">
        <v>201</v>
      </c>
      <c r="Y26" s="12">
        <v>136</v>
      </c>
      <c r="Z26" s="12">
        <v>157</v>
      </c>
      <c r="AA26" s="12">
        <v>110</v>
      </c>
      <c r="AB26" s="12">
        <v>125</v>
      </c>
      <c r="AC26" s="12">
        <v>109</v>
      </c>
      <c r="AD26" s="12">
        <v>144</v>
      </c>
      <c r="AE26" s="12">
        <v>170</v>
      </c>
      <c r="AF26" s="12">
        <v>184</v>
      </c>
    </row>
    <row r="27" spans="1:32" ht="21.5" x14ac:dyDescent="0.35">
      <c r="A27" s="19"/>
      <c r="B27" s="13" t="s">
        <v>963</v>
      </c>
      <c r="C27" s="15">
        <v>0.17</v>
      </c>
      <c r="D27" s="15">
        <v>0.17</v>
      </c>
      <c r="E27" s="15">
        <v>0.16</v>
      </c>
      <c r="F27" s="15">
        <v>0.17</v>
      </c>
      <c r="G27" s="15">
        <v>0.31</v>
      </c>
      <c r="H27" s="15">
        <v>0.22</v>
      </c>
      <c r="I27" s="15">
        <v>0.2</v>
      </c>
      <c r="J27" s="15">
        <v>0.16</v>
      </c>
      <c r="K27" s="15">
        <v>0.18</v>
      </c>
      <c r="L27" s="15">
        <v>0.1</v>
      </c>
      <c r="M27" s="15">
        <v>0.14000000000000001</v>
      </c>
      <c r="N27" s="15">
        <v>0.11</v>
      </c>
      <c r="O27" s="15">
        <v>0.21</v>
      </c>
      <c r="P27" s="15">
        <v>0.16</v>
      </c>
      <c r="Q27" s="15">
        <v>0.14000000000000001</v>
      </c>
      <c r="R27" s="15">
        <v>0.22</v>
      </c>
      <c r="S27" s="15">
        <v>0.15</v>
      </c>
      <c r="T27" s="15">
        <v>0.22</v>
      </c>
      <c r="U27" s="15">
        <v>0.18</v>
      </c>
      <c r="V27" s="15">
        <v>0.15</v>
      </c>
      <c r="W27" s="15">
        <v>0.16</v>
      </c>
      <c r="X27" s="15">
        <v>0.23</v>
      </c>
      <c r="Y27" s="15">
        <v>0.15</v>
      </c>
      <c r="Z27" s="15">
        <v>0.17</v>
      </c>
      <c r="AA27" s="15">
        <v>0.11</v>
      </c>
      <c r="AB27" s="15">
        <v>0.13</v>
      </c>
      <c r="AC27" s="15">
        <v>0.12</v>
      </c>
      <c r="AD27" s="15">
        <v>0.15</v>
      </c>
      <c r="AE27" s="15">
        <v>0.2</v>
      </c>
      <c r="AF27" s="15">
        <v>0.19</v>
      </c>
    </row>
    <row r="28" spans="1:32" ht="41.5" x14ac:dyDescent="0.35">
      <c r="A28" s="19"/>
      <c r="B28" s="11" t="s">
        <v>947</v>
      </c>
      <c r="C28" s="12">
        <v>1750</v>
      </c>
      <c r="D28" s="12">
        <v>77</v>
      </c>
      <c r="E28" s="12">
        <v>72</v>
      </c>
      <c r="F28" s="12">
        <v>54</v>
      </c>
      <c r="G28" s="12">
        <v>100</v>
      </c>
      <c r="H28" s="12">
        <v>66</v>
      </c>
      <c r="I28" s="12">
        <v>82</v>
      </c>
      <c r="J28" s="12">
        <v>16</v>
      </c>
      <c r="K28" s="12">
        <v>83</v>
      </c>
      <c r="L28" s="12">
        <v>65</v>
      </c>
      <c r="M28" s="12">
        <v>66</v>
      </c>
      <c r="N28" s="12">
        <v>45</v>
      </c>
      <c r="O28" s="12">
        <v>53</v>
      </c>
      <c r="P28" s="12">
        <v>65</v>
      </c>
      <c r="Q28" s="12">
        <v>61</v>
      </c>
      <c r="R28" s="12">
        <v>15</v>
      </c>
      <c r="S28" s="12">
        <v>33</v>
      </c>
      <c r="T28" s="12">
        <v>61</v>
      </c>
      <c r="U28" s="12">
        <v>26</v>
      </c>
      <c r="V28" s="12">
        <v>62</v>
      </c>
      <c r="W28" s="12">
        <v>61</v>
      </c>
      <c r="X28" s="12">
        <v>143</v>
      </c>
      <c r="Y28" s="12">
        <v>105</v>
      </c>
      <c r="Z28" s="12">
        <v>101</v>
      </c>
      <c r="AA28" s="12">
        <v>42</v>
      </c>
      <c r="AB28" s="12">
        <v>87</v>
      </c>
      <c r="AC28" s="12">
        <v>45</v>
      </c>
      <c r="AD28" s="12">
        <v>67</v>
      </c>
      <c r="AE28" s="12">
        <v>73</v>
      </c>
      <c r="AF28" s="12">
        <v>122</v>
      </c>
    </row>
    <row r="29" spans="1:32" ht="31.5" x14ac:dyDescent="0.35">
      <c r="A29" s="19"/>
      <c r="B29" s="13" t="s">
        <v>948</v>
      </c>
      <c r="C29" s="15">
        <v>7.0000000000000007E-2</v>
      </c>
      <c r="D29" s="15">
        <v>0.08</v>
      </c>
      <c r="E29" s="15">
        <v>0.08</v>
      </c>
      <c r="F29" s="15">
        <v>0.05</v>
      </c>
      <c r="G29" s="15">
        <v>0.11</v>
      </c>
      <c r="H29" s="15">
        <v>0.06</v>
      </c>
      <c r="I29" s="15">
        <v>0.06</v>
      </c>
      <c r="J29" s="15">
        <v>0.06</v>
      </c>
      <c r="K29" s="15">
        <v>0.09</v>
      </c>
      <c r="L29" s="15">
        <v>7.0000000000000007E-2</v>
      </c>
      <c r="M29" s="15">
        <v>7.0000000000000007E-2</v>
      </c>
      <c r="N29" s="15">
        <v>0.05</v>
      </c>
      <c r="O29" s="15">
        <v>0.06</v>
      </c>
      <c r="P29" s="15">
        <v>7.0000000000000007E-2</v>
      </c>
      <c r="Q29" s="15">
        <v>0.06</v>
      </c>
      <c r="R29" s="15">
        <v>0.03</v>
      </c>
      <c r="S29" s="15">
        <v>0.04</v>
      </c>
      <c r="T29" s="15">
        <v>0.06</v>
      </c>
      <c r="U29" s="15">
        <v>0.05</v>
      </c>
      <c r="V29" s="15">
        <v>7.0000000000000007E-2</v>
      </c>
      <c r="W29" s="15">
        <v>0.13</v>
      </c>
      <c r="X29" s="15">
        <v>0.16</v>
      </c>
      <c r="Y29" s="15">
        <v>0.11</v>
      </c>
      <c r="Z29" s="15">
        <v>0.1</v>
      </c>
      <c r="AA29" s="15">
        <v>0.04</v>
      </c>
      <c r="AB29" s="15">
        <v>0.09</v>
      </c>
      <c r="AC29" s="15">
        <v>0.05</v>
      </c>
      <c r="AD29" s="15">
        <v>7.0000000000000007E-2</v>
      </c>
      <c r="AE29" s="15">
        <v>0.08</v>
      </c>
      <c r="AF29" s="15">
        <v>0.13</v>
      </c>
    </row>
    <row r="30" spans="1:32" ht="51.5" x14ac:dyDescent="0.35">
      <c r="A30" s="19"/>
      <c r="B30" s="11" t="s">
        <v>949</v>
      </c>
      <c r="C30" s="12">
        <v>3936</v>
      </c>
      <c r="D30" s="12">
        <v>113</v>
      </c>
      <c r="E30" s="12">
        <v>165</v>
      </c>
      <c r="F30" s="12">
        <v>150</v>
      </c>
      <c r="G30" s="12">
        <v>154</v>
      </c>
      <c r="H30" s="12">
        <v>199</v>
      </c>
      <c r="I30" s="12">
        <v>282</v>
      </c>
      <c r="J30" s="12">
        <v>82</v>
      </c>
      <c r="K30" s="12">
        <v>155</v>
      </c>
      <c r="L30" s="12">
        <v>224</v>
      </c>
      <c r="M30" s="12">
        <v>213</v>
      </c>
      <c r="N30" s="12">
        <v>127</v>
      </c>
      <c r="O30" s="12">
        <v>112</v>
      </c>
      <c r="P30" s="12">
        <v>165</v>
      </c>
      <c r="Q30" s="12">
        <v>111</v>
      </c>
      <c r="R30" s="12">
        <v>66</v>
      </c>
      <c r="S30" s="12">
        <v>144</v>
      </c>
      <c r="T30" s="12">
        <v>185</v>
      </c>
      <c r="U30" s="12">
        <v>50</v>
      </c>
      <c r="V30" s="12">
        <v>182</v>
      </c>
      <c r="W30" s="12">
        <v>88</v>
      </c>
      <c r="X30" s="12">
        <v>135</v>
      </c>
      <c r="Y30" s="12">
        <v>196</v>
      </c>
      <c r="Z30" s="12">
        <v>140</v>
      </c>
      <c r="AA30" s="12">
        <v>210</v>
      </c>
      <c r="AB30" s="12">
        <v>170</v>
      </c>
      <c r="AC30" s="12">
        <v>210</v>
      </c>
      <c r="AD30" s="12">
        <v>193</v>
      </c>
      <c r="AE30" s="12">
        <v>195</v>
      </c>
      <c r="AF30" s="12">
        <v>238</v>
      </c>
    </row>
    <row r="31" spans="1:32" ht="21.5" x14ac:dyDescent="0.35">
      <c r="A31" s="19"/>
      <c r="B31" s="13" t="s">
        <v>950</v>
      </c>
      <c r="C31" s="15">
        <v>0.17</v>
      </c>
      <c r="D31" s="15">
        <v>0.12</v>
      </c>
      <c r="E31" s="15">
        <v>0.2</v>
      </c>
      <c r="F31" s="15">
        <v>0.16</v>
      </c>
      <c r="G31" s="15">
        <v>0.17</v>
      </c>
      <c r="H31" s="15">
        <v>0.2</v>
      </c>
      <c r="I31" s="15">
        <v>0.23</v>
      </c>
      <c r="J31" s="15">
        <v>0.34</v>
      </c>
      <c r="K31" s="15">
        <v>0.18</v>
      </c>
      <c r="L31" s="15">
        <v>0.26</v>
      </c>
      <c r="M31" s="15">
        <v>0.24</v>
      </c>
      <c r="N31" s="15">
        <v>0.15</v>
      </c>
      <c r="O31" s="15">
        <v>0.13</v>
      </c>
      <c r="P31" s="15">
        <v>0.19</v>
      </c>
      <c r="Q31" s="15">
        <v>0.12</v>
      </c>
      <c r="R31" s="15">
        <v>0.14000000000000001</v>
      </c>
      <c r="S31" s="15">
        <v>0.16</v>
      </c>
      <c r="T31" s="15">
        <v>0.22</v>
      </c>
      <c r="U31" s="15">
        <v>0.11</v>
      </c>
      <c r="V31" s="15">
        <v>0.23</v>
      </c>
      <c r="W31" s="15">
        <v>0.19</v>
      </c>
      <c r="X31" s="15">
        <v>0.15</v>
      </c>
      <c r="Y31" s="15">
        <v>0.24</v>
      </c>
      <c r="Z31" s="15">
        <v>0.15</v>
      </c>
      <c r="AA31" s="15">
        <v>0.24</v>
      </c>
      <c r="AB31" s="15">
        <v>0.19</v>
      </c>
      <c r="AC31" s="15">
        <v>0.26</v>
      </c>
      <c r="AD31" s="15">
        <v>0.22</v>
      </c>
      <c r="AE31" s="15">
        <v>0.21</v>
      </c>
      <c r="AF31" s="15">
        <v>0.27</v>
      </c>
    </row>
    <row r="32" spans="1:32" ht="31.5" x14ac:dyDescent="0.35">
      <c r="A32" s="19"/>
      <c r="B32" s="11" t="s">
        <v>951</v>
      </c>
      <c r="C32" s="12">
        <v>2989</v>
      </c>
      <c r="D32" s="12">
        <v>131</v>
      </c>
      <c r="E32" s="12">
        <v>77</v>
      </c>
      <c r="F32" s="12">
        <v>75</v>
      </c>
      <c r="G32" s="12">
        <v>50</v>
      </c>
      <c r="H32" s="12">
        <v>123</v>
      </c>
      <c r="I32" s="12">
        <v>154</v>
      </c>
      <c r="J32" s="12">
        <v>31</v>
      </c>
      <c r="K32" s="12">
        <v>117</v>
      </c>
      <c r="L32" s="12">
        <v>94</v>
      </c>
      <c r="M32" s="12">
        <v>143</v>
      </c>
      <c r="N32" s="12">
        <v>142</v>
      </c>
      <c r="O32" s="12">
        <v>151</v>
      </c>
      <c r="P32" s="12">
        <v>107</v>
      </c>
      <c r="Q32" s="12">
        <v>109</v>
      </c>
      <c r="R32" s="12">
        <v>68</v>
      </c>
      <c r="S32" s="12">
        <v>120</v>
      </c>
      <c r="T32" s="12">
        <v>90</v>
      </c>
      <c r="U32" s="12">
        <v>71</v>
      </c>
      <c r="V32" s="12">
        <v>101</v>
      </c>
      <c r="W32" s="12">
        <v>55</v>
      </c>
      <c r="X32" s="12">
        <v>92</v>
      </c>
      <c r="Y32" s="12">
        <v>114</v>
      </c>
      <c r="Z32" s="12">
        <v>79</v>
      </c>
      <c r="AA32" s="12">
        <v>124</v>
      </c>
      <c r="AB32" s="12">
        <v>135</v>
      </c>
      <c r="AC32" s="12">
        <v>76</v>
      </c>
      <c r="AD32" s="12">
        <v>121</v>
      </c>
      <c r="AE32" s="12">
        <v>114</v>
      </c>
      <c r="AF32" s="12">
        <v>91</v>
      </c>
    </row>
    <row r="33" spans="1:32" ht="21.5" x14ac:dyDescent="0.35">
      <c r="A33" s="19"/>
      <c r="B33" s="13" t="s">
        <v>952</v>
      </c>
      <c r="C33" s="15">
        <v>0.12</v>
      </c>
      <c r="D33" s="15">
        <v>0.14000000000000001</v>
      </c>
      <c r="E33" s="15">
        <v>0.08</v>
      </c>
      <c r="F33" s="15">
        <v>7.0000000000000007E-2</v>
      </c>
      <c r="G33" s="15">
        <v>0.05</v>
      </c>
      <c r="H33" s="15">
        <v>0.11</v>
      </c>
      <c r="I33" s="15">
        <v>0.11</v>
      </c>
      <c r="J33" s="15">
        <v>0.11</v>
      </c>
      <c r="K33" s="15">
        <v>0.13</v>
      </c>
      <c r="L33" s="15">
        <v>0.1</v>
      </c>
      <c r="M33" s="15">
        <v>0.15</v>
      </c>
      <c r="N33" s="15">
        <v>0.16</v>
      </c>
      <c r="O33" s="15">
        <v>0.17</v>
      </c>
      <c r="P33" s="15">
        <v>0.12</v>
      </c>
      <c r="Q33" s="15">
        <v>0.11</v>
      </c>
      <c r="R33" s="15">
        <v>0.15</v>
      </c>
      <c r="S33" s="15">
        <v>0.13</v>
      </c>
      <c r="T33" s="15">
        <v>0.1</v>
      </c>
      <c r="U33" s="15">
        <v>0.15</v>
      </c>
      <c r="V33" s="15">
        <v>0.11</v>
      </c>
      <c r="W33" s="15">
        <v>0.12</v>
      </c>
      <c r="X33" s="15">
        <v>0.1</v>
      </c>
      <c r="Y33" s="15">
        <v>0.12</v>
      </c>
      <c r="Z33" s="15">
        <v>0.08</v>
      </c>
      <c r="AA33" s="15">
        <v>0.13</v>
      </c>
      <c r="AB33" s="15">
        <v>0.14000000000000001</v>
      </c>
      <c r="AC33" s="15">
        <v>0.08</v>
      </c>
      <c r="AD33" s="15">
        <v>0.13</v>
      </c>
      <c r="AE33" s="15">
        <v>0.12</v>
      </c>
      <c r="AF33" s="15">
        <v>0.09</v>
      </c>
    </row>
    <row r="34" spans="1:32" ht="21.5" x14ac:dyDescent="0.35">
      <c r="A34" s="19"/>
      <c r="B34" s="11" t="s">
        <v>953</v>
      </c>
      <c r="C34" s="12">
        <v>2590</v>
      </c>
      <c r="D34" s="12">
        <v>105</v>
      </c>
      <c r="E34" s="12">
        <v>53</v>
      </c>
      <c r="F34" s="12">
        <v>201</v>
      </c>
      <c r="G34" s="12">
        <v>45</v>
      </c>
      <c r="H34" s="12">
        <v>100</v>
      </c>
      <c r="I34" s="12">
        <v>124</v>
      </c>
      <c r="J34" s="12">
        <v>24</v>
      </c>
      <c r="K34" s="12">
        <v>102</v>
      </c>
      <c r="L34" s="12">
        <v>173</v>
      </c>
      <c r="M34" s="12">
        <v>76</v>
      </c>
      <c r="N34" s="12">
        <v>187</v>
      </c>
      <c r="O34" s="12">
        <v>94</v>
      </c>
      <c r="P34" s="12">
        <v>118</v>
      </c>
      <c r="Q34" s="12">
        <v>42</v>
      </c>
      <c r="R34" s="12">
        <v>64</v>
      </c>
      <c r="S34" s="12">
        <v>94</v>
      </c>
      <c r="T34" s="12">
        <v>80</v>
      </c>
      <c r="U34" s="12">
        <v>81</v>
      </c>
      <c r="V34" s="12">
        <v>107</v>
      </c>
      <c r="W34" s="12">
        <v>42</v>
      </c>
      <c r="X34" s="12">
        <v>135</v>
      </c>
      <c r="Y34" s="12">
        <v>95</v>
      </c>
      <c r="Z34" s="12">
        <v>76</v>
      </c>
      <c r="AA34" s="12">
        <v>215</v>
      </c>
      <c r="AB34" s="12">
        <v>100</v>
      </c>
      <c r="AC34" s="12">
        <v>97</v>
      </c>
      <c r="AD34" s="12">
        <v>106</v>
      </c>
      <c r="AE34" s="12">
        <v>42</v>
      </c>
      <c r="AF34" s="12">
        <v>47</v>
      </c>
    </row>
    <row r="35" spans="1:32" ht="21.5" x14ac:dyDescent="0.35">
      <c r="A35" s="19"/>
      <c r="B35" s="13" t="s">
        <v>954</v>
      </c>
      <c r="C35" s="15">
        <v>0.11</v>
      </c>
      <c r="D35" s="15">
        <v>0.11</v>
      </c>
      <c r="E35" s="15">
        <v>0.06</v>
      </c>
      <c r="F35" s="15">
        <v>0.22</v>
      </c>
      <c r="G35" s="15">
        <v>0.05</v>
      </c>
      <c r="H35" s="15">
        <v>0.09</v>
      </c>
      <c r="I35" s="15">
        <v>0.09</v>
      </c>
      <c r="J35" s="15">
        <v>0.09</v>
      </c>
      <c r="K35" s="15">
        <v>0.11</v>
      </c>
      <c r="L35" s="15">
        <v>0.2</v>
      </c>
      <c r="M35" s="15">
        <v>0.08</v>
      </c>
      <c r="N35" s="15">
        <v>0.23</v>
      </c>
      <c r="O35" s="15">
        <v>0.1</v>
      </c>
      <c r="P35" s="15">
        <v>0.13</v>
      </c>
      <c r="Q35" s="15">
        <v>0.04</v>
      </c>
      <c r="R35" s="15">
        <v>0.15</v>
      </c>
      <c r="S35" s="15">
        <v>0.1</v>
      </c>
      <c r="T35" s="15">
        <v>0.09</v>
      </c>
      <c r="U35" s="15">
        <v>0.19</v>
      </c>
      <c r="V35" s="15">
        <v>0.12</v>
      </c>
      <c r="W35" s="15">
        <v>0.09</v>
      </c>
      <c r="X35" s="15">
        <v>0.15</v>
      </c>
      <c r="Y35" s="15">
        <v>0.1</v>
      </c>
      <c r="Z35" s="15">
        <v>0.08</v>
      </c>
      <c r="AA35" s="15">
        <v>0.23</v>
      </c>
      <c r="AB35" s="15">
        <v>0.1</v>
      </c>
      <c r="AC35" s="15">
        <v>0.11</v>
      </c>
      <c r="AD35" s="15">
        <v>0.11</v>
      </c>
      <c r="AE35" s="15">
        <v>0.04</v>
      </c>
      <c r="AF35" s="15">
        <v>0.05</v>
      </c>
    </row>
    <row r="36" spans="1:32" x14ac:dyDescent="0.35">
      <c r="A36" s="19"/>
      <c r="B36" s="11" t="s">
        <v>955</v>
      </c>
      <c r="C36" s="12">
        <v>3938</v>
      </c>
      <c r="D36" s="12">
        <v>207</v>
      </c>
      <c r="E36" s="12">
        <v>133</v>
      </c>
      <c r="F36" s="12">
        <v>127</v>
      </c>
      <c r="G36" s="12">
        <v>157</v>
      </c>
      <c r="H36" s="12">
        <v>149</v>
      </c>
      <c r="I36" s="12">
        <v>209</v>
      </c>
      <c r="J36" s="12">
        <v>60</v>
      </c>
      <c r="K36" s="12">
        <v>59</v>
      </c>
      <c r="L36" s="12">
        <v>133</v>
      </c>
      <c r="M36" s="12">
        <v>177</v>
      </c>
      <c r="N36" s="12">
        <v>151</v>
      </c>
      <c r="O36" s="12">
        <v>178</v>
      </c>
      <c r="P36" s="12">
        <v>158</v>
      </c>
      <c r="Q36" s="12">
        <v>171</v>
      </c>
      <c r="R36" s="12">
        <v>76</v>
      </c>
      <c r="S36" s="12">
        <v>89</v>
      </c>
      <c r="T36" s="12">
        <v>79</v>
      </c>
      <c r="U36" s="12">
        <v>81</v>
      </c>
      <c r="V36" s="12">
        <v>117</v>
      </c>
      <c r="W36" s="12">
        <v>68</v>
      </c>
      <c r="X36" s="12">
        <v>148</v>
      </c>
      <c r="Y36" s="12">
        <v>142</v>
      </c>
      <c r="Z36" s="12">
        <v>111</v>
      </c>
      <c r="AA36" s="12">
        <v>141</v>
      </c>
      <c r="AB36" s="12">
        <v>110</v>
      </c>
      <c r="AC36" s="12">
        <v>146</v>
      </c>
      <c r="AD36" s="12">
        <v>83</v>
      </c>
      <c r="AE36" s="12">
        <v>165</v>
      </c>
      <c r="AF36" s="12">
        <v>256</v>
      </c>
    </row>
    <row r="37" spans="1:32" x14ac:dyDescent="0.35">
      <c r="A37" s="19"/>
      <c r="B37" s="13" t="s">
        <v>956</v>
      </c>
      <c r="C37" s="15">
        <v>0.17</v>
      </c>
      <c r="D37" s="15">
        <v>0.24</v>
      </c>
      <c r="E37" s="15">
        <v>0.15</v>
      </c>
      <c r="F37" s="15">
        <v>0.13</v>
      </c>
      <c r="G37" s="15">
        <v>0.17</v>
      </c>
      <c r="H37" s="15">
        <v>0.14000000000000001</v>
      </c>
      <c r="I37" s="15">
        <v>0.16</v>
      </c>
      <c r="J37" s="15">
        <v>0.22</v>
      </c>
      <c r="K37" s="15">
        <v>0.06</v>
      </c>
      <c r="L37" s="15">
        <v>0.14000000000000001</v>
      </c>
      <c r="M37" s="15">
        <v>0.19</v>
      </c>
      <c r="N37" s="15">
        <v>0.17</v>
      </c>
      <c r="O37" s="15">
        <v>0.21</v>
      </c>
      <c r="P37" s="15">
        <v>0.18</v>
      </c>
      <c r="Q37" s="15">
        <v>0.19</v>
      </c>
      <c r="R37" s="15">
        <v>0.18</v>
      </c>
      <c r="S37" s="15">
        <v>0.09</v>
      </c>
      <c r="T37" s="15">
        <v>0.08</v>
      </c>
      <c r="U37" s="15">
        <v>0.18</v>
      </c>
      <c r="V37" s="15">
        <v>0.13</v>
      </c>
      <c r="W37" s="15">
        <v>0.14000000000000001</v>
      </c>
      <c r="X37" s="15">
        <v>0.16</v>
      </c>
      <c r="Y37" s="15">
        <v>0.15</v>
      </c>
      <c r="Z37" s="15">
        <v>0.12</v>
      </c>
      <c r="AA37" s="15">
        <v>0.15</v>
      </c>
      <c r="AB37" s="15">
        <v>0.11</v>
      </c>
      <c r="AC37" s="15">
        <v>0.16</v>
      </c>
      <c r="AD37" s="15">
        <v>0.09</v>
      </c>
      <c r="AE37" s="15">
        <v>0.18</v>
      </c>
      <c r="AF37" s="15">
        <v>0.28000000000000003</v>
      </c>
    </row>
    <row r="38" spans="1:32" ht="31.5" x14ac:dyDescent="0.35">
      <c r="A38" s="19"/>
      <c r="B38" s="11" t="s">
        <v>957</v>
      </c>
      <c r="C38" s="12">
        <v>1692</v>
      </c>
      <c r="D38" s="12">
        <v>52</v>
      </c>
      <c r="E38" s="12">
        <v>49</v>
      </c>
      <c r="F38" s="12">
        <v>71</v>
      </c>
      <c r="G38" s="12">
        <v>65</v>
      </c>
      <c r="H38" s="12">
        <v>97</v>
      </c>
      <c r="I38" s="12">
        <v>120</v>
      </c>
      <c r="J38" s="12">
        <v>23</v>
      </c>
      <c r="K38" s="12">
        <v>45</v>
      </c>
      <c r="L38" s="12">
        <v>28</v>
      </c>
      <c r="M38" s="12">
        <v>25</v>
      </c>
      <c r="N38" s="12">
        <v>56</v>
      </c>
      <c r="O38" s="12">
        <v>57</v>
      </c>
      <c r="P38" s="12">
        <v>95</v>
      </c>
      <c r="Q38" s="12">
        <v>63</v>
      </c>
      <c r="R38" s="12">
        <v>8</v>
      </c>
      <c r="S38" s="12">
        <v>76</v>
      </c>
      <c r="T38" s="12">
        <v>37</v>
      </c>
      <c r="U38" s="12">
        <v>26</v>
      </c>
      <c r="V38" s="12">
        <v>52</v>
      </c>
      <c r="W38" s="12">
        <v>25</v>
      </c>
      <c r="X38" s="12">
        <v>61</v>
      </c>
      <c r="Y38" s="12">
        <v>82</v>
      </c>
      <c r="Z38" s="12">
        <v>73</v>
      </c>
      <c r="AA38" s="12">
        <v>118</v>
      </c>
      <c r="AB38" s="12">
        <v>72</v>
      </c>
      <c r="AC38" s="12">
        <v>65</v>
      </c>
      <c r="AD38" s="12">
        <v>55</v>
      </c>
      <c r="AE38" s="12">
        <v>31</v>
      </c>
      <c r="AF38" s="12">
        <v>64</v>
      </c>
    </row>
    <row r="39" spans="1:32" ht="21.5" x14ac:dyDescent="0.35">
      <c r="A39" s="19"/>
      <c r="B39" s="13" t="s">
        <v>958</v>
      </c>
      <c r="C39" s="15">
        <v>7.0000000000000007E-2</v>
      </c>
      <c r="D39" s="15">
        <v>0.05</v>
      </c>
      <c r="E39" s="15">
        <v>0.05</v>
      </c>
      <c r="F39" s="15">
        <v>7.0000000000000007E-2</v>
      </c>
      <c r="G39" s="15">
        <v>7.0000000000000007E-2</v>
      </c>
      <c r="H39" s="15">
        <v>0.09</v>
      </c>
      <c r="I39" s="15">
        <v>0.09</v>
      </c>
      <c r="J39" s="15">
        <v>0.08</v>
      </c>
      <c r="K39" s="15">
        <v>0.05</v>
      </c>
      <c r="L39" s="15">
        <v>0.03</v>
      </c>
      <c r="M39" s="15">
        <v>0.03</v>
      </c>
      <c r="N39" s="15">
        <v>0.06</v>
      </c>
      <c r="O39" s="15">
        <v>0.06</v>
      </c>
      <c r="P39" s="15">
        <v>0.1</v>
      </c>
      <c r="Q39" s="15">
        <v>7.0000000000000007E-2</v>
      </c>
      <c r="R39" s="15">
        <v>0.02</v>
      </c>
      <c r="S39" s="15">
        <v>0.08</v>
      </c>
      <c r="T39" s="15">
        <v>0.04</v>
      </c>
      <c r="U39" s="15">
        <v>0.05</v>
      </c>
      <c r="V39" s="15">
        <v>0.05</v>
      </c>
      <c r="W39" s="15">
        <v>0.05</v>
      </c>
      <c r="X39" s="15">
        <v>0.06</v>
      </c>
      <c r="Y39" s="15">
        <v>0.09</v>
      </c>
      <c r="Z39" s="15">
        <v>0.08</v>
      </c>
      <c r="AA39" s="15">
        <v>0.12</v>
      </c>
      <c r="AB39" s="15">
        <v>7.0000000000000007E-2</v>
      </c>
      <c r="AC39" s="15">
        <v>7.0000000000000007E-2</v>
      </c>
      <c r="AD39" s="15">
        <v>0.06</v>
      </c>
      <c r="AE39" s="15">
        <v>0.03</v>
      </c>
      <c r="AF39" s="15">
        <v>0.06</v>
      </c>
    </row>
    <row r="40" spans="1:32" x14ac:dyDescent="0.35">
      <c r="A40" s="19"/>
      <c r="B40" s="11" t="s">
        <v>611</v>
      </c>
      <c r="C40" s="12">
        <v>158</v>
      </c>
      <c r="D40" s="12">
        <v>0</v>
      </c>
      <c r="E40" s="12">
        <v>3</v>
      </c>
      <c r="F40" s="12">
        <v>0</v>
      </c>
      <c r="G40" s="12">
        <v>0</v>
      </c>
      <c r="H40" s="12">
        <v>22</v>
      </c>
      <c r="I40" s="12">
        <v>22</v>
      </c>
      <c r="J40" s="12">
        <v>0</v>
      </c>
      <c r="K40" s="12">
        <v>20</v>
      </c>
      <c r="L40" s="12">
        <v>2</v>
      </c>
      <c r="M40" s="12">
        <v>5</v>
      </c>
      <c r="N40" s="12">
        <v>4</v>
      </c>
      <c r="O40" s="12">
        <v>7</v>
      </c>
      <c r="P40" s="12">
        <v>0</v>
      </c>
      <c r="Q40" s="12">
        <v>7</v>
      </c>
      <c r="R40" s="12">
        <v>0</v>
      </c>
      <c r="S40" s="12">
        <v>4</v>
      </c>
      <c r="T40" s="12">
        <v>4</v>
      </c>
      <c r="U40" s="12">
        <v>4</v>
      </c>
      <c r="V40" s="12">
        <v>0</v>
      </c>
      <c r="W40" s="12">
        <v>2</v>
      </c>
      <c r="X40" s="12">
        <v>2</v>
      </c>
      <c r="Y40" s="12">
        <v>17</v>
      </c>
      <c r="Z40" s="12">
        <v>1</v>
      </c>
      <c r="AA40" s="12">
        <v>3</v>
      </c>
      <c r="AB40" s="12">
        <v>1</v>
      </c>
      <c r="AC40" s="12">
        <v>2</v>
      </c>
      <c r="AD40" s="12">
        <v>4</v>
      </c>
      <c r="AE40" s="12">
        <v>1</v>
      </c>
      <c r="AF40" s="12">
        <v>2</v>
      </c>
    </row>
    <row r="41" spans="1:32" x14ac:dyDescent="0.35">
      <c r="A41" s="19"/>
      <c r="B41" s="13" t="s">
        <v>612</v>
      </c>
      <c r="C41" s="15">
        <v>0.01</v>
      </c>
      <c r="D41" s="14" t="s">
        <v>475</v>
      </c>
      <c r="E41" s="14" t="s">
        <v>475</v>
      </c>
      <c r="F41" s="14" t="s">
        <v>475</v>
      </c>
      <c r="G41" s="14" t="s">
        <v>475</v>
      </c>
      <c r="H41" s="15">
        <v>0.02</v>
      </c>
      <c r="I41" s="15">
        <v>0.02</v>
      </c>
      <c r="J41" s="14" t="s">
        <v>475</v>
      </c>
      <c r="K41" s="15">
        <v>0.02</v>
      </c>
      <c r="L41" s="14" t="s">
        <v>475</v>
      </c>
      <c r="M41" s="14" t="s">
        <v>475</v>
      </c>
      <c r="N41" s="14" t="s">
        <v>475</v>
      </c>
      <c r="O41" s="15">
        <v>0.01</v>
      </c>
      <c r="P41" s="14" t="s">
        <v>475</v>
      </c>
      <c r="Q41" s="15">
        <v>0.01</v>
      </c>
      <c r="R41" s="14" t="s">
        <v>475</v>
      </c>
      <c r="S41" s="14" t="s">
        <v>475</v>
      </c>
      <c r="T41" s="14" t="s">
        <v>475</v>
      </c>
      <c r="U41" s="15">
        <v>0.01</v>
      </c>
      <c r="V41" s="14" t="s">
        <v>475</v>
      </c>
      <c r="W41" s="14" t="s">
        <v>475</v>
      </c>
      <c r="X41" s="14" t="s">
        <v>475</v>
      </c>
      <c r="Y41" s="15">
        <v>0.02</v>
      </c>
      <c r="Z41" s="14" t="s">
        <v>475</v>
      </c>
      <c r="AA41" s="14" t="s">
        <v>475</v>
      </c>
      <c r="AB41" s="14" t="s">
        <v>475</v>
      </c>
      <c r="AC41" s="14" t="s">
        <v>475</v>
      </c>
      <c r="AD41" s="14" t="s">
        <v>475</v>
      </c>
      <c r="AE41" s="14" t="s">
        <v>475</v>
      </c>
      <c r="AF41" s="14" t="s">
        <v>475</v>
      </c>
    </row>
    <row r="42" spans="1:32" x14ac:dyDescent="0.35">
      <c r="A42" s="19"/>
      <c r="B42" s="11" t="s">
        <v>613</v>
      </c>
      <c r="C42" s="12">
        <v>206</v>
      </c>
      <c r="D42" s="12">
        <v>3</v>
      </c>
      <c r="E42" s="12">
        <v>5</v>
      </c>
      <c r="F42" s="12">
        <v>0</v>
      </c>
      <c r="G42" s="12">
        <v>9</v>
      </c>
      <c r="H42" s="12">
        <v>19</v>
      </c>
      <c r="I42" s="12">
        <v>20</v>
      </c>
      <c r="J42" s="12">
        <v>1</v>
      </c>
      <c r="K42" s="12">
        <v>5</v>
      </c>
      <c r="L42" s="12">
        <v>3</v>
      </c>
      <c r="M42" s="12">
        <v>6</v>
      </c>
      <c r="N42" s="12">
        <v>10</v>
      </c>
      <c r="O42" s="12">
        <v>8</v>
      </c>
      <c r="P42" s="12">
        <v>2</v>
      </c>
      <c r="Q42" s="12">
        <v>8</v>
      </c>
      <c r="R42" s="12">
        <v>1</v>
      </c>
      <c r="S42" s="12">
        <v>14</v>
      </c>
      <c r="T42" s="12">
        <v>4</v>
      </c>
      <c r="U42" s="12">
        <v>9</v>
      </c>
      <c r="V42" s="12">
        <v>1</v>
      </c>
      <c r="W42" s="12">
        <v>8</v>
      </c>
      <c r="X42" s="12">
        <v>9</v>
      </c>
      <c r="Y42" s="12">
        <v>4</v>
      </c>
      <c r="Z42" s="12">
        <v>3</v>
      </c>
      <c r="AA42" s="12">
        <v>1</v>
      </c>
      <c r="AB42" s="12">
        <v>3</v>
      </c>
      <c r="AC42" s="12">
        <v>6</v>
      </c>
      <c r="AD42" s="12">
        <v>0</v>
      </c>
      <c r="AE42" s="12">
        <v>7</v>
      </c>
      <c r="AF42" s="12">
        <v>27</v>
      </c>
    </row>
    <row r="43" spans="1:32" x14ac:dyDescent="0.35">
      <c r="A43" s="19"/>
      <c r="B43" s="13" t="s">
        <v>614</v>
      </c>
      <c r="C43" s="15">
        <v>0.01</v>
      </c>
      <c r="D43" s="14" t="s">
        <v>475</v>
      </c>
      <c r="E43" s="14" t="s">
        <v>475</v>
      </c>
      <c r="F43" s="14" t="s">
        <v>475</v>
      </c>
      <c r="G43" s="15">
        <v>0.01</v>
      </c>
      <c r="H43" s="15">
        <v>0.02</v>
      </c>
      <c r="I43" s="15">
        <v>0.01</v>
      </c>
      <c r="J43" s="14" t="s">
        <v>475</v>
      </c>
      <c r="K43" s="15">
        <v>0.01</v>
      </c>
      <c r="L43" s="14" t="s">
        <v>475</v>
      </c>
      <c r="M43" s="15">
        <v>0.01</v>
      </c>
      <c r="N43" s="15">
        <v>0.01</v>
      </c>
      <c r="O43" s="15">
        <v>0.01</v>
      </c>
      <c r="P43" s="14" t="s">
        <v>475</v>
      </c>
      <c r="Q43" s="15">
        <v>0.01</v>
      </c>
      <c r="R43" s="14" t="s">
        <v>475</v>
      </c>
      <c r="S43" s="15">
        <v>0.01</v>
      </c>
      <c r="T43" s="14" t="s">
        <v>475</v>
      </c>
      <c r="U43" s="15">
        <v>0.02</v>
      </c>
      <c r="V43" s="14" t="s">
        <v>475</v>
      </c>
      <c r="W43" s="15">
        <v>0.02</v>
      </c>
      <c r="X43" s="15">
        <v>0.01</v>
      </c>
      <c r="Y43" s="14" t="s">
        <v>475</v>
      </c>
      <c r="Z43" s="14" t="s">
        <v>475</v>
      </c>
      <c r="AA43" s="14" t="s">
        <v>475</v>
      </c>
      <c r="AB43" s="14" t="s">
        <v>475</v>
      </c>
      <c r="AC43" s="15">
        <v>0.01</v>
      </c>
      <c r="AD43" s="14" t="s">
        <v>475</v>
      </c>
      <c r="AE43" s="15">
        <v>0.01</v>
      </c>
      <c r="AF43" s="15">
        <v>0.03</v>
      </c>
    </row>
    <row r="44" spans="1:32" x14ac:dyDescent="0.35">
      <c r="A44" s="19"/>
      <c r="B44" s="11" t="s">
        <v>485</v>
      </c>
      <c r="C44" s="12">
        <v>205</v>
      </c>
      <c r="D44" s="12">
        <v>2</v>
      </c>
      <c r="E44" s="12">
        <v>8</v>
      </c>
      <c r="F44" s="12">
        <v>13</v>
      </c>
      <c r="G44" s="12">
        <v>7</v>
      </c>
      <c r="H44" s="12">
        <v>6</v>
      </c>
      <c r="I44" s="12">
        <v>6</v>
      </c>
      <c r="J44" s="12">
        <v>0</v>
      </c>
      <c r="K44" s="12">
        <v>8</v>
      </c>
      <c r="L44" s="12">
        <v>6</v>
      </c>
      <c r="M44" s="12">
        <v>2</v>
      </c>
      <c r="N44" s="12">
        <v>16</v>
      </c>
      <c r="O44" s="12">
        <v>10</v>
      </c>
      <c r="P44" s="12">
        <v>1</v>
      </c>
      <c r="Q44" s="12">
        <v>3</v>
      </c>
      <c r="R44" s="12">
        <v>0</v>
      </c>
      <c r="S44" s="12">
        <v>56</v>
      </c>
      <c r="T44" s="12">
        <v>8</v>
      </c>
      <c r="U44" s="12">
        <v>3</v>
      </c>
      <c r="V44" s="12">
        <v>3</v>
      </c>
      <c r="W44" s="12">
        <v>1</v>
      </c>
      <c r="X44" s="12">
        <v>8</v>
      </c>
      <c r="Y44" s="12">
        <v>5</v>
      </c>
      <c r="Z44" s="12">
        <v>13</v>
      </c>
      <c r="AA44" s="12">
        <v>7</v>
      </c>
      <c r="AB44" s="12">
        <v>5</v>
      </c>
      <c r="AC44" s="12">
        <v>10</v>
      </c>
      <c r="AD44" s="12">
        <v>4</v>
      </c>
      <c r="AE44" s="12">
        <v>30</v>
      </c>
      <c r="AF44" s="12">
        <v>5</v>
      </c>
    </row>
    <row r="45" spans="1:32" x14ac:dyDescent="0.35">
      <c r="A45" s="19"/>
      <c r="B45" s="13" t="s">
        <v>486</v>
      </c>
      <c r="C45" s="15">
        <v>0.01</v>
      </c>
      <c r="D45" s="14" t="s">
        <v>475</v>
      </c>
      <c r="E45" s="15">
        <v>0.01</v>
      </c>
      <c r="F45" s="15">
        <v>0.01</v>
      </c>
      <c r="G45" s="15">
        <v>0.01</v>
      </c>
      <c r="H45" s="15">
        <v>0.01</v>
      </c>
      <c r="I45" s="14" t="s">
        <v>475</v>
      </c>
      <c r="J45" s="14" t="s">
        <v>475</v>
      </c>
      <c r="K45" s="15">
        <v>0.01</v>
      </c>
      <c r="L45" s="15">
        <v>0.01</v>
      </c>
      <c r="M45" s="14" t="s">
        <v>475</v>
      </c>
      <c r="N45" s="15">
        <v>0.02</v>
      </c>
      <c r="O45" s="15">
        <v>0.01</v>
      </c>
      <c r="P45" s="14" t="s">
        <v>475</v>
      </c>
      <c r="Q45" s="14" t="s">
        <v>475</v>
      </c>
      <c r="R45" s="14" t="s">
        <v>475</v>
      </c>
      <c r="S45" s="15">
        <v>0.06</v>
      </c>
      <c r="T45" s="15">
        <v>0.01</v>
      </c>
      <c r="U45" s="15">
        <v>0.01</v>
      </c>
      <c r="V45" s="14" t="s">
        <v>475</v>
      </c>
      <c r="W45" s="14" t="s">
        <v>475</v>
      </c>
      <c r="X45" s="15">
        <v>0.01</v>
      </c>
      <c r="Y45" s="14" t="s">
        <v>475</v>
      </c>
      <c r="Z45" s="15">
        <v>0.01</v>
      </c>
      <c r="AA45" s="15">
        <v>0.01</v>
      </c>
      <c r="AB45" s="14" t="s">
        <v>475</v>
      </c>
      <c r="AC45" s="15">
        <v>0.01</v>
      </c>
      <c r="AD45" s="14" t="s">
        <v>475</v>
      </c>
      <c r="AE45" s="15">
        <v>0.03</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4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185</v>
      </c>
      <c r="C3" s="18"/>
      <c r="D3" s="18"/>
      <c r="E3" s="18"/>
      <c r="F3" s="18"/>
      <c r="H3" s="18" t="s">
        <v>186</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19"/>
      <c r="B12" s="11" t="s">
        <v>961</v>
      </c>
      <c r="C12" s="12">
        <v>4103</v>
      </c>
      <c r="D12" s="12">
        <v>158</v>
      </c>
      <c r="E12" s="12">
        <v>144</v>
      </c>
      <c r="F12" s="12">
        <v>169</v>
      </c>
      <c r="G12" s="12">
        <v>286</v>
      </c>
      <c r="H12" s="12">
        <v>167</v>
      </c>
      <c r="I12" s="12">
        <v>214</v>
      </c>
      <c r="J12" s="12">
        <v>48</v>
      </c>
      <c r="K12" s="12">
        <v>94</v>
      </c>
      <c r="L12" s="12">
        <v>158</v>
      </c>
      <c r="M12" s="12">
        <v>189</v>
      </c>
      <c r="N12" s="12">
        <v>76</v>
      </c>
      <c r="O12" s="12">
        <v>115</v>
      </c>
      <c r="P12" s="12">
        <v>206</v>
      </c>
      <c r="Q12" s="12">
        <v>211</v>
      </c>
      <c r="R12" s="12">
        <v>75</v>
      </c>
      <c r="S12" s="12">
        <v>40</v>
      </c>
      <c r="T12" s="12">
        <v>105</v>
      </c>
      <c r="U12" s="12">
        <v>59</v>
      </c>
      <c r="V12" s="12">
        <v>232</v>
      </c>
      <c r="W12" s="12">
        <v>133</v>
      </c>
      <c r="X12" s="12">
        <v>261</v>
      </c>
      <c r="Y12" s="12">
        <v>215</v>
      </c>
      <c r="Z12" s="12">
        <v>144</v>
      </c>
      <c r="AA12" s="12">
        <v>67</v>
      </c>
      <c r="AB12" s="12">
        <v>209</v>
      </c>
      <c r="AC12" s="12">
        <v>165</v>
      </c>
      <c r="AD12" s="12">
        <v>164</v>
      </c>
      <c r="AE12" s="12">
        <v>155</v>
      </c>
      <c r="AF12" s="12">
        <v>311</v>
      </c>
    </row>
    <row r="13" spans="1:32" ht="31.5" x14ac:dyDescent="0.35">
      <c r="A13" s="19"/>
      <c r="B13" s="13" t="s">
        <v>964</v>
      </c>
      <c r="C13" s="15">
        <v>0.16</v>
      </c>
      <c r="D13" s="15">
        <v>0.16</v>
      </c>
      <c r="E13" s="15">
        <v>0.14000000000000001</v>
      </c>
      <c r="F13" s="15">
        <v>0.15</v>
      </c>
      <c r="G13" s="15">
        <v>0.28000000000000003</v>
      </c>
      <c r="H13" s="15">
        <v>0.14000000000000001</v>
      </c>
      <c r="I13" s="15">
        <v>0.14000000000000001</v>
      </c>
      <c r="J13" s="15">
        <v>0.16</v>
      </c>
      <c r="K13" s="15">
        <v>0.09</v>
      </c>
      <c r="L13" s="15">
        <v>0.16</v>
      </c>
      <c r="M13" s="15">
        <v>0.19</v>
      </c>
      <c r="N13" s="15">
        <v>0.08</v>
      </c>
      <c r="O13" s="15">
        <v>0.11</v>
      </c>
      <c r="P13" s="15">
        <v>0.21</v>
      </c>
      <c r="Q13" s="15">
        <v>0.21</v>
      </c>
      <c r="R13" s="15">
        <v>0.15</v>
      </c>
      <c r="S13" s="15">
        <v>0.04</v>
      </c>
      <c r="T13" s="15">
        <v>0.1</v>
      </c>
      <c r="U13" s="15">
        <v>0.12</v>
      </c>
      <c r="V13" s="15">
        <v>0.23</v>
      </c>
      <c r="W13" s="15">
        <v>0.26</v>
      </c>
      <c r="X13" s="15">
        <v>0.26</v>
      </c>
      <c r="Y13" s="15">
        <v>0.21</v>
      </c>
      <c r="Z13" s="15">
        <v>0.14000000000000001</v>
      </c>
      <c r="AA13" s="15">
        <v>0.06</v>
      </c>
      <c r="AB13" s="15">
        <v>0.2</v>
      </c>
      <c r="AC13" s="15">
        <v>0.16</v>
      </c>
      <c r="AD13" s="15">
        <v>0.16</v>
      </c>
      <c r="AE13" s="15">
        <v>0.15</v>
      </c>
      <c r="AF13" s="15">
        <v>0.3</v>
      </c>
    </row>
    <row r="14" spans="1:32" ht="31.5" x14ac:dyDescent="0.35">
      <c r="A14" s="19"/>
      <c r="B14" s="11" t="s">
        <v>933</v>
      </c>
      <c r="C14" s="12">
        <v>2723</v>
      </c>
      <c r="D14" s="12">
        <v>77</v>
      </c>
      <c r="E14" s="12">
        <v>128</v>
      </c>
      <c r="F14" s="12">
        <v>128</v>
      </c>
      <c r="G14" s="12">
        <v>107</v>
      </c>
      <c r="H14" s="12">
        <v>68</v>
      </c>
      <c r="I14" s="12">
        <v>96</v>
      </c>
      <c r="J14" s="12">
        <v>28</v>
      </c>
      <c r="K14" s="12">
        <v>99</v>
      </c>
      <c r="L14" s="12">
        <v>69</v>
      </c>
      <c r="M14" s="12">
        <v>210</v>
      </c>
      <c r="N14" s="12">
        <v>99</v>
      </c>
      <c r="O14" s="12">
        <v>84</v>
      </c>
      <c r="P14" s="12">
        <v>147</v>
      </c>
      <c r="Q14" s="12">
        <v>142</v>
      </c>
      <c r="R14" s="12">
        <v>36</v>
      </c>
      <c r="S14" s="12">
        <v>111</v>
      </c>
      <c r="T14" s="12">
        <v>86</v>
      </c>
      <c r="U14" s="12">
        <v>30</v>
      </c>
      <c r="V14" s="12">
        <v>135</v>
      </c>
      <c r="W14" s="12">
        <v>77</v>
      </c>
      <c r="X14" s="12">
        <v>51</v>
      </c>
      <c r="Y14" s="12">
        <v>145</v>
      </c>
      <c r="Z14" s="12">
        <v>125</v>
      </c>
      <c r="AA14" s="12">
        <v>87</v>
      </c>
      <c r="AB14" s="12">
        <v>187</v>
      </c>
      <c r="AC14" s="12">
        <v>132</v>
      </c>
      <c r="AD14" s="12">
        <v>160</v>
      </c>
      <c r="AE14" s="12">
        <v>93</v>
      </c>
      <c r="AF14" s="12">
        <v>83</v>
      </c>
    </row>
    <row r="15" spans="1:32" ht="31.5" x14ac:dyDescent="0.35">
      <c r="A15" s="19"/>
      <c r="B15" s="13" t="s">
        <v>934</v>
      </c>
      <c r="C15" s="15">
        <v>0.1</v>
      </c>
      <c r="D15" s="15">
        <v>0.08</v>
      </c>
      <c r="E15" s="15">
        <v>0.12</v>
      </c>
      <c r="F15" s="15">
        <v>0.12</v>
      </c>
      <c r="G15" s="15">
        <v>0.11</v>
      </c>
      <c r="H15" s="15">
        <v>0.06</v>
      </c>
      <c r="I15" s="15">
        <v>0.06</v>
      </c>
      <c r="J15" s="15">
        <v>0.1</v>
      </c>
      <c r="K15" s="15">
        <v>0.1</v>
      </c>
      <c r="L15" s="15">
        <v>7.0000000000000007E-2</v>
      </c>
      <c r="M15" s="15">
        <v>0.21</v>
      </c>
      <c r="N15" s="15">
        <v>0.1</v>
      </c>
      <c r="O15" s="15">
        <v>0.08</v>
      </c>
      <c r="P15" s="15">
        <v>0.15</v>
      </c>
      <c r="Q15" s="15">
        <v>0.14000000000000001</v>
      </c>
      <c r="R15" s="15">
        <v>7.0000000000000007E-2</v>
      </c>
      <c r="S15" s="15">
        <v>0.11</v>
      </c>
      <c r="T15" s="15">
        <v>0.09</v>
      </c>
      <c r="U15" s="15">
        <v>0.06</v>
      </c>
      <c r="V15" s="15">
        <v>0.13</v>
      </c>
      <c r="W15" s="15">
        <v>0.15</v>
      </c>
      <c r="X15" s="15">
        <v>0.05</v>
      </c>
      <c r="Y15" s="15">
        <v>0.14000000000000001</v>
      </c>
      <c r="Z15" s="15">
        <v>0.12</v>
      </c>
      <c r="AA15" s="15">
        <v>0.08</v>
      </c>
      <c r="AB15" s="15">
        <v>0.18</v>
      </c>
      <c r="AC15" s="15">
        <v>0.13</v>
      </c>
      <c r="AD15" s="15">
        <v>0.16</v>
      </c>
      <c r="AE15" s="15">
        <v>0.09</v>
      </c>
      <c r="AF15" s="15">
        <v>0.08</v>
      </c>
    </row>
    <row r="16" spans="1:32" ht="21.5" x14ac:dyDescent="0.35">
      <c r="A16" s="19"/>
      <c r="B16" s="11" t="s">
        <v>935</v>
      </c>
      <c r="C16" s="12">
        <v>3457</v>
      </c>
      <c r="D16" s="12">
        <v>118</v>
      </c>
      <c r="E16" s="12">
        <v>300</v>
      </c>
      <c r="F16" s="12">
        <v>203</v>
      </c>
      <c r="G16" s="12">
        <v>163</v>
      </c>
      <c r="H16" s="12">
        <v>88</v>
      </c>
      <c r="I16" s="12">
        <v>122</v>
      </c>
      <c r="J16" s="12">
        <v>33</v>
      </c>
      <c r="K16" s="12">
        <v>173</v>
      </c>
      <c r="L16" s="12">
        <v>77</v>
      </c>
      <c r="M16" s="12">
        <v>144</v>
      </c>
      <c r="N16" s="12">
        <v>113</v>
      </c>
      <c r="O16" s="12">
        <v>108</v>
      </c>
      <c r="P16" s="12">
        <v>185</v>
      </c>
      <c r="Q16" s="12">
        <v>141</v>
      </c>
      <c r="R16" s="12">
        <v>36</v>
      </c>
      <c r="S16" s="12">
        <v>166</v>
      </c>
      <c r="T16" s="12">
        <v>228</v>
      </c>
      <c r="U16" s="12">
        <v>61</v>
      </c>
      <c r="V16" s="12">
        <v>165</v>
      </c>
      <c r="W16" s="12">
        <v>33</v>
      </c>
      <c r="X16" s="12">
        <v>70</v>
      </c>
      <c r="Y16" s="12">
        <v>122</v>
      </c>
      <c r="Z16" s="12">
        <v>162</v>
      </c>
      <c r="AA16" s="12">
        <v>309</v>
      </c>
      <c r="AB16" s="12">
        <v>234</v>
      </c>
      <c r="AC16" s="12">
        <v>134</v>
      </c>
      <c r="AD16" s="12">
        <v>334</v>
      </c>
      <c r="AE16" s="12">
        <v>163</v>
      </c>
      <c r="AF16" s="12">
        <v>77</v>
      </c>
    </row>
    <row r="17" spans="1:32" ht="21.5" x14ac:dyDescent="0.35">
      <c r="A17" s="19"/>
      <c r="B17" s="13" t="s">
        <v>936</v>
      </c>
      <c r="C17" s="15">
        <v>0.13</v>
      </c>
      <c r="D17" s="15">
        <v>0.12</v>
      </c>
      <c r="E17" s="15">
        <v>0.28999999999999998</v>
      </c>
      <c r="F17" s="15">
        <v>0.18</v>
      </c>
      <c r="G17" s="15">
        <v>0.16</v>
      </c>
      <c r="H17" s="15">
        <v>7.0000000000000007E-2</v>
      </c>
      <c r="I17" s="15">
        <v>0.08</v>
      </c>
      <c r="J17" s="15">
        <v>0.11</v>
      </c>
      <c r="K17" s="15">
        <v>0.17</v>
      </c>
      <c r="L17" s="15">
        <v>0.08</v>
      </c>
      <c r="M17" s="15">
        <v>0.14000000000000001</v>
      </c>
      <c r="N17" s="15">
        <v>0.11</v>
      </c>
      <c r="O17" s="15">
        <v>0.11</v>
      </c>
      <c r="P17" s="15">
        <v>0.18</v>
      </c>
      <c r="Q17" s="15">
        <v>0.14000000000000001</v>
      </c>
      <c r="R17" s="15">
        <v>7.0000000000000007E-2</v>
      </c>
      <c r="S17" s="15">
        <v>0.17</v>
      </c>
      <c r="T17" s="15">
        <v>0.23</v>
      </c>
      <c r="U17" s="15">
        <v>0.12</v>
      </c>
      <c r="V17" s="15">
        <v>0.16</v>
      </c>
      <c r="W17" s="15">
        <v>7.0000000000000007E-2</v>
      </c>
      <c r="X17" s="15">
        <v>7.0000000000000007E-2</v>
      </c>
      <c r="Y17" s="15">
        <v>0.12</v>
      </c>
      <c r="Z17" s="15">
        <v>0.16</v>
      </c>
      <c r="AA17" s="15">
        <v>0.3</v>
      </c>
      <c r="AB17" s="15">
        <v>0.22</v>
      </c>
      <c r="AC17" s="15">
        <v>0.13</v>
      </c>
      <c r="AD17" s="15">
        <v>0.33</v>
      </c>
      <c r="AE17" s="15">
        <v>0.16</v>
      </c>
      <c r="AF17" s="15">
        <v>7.0000000000000007E-2</v>
      </c>
    </row>
    <row r="18" spans="1:32" ht="21.5" x14ac:dyDescent="0.35">
      <c r="A18" s="19"/>
      <c r="B18" s="11" t="s">
        <v>937</v>
      </c>
      <c r="C18" s="12">
        <v>6756</v>
      </c>
      <c r="D18" s="12">
        <v>254</v>
      </c>
      <c r="E18" s="12">
        <v>373</v>
      </c>
      <c r="F18" s="12">
        <v>189</v>
      </c>
      <c r="G18" s="12">
        <v>121</v>
      </c>
      <c r="H18" s="12">
        <v>168</v>
      </c>
      <c r="I18" s="12">
        <v>216</v>
      </c>
      <c r="J18" s="12">
        <v>48</v>
      </c>
      <c r="K18" s="12">
        <v>304</v>
      </c>
      <c r="L18" s="12">
        <v>269</v>
      </c>
      <c r="M18" s="12">
        <v>443</v>
      </c>
      <c r="N18" s="12">
        <v>366</v>
      </c>
      <c r="O18" s="12">
        <v>244</v>
      </c>
      <c r="P18" s="12">
        <v>294</v>
      </c>
      <c r="Q18" s="12">
        <v>385</v>
      </c>
      <c r="R18" s="12">
        <v>195</v>
      </c>
      <c r="S18" s="12">
        <v>318</v>
      </c>
      <c r="T18" s="12">
        <v>275</v>
      </c>
      <c r="U18" s="12">
        <v>134</v>
      </c>
      <c r="V18" s="12">
        <v>268</v>
      </c>
      <c r="W18" s="12">
        <v>129</v>
      </c>
      <c r="X18" s="12">
        <v>69</v>
      </c>
      <c r="Y18" s="12">
        <v>227</v>
      </c>
      <c r="Z18" s="12">
        <v>230</v>
      </c>
      <c r="AA18" s="12">
        <v>379</v>
      </c>
      <c r="AB18" s="12">
        <v>305</v>
      </c>
      <c r="AC18" s="12">
        <v>167</v>
      </c>
      <c r="AD18" s="12">
        <v>231</v>
      </c>
      <c r="AE18" s="12">
        <v>278</v>
      </c>
      <c r="AF18" s="12">
        <v>193</v>
      </c>
    </row>
    <row r="19" spans="1:32" ht="21.5" x14ac:dyDescent="0.35">
      <c r="A19" s="19"/>
      <c r="B19" s="13" t="s">
        <v>938</v>
      </c>
      <c r="C19" s="15">
        <v>0.26</v>
      </c>
      <c r="D19" s="15">
        <v>0.25</v>
      </c>
      <c r="E19" s="15">
        <v>0.36</v>
      </c>
      <c r="F19" s="15">
        <v>0.17</v>
      </c>
      <c r="G19" s="15">
        <v>0.12</v>
      </c>
      <c r="H19" s="15">
        <v>0.14000000000000001</v>
      </c>
      <c r="I19" s="15">
        <v>0.14000000000000001</v>
      </c>
      <c r="J19" s="15">
        <v>0.16</v>
      </c>
      <c r="K19" s="15">
        <v>0.3</v>
      </c>
      <c r="L19" s="15">
        <v>0.27</v>
      </c>
      <c r="M19" s="15">
        <v>0.44</v>
      </c>
      <c r="N19" s="15">
        <v>0.36</v>
      </c>
      <c r="O19" s="15">
        <v>0.24</v>
      </c>
      <c r="P19" s="15">
        <v>0.28999999999999998</v>
      </c>
      <c r="Q19" s="15">
        <v>0.37</v>
      </c>
      <c r="R19" s="15">
        <v>0.39</v>
      </c>
      <c r="S19" s="15">
        <v>0.32</v>
      </c>
      <c r="T19" s="15">
        <v>0.27</v>
      </c>
      <c r="U19" s="15">
        <v>0.26</v>
      </c>
      <c r="V19" s="15">
        <v>0.26</v>
      </c>
      <c r="W19" s="15">
        <v>0.25</v>
      </c>
      <c r="X19" s="15">
        <v>7.0000000000000007E-2</v>
      </c>
      <c r="Y19" s="15">
        <v>0.23</v>
      </c>
      <c r="Z19" s="15">
        <v>0.22</v>
      </c>
      <c r="AA19" s="15">
        <v>0.37</v>
      </c>
      <c r="AB19" s="15">
        <v>0.28999999999999998</v>
      </c>
      <c r="AC19" s="15">
        <v>0.17</v>
      </c>
      <c r="AD19" s="15">
        <v>0.23</v>
      </c>
      <c r="AE19" s="15">
        <v>0.27</v>
      </c>
      <c r="AF19" s="15">
        <v>0.18</v>
      </c>
    </row>
    <row r="20" spans="1:32" ht="21.5" x14ac:dyDescent="0.35">
      <c r="A20" s="19"/>
      <c r="B20" s="11" t="s">
        <v>939</v>
      </c>
      <c r="C20" s="12">
        <v>6408</v>
      </c>
      <c r="D20" s="12">
        <v>259</v>
      </c>
      <c r="E20" s="12">
        <v>120</v>
      </c>
      <c r="F20" s="12">
        <v>207</v>
      </c>
      <c r="G20" s="12">
        <v>234</v>
      </c>
      <c r="H20" s="12">
        <v>318</v>
      </c>
      <c r="I20" s="12">
        <v>411</v>
      </c>
      <c r="J20" s="12">
        <v>93</v>
      </c>
      <c r="K20" s="12">
        <v>164</v>
      </c>
      <c r="L20" s="12">
        <v>386</v>
      </c>
      <c r="M20" s="12">
        <v>224</v>
      </c>
      <c r="N20" s="12">
        <v>229</v>
      </c>
      <c r="O20" s="12">
        <v>277</v>
      </c>
      <c r="P20" s="12">
        <v>137</v>
      </c>
      <c r="Q20" s="12">
        <v>357</v>
      </c>
      <c r="R20" s="12">
        <v>170</v>
      </c>
      <c r="S20" s="12">
        <v>136</v>
      </c>
      <c r="T20" s="12">
        <v>209</v>
      </c>
      <c r="U20" s="12">
        <v>128</v>
      </c>
      <c r="V20" s="12">
        <v>177</v>
      </c>
      <c r="W20" s="12">
        <v>137</v>
      </c>
      <c r="X20" s="12">
        <v>207</v>
      </c>
      <c r="Y20" s="12">
        <v>263</v>
      </c>
      <c r="Z20" s="12">
        <v>188</v>
      </c>
      <c r="AA20" s="12">
        <v>192</v>
      </c>
      <c r="AB20" s="12">
        <v>113</v>
      </c>
      <c r="AC20" s="12">
        <v>195</v>
      </c>
      <c r="AD20" s="12">
        <v>141</v>
      </c>
      <c r="AE20" s="12">
        <v>178</v>
      </c>
      <c r="AF20" s="12">
        <v>115</v>
      </c>
    </row>
    <row r="21" spans="1:32" ht="21.5" x14ac:dyDescent="0.35">
      <c r="A21" s="19"/>
      <c r="B21" s="13" t="s">
        <v>940</v>
      </c>
      <c r="C21" s="15">
        <v>0.24</v>
      </c>
      <c r="D21" s="15">
        <v>0.26</v>
      </c>
      <c r="E21" s="15">
        <v>0.12</v>
      </c>
      <c r="F21" s="15">
        <v>0.19</v>
      </c>
      <c r="G21" s="15">
        <v>0.23</v>
      </c>
      <c r="H21" s="15">
        <v>0.26</v>
      </c>
      <c r="I21" s="15">
        <v>0.27</v>
      </c>
      <c r="J21" s="15">
        <v>0.32</v>
      </c>
      <c r="K21" s="15">
        <v>0.16</v>
      </c>
      <c r="L21" s="15">
        <v>0.39</v>
      </c>
      <c r="M21" s="15">
        <v>0.22</v>
      </c>
      <c r="N21" s="15">
        <v>0.23</v>
      </c>
      <c r="O21" s="15">
        <v>0.28000000000000003</v>
      </c>
      <c r="P21" s="15">
        <v>0.14000000000000001</v>
      </c>
      <c r="Q21" s="15">
        <v>0.35</v>
      </c>
      <c r="R21" s="15">
        <v>0.34</v>
      </c>
      <c r="S21" s="15">
        <v>0.14000000000000001</v>
      </c>
      <c r="T21" s="15">
        <v>0.21</v>
      </c>
      <c r="U21" s="15">
        <v>0.25</v>
      </c>
      <c r="V21" s="15">
        <v>0.17</v>
      </c>
      <c r="W21" s="15">
        <v>0.27</v>
      </c>
      <c r="X21" s="15">
        <v>0.21</v>
      </c>
      <c r="Y21" s="15">
        <v>0.26</v>
      </c>
      <c r="Z21" s="15">
        <v>0.18</v>
      </c>
      <c r="AA21" s="15">
        <v>0.19</v>
      </c>
      <c r="AB21" s="15">
        <v>0.11</v>
      </c>
      <c r="AC21" s="15">
        <v>0.19</v>
      </c>
      <c r="AD21" s="15">
        <v>0.14000000000000001</v>
      </c>
      <c r="AE21" s="15">
        <v>0.18</v>
      </c>
      <c r="AF21" s="15">
        <v>0.11</v>
      </c>
    </row>
    <row r="22" spans="1:32" x14ac:dyDescent="0.35">
      <c r="A22" s="19"/>
      <c r="B22" s="11" t="s">
        <v>941</v>
      </c>
      <c r="C22" s="12">
        <v>11127</v>
      </c>
      <c r="D22" s="12">
        <v>411</v>
      </c>
      <c r="E22" s="12">
        <v>406</v>
      </c>
      <c r="F22" s="12">
        <v>438</v>
      </c>
      <c r="G22" s="12">
        <v>563</v>
      </c>
      <c r="H22" s="12">
        <v>578</v>
      </c>
      <c r="I22" s="12">
        <v>725</v>
      </c>
      <c r="J22" s="12">
        <v>147</v>
      </c>
      <c r="K22" s="12">
        <v>476</v>
      </c>
      <c r="L22" s="12">
        <v>370</v>
      </c>
      <c r="M22" s="12">
        <v>444</v>
      </c>
      <c r="N22" s="12">
        <v>353</v>
      </c>
      <c r="O22" s="12">
        <v>470</v>
      </c>
      <c r="P22" s="12">
        <v>365</v>
      </c>
      <c r="Q22" s="12">
        <v>369</v>
      </c>
      <c r="R22" s="12">
        <v>183</v>
      </c>
      <c r="S22" s="12">
        <v>475</v>
      </c>
      <c r="T22" s="12">
        <v>480</v>
      </c>
      <c r="U22" s="12">
        <v>233</v>
      </c>
      <c r="V22" s="12">
        <v>357</v>
      </c>
      <c r="W22" s="12">
        <v>193</v>
      </c>
      <c r="X22" s="12">
        <v>487</v>
      </c>
      <c r="Y22" s="12">
        <v>420</v>
      </c>
      <c r="Z22" s="12">
        <v>408</v>
      </c>
      <c r="AA22" s="12">
        <v>400</v>
      </c>
      <c r="AB22" s="12">
        <v>315</v>
      </c>
      <c r="AC22" s="12">
        <v>460</v>
      </c>
      <c r="AD22" s="12">
        <v>444</v>
      </c>
      <c r="AE22" s="12">
        <v>553</v>
      </c>
      <c r="AF22" s="12">
        <v>547</v>
      </c>
    </row>
    <row r="23" spans="1:32" x14ac:dyDescent="0.35">
      <c r="A23" s="19"/>
      <c r="B23" s="13" t="s">
        <v>942</v>
      </c>
      <c r="C23" s="15">
        <v>0.42</v>
      </c>
      <c r="D23" s="15">
        <v>0.41</v>
      </c>
      <c r="E23" s="15">
        <v>0.39</v>
      </c>
      <c r="F23" s="15">
        <v>0.4</v>
      </c>
      <c r="G23" s="15">
        <v>0.56000000000000005</v>
      </c>
      <c r="H23" s="15">
        <v>0.47</v>
      </c>
      <c r="I23" s="15">
        <v>0.48</v>
      </c>
      <c r="J23" s="15">
        <v>0.5</v>
      </c>
      <c r="K23" s="15">
        <v>0.48</v>
      </c>
      <c r="L23" s="15">
        <v>0.37</v>
      </c>
      <c r="M23" s="15">
        <v>0.44</v>
      </c>
      <c r="N23" s="15">
        <v>0.35</v>
      </c>
      <c r="O23" s="15">
        <v>0.47</v>
      </c>
      <c r="P23" s="15">
        <v>0.36</v>
      </c>
      <c r="Q23" s="15">
        <v>0.36</v>
      </c>
      <c r="R23" s="15">
        <v>0.36</v>
      </c>
      <c r="S23" s="15">
        <v>0.47</v>
      </c>
      <c r="T23" s="15">
        <v>0.48</v>
      </c>
      <c r="U23" s="15">
        <v>0.46</v>
      </c>
      <c r="V23" s="15">
        <v>0.35</v>
      </c>
      <c r="W23" s="15">
        <v>0.38</v>
      </c>
      <c r="X23" s="15">
        <v>0.48</v>
      </c>
      <c r="Y23" s="15">
        <v>0.42</v>
      </c>
      <c r="Z23" s="15">
        <v>0.4</v>
      </c>
      <c r="AA23" s="15">
        <v>0.39</v>
      </c>
      <c r="AB23" s="15">
        <v>0.3</v>
      </c>
      <c r="AC23" s="15">
        <v>0.46</v>
      </c>
      <c r="AD23" s="15">
        <v>0.44</v>
      </c>
      <c r="AE23" s="15">
        <v>0.55000000000000004</v>
      </c>
      <c r="AF23" s="15">
        <v>0.52</v>
      </c>
    </row>
    <row r="24" spans="1:32" ht="21.5" x14ac:dyDescent="0.35">
      <c r="A24" s="19"/>
      <c r="B24" s="11" t="s">
        <v>943</v>
      </c>
      <c r="C24" s="12">
        <v>1752</v>
      </c>
      <c r="D24" s="12">
        <v>69</v>
      </c>
      <c r="E24" s="12">
        <v>99</v>
      </c>
      <c r="F24" s="12">
        <v>58</v>
      </c>
      <c r="G24" s="12">
        <v>90</v>
      </c>
      <c r="H24" s="12">
        <v>57</v>
      </c>
      <c r="I24" s="12">
        <v>71</v>
      </c>
      <c r="J24" s="12">
        <v>14</v>
      </c>
      <c r="K24" s="12">
        <v>70</v>
      </c>
      <c r="L24" s="12">
        <v>56</v>
      </c>
      <c r="M24" s="12">
        <v>57</v>
      </c>
      <c r="N24" s="12">
        <v>46</v>
      </c>
      <c r="O24" s="12">
        <v>40</v>
      </c>
      <c r="P24" s="12">
        <v>98</v>
      </c>
      <c r="Q24" s="12">
        <v>99</v>
      </c>
      <c r="R24" s="12">
        <v>22</v>
      </c>
      <c r="S24" s="12">
        <v>73</v>
      </c>
      <c r="T24" s="12">
        <v>64</v>
      </c>
      <c r="U24" s="12">
        <v>20</v>
      </c>
      <c r="V24" s="12">
        <v>78</v>
      </c>
      <c r="W24" s="12">
        <v>29</v>
      </c>
      <c r="X24" s="12">
        <v>66</v>
      </c>
      <c r="Y24" s="12">
        <v>87</v>
      </c>
      <c r="Z24" s="12">
        <v>108</v>
      </c>
      <c r="AA24" s="12">
        <v>53</v>
      </c>
      <c r="AB24" s="12">
        <v>90</v>
      </c>
      <c r="AC24" s="12">
        <v>74</v>
      </c>
      <c r="AD24" s="12">
        <v>87</v>
      </c>
      <c r="AE24" s="12">
        <v>62</v>
      </c>
      <c r="AF24" s="12">
        <v>112</v>
      </c>
    </row>
    <row r="25" spans="1:32" ht="21.5" x14ac:dyDescent="0.35">
      <c r="A25" s="19"/>
      <c r="B25" s="13" t="s">
        <v>944</v>
      </c>
      <c r="C25" s="15">
        <v>7.0000000000000007E-2</v>
      </c>
      <c r="D25" s="15">
        <v>7.0000000000000007E-2</v>
      </c>
      <c r="E25" s="15">
        <v>0.1</v>
      </c>
      <c r="F25" s="15">
        <v>0.05</v>
      </c>
      <c r="G25" s="15">
        <v>0.09</v>
      </c>
      <c r="H25" s="15">
        <v>0.05</v>
      </c>
      <c r="I25" s="15">
        <v>0.05</v>
      </c>
      <c r="J25" s="15">
        <v>0.05</v>
      </c>
      <c r="K25" s="15">
        <v>7.0000000000000007E-2</v>
      </c>
      <c r="L25" s="15">
        <v>0.06</v>
      </c>
      <c r="M25" s="15">
        <v>0.06</v>
      </c>
      <c r="N25" s="15">
        <v>0.05</v>
      </c>
      <c r="O25" s="15">
        <v>0.04</v>
      </c>
      <c r="P25" s="15">
        <v>0.1</v>
      </c>
      <c r="Q25" s="15">
        <v>0.1</v>
      </c>
      <c r="R25" s="15">
        <v>0.04</v>
      </c>
      <c r="S25" s="15">
        <v>7.0000000000000007E-2</v>
      </c>
      <c r="T25" s="15">
        <v>0.06</v>
      </c>
      <c r="U25" s="15">
        <v>0.04</v>
      </c>
      <c r="V25" s="15">
        <v>0.08</v>
      </c>
      <c r="W25" s="15">
        <v>0.06</v>
      </c>
      <c r="X25" s="15">
        <v>7.0000000000000007E-2</v>
      </c>
      <c r="Y25" s="15">
        <v>0.09</v>
      </c>
      <c r="Z25" s="15">
        <v>0.1</v>
      </c>
      <c r="AA25" s="15">
        <v>0.05</v>
      </c>
      <c r="AB25" s="15">
        <v>0.09</v>
      </c>
      <c r="AC25" s="15">
        <v>7.0000000000000007E-2</v>
      </c>
      <c r="AD25" s="15">
        <v>0.09</v>
      </c>
      <c r="AE25" s="15">
        <v>0.06</v>
      </c>
      <c r="AF25" s="15">
        <v>0.11</v>
      </c>
    </row>
    <row r="26" spans="1:32" ht="21.5" x14ac:dyDescent="0.35">
      <c r="A26" s="19"/>
      <c r="B26" s="11" t="s">
        <v>945</v>
      </c>
      <c r="C26" s="12">
        <v>5859</v>
      </c>
      <c r="D26" s="12">
        <v>235</v>
      </c>
      <c r="E26" s="12">
        <v>211</v>
      </c>
      <c r="F26" s="12">
        <v>243</v>
      </c>
      <c r="G26" s="12">
        <v>401</v>
      </c>
      <c r="H26" s="12">
        <v>311</v>
      </c>
      <c r="I26" s="12">
        <v>375</v>
      </c>
      <c r="J26" s="12">
        <v>65</v>
      </c>
      <c r="K26" s="12">
        <v>244</v>
      </c>
      <c r="L26" s="12">
        <v>140</v>
      </c>
      <c r="M26" s="12">
        <v>191</v>
      </c>
      <c r="N26" s="12">
        <v>142</v>
      </c>
      <c r="O26" s="12">
        <v>261</v>
      </c>
      <c r="P26" s="12">
        <v>215</v>
      </c>
      <c r="Q26" s="12">
        <v>186</v>
      </c>
      <c r="R26" s="12">
        <v>135</v>
      </c>
      <c r="S26" s="12">
        <v>231</v>
      </c>
      <c r="T26" s="12">
        <v>296</v>
      </c>
      <c r="U26" s="12">
        <v>115</v>
      </c>
      <c r="V26" s="12">
        <v>190</v>
      </c>
      <c r="W26" s="12">
        <v>111</v>
      </c>
      <c r="X26" s="12">
        <v>299</v>
      </c>
      <c r="Y26" s="12">
        <v>210</v>
      </c>
      <c r="Z26" s="12">
        <v>261</v>
      </c>
      <c r="AA26" s="12">
        <v>148</v>
      </c>
      <c r="AB26" s="12">
        <v>194</v>
      </c>
      <c r="AC26" s="12">
        <v>163</v>
      </c>
      <c r="AD26" s="12">
        <v>210</v>
      </c>
      <c r="AE26" s="12">
        <v>304</v>
      </c>
      <c r="AF26" s="12">
        <v>265</v>
      </c>
    </row>
    <row r="27" spans="1:32" ht="21.5" x14ac:dyDescent="0.35">
      <c r="A27" s="19"/>
      <c r="B27" s="13" t="s">
        <v>963</v>
      </c>
      <c r="C27" s="15">
        <v>0.22</v>
      </c>
      <c r="D27" s="15">
        <v>0.23</v>
      </c>
      <c r="E27" s="15">
        <v>0.2</v>
      </c>
      <c r="F27" s="15">
        <v>0.22</v>
      </c>
      <c r="G27" s="15">
        <v>0.4</v>
      </c>
      <c r="H27" s="15">
        <v>0.25</v>
      </c>
      <c r="I27" s="15">
        <v>0.25</v>
      </c>
      <c r="J27" s="15">
        <v>0.22</v>
      </c>
      <c r="K27" s="15">
        <v>0.24</v>
      </c>
      <c r="L27" s="15">
        <v>0.14000000000000001</v>
      </c>
      <c r="M27" s="15">
        <v>0.19</v>
      </c>
      <c r="N27" s="15">
        <v>0.14000000000000001</v>
      </c>
      <c r="O27" s="15">
        <v>0.26</v>
      </c>
      <c r="P27" s="15">
        <v>0.21</v>
      </c>
      <c r="Q27" s="15">
        <v>0.18</v>
      </c>
      <c r="R27" s="15">
        <v>0.27</v>
      </c>
      <c r="S27" s="15">
        <v>0.23</v>
      </c>
      <c r="T27" s="15">
        <v>0.28999999999999998</v>
      </c>
      <c r="U27" s="15">
        <v>0.23</v>
      </c>
      <c r="V27" s="15">
        <v>0.19</v>
      </c>
      <c r="W27" s="15">
        <v>0.22</v>
      </c>
      <c r="X27" s="15">
        <v>0.3</v>
      </c>
      <c r="Y27" s="15">
        <v>0.21</v>
      </c>
      <c r="Z27" s="15">
        <v>0.25</v>
      </c>
      <c r="AA27" s="15">
        <v>0.14000000000000001</v>
      </c>
      <c r="AB27" s="15">
        <v>0.18</v>
      </c>
      <c r="AC27" s="15">
        <v>0.16</v>
      </c>
      <c r="AD27" s="15">
        <v>0.21</v>
      </c>
      <c r="AE27" s="15">
        <v>0.3</v>
      </c>
      <c r="AF27" s="15">
        <v>0.25</v>
      </c>
    </row>
    <row r="28" spans="1:32" ht="41.5" x14ac:dyDescent="0.35">
      <c r="A28" s="19"/>
      <c r="B28" s="11" t="s">
        <v>947</v>
      </c>
      <c r="C28" s="12">
        <v>2652</v>
      </c>
      <c r="D28" s="12">
        <v>120</v>
      </c>
      <c r="E28" s="12">
        <v>116</v>
      </c>
      <c r="F28" s="12">
        <v>99</v>
      </c>
      <c r="G28" s="12">
        <v>162</v>
      </c>
      <c r="H28" s="12">
        <v>103</v>
      </c>
      <c r="I28" s="12">
        <v>130</v>
      </c>
      <c r="J28" s="12">
        <v>27</v>
      </c>
      <c r="K28" s="12">
        <v>106</v>
      </c>
      <c r="L28" s="12">
        <v>120</v>
      </c>
      <c r="M28" s="12">
        <v>86</v>
      </c>
      <c r="N28" s="12">
        <v>63</v>
      </c>
      <c r="O28" s="12">
        <v>76</v>
      </c>
      <c r="P28" s="12">
        <v>100</v>
      </c>
      <c r="Q28" s="12">
        <v>89</v>
      </c>
      <c r="R28" s="12">
        <v>18</v>
      </c>
      <c r="S28" s="12">
        <v>56</v>
      </c>
      <c r="T28" s="12">
        <v>87</v>
      </c>
      <c r="U28" s="12">
        <v>36</v>
      </c>
      <c r="V28" s="12">
        <v>91</v>
      </c>
      <c r="W28" s="12">
        <v>96</v>
      </c>
      <c r="X28" s="12">
        <v>209</v>
      </c>
      <c r="Y28" s="12">
        <v>146</v>
      </c>
      <c r="Z28" s="12">
        <v>159</v>
      </c>
      <c r="AA28" s="12">
        <v>59</v>
      </c>
      <c r="AB28" s="12">
        <v>138</v>
      </c>
      <c r="AC28" s="12">
        <v>76</v>
      </c>
      <c r="AD28" s="12">
        <v>104</v>
      </c>
      <c r="AE28" s="12">
        <v>117</v>
      </c>
      <c r="AF28" s="12">
        <v>196</v>
      </c>
    </row>
    <row r="29" spans="1:32" ht="31.5" x14ac:dyDescent="0.35">
      <c r="A29" s="19"/>
      <c r="B29" s="13" t="s">
        <v>948</v>
      </c>
      <c r="C29" s="15">
        <v>0.1</v>
      </c>
      <c r="D29" s="15">
        <v>0.12</v>
      </c>
      <c r="E29" s="15">
        <v>0.11</v>
      </c>
      <c r="F29" s="15">
        <v>0.09</v>
      </c>
      <c r="G29" s="15">
        <v>0.16</v>
      </c>
      <c r="H29" s="15">
        <v>0.08</v>
      </c>
      <c r="I29" s="15">
        <v>0.09</v>
      </c>
      <c r="J29" s="15">
        <v>0.09</v>
      </c>
      <c r="K29" s="15">
        <v>0.11</v>
      </c>
      <c r="L29" s="15">
        <v>0.12</v>
      </c>
      <c r="M29" s="15">
        <v>0.08</v>
      </c>
      <c r="N29" s="15">
        <v>0.06</v>
      </c>
      <c r="O29" s="15">
        <v>0.08</v>
      </c>
      <c r="P29" s="15">
        <v>0.1</v>
      </c>
      <c r="Q29" s="15">
        <v>0.09</v>
      </c>
      <c r="R29" s="15">
        <v>0.04</v>
      </c>
      <c r="S29" s="15">
        <v>0.06</v>
      </c>
      <c r="T29" s="15">
        <v>0.09</v>
      </c>
      <c r="U29" s="15">
        <v>7.0000000000000007E-2</v>
      </c>
      <c r="V29" s="15">
        <v>0.09</v>
      </c>
      <c r="W29" s="15">
        <v>0.19</v>
      </c>
      <c r="X29" s="15">
        <v>0.21</v>
      </c>
      <c r="Y29" s="15">
        <v>0.15</v>
      </c>
      <c r="Z29" s="15">
        <v>0.15</v>
      </c>
      <c r="AA29" s="15">
        <v>0.06</v>
      </c>
      <c r="AB29" s="15">
        <v>0.13</v>
      </c>
      <c r="AC29" s="15">
        <v>0.08</v>
      </c>
      <c r="AD29" s="15">
        <v>0.1</v>
      </c>
      <c r="AE29" s="15">
        <v>0.12</v>
      </c>
      <c r="AF29" s="15">
        <v>0.19</v>
      </c>
    </row>
    <row r="30" spans="1:32" ht="51.5" x14ac:dyDescent="0.35">
      <c r="A30" s="19"/>
      <c r="B30" s="11" t="s">
        <v>949</v>
      </c>
      <c r="C30" s="12">
        <v>6482</v>
      </c>
      <c r="D30" s="12">
        <v>186</v>
      </c>
      <c r="E30" s="12">
        <v>271</v>
      </c>
      <c r="F30" s="12">
        <v>259</v>
      </c>
      <c r="G30" s="12">
        <v>238</v>
      </c>
      <c r="H30" s="12">
        <v>342</v>
      </c>
      <c r="I30" s="12">
        <v>475</v>
      </c>
      <c r="J30" s="12">
        <v>133</v>
      </c>
      <c r="K30" s="12">
        <v>244</v>
      </c>
      <c r="L30" s="12">
        <v>370</v>
      </c>
      <c r="M30" s="12">
        <v>321</v>
      </c>
      <c r="N30" s="12">
        <v>215</v>
      </c>
      <c r="O30" s="12">
        <v>182</v>
      </c>
      <c r="P30" s="12">
        <v>261</v>
      </c>
      <c r="Q30" s="12">
        <v>182</v>
      </c>
      <c r="R30" s="12">
        <v>90</v>
      </c>
      <c r="S30" s="12">
        <v>228</v>
      </c>
      <c r="T30" s="12">
        <v>310</v>
      </c>
      <c r="U30" s="12">
        <v>91</v>
      </c>
      <c r="V30" s="12">
        <v>347</v>
      </c>
      <c r="W30" s="12">
        <v>134</v>
      </c>
      <c r="X30" s="12">
        <v>216</v>
      </c>
      <c r="Y30" s="12">
        <v>349</v>
      </c>
      <c r="Z30" s="12">
        <v>206</v>
      </c>
      <c r="AA30" s="12">
        <v>335</v>
      </c>
      <c r="AB30" s="12">
        <v>306</v>
      </c>
      <c r="AC30" s="12">
        <v>379</v>
      </c>
      <c r="AD30" s="12">
        <v>332</v>
      </c>
      <c r="AE30" s="12">
        <v>272</v>
      </c>
      <c r="AF30" s="12">
        <v>373</v>
      </c>
    </row>
    <row r="31" spans="1:32" ht="21.5" x14ac:dyDescent="0.35">
      <c r="A31" s="19"/>
      <c r="B31" s="13" t="s">
        <v>950</v>
      </c>
      <c r="C31" s="15">
        <v>0.25</v>
      </c>
      <c r="D31" s="15">
        <v>0.18</v>
      </c>
      <c r="E31" s="15">
        <v>0.26</v>
      </c>
      <c r="F31" s="15">
        <v>0.23</v>
      </c>
      <c r="G31" s="15">
        <v>0.24</v>
      </c>
      <c r="H31" s="15">
        <v>0.28000000000000003</v>
      </c>
      <c r="I31" s="15">
        <v>0.31</v>
      </c>
      <c r="J31" s="15">
        <v>0.45</v>
      </c>
      <c r="K31" s="15">
        <v>0.24</v>
      </c>
      <c r="L31" s="15">
        <v>0.37</v>
      </c>
      <c r="M31" s="15">
        <v>0.32</v>
      </c>
      <c r="N31" s="15">
        <v>0.21</v>
      </c>
      <c r="O31" s="15">
        <v>0.18</v>
      </c>
      <c r="P31" s="15">
        <v>0.26</v>
      </c>
      <c r="Q31" s="15">
        <v>0.18</v>
      </c>
      <c r="R31" s="15">
        <v>0.18</v>
      </c>
      <c r="S31" s="15">
        <v>0.23</v>
      </c>
      <c r="T31" s="15">
        <v>0.31</v>
      </c>
      <c r="U31" s="15">
        <v>0.18</v>
      </c>
      <c r="V31" s="15">
        <v>0.34</v>
      </c>
      <c r="W31" s="15">
        <v>0.26</v>
      </c>
      <c r="X31" s="15">
        <v>0.21</v>
      </c>
      <c r="Y31" s="15">
        <v>0.35</v>
      </c>
      <c r="Z31" s="15">
        <v>0.2</v>
      </c>
      <c r="AA31" s="15">
        <v>0.32</v>
      </c>
      <c r="AB31" s="15">
        <v>0.28999999999999998</v>
      </c>
      <c r="AC31" s="15">
        <v>0.38</v>
      </c>
      <c r="AD31" s="15">
        <v>0.33</v>
      </c>
      <c r="AE31" s="15">
        <v>0.27</v>
      </c>
      <c r="AF31" s="15">
        <v>0.36</v>
      </c>
    </row>
    <row r="32" spans="1:32" ht="31.5" x14ac:dyDescent="0.35">
      <c r="A32" s="19"/>
      <c r="B32" s="11" t="s">
        <v>951</v>
      </c>
      <c r="C32" s="12">
        <v>4343</v>
      </c>
      <c r="D32" s="12">
        <v>200</v>
      </c>
      <c r="E32" s="12">
        <v>111</v>
      </c>
      <c r="F32" s="12">
        <v>105</v>
      </c>
      <c r="G32" s="12">
        <v>61</v>
      </c>
      <c r="H32" s="12">
        <v>176</v>
      </c>
      <c r="I32" s="12">
        <v>220</v>
      </c>
      <c r="J32" s="12">
        <v>44</v>
      </c>
      <c r="K32" s="12">
        <v>180</v>
      </c>
      <c r="L32" s="12">
        <v>135</v>
      </c>
      <c r="M32" s="12">
        <v>207</v>
      </c>
      <c r="N32" s="12">
        <v>229</v>
      </c>
      <c r="O32" s="12">
        <v>214</v>
      </c>
      <c r="P32" s="12">
        <v>160</v>
      </c>
      <c r="Q32" s="12">
        <v>147</v>
      </c>
      <c r="R32" s="12">
        <v>91</v>
      </c>
      <c r="S32" s="12">
        <v>179</v>
      </c>
      <c r="T32" s="12">
        <v>145</v>
      </c>
      <c r="U32" s="12">
        <v>94</v>
      </c>
      <c r="V32" s="12">
        <v>155</v>
      </c>
      <c r="W32" s="12">
        <v>87</v>
      </c>
      <c r="X32" s="12">
        <v>145</v>
      </c>
      <c r="Y32" s="12">
        <v>163</v>
      </c>
      <c r="Z32" s="12">
        <v>113</v>
      </c>
      <c r="AA32" s="12">
        <v>172</v>
      </c>
      <c r="AB32" s="12">
        <v>215</v>
      </c>
      <c r="AC32" s="12">
        <v>107</v>
      </c>
      <c r="AD32" s="12">
        <v>165</v>
      </c>
      <c r="AE32" s="12">
        <v>145</v>
      </c>
      <c r="AF32" s="12">
        <v>115</v>
      </c>
    </row>
    <row r="33" spans="1:32" ht="21.5" x14ac:dyDescent="0.35">
      <c r="A33" s="19"/>
      <c r="B33" s="13" t="s">
        <v>952</v>
      </c>
      <c r="C33" s="15">
        <v>0.16</v>
      </c>
      <c r="D33" s="15">
        <v>0.2</v>
      </c>
      <c r="E33" s="15">
        <v>0.11</v>
      </c>
      <c r="F33" s="15">
        <v>0.1</v>
      </c>
      <c r="G33" s="15">
        <v>0.06</v>
      </c>
      <c r="H33" s="15">
        <v>0.14000000000000001</v>
      </c>
      <c r="I33" s="15">
        <v>0.15</v>
      </c>
      <c r="J33" s="15">
        <v>0.15</v>
      </c>
      <c r="K33" s="15">
        <v>0.18</v>
      </c>
      <c r="L33" s="15">
        <v>0.14000000000000001</v>
      </c>
      <c r="M33" s="15">
        <v>0.2</v>
      </c>
      <c r="N33" s="15">
        <v>0.23</v>
      </c>
      <c r="O33" s="15">
        <v>0.21</v>
      </c>
      <c r="P33" s="15">
        <v>0.16</v>
      </c>
      <c r="Q33" s="15">
        <v>0.14000000000000001</v>
      </c>
      <c r="R33" s="15">
        <v>0.18</v>
      </c>
      <c r="S33" s="15">
        <v>0.18</v>
      </c>
      <c r="T33" s="15">
        <v>0.14000000000000001</v>
      </c>
      <c r="U33" s="15">
        <v>0.19</v>
      </c>
      <c r="V33" s="15">
        <v>0.15</v>
      </c>
      <c r="W33" s="15">
        <v>0.17</v>
      </c>
      <c r="X33" s="15">
        <v>0.14000000000000001</v>
      </c>
      <c r="Y33" s="15">
        <v>0.16</v>
      </c>
      <c r="Z33" s="15">
        <v>0.11</v>
      </c>
      <c r="AA33" s="15">
        <v>0.17</v>
      </c>
      <c r="AB33" s="15">
        <v>0.2</v>
      </c>
      <c r="AC33" s="15">
        <v>0.11</v>
      </c>
      <c r="AD33" s="15">
        <v>0.16</v>
      </c>
      <c r="AE33" s="15">
        <v>0.14000000000000001</v>
      </c>
      <c r="AF33" s="15">
        <v>0.11</v>
      </c>
    </row>
    <row r="34" spans="1:32" ht="21.5" x14ac:dyDescent="0.35">
      <c r="A34" s="19"/>
      <c r="B34" s="11" t="s">
        <v>953</v>
      </c>
      <c r="C34" s="12">
        <v>4142</v>
      </c>
      <c r="D34" s="12">
        <v>156</v>
      </c>
      <c r="E34" s="12">
        <v>69</v>
      </c>
      <c r="F34" s="12">
        <v>304</v>
      </c>
      <c r="G34" s="12">
        <v>61</v>
      </c>
      <c r="H34" s="12">
        <v>165</v>
      </c>
      <c r="I34" s="12">
        <v>198</v>
      </c>
      <c r="J34" s="12">
        <v>32</v>
      </c>
      <c r="K34" s="12">
        <v>163</v>
      </c>
      <c r="L34" s="12">
        <v>305</v>
      </c>
      <c r="M34" s="12">
        <v>108</v>
      </c>
      <c r="N34" s="12">
        <v>340</v>
      </c>
      <c r="O34" s="12">
        <v>140</v>
      </c>
      <c r="P34" s="12">
        <v>194</v>
      </c>
      <c r="Q34" s="12">
        <v>64</v>
      </c>
      <c r="R34" s="12">
        <v>109</v>
      </c>
      <c r="S34" s="12">
        <v>149</v>
      </c>
      <c r="T34" s="12">
        <v>138</v>
      </c>
      <c r="U34" s="12">
        <v>160</v>
      </c>
      <c r="V34" s="12">
        <v>165</v>
      </c>
      <c r="W34" s="12">
        <v>57</v>
      </c>
      <c r="X34" s="12">
        <v>227</v>
      </c>
      <c r="Y34" s="12">
        <v>130</v>
      </c>
      <c r="Z34" s="12">
        <v>126</v>
      </c>
      <c r="AA34" s="12">
        <v>278</v>
      </c>
      <c r="AB34" s="12">
        <v>165</v>
      </c>
      <c r="AC34" s="12">
        <v>167</v>
      </c>
      <c r="AD34" s="12">
        <v>148</v>
      </c>
      <c r="AE34" s="12">
        <v>61</v>
      </c>
      <c r="AF34" s="12">
        <v>68</v>
      </c>
    </row>
    <row r="35" spans="1:32" ht="21.5" x14ac:dyDescent="0.35">
      <c r="A35" s="19"/>
      <c r="B35" s="13" t="s">
        <v>954</v>
      </c>
      <c r="C35" s="15">
        <v>0.16</v>
      </c>
      <c r="D35" s="15">
        <v>0.15</v>
      </c>
      <c r="E35" s="15">
        <v>7.0000000000000007E-2</v>
      </c>
      <c r="F35" s="15">
        <v>0.28000000000000003</v>
      </c>
      <c r="G35" s="15">
        <v>0.06</v>
      </c>
      <c r="H35" s="15">
        <v>0.14000000000000001</v>
      </c>
      <c r="I35" s="15">
        <v>0.13</v>
      </c>
      <c r="J35" s="15">
        <v>0.11</v>
      </c>
      <c r="K35" s="15">
        <v>0.16</v>
      </c>
      <c r="L35" s="15">
        <v>0.3</v>
      </c>
      <c r="M35" s="15">
        <v>0.11</v>
      </c>
      <c r="N35" s="15">
        <v>0.34</v>
      </c>
      <c r="O35" s="15">
        <v>0.14000000000000001</v>
      </c>
      <c r="P35" s="15">
        <v>0.19</v>
      </c>
      <c r="Q35" s="15">
        <v>0.06</v>
      </c>
      <c r="R35" s="15">
        <v>0.22</v>
      </c>
      <c r="S35" s="15">
        <v>0.15</v>
      </c>
      <c r="T35" s="15">
        <v>0.14000000000000001</v>
      </c>
      <c r="U35" s="15">
        <v>0.32</v>
      </c>
      <c r="V35" s="15">
        <v>0.16</v>
      </c>
      <c r="W35" s="15">
        <v>0.11</v>
      </c>
      <c r="X35" s="15">
        <v>0.22</v>
      </c>
      <c r="Y35" s="15">
        <v>0.13</v>
      </c>
      <c r="Z35" s="15">
        <v>0.12</v>
      </c>
      <c r="AA35" s="15">
        <v>0.27</v>
      </c>
      <c r="AB35" s="15">
        <v>0.16</v>
      </c>
      <c r="AC35" s="15">
        <v>0.17</v>
      </c>
      <c r="AD35" s="15">
        <v>0.15</v>
      </c>
      <c r="AE35" s="15">
        <v>0.06</v>
      </c>
      <c r="AF35" s="15">
        <v>0.06</v>
      </c>
    </row>
    <row r="36" spans="1:32" x14ac:dyDescent="0.35">
      <c r="A36" s="19"/>
      <c r="B36" s="11" t="s">
        <v>955</v>
      </c>
      <c r="C36" s="12">
        <v>5880</v>
      </c>
      <c r="D36" s="12">
        <v>362</v>
      </c>
      <c r="E36" s="12">
        <v>200</v>
      </c>
      <c r="F36" s="12">
        <v>204</v>
      </c>
      <c r="G36" s="12">
        <v>206</v>
      </c>
      <c r="H36" s="12">
        <v>215</v>
      </c>
      <c r="I36" s="12">
        <v>295</v>
      </c>
      <c r="J36" s="12">
        <v>81</v>
      </c>
      <c r="K36" s="12">
        <v>81</v>
      </c>
      <c r="L36" s="12">
        <v>193</v>
      </c>
      <c r="M36" s="12">
        <v>255</v>
      </c>
      <c r="N36" s="12">
        <v>207</v>
      </c>
      <c r="O36" s="12">
        <v>268</v>
      </c>
      <c r="P36" s="12">
        <v>236</v>
      </c>
      <c r="Q36" s="12">
        <v>268</v>
      </c>
      <c r="R36" s="12">
        <v>123</v>
      </c>
      <c r="S36" s="12">
        <v>114</v>
      </c>
      <c r="T36" s="12">
        <v>121</v>
      </c>
      <c r="U36" s="12">
        <v>130</v>
      </c>
      <c r="V36" s="12">
        <v>172</v>
      </c>
      <c r="W36" s="12">
        <v>93</v>
      </c>
      <c r="X36" s="12">
        <v>217</v>
      </c>
      <c r="Y36" s="12">
        <v>185</v>
      </c>
      <c r="Z36" s="12">
        <v>205</v>
      </c>
      <c r="AA36" s="12">
        <v>210</v>
      </c>
      <c r="AB36" s="12">
        <v>158</v>
      </c>
      <c r="AC36" s="12">
        <v>224</v>
      </c>
      <c r="AD36" s="12">
        <v>113</v>
      </c>
      <c r="AE36" s="12">
        <v>215</v>
      </c>
      <c r="AF36" s="12">
        <v>371</v>
      </c>
    </row>
    <row r="37" spans="1:32" x14ac:dyDescent="0.35">
      <c r="A37" s="19"/>
      <c r="B37" s="13" t="s">
        <v>956</v>
      </c>
      <c r="C37" s="15">
        <v>0.22</v>
      </c>
      <c r="D37" s="15">
        <v>0.36</v>
      </c>
      <c r="E37" s="15">
        <v>0.19</v>
      </c>
      <c r="F37" s="15">
        <v>0.18</v>
      </c>
      <c r="G37" s="15">
        <v>0.21</v>
      </c>
      <c r="H37" s="15">
        <v>0.18</v>
      </c>
      <c r="I37" s="15">
        <v>0.19</v>
      </c>
      <c r="J37" s="15">
        <v>0.27</v>
      </c>
      <c r="K37" s="15">
        <v>0.08</v>
      </c>
      <c r="L37" s="15">
        <v>0.19</v>
      </c>
      <c r="M37" s="15">
        <v>0.25</v>
      </c>
      <c r="N37" s="15">
        <v>0.21</v>
      </c>
      <c r="O37" s="15">
        <v>0.27</v>
      </c>
      <c r="P37" s="15">
        <v>0.23</v>
      </c>
      <c r="Q37" s="15">
        <v>0.26</v>
      </c>
      <c r="R37" s="15">
        <v>0.24</v>
      </c>
      <c r="S37" s="15">
        <v>0.11</v>
      </c>
      <c r="T37" s="15">
        <v>0.12</v>
      </c>
      <c r="U37" s="15">
        <v>0.26</v>
      </c>
      <c r="V37" s="15">
        <v>0.17</v>
      </c>
      <c r="W37" s="15">
        <v>0.18</v>
      </c>
      <c r="X37" s="15">
        <v>0.22</v>
      </c>
      <c r="Y37" s="15">
        <v>0.18</v>
      </c>
      <c r="Z37" s="15">
        <v>0.2</v>
      </c>
      <c r="AA37" s="15">
        <v>0.2</v>
      </c>
      <c r="AB37" s="15">
        <v>0.15</v>
      </c>
      <c r="AC37" s="15">
        <v>0.22</v>
      </c>
      <c r="AD37" s="15">
        <v>0.11</v>
      </c>
      <c r="AE37" s="15">
        <v>0.21</v>
      </c>
      <c r="AF37" s="15">
        <v>0.36</v>
      </c>
    </row>
    <row r="38" spans="1:32" ht="31.5" x14ac:dyDescent="0.35">
      <c r="A38" s="19"/>
      <c r="B38" s="11" t="s">
        <v>957</v>
      </c>
      <c r="C38" s="12">
        <v>2627</v>
      </c>
      <c r="D38" s="12">
        <v>84</v>
      </c>
      <c r="E38" s="12">
        <v>67</v>
      </c>
      <c r="F38" s="12">
        <v>114</v>
      </c>
      <c r="G38" s="12">
        <v>89</v>
      </c>
      <c r="H38" s="12">
        <v>173</v>
      </c>
      <c r="I38" s="12">
        <v>205</v>
      </c>
      <c r="J38" s="12">
        <v>33</v>
      </c>
      <c r="K38" s="12">
        <v>71</v>
      </c>
      <c r="L38" s="12">
        <v>38</v>
      </c>
      <c r="M38" s="12">
        <v>37</v>
      </c>
      <c r="N38" s="12">
        <v>80</v>
      </c>
      <c r="O38" s="12">
        <v>93</v>
      </c>
      <c r="P38" s="12">
        <v>133</v>
      </c>
      <c r="Q38" s="12">
        <v>96</v>
      </c>
      <c r="R38" s="12">
        <v>11</v>
      </c>
      <c r="S38" s="12">
        <v>107</v>
      </c>
      <c r="T38" s="12">
        <v>44</v>
      </c>
      <c r="U38" s="12">
        <v>38</v>
      </c>
      <c r="V38" s="12">
        <v>69</v>
      </c>
      <c r="W38" s="12">
        <v>38</v>
      </c>
      <c r="X38" s="12">
        <v>77</v>
      </c>
      <c r="Y38" s="12">
        <v>119</v>
      </c>
      <c r="Z38" s="12">
        <v>119</v>
      </c>
      <c r="AA38" s="12">
        <v>156</v>
      </c>
      <c r="AB38" s="12">
        <v>109</v>
      </c>
      <c r="AC38" s="12">
        <v>117</v>
      </c>
      <c r="AD38" s="12">
        <v>102</v>
      </c>
      <c r="AE38" s="12">
        <v>58</v>
      </c>
      <c r="AF38" s="12">
        <v>78</v>
      </c>
    </row>
    <row r="39" spans="1:32" ht="21.5" x14ac:dyDescent="0.35">
      <c r="A39" s="19"/>
      <c r="B39" s="13" t="s">
        <v>958</v>
      </c>
      <c r="C39" s="15">
        <v>0.1</v>
      </c>
      <c r="D39" s="15">
        <v>0.08</v>
      </c>
      <c r="E39" s="15">
        <v>7.0000000000000007E-2</v>
      </c>
      <c r="F39" s="15">
        <v>0.1</v>
      </c>
      <c r="G39" s="15">
        <v>0.09</v>
      </c>
      <c r="H39" s="15">
        <v>0.14000000000000001</v>
      </c>
      <c r="I39" s="15">
        <v>0.14000000000000001</v>
      </c>
      <c r="J39" s="15">
        <v>0.11</v>
      </c>
      <c r="K39" s="15">
        <v>7.0000000000000007E-2</v>
      </c>
      <c r="L39" s="15">
        <v>0.04</v>
      </c>
      <c r="M39" s="15">
        <v>0.04</v>
      </c>
      <c r="N39" s="15">
        <v>0.08</v>
      </c>
      <c r="O39" s="15">
        <v>0.09</v>
      </c>
      <c r="P39" s="15">
        <v>0.13</v>
      </c>
      <c r="Q39" s="15">
        <v>0.09</v>
      </c>
      <c r="R39" s="15">
        <v>0.02</v>
      </c>
      <c r="S39" s="15">
        <v>0.11</v>
      </c>
      <c r="T39" s="15">
        <v>0.04</v>
      </c>
      <c r="U39" s="15">
        <v>7.0000000000000007E-2</v>
      </c>
      <c r="V39" s="15">
        <v>7.0000000000000007E-2</v>
      </c>
      <c r="W39" s="15">
        <v>7.0000000000000007E-2</v>
      </c>
      <c r="X39" s="15">
        <v>0.08</v>
      </c>
      <c r="Y39" s="15">
        <v>0.12</v>
      </c>
      <c r="Z39" s="15">
        <v>0.12</v>
      </c>
      <c r="AA39" s="15">
        <v>0.15</v>
      </c>
      <c r="AB39" s="15">
        <v>0.1</v>
      </c>
      <c r="AC39" s="15">
        <v>0.12</v>
      </c>
      <c r="AD39" s="15">
        <v>0.1</v>
      </c>
      <c r="AE39" s="15">
        <v>0.06</v>
      </c>
      <c r="AF39" s="15">
        <v>7.0000000000000007E-2</v>
      </c>
    </row>
    <row r="40" spans="1:32" x14ac:dyDescent="0.35">
      <c r="A40" s="19"/>
      <c r="B40" s="11" t="s">
        <v>611</v>
      </c>
      <c r="C40" s="12">
        <v>268</v>
      </c>
      <c r="D40" s="12">
        <v>1</v>
      </c>
      <c r="E40" s="12">
        <v>7</v>
      </c>
      <c r="F40" s="12">
        <v>2</v>
      </c>
      <c r="G40" s="12">
        <v>2</v>
      </c>
      <c r="H40" s="12">
        <v>28</v>
      </c>
      <c r="I40" s="12">
        <v>29</v>
      </c>
      <c r="J40" s="12">
        <v>1</v>
      </c>
      <c r="K40" s="12">
        <v>29</v>
      </c>
      <c r="L40" s="12">
        <v>2</v>
      </c>
      <c r="M40" s="12">
        <v>13</v>
      </c>
      <c r="N40" s="12">
        <v>8</v>
      </c>
      <c r="O40" s="12">
        <v>15</v>
      </c>
      <c r="P40" s="12">
        <v>0</v>
      </c>
      <c r="Q40" s="12">
        <v>10</v>
      </c>
      <c r="R40" s="12">
        <v>2</v>
      </c>
      <c r="S40" s="12">
        <v>4</v>
      </c>
      <c r="T40" s="12">
        <v>6</v>
      </c>
      <c r="U40" s="12">
        <v>5</v>
      </c>
      <c r="V40" s="12">
        <v>0</v>
      </c>
      <c r="W40" s="12">
        <v>2</v>
      </c>
      <c r="X40" s="12">
        <v>7</v>
      </c>
      <c r="Y40" s="12">
        <v>24</v>
      </c>
      <c r="Z40" s="12">
        <v>1</v>
      </c>
      <c r="AA40" s="12">
        <v>6</v>
      </c>
      <c r="AB40" s="12">
        <v>3</v>
      </c>
      <c r="AC40" s="12">
        <v>3</v>
      </c>
      <c r="AD40" s="12">
        <v>6</v>
      </c>
      <c r="AE40" s="12">
        <v>3</v>
      </c>
      <c r="AF40" s="12">
        <v>5</v>
      </c>
    </row>
    <row r="41" spans="1:32" x14ac:dyDescent="0.35">
      <c r="A41" s="19"/>
      <c r="B41" s="13" t="s">
        <v>612</v>
      </c>
      <c r="C41" s="15">
        <v>0.01</v>
      </c>
      <c r="D41" s="14" t="s">
        <v>475</v>
      </c>
      <c r="E41" s="15">
        <v>0.01</v>
      </c>
      <c r="F41" s="14" t="s">
        <v>475</v>
      </c>
      <c r="G41" s="14" t="s">
        <v>475</v>
      </c>
      <c r="H41" s="15">
        <v>0.02</v>
      </c>
      <c r="I41" s="15">
        <v>0.02</v>
      </c>
      <c r="J41" s="14" t="s">
        <v>475</v>
      </c>
      <c r="K41" s="15">
        <v>0.03</v>
      </c>
      <c r="L41" s="14" t="s">
        <v>475</v>
      </c>
      <c r="M41" s="15">
        <v>0.01</v>
      </c>
      <c r="N41" s="15">
        <v>0.01</v>
      </c>
      <c r="O41" s="15">
        <v>0.02</v>
      </c>
      <c r="P41" s="14" t="s">
        <v>475</v>
      </c>
      <c r="Q41" s="15">
        <v>0.01</v>
      </c>
      <c r="R41" s="14" t="s">
        <v>475</v>
      </c>
      <c r="S41" s="14" t="s">
        <v>475</v>
      </c>
      <c r="T41" s="15">
        <v>0.01</v>
      </c>
      <c r="U41" s="15">
        <v>0.01</v>
      </c>
      <c r="V41" s="14" t="s">
        <v>475</v>
      </c>
      <c r="W41" s="14" t="s">
        <v>475</v>
      </c>
      <c r="X41" s="15">
        <v>0.01</v>
      </c>
      <c r="Y41" s="15">
        <v>0.02</v>
      </c>
      <c r="Z41" s="14" t="s">
        <v>475</v>
      </c>
      <c r="AA41" s="15">
        <v>0.01</v>
      </c>
      <c r="AB41" s="14" t="s">
        <v>475</v>
      </c>
      <c r="AC41" s="14" t="s">
        <v>475</v>
      </c>
      <c r="AD41" s="15">
        <v>0.01</v>
      </c>
      <c r="AE41" s="14" t="s">
        <v>475</v>
      </c>
      <c r="AF41" s="15">
        <v>0.01</v>
      </c>
    </row>
    <row r="42" spans="1:32" x14ac:dyDescent="0.35">
      <c r="A42" s="19"/>
      <c r="B42" s="11" t="s">
        <v>613</v>
      </c>
      <c r="C42" s="12">
        <v>411</v>
      </c>
      <c r="D42" s="12">
        <v>8</v>
      </c>
      <c r="E42" s="12">
        <v>49</v>
      </c>
      <c r="F42" s="12">
        <v>22</v>
      </c>
      <c r="G42" s="12">
        <v>11</v>
      </c>
      <c r="H42" s="12">
        <v>39</v>
      </c>
      <c r="I42" s="12">
        <v>42</v>
      </c>
      <c r="J42" s="12">
        <v>3</v>
      </c>
      <c r="K42" s="12">
        <v>14</v>
      </c>
      <c r="L42" s="12">
        <v>7</v>
      </c>
      <c r="M42" s="12">
        <v>7</v>
      </c>
      <c r="N42" s="12">
        <v>11</v>
      </c>
      <c r="O42" s="12">
        <v>18</v>
      </c>
      <c r="P42" s="12">
        <v>17</v>
      </c>
      <c r="Q42" s="12">
        <v>8</v>
      </c>
      <c r="R42" s="12">
        <v>0</v>
      </c>
      <c r="S42" s="12">
        <v>12</v>
      </c>
      <c r="T42" s="12">
        <v>13</v>
      </c>
      <c r="U42" s="12">
        <v>2</v>
      </c>
      <c r="V42" s="12">
        <v>31</v>
      </c>
      <c r="W42" s="12">
        <v>0</v>
      </c>
      <c r="X42" s="12">
        <v>28</v>
      </c>
      <c r="Y42" s="12">
        <v>7</v>
      </c>
      <c r="Z42" s="12">
        <v>6</v>
      </c>
      <c r="AA42" s="12">
        <v>5</v>
      </c>
      <c r="AB42" s="12">
        <v>7</v>
      </c>
      <c r="AC42" s="12">
        <v>11</v>
      </c>
      <c r="AD42" s="12">
        <v>3</v>
      </c>
      <c r="AE42" s="12">
        <v>12</v>
      </c>
      <c r="AF42" s="12">
        <v>9</v>
      </c>
    </row>
    <row r="43" spans="1:32" x14ac:dyDescent="0.35">
      <c r="A43" s="19"/>
      <c r="B43" s="13" t="s">
        <v>614</v>
      </c>
      <c r="C43" s="15">
        <v>0.02</v>
      </c>
      <c r="D43" s="15">
        <v>0.01</v>
      </c>
      <c r="E43" s="15">
        <v>0.05</v>
      </c>
      <c r="F43" s="15">
        <v>0.02</v>
      </c>
      <c r="G43" s="15">
        <v>0.01</v>
      </c>
      <c r="H43" s="15">
        <v>0.03</v>
      </c>
      <c r="I43" s="15">
        <v>0.03</v>
      </c>
      <c r="J43" s="15">
        <v>0.01</v>
      </c>
      <c r="K43" s="15">
        <v>0.01</v>
      </c>
      <c r="L43" s="15">
        <v>0.01</v>
      </c>
      <c r="M43" s="15">
        <v>0.01</v>
      </c>
      <c r="N43" s="15">
        <v>0.01</v>
      </c>
      <c r="O43" s="15">
        <v>0.02</v>
      </c>
      <c r="P43" s="15">
        <v>0.02</v>
      </c>
      <c r="Q43" s="15">
        <v>0.01</v>
      </c>
      <c r="R43" s="14" t="s">
        <v>475</v>
      </c>
      <c r="S43" s="15">
        <v>0.01</v>
      </c>
      <c r="T43" s="15">
        <v>0.01</v>
      </c>
      <c r="U43" s="14" t="s">
        <v>475</v>
      </c>
      <c r="V43" s="15">
        <v>0.03</v>
      </c>
      <c r="W43" s="14" t="s">
        <v>475</v>
      </c>
      <c r="X43" s="15">
        <v>0.03</v>
      </c>
      <c r="Y43" s="15">
        <v>0.01</v>
      </c>
      <c r="Z43" s="15">
        <v>0.01</v>
      </c>
      <c r="AA43" s="14" t="s">
        <v>475</v>
      </c>
      <c r="AB43" s="15">
        <v>0.01</v>
      </c>
      <c r="AC43" s="15">
        <v>0.01</v>
      </c>
      <c r="AD43" s="14" t="s">
        <v>475</v>
      </c>
      <c r="AE43" s="15">
        <v>0.01</v>
      </c>
      <c r="AF43" s="15">
        <v>0.01</v>
      </c>
    </row>
    <row r="44" spans="1:32" x14ac:dyDescent="0.35">
      <c r="A44" s="19"/>
      <c r="B44" s="11" t="s">
        <v>485</v>
      </c>
      <c r="C44" s="12">
        <v>598</v>
      </c>
      <c r="D44" s="12">
        <v>4</v>
      </c>
      <c r="E44" s="12">
        <v>34</v>
      </c>
      <c r="F44" s="12">
        <v>51</v>
      </c>
      <c r="G44" s="12">
        <v>17</v>
      </c>
      <c r="H44" s="12">
        <v>53</v>
      </c>
      <c r="I44" s="12">
        <v>53</v>
      </c>
      <c r="J44" s="12">
        <v>0</v>
      </c>
      <c r="K44" s="12">
        <v>31</v>
      </c>
      <c r="L44" s="12">
        <v>4</v>
      </c>
      <c r="M44" s="12">
        <v>5</v>
      </c>
      <c r="N44" s="12">
        <v>26</v>
      </c>
      <c r="O44" s="12">
        <v>27</v>
      </c>
      <c r="P44" s="12">
        <v>13</v>
      </c>
      <c r="Q44" s="12">
        <v>29</v>
      </c>
      <c r="R44" s="12">
        <v>26</v>
      </c>
      <c r="S44" s="12">
        <v>22</v>
      </c>
      <c r="T44" s="12">
        <v>12</v>
      </c>
      <c r="U44" s="12">
        <v>6</v>
      </c>
      <c r="V44" s="12">
        <v>13</v>
      </c>
      <c r="W44" s="12">
        <v>4</v>
      </c>
      <c r="X44" s="12">
        <v>5</v>
      </c>
      <c r="Y44" s="12">
        <v>16</v>
      </c>
      <c r="Z44" s="12">
        <v>5</v>
      </c>
      <c r="AA44" s="12">
        <v>25</v>
      </c>
      <c r="AB44" s="12">
        <v>17</v>
      </c>
      <c r="AC44" s="12">
        <v>4</v>
      </c>
      <c r="AD44" s="12">
        <v>6</v>
      </c>
      <c r="AE44" s="12">
        <v>13</v>
      </c>
      <c r="AF44" s="12">
        <v>6</v>
      </c>
    </row>
    <row r="45" spans="1:32" x14ac:dyDescent="0.35">
      <c r="A45" s="19"/>
      <c r="B45" s="13" t="s">
        <v>486</v>
      </c>
      <c r="C45" s="15">
        <v>0.02</v>
      </c>
      <c r="D45" s="14" t="s">
        <v>475</v>
      </c>
      <c r="E45" s="15">
        <v>0.03</v>
      </c>
      <c r="F45" s="15">
        <v>0.05</v>
      </c>
      <c r="G45" s="15">
        <v>0.02</v>
      </c>
      <c r="H45" s="15">
        <v>0.04</v>
      </c>
      <c r="I45" s="15">
        <v>0.03</v>
      </c>
      <c r="J45" s="14" t="s">
        <v>475</v>
      </c>
      <c r="K45" s="15">
        <v>0.03</v>
      </c>
      <c r="L45" s="14" t="s">
        <v>475</v>
      </c>
      <c r="M45" s="14" t="s">
        <v>475</v>
      </c>
      <c r="N45" s="15">
        <v>0.03</v>
      </c>
      <c r="O45" s="15">
        <v>0.03</v>
      </c>
      <c r="P45" s="15">
        <v>0.01</v>
      </c>
      <c r="Q45" s="15">
        <v>0.03</v>
      </c>
      <c r="R45" s="15">
        <v>0.05</v>
      </c>
      <c r="S45" s="15">
        <v>0.02</v>
      </c>
      <c r="T45" s="15">
        <v>0.01</v>
      </c>
      <c r="U45" s="15">
        <v>0.01</v>
      </c>
      <c r="V45" s="15">
        <v>0.01</v>
      </c>
      <c r="W45" s="15">
        <v>0.01</v>
      </c>
      <c r="X45" s="14" t="s">
        <v>475</v>
      </c>
      <c r="Y45" s="15">
        <v>0.02</v>
      </c>
      <c r="Z45" s="15">
        <v>0.01</v>
      </c>
      <c r="AA45" s="15">
        <v>0.02</v>
      </c>
      <c r="AB45" s="15">
        <v>0.02</v>
      </c>
      <c r="AC45" s="14" t="s">
        <v>475</v>
      </c>
      <c r="AD45" s="15">
        <v>0.01</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3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187</v>
      </c>
      <c r="C3" s="18"/>
      <c r="D3" s="18"/>
      <c r="E3" s="18"/>
      <c r="F3" s="18"/>
      <c r="H3" s="18" t="s">
        <v>188</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19"/>
      <c r="B12" s="11" t="s">
        <v>965</v>
      </c>
      <c r="C12" s="12">
        <v>7058</v>
      </c>
      <c r="D12" s="12">
        <v>292</v>
      </c>
      <c r="E12" s="12">
        <v>318</v>
      </c>
      <c r="F12" s="12">
        <v>190</v>
      </c>
      <c r="G12" s="12">
        <v>329</v>
      </c>
      <c r="H12" s="12">
        <v>291</v>
      </c>
      <c r="I12" s="12">
        <v>370</v>
      </c>
      <c r="J12" s="12">
        <v>80</v>
      </c>
      <c r="K12" s="12">
        <v>255</v>
      </c>
      <c r="L12" s="12">
        <v>330</v>
      </c>
      <c r="M12" s="12">
        <v>260</v>
      </c>
      <c r="N12" s="12">
        <v>273</v>
      </c>
      <c r="O12" s="12">
        <v>253</v>
      </c>
      <c r="P12" s="12">
        <v>370</v>
      </c>
      <c r="Q12" s="12">
        <v>262</v>
      </c>
      <c r="R12" s="12">
        <v>115</v>
      </c>
      <c r="S12" s="12">
        <v>250</v>
      </c>
      <c r="T12" s="12">
        <v>307</v>
      </c>
      <c r="U12" s="12">
        <v>120</v>
      </c>
      <c r="V12" s="12">
        <v>333</v>
      </c>
      <c r="W12" s="12">
        <v>179</v>
      </c>
      <c r="X12" s="12">
        <v>339</v>
      </c>
      <c r="Y12" s="12">
        <v>305</v>
      </c>
      <c r="Z12" s="12">
        <v>228</v>
      </c>
      <c r="AA12" s="12">
        <v>260</v>
      </c>
      <c r="AB12" s="12">
        <v>279</v>
      </c>
      <c r="AC12" s="12">
        <v>356</v>
      </c>
      <c r="AD12" s="12">
        <v>325</v>
      </c>
      <c r="AE12" s="12">
        <v>378</v>
      </c>
      <c r="AF12" s="12">
        <v>421</v>
      </c>
    </row>
    <row r="13" spans="1:32" ht="21.5" x14ac:dyDescent="0.35">
      <c r="A13" s="19"/>
      <c r="B13" s="13" t="s">
        <v>966</v>
      </c>
      <c r="C13" s="15">
        <v>0.27</v>
      </c>
      <c r="D13" s="15">
        <v>0.28999999999999998</v>
      </c>
      <c r="E13" s="15">
        <v>0.31</v>
      </c>
      <c r="F13" s="15">
        <v>0.17</v>
      </c>
      <c r="G13" s="15">
        <v>0.33</v>
      </c>
      <c r="H13" s="15">
        <v>0.24</v>
      </c>
      <c r="I13" s="15">
        <v>0.24</v>
      </c>
      <c r="J13" s="15">
        <v>0.27</v>
      </c>
      <c r="K13" s="15">
        <v>0.25</v>
      </c>
      <c r="L13" s="15">
        <v>0.33</v>
      </c>
      <c r="M13" s="15">
        <v>0.26</v>
      </c>
      <c r="N13" s="15">
        <v>0.27</v>
      </c>
      <c r="O13" s="15">
        <v>0.25</v>
      </c>
      <c r="P13" s="15">
        <v>0.37</v>
      </c>
      <c r="Q13" s="15">
        <v>0.25</v>
      </c>
      <c r="R13" s="15">
        <v>0.23</v>
      </c>
      <c r="S13" s="15">
        <v>0.25</v>
      </c>
      <c r="T13" s="15">
        <v>0.31</v>
      </c>
      <c r="U13" s="15">
        <v>0.24</v>
      </c>
      <c r="V13" s="15">
        <v>0.33</v>
      </c>
      <c r="W13" s="15">
        <v>0.35</v>
      </c>
      <c r="X13" s="15">
        <v>0.34</v>
      </c>
      <c r="Y13" s="15">
        <v>0.3</v>
      </c>
      <c r="Z13" s="15">
        <v>0.22</v>
      </c>
      <c r="AA13" s="15">
        <v>0.25</v>
      </c>
      <c r="AB13" s="15">
        <v>0.27</v>
      </c>
      <c r="AC13" s="15">
        <v>0.35</v>
      </c>
      <c r="AD13" s="15">
        <v>0.32</v>
      </c>
      <c r="AE13" s="15">
        <v>0.37</v>
      </c>
      <c r="AF13" s="15">
        <v>0.4</v>
      </c>
    </row>
    <row r="14" spans="1:32" ht="21.5" x14ac:dyDescent="0.35">
      <c r="A14" s="19"/>
      <c r="B14" s="11" t="s">
        <v>967</v>
      </c>
      <c r="C14" s="12">
        <v>6002</v>
      </c>
      <c r="D14" s="12">
        <v>209</v>
      </c>
      <c r="E14" s="12">
        <v>178</v>
      </c>
      <c r="F14" s="12">
        <v>202</v>
      </c>
      <c r="G14" s="12">
        <v>310</v>
      </c>
      <c r="H14" s="12">
        <v>295</v>
      </c>
      <c r="I14" s="12">
        <v>373</v>
      </c>
      <c r="J14" s="12">
        <v>78</v>
      </c>
      <c r="K14" s="12">
        <v>117</v>
      </c>
      <c r="L14" s="12">
        <v>218</v>
      </c>
      <c r="M14" s="12">
        <v>307</v>
      </c>
      <c r="N14" s="12">
        <v>203</v>
      </c>
      <c r="O14" s="12">
        <v>169</v>
      </c>
      <c r="P14" s="12">
        <v>319</v>
      </c>
      <c r="Q14" s="12">
        <v>239</v>
      </c>
      <c r="R14" s="12">
        <v>113</v>
      </c>
      <c r="S14" s="12">
        <v>220</v>
      </c>
      <c r="T14" s="12">
        <v>281</v>
      </c>
      <c r="U14" s="12">
        <v>85</v>
      </c>
      <c r="V14" s="12">
        <v>272</v>
      </c>
      <c r="W14" s="12">
        <v>110</v>
      </c>
      <c r="X14" s="12">
        <v>276</v>
      </c>
      <c r="Y14" s="12">
        <v>207</v>
      </c>
      <c r="Z14" s="12">
        <v>271</v>
      </c>
      <c r="AA14" s="12">
        <v>153</v>
      </c>
      <c r="AB14" s="12">
        <v>244</v>
      </c>
      <c r="AC14" s="12">
        <v>239</v>
      </c>
      <c r="AD14" s="12">
        <v>245</v>
      </c>
      <c r="AE14" s="12">
        <v>211</v>
      </c>
      <c r="AF14" s="12">
        <v>346</v>
      </c>
    </row>
    <row r="15" spans="1:32" ht="21.5" x14ac:dyDescent="0.35">
      <c r="A15" s="19"/>
      <c r="B15" s="13" t="s">
        <v>968</v>
      </c>
      <c r="C15" s="15">
        <v>0.23</v>
      </c>
      <c r="D15" s="15">
        <v>0.21</v>
      </c>
      <c r="E15" s="15">
        <v>0.17</v>
      </c>
      <c r="F15" s="15">
        <v>0.18</v>
      </c>
      <c r="G15" s="15">
        <v>0.31</v>
      </c>
      <c r="H15" s="15">
        <v>0.24</v>
      </c>
      <c r="I15" s="15">
        <v>0.25</v>
      </c>
      <c r="J15" s="15">
        <v>0.26</v>
      </c>
      <c r="K15" s="15">
        <v>0.12</v>
      </c>
      <c r="L15" s="15">
        <v>0.22</v>
      </c>
      <c r="M15" s="15">
        <v>0.3</v>
      </c>
      <c r="N15" s="15">
        <v>0.2</v>
      </c>
      <c r="O15" s="15">
        <v>0.17</v>
      </c>
      <c r="P15" s="15">
        <v>0.32</v>
      </c>
      <c r="Q15" s="15">
        <v>0.23</v>
      </c>
      <c r="R15" s="15">
        <v>0.22</v>
      </c>
      <c r="S15" s="15">
        <v>0.22</v>
      </c>
      <c r="T15" s="15">
        <v>0.28000000000000003</v>
      </c>
      <c r="U15" s="15">
        <v>0.17</v>
      </c>
      <c r="V15" s="15">
        <v>0.27</v>
      </c>
      <c r="W15" s="15">
        <v>0.22</v>
      </c>
      <c r="X15" s="15">
        <v>0.27</v>
      </c>
      <c r="Y15" s="15">
        <v>0.21</v>
      </c>
      <c r="Z15" s="15">
        <v>0.26</v>
      </c>
      <c r="AA15" s="15">
        <v>0.15</v>
      </c>
      <c r="AB15" s="15">
        <v>0.23</v>
      </c>
      <c r="AC15" s="15">
        <v>0.24</v>
      </c>
      <c r="AD15" s="15">
        <v>0.24</v>
      </c>
      <c r="AE15" s="15">
        <v>0.21</v>
      </c>
      <c r="AF15" s="15">
        <v>0.33</v>
      </c>
    </row>
    <row r="16" spans="1:32" x14ac:dyDescent="0.35">
      <c r="A16" s="19"/>
      <c r="B16" s="11" t="s">
        <v>969</v>
      </c>
      <c r="C16" s="12">
        <v>6870</v>
      </c>
      <c r="D16" s="12">
        <v>214</v>
      </c>
      <c r="E16" s="12">
        <v>219</v>
      </c>
      <c r="F16" s="12">
        <v>230</v>
      </c>
      <c r="G16" s="12">
        <v>246</v>
      </c>
      <c r="H16" s="12">
        <v>288</v>
      </c>
      <c r="I16" s="12">
        <v>355</v>
      </c>
      <c r="J16" s="12">
        <v>66</v>
      </c>
      <c r="K16" s="12">
        <v>190</v>
      </c>
      <c r="L16" s="12">
        <v>263</v>
      </c>
      <c r="M16" s="12">
        <v>276</v>
      </c>
      <c r="N16" s="12">
        <v>306</v>
      </c>
      <c r="O16" s="12">
        <v>318</v>
      </c>
      <c r="P16" s="12">
        <v>305</v>
      </c>
      <c r="Q16" s="12">
        <v>302</v>
      </c>
      <c r="R16" s="12">
        <v>104</v>
      </c>
      <c r="S16" s="12">
        <v>259</v>
      </c>
      <c r="T16" s="12">
        <v>241</v>
      </c>
      <c r="U16" s="12">
        <v>112</v>
      </c>
      <c r="V16" s="12">
        <v>224</v>
      </c>
      <c r="W16" s="12">
        <v>149</v>
      </c>
      <c r="X16" s="12">
        <v>238</v>
      </c>
      <c r="Y16" s="12">
        <v>217</v>
      </c>
      <c r="Z16" s="12">
        <v>212</v>
      </c>
      <c r="AA16" s="12">
        <v>221</v>
      </c>
      <c r="AB16" s="12">
        <v>189</v>
      </c>
      <c r="AC16" s="12">
        <v>294</v>
      </c>
      <c r="AD16" s="12">
        <v>289</v>
      </c>
      <c r="AE16" s="12">
        <v>293</v>
      </c>
      <c r="AF16" s="12">
        <v>291</v>
      </c>
    </row>
    <row r="17" spans="1:32" x14ac:dyDescent="0.35">
      <c r="A17" s="19"/>
      <c r="B17" s="13" t="s">
        <v>970</v>
      </c>
      <c r="C17" s="15">
        <v>0.26</v>
      </c>
      <c r="D17" s="15">
        <v>0.21</v>
      </c>
      <c r="E17" s="15">
        <v>0.21</v>
      </c>
      <c r="F17" s="15">
        <v>0.21</v>
      </c>
      <c r="G17" s="15">
        <v>0.24</v>
      </c>
      <c r="H17" s="15">
        <v>0.24</v>
      </c>
      <c r="I17" s="15">
        <v>0.23</v>
      </c>
      <c r="J17" s="15">
        <v>0.22</v>
      </c>
      <c r="K17" s="15">
        <v>0.19</v>
      </c>
      <c r="L17" s="15">
        <v>0.26</v>
      </c>
      <c r="M17" s="15">
        <v>0.27</v>
      </c>
      <c r="N17" s="15">
        <v>0.3</v>
      </c>
      <c r="O17" s="15">
        <v>0.32</v>
      </c>
      <c r="P17" s="15">
        <v>0.3</v>
      </c>
      <c r="Q17" s="15">
        <v>0.28999999999999998</v>
      </c>
      <c r="R17" s="15">
        <v>0.21</v>
      </c>
      <c r="S17" s="15">
        <v>0.26</v>
      </c>
      <c r="T17" s="15">
        <v>0.24</v>
      </c>
      <c r="U17" s="15">
        <v>0.22</v>
      </c>
      <c r="V17" s="15">
        <v>0.22</v>
      </c>
      <c r="W17" s="15">
        <v>0.28999999999999998</v>
      </c>
      <c r="X17" s="15">
        <v>0.24</v>
      </c>
      <c r="Y17" s="15">
        <v>0.22</v>
      </c>
      <c r="Z17" s="15">
        <v>0.21</v>
      </c>
      <c r="AA17" s="15">
        <v>0.21</v>
      </c>
      <c r="AB17" s="15">
        <v>0.18</v>
      </c>
      <c r="AC17" s="15">
        <v>0.28999999999999998</v>
      </c>
      <c r="AD17" s="15">
        <v>0.28999999999999998</v>
      </c>
      <c r="AE17" s="15">
        <v>0.28999999999999998</v>
      </c>
      <c r="AF17" s="15">
        <v>0.28000000000000003</v>
      </c>
    </row>
    <row r="18" spans="1:32" ht="31.5" x14ac:dyDescent="0.35">
      <c r="A18" s="19"/>
      <c r="B18" s="11" t="s">
        <v>971</v>
      </c>
      <c r="C18" s="12">
        <v>6400</v>
      </c>
      <c r="D18" s="12">
        <v>257</v>
      </c>
      <c r="E18" s="12">
        <v>238</v>
      </c>
      <c r="F18" s="12">
        <v>167</v>
      </c>
      <c r="G18" s="12">
        <v>352</v>
      </c>
      <c r="H18" s="12">
        <v>284</v>
      </c>
      <c r="I18" s="12">
        <v>349</v>
      </c>
      <c r="J18" s="12">
        <v>65</v>
      </c>
      <c r="K18" s="12">
        <v>171</v>
      </c>
      <c r="L18" s="12">
        <v>197</v>
      </c>
      <c r="M18" s="12">
        <v>293</v>
      </c>
      <c r="N18" s="12">
        <v>243</v>
      </c>
      <c r="O18" s="12">
        <v>248</v>
      </c>
      <c r="P18" s="12">
        <v>244</v>
      </c>
      <c r="Q18" s="12">
        <v>240</v>
      </c>
      <c r="R18" s="12">
        <v>94</v>
      </c>
      <c r="S18" s="12">
        <v>171</v>
      </c>
      <c r="T18" s="12">
        <v>249</v>
      </c>
      <c r="U18" s="12">
        <v>126</v>
      </c>
      <c r="V18" s="12">
        <v>172</v>
      </c>
      <c r="W18" s="12">
        <v>151</v>
      </c>
      <c r="X18" s="12">
        <v>330</v>
      </c>
      <c r="Y18" s="12">
        <v>292</v>
      </c>
      <c r="Z18" s="12">
        <v>202</v>
      </c>
      <c r="AA18" s="12">
        <v>156</v>
      </c>
      <c r="AB18" s="12">
        <v>257</v>
      </c>
      <c r="AC18" s="12">
        <v>224</v>
      </c>
      <c r="AD18" s="12">
        <v>236</v>
      </c>
      <c r="AE18" s="12">
        <v>313</v>
      </c>
      <c r="AF18" s="12">
        <v>488</v>
      </c>
    </row>
    <row r="19" spans="1:32" ht="31.5" x14ac:dyDescent="0.35">
      <c r="A19" s="19"/>
      <c r="B19" s="13" t="s">
        <v>972</v>
      </c>
      <c r="C19" s="15">
        <v>0.24</v>
      </c>
      <c r="D19" s="15">
        <v>0.25</v>
      </c>
      <c r="E19" s="15">
        <v>0.23</v>
      </c>
      <c r="F19" s="15">
        <v>0.15</v>
      </c>
      <c r="G19" s="15">
        <v>0.35</v>
      </c>
      <c r="H19" s="15">
        <v>0.23</v>
      </c>
      <c r="I19" s="15">
        <v>0.23</v>
      </c>
      <c r="J19" s="15">
        <v>0.22</v>
      </c>
      <c r="K19" s="15">
        <v>0.17</v>
      </c>
      <c r="L19" s="15">
        <v>0.2</v>
      </c>
      <c r="M19" s="15">
        <v>0.28999999999999998</v>
      </c>
      <c r="N19" s="15">
        <v>0.24</v>
      </c>
      <c r="O19" s="15">
        <v>0.25</v>
      </c>
      <c r="P19" s="15">
        <v>0.24</v>
      </c>
      <c r="Q19" s="15">
        <v>0.23</v>
      </c>
      <c r="R19" s="15">
        <v>0.19</v>
      </c>
      <c r="S19" s="15">
        <v>0.17</v>
      </c>
      <c r="T19" s="15">
        <v>0.25</v>
      </c>
      <c r="U19" s="15">
        <v>0.25</v>
      </c>
      <c r="V19" s="15">
        <v>0.17</v>
      </c>
      <c r="W19" s="15">
        <v>0.3</v>
      </c>
      <c r="X19" s="15">
        <v>0.33</v>
      </c>
      <c r="Y19" s="15">
        <v>0.28999999999999998</v>
      </c>
      <c r="Z19" s="15">
        <v>0.2</v>
      </c>
      <c r="AA19" s="15">
        <v>0.15</v>
      </c>
      <c r="AB19" s="15">
        <v>0.24</v>
      </c>
      <c r="AC19" s="15">
        <v>0.22</v>
      </c>
      <c r="AD19" s="15">
        <v>0.23</v>
      </c>
      <c r="AE19" s="15">
        <v>0.31</v>
      </c>
      <c r="AF19" s="15">
        <v>0.47</v>
      </c>
    </row>
    <row r="20" spans="1:32" ht="31.5" x14ac:dyDescent="0.35">
      <c r="A20" s="19"/>
      <c r="B20" s="11" t="s">
        <v>973</v>
      </c>
      <c r="C20" s="12">
        <v>5729</v>
      </c>
      <c r="D20" s="12">
        <v>280</v>
      </c>
      <c r="E20" s="12">
        <v>227</v>
      </c>
      <c r="F20" s="12">
        <v>272</v>
      </c>
      <c r="G20" s="12">
        <v>157</v>
      </c>
      <c r="H20" s="12">
        <v>216</v>
      </c>
      <c r="I20" s="12">
        <v>288</v>
      </c>
      <c r="J20" s="12">
        <v>72</v>
      </c>
      <c r="K20" s="12">
        <v>254</v>
      </c>
      <c r="L20" s="12">
        <v>190</v>
      </c>
      <c r="M20" s="12">
        <v>302</v>
      </c>
      <c r="N20" s="12">
        <v>132</v>
      </c>
      <c r="O20" s="12">
        <v>255</v>
      </c>
      <c r="P20" s="12">
        <v>261</v>
      </c>
      <c r="Q20" s="12">
        <v>241</v>
      </c>
      <c r="R20" s="12">
        <v>133</v>
      </c>
      <c r="S20" s="12">
        <v>185</v>
      </c>
      <c r="T20" s="12">
        <v>150</v>
      </c>
      <c r="U20" s="12">
        <v>130</v>
      </c>
      <c r="V20" s="12">
        <v>274</v>
      </c>
      <c r="W20" s="12">
        <v>147</v>
      </c>
      <c r="X20" s="12">
        <v>134</v>
      </c>
      <c r="Y20" s="12">
        <v>396</v>
      </c>
      <c r="Z20" s="12">
        <v>209</v>
      </c>
      <c r="AA20" s="12">
        <v>401</v>
      </c>
      <c r="AB20" s="12">
        <v>270</v>
      </c>
      <c r="AC20" s="12">
        <v>163</v>
      </c>
      <c r="AD20" s="12">
        <v>249</v>
      </c>
      <c r="AE20" s="12">
        <v>146</v>
      </c>
      <c r="AF20" s="12">
        <v>115</v>
      </c>
    </row>
    <row r="21" spans="1:32" ht="21.5" x14ac:dyDescent="0.35">
      <c r="A21" s="19"/>
      <c r="B21" s="13" t="s">
        <v>974</v>
      </c>
      <c r="C21" s="15">
        <v>0.22</v>
      </c>
      <c r="D21" s="15">
        <v>0.28000000000000003</v>
      </c>
      <c r="E21" s="15">
        <v>0.22</v>
      </c>
      <c r="F21" s="15">
        <v>0.25</v>
      </c>
      <c r="G21" s="15">
        <v>0.16</v>
      </c>
      <c r="H21" s="15">
        <v>0.18</v>
      </c>
      <c r="I21" s="15">
        <v>0.19</v>
      </c>
      <c r="J21" s="15">
        <v>0.25</v>
      </c>
      <c r="K21" s="15">
        <v>0.25</v>
      </c>
      <c r="L21" s="15">
        <v>0.19</v>
      </c>
      <c r="M21" s="15">
        <v>0.3</v>
      </c>
      <c r="N21" s="15">
        <v>0.13</v>
      </c>
      <c r="O21" s="15">
        <v>0.25</v>
      </c>
      <c r="P21" s="15">
        <v>0.26</v>
      </c>
      <c r="Q21" s="15">
        <v>0.23</v>
      </c>
      <c r="R21" s="15">
        <v>0.26</v>
      </c>
      <c r="S21" s="15">
        <v>0.18</v>
      </c>
      <c r="T21" s="15">
        <v>0.15</v>
      </c>
      <c r="U21" s="15">
        <v>0.26</v>
      </c>
      <c r="V21" s="15">
        <v>0.27</v>
      </c>
      <c r="W21" s="15">
        <v>0.28999999999999998</v>
      </c>
      <c r="X21" s="15">
        <v>0.13</v>
      </c>
      <c r="Y21" s="15">
        <v>0.39</v>
      </c>
      <c r="Z21" s="15">
        <v>0.2</v>
      </c>
      <c r="AA21" s="15">
        <v>0.39</v>
      </c>
      <c r="AB21" s="15">
        <v>0.26</v>
      </c>
      <c r="AC21" s="15">
        <v>0.16</v>
      </c>
      <c r="AD21" s="15">
        <v>0.25</v>
      </c>
      <c r="AE21" s="15">
        <v>0.14000000000000001</v>
      </c>
      <c r="AF21" s="15">
        <v>0.11</v>
      </c>
    </row>
    <row r="22" spans="1:32" ht="21.5" x14ac:dyDescent="0.35">
      <c r="A22" s="19"/>
      <c r="B22" s="11" t="s">
        <v>975</v>
      </c>
      <c r="C22" s="12">
        <v>7672</v>
      </c>
      <c r="D22" s="12">
        <v>299</v>
      </c>
      <c r="E22" s="12">
        <v>284</v>
      </c>
      <c r="F22" s="12">
        <v>381</v>
      </c>
      <c r="G22" s="12">
        <v>302</v>
      </c>
      <c r="H22" s="12">
        <v>379</v>
      </c>
      <c r="I22" s="12">
        <v>479</v>
      </c>
      <c r="J22" s="12">
        <v>100</v>
      </c>
      <c r="K22" s="12">
        <v>256</v>
      </c>
      <c r="L22" s="12">
        <v>290</v>
      </c>
      <c r="M22" s="12">
        <v>331</v>
      </c>
      <c r="N22" s="12">
        <v>194</v>
      </c>
      <c r="O22" s="12">
        <v>311</v>
      </c>
      <c r="P22" s="12">
        <v>262</v>
      </c>
      <c r="Q22" s="12">
        <v>349</v>
      </c>
      <c r="R22" s="12">
        <v>137</v>
      </c>
      <c r="S22" s="12">
        <v>209</v>
      </c>
      <c r="T22" s="12">
        <v>198</v>
      </c>
      <c r="U22" s="12">
        <v>192</v>
      </c>
      <c r="V22" s="12">
        <v>293</v>
      </c>
      <c r="W22" s="12">
        <v>162</v>
      </c>
      <c r="X22" s="12">
        <v>273</v>
      </c>
      <c r="Y22" s="12">
        <v>401</v>
      </c>
      <c r="Z22" s="12">
        <v>252</v>
      </c>
      <c r="AA22" s="12">
        <v>351</v>
      </c>
      <c r="AB22" s="12">
        <v>257</v>
      </c>
      <c r="AC22" s="12">
        <v>274</v>
      </c>
      <c r="AD22" s="12">
        <v>254</v>
      </c>
      <c r="AE22" s="12">
        <v>262</v>
      </c>
      <c r="AF22" s="12">
        <v>251</v>
      </c>
    </row>
    <row r="23" spans="1:32" ht="21.5" x14ac:dyDescent="0.35">
      <c r="A23" s="19"/>
      <c r="B23" s="13" t="s">
        <v>976</v>
      </c>
      <c r="C23" s="15">
        <v>0.28999999999999998</v>
      </c>
      <c r="D23" s="15">
        <v>0.3</v>
      </c>
      <c r="E23" s="15">
        <v>0.28000000000000003</v>
      </c>
      <c r="F23" s="15">
        <v>0.35</v>
      </c>
      <c r="G23" s="15">
        <v>0.3</v>
      </c>
      <c r="H23" s="15">
        <v>0.31</v>
      </c>
      <c r="I23" s="15">
        <v>0.32</v>
      </c>
      <c r="J23" s="15">
        <v>0.34</v>
      </c>
      <c r="K23" s="15">
        <v>0.26</v>
      </c>
      <c r="L23" s="15">
        <v>0.28999999999999998</v>
      </c>
      <c r="M23" s="15">
        <v>0.33</v>
      </c>
      <c r="N23" s="15">
        <v>0.19</v>
      </c>
      <c r="O23" s="15">
        <v>0.31</v>
      </c>
      <c r="P23" s="15">
        <v>0.26</v>
      </c>
      <c r="Q23" s="15">
        <v>0.34</v>
      </c>
      <c r="R23" s="15">
        <v>0.27</v>
      </c>
      <c r="S23" s="15">
        <v>0.21</v>
      </c>
      <c r="T23" s="15">
        <v>0.2</v>
      </c>
      <c r="U23" s="15">
        <v>0.38</v>
      </c>
      <c r="V23" s="15">
        <v>0.28999999999999998</v>
      </c>
      <c r="W23" s="15">
        <v>0.32</v>
      </c>
      <c r="X23" s="15">
        <v>0.27</v>
      </c>
      <c r="Y23" s="15">
        <v>0.4</v>
      </c>
      <c r="Z23" s="15">
        <v>0.24</v>
      </c>
      <c r="AA23" s="15">
        <v>0.34</v>
      </c>
      <c r="AB23" s="15">
        <v>0.24</v>
      </c>
      <c r="AC23" s="15">
        <v>0.27</v>
      </c>
      <c r="AD23" s="15">
        <v>0.25</v>
      </c>
      <c r="AE23" s="15">
        <v>0.26</v>
      </c>
      <c r="AF23" s="15">
        <v>0.24</v>
      </c>
    </row>
    <row r="24" spans="1:32" ht="21.5" x14ac:dyDescent="0.35">
      <c r="A24" s="19"/>
      <c r="B24" s="11" t="s">
        <v>977</v>
      </c>
      <c r="C24" s="12">
        <v>7607</v>
      </c>
      <c r="D24" s="12">
        <v>349</v>
      </c>
      <c r="E24" s="12">
        <v>283</v>
      </c>
      <c r="F24" s="12">
        <v>329</v>
      </c>
      <c r="G24" s="12">
        <v>574</v>
      </c>
      <c r="H24" s="12">
        <v>457</v>
      </c>
      <c r="I24" s="12">
        <v>580</v>
      </c>
      <c r="J24" s="12">
        <v>123</v>
      </c>
      <c r="K24" s="12">
        <v>332</v>
      </c>
      <c r="L24" s="12">
        <v>272</v>
      </c>
      <c r="M24" s="12">
        <v>353</v>
      </c>
      <c r="N24" s="12">
        <v>217</v>
      </c>
      <c r="O24" s="12">
        <v>271</v>
      </c>
      <c r="P24" s="12">
        <v>228</v>
      </c>
      <c r="Q24" s="12">
        <v>236</v>
      </c>
      <c r="R24" s="12">
        <v>171</v>
      </c>
      <c r="S24" s="12">
        <v>323</v>
      </c>
      <c r="T24" s="12">
        <v>272</v>
      </c>
      <c r="U24" s="12">
        <v>218</v>
      </c>
      <c r="V24" s="12">
        <v>200</v>
      </c>
      <c r="W24" s="12">
        <v>111</v>
      </c>
      <c r="X24" s="12">
        <v>487</v>
      </c>
      <c r="Y24" s="12">
        <v>314</v>
      </c>
      <c r="Z24" s="12">
        <v>172</v>
      </c>
      <c r="AA24" s="12">
        <v>144</v>
      </c>
      <c r="AB24" s="12">
        <v>158</v>
      </c>
      <c r="AC24" s="12">
        <v>249</v>
      </c>
      <c r="AD24" s="12">
        <v>273</v>
      </c>
      <c r="AE24" s="12">
        <v>464</v>
      </c>
      <c r="AF24" s="12">
        <v>526</v>
      </c>
    </row>
    <row r="25" spans="1:32" ht="21.5" x14ac:dyDescent="0.35">
      <c r="A25" s="19"/>
      <c r="B25" s="13" t="s">
        <v>978</v>
      </c>
      <c r="C25" s="15">
        <v>0.28999999999999998</v>
      </c>
      <c r="D25" s="15">
        <v>0.34</v>
      </c>
      <c r="E25" s="15">
        <v>0.27</v>
      </c>
      <c r="F25" s="15">
        <v>0.3</v>
      </c>
      <c r="G25" s="15">
        <v>0.57000000000000006</v>
      </c>
      <c r="H25" s="15">
        <v>0.37</v>
      </c>
      <c r="I25" s="15">
        <v>0.38</v>
      </c>
      <c r="J25" s="15">
        <v>0.42</v>
      </c>
      <c r="K25" s="15">
        <v>0.33</v>
      </c>
      <c r="L25" s="15">
        <v>0.27</v>
      </c>
      <c r="M25" s="15">
        <v>0.35</v>
      </c>
      <c r="N25" s="15">
        <v>0.22</v>
      </c>
      <c r="O25" s="15">
        <v>0.27</v>
      </c>
      <c r="P25" s="15">
        <v>0.23</v>
      </c>
      <c r="Q25" s="15">
        <v>0.23</v>
      </c>
      <c r="R25" s="15">
        <v>0.34</v>
      </c>
      <c r="S25" s="15">
        <v>0.32</v>
      </c>
      <c r="T25" s="15">
        <v>0.27</v>
      </c>
      <c r="U25" s="15">
        <v>0.43</v>
      </c>
      <c r="V25" s="15">
        <v>0.2</v>
      </c>
      <c r="W25" s="15">
        <v>0.22</v>
      </c>
      <c r="X25" s="15">
        <v>0.48</v>
      </c>
      <c r="Y25" s="15">
        <v>0.31</v>
      </c>
      <c r="Z25" s="15">
        <v>0.17</v>
      </c>
      <c r="AA25" s="15">
        <v>0.14000000000000001</v>
      </c>
      <c r="AB25" s="15">
        <v>0.15</v>
      </c>
      <c r="AC25" s="15">
        <v>0.25</v>
      </c>
      <c r="AD25" s="15">
        <v>0.27</v>
      </c>
      <c r="AE25" s="15">
        <v>0.46</v>
      </c>
      <c r="AF25" s="15">
        <v>0.5</v>
      </c>
    </row>
    <row r="26" spans="1:32" ht="31.5" x14ac:dyDescent="0.35">
      <c r="A26" s="19"/>
      <c r="B26" s="11" t="s">
        <v>979</v>
      </c>
      <c r="C26" s="12">
        <v>4573</v>
      </c>
      <c r="D26" s="12">
        <v>161</v>
      </c>
      <c r="E26" s="12">
        <v>197</v>
      </c>
      <c r="F26" s="12">
        <v>240</v>
      </c>
      <c r="G26" s="12">
        <v>126</v>
      </c>
      <c r="H26" s="12">
        <v>185</v>
      </c>
      <c r="I26" s="12">
        <v>254</v>
      </c>
      <c r="J26" s="12">
        <v>70</v>
      </c>
      <c r="K26" s="12">
        <v>291</v>
      </c>
      <c r="L26" s="12">
        <v>198</v>
      </c>
      <c r="M26" s="12">
        <v>218</v>
      </c>
      <c r="N26" s="12">
        <v>134</v>
      </c>
      <c r="O26" s="12">
        <v>142</v>
      </c>
      <c r="P26" s="12">
        <v>243</v>
      </c>
      <c r="Q26" s="12">
        <v>192</v>
      </c>
      <c r="R26" s="12">
        <v>86</v>
      </c>
      <c r="S26" s="12">
        <v>216</v>
      </c>
      <c r="T26" s="12">
        <v>205</v>
      </c>
      <c r="U26" s="12">
        <v>52</v>
      </c>
      <c r="V26" s="12">
        <v>240</v>
      </c>
      <c r="W26" s="12">
        <v>124</v>
      </c>
      <c r="X26" s="12">
        <v>120</v>
      </c>
      <c r="Y26" s="12">
        <v>301</v>
      </c>
      <c r="Z26" s="12">
        <v>181</v>
      </c>
      <c r="AA26" s="12">
        <v>168</v>
      </c>
      <c r="AB26" s="12">
        <v>248</v>
      </c>
      <c r="AC26" s="12">
        <v>124</v>
      </c>
      <c r="AD26" s="12">
        <v>266</v>
      </c>
      <c r="AE26" s="12">
        <v>176</v>
      </c>
      <c r="AF26" s="12">
        <v>176</v>
      </c>
    </row>
    <row r="27" spans="1:32" ht="21.5" x14ac:dyDescent="0.35">
      <c r="A27" s="19"/>
      <c r="B27" s="13" t="s">
        <v>980</v>
      </c>
      <c r="C27" s="15">
        <v>0.17</v>
      </c>
      <c r="D27" s="15">
        <v>0.16</v>
      </c>
      <c r="E27" s="15">
        <v>0.19</v>
      </c>
      <c r="F27" s="15">
        <v>0.22</v>
      </c>
      <c r="G27" s="15">
        <v>0.13</v>
      </c>
      <c r="H27" s="15">
        <v>0.15</v>
      </c>
      <c r="I27" s="15">
        <v>0.17</v>
      </c>
      <c r="J27" s="15">
        <v>0.24</v>
      </c>
      <c r="K27" s="15">
        <v>0.28999999999999998</v>
      </c>
      <c r="L27" s="15">
        <v>0.2</v>
      </c>
      <c r="M27" s="15">
        <v>0.22</v>
      </c>
      <c r="N27" s="15">
        <v>0.13</v>
      </c>
      <c r="O27" s="15">
        <v>0.14000000000000001</v>
      </c>
      <c r="P27" s="15">
        <v>0.24</v>
      </c>
      <c r="Q27" s="15">
        <v>0.19</v>
      </c>
      <c r="R27" s="15">
        <v>0.17</v>
      </c>
      <c r="S27" s="15">
        <v>0.22</v>
      </c>
      <c r="T27" s="15">
        <v>0.2</v>
      </c>
      <c r="U27" s="15">
        <v>0.1</v>
      </c>
      <c r="V27" s="15">
        <v>0.24</v>
      </c>
      <c r="W27" s="15">
        <v>0.24</v>
      </c>
      <c r="X27" s="15">
        <v>0.12</v>
      </c>
      <c r="Y27" s="15">
        <v>0.3</v>
      </c>
      <c r="Z27" s="15">
        <v>0.18</v>
      </c>
      <c r="AA27" s="15">
        <v>0.16</v>
      </c>
      <c r="AB27" s="15">
        <v>0.24</v>
      </c>
      <c r="AC27" s="15">
        <v>0.12</v>
      </c>
      <c r="AD27" s="15">
        <v>0.26</v>
      </c>
      <c r="AE27" s="15">
        <v>0.17</v>
      </c>
      <c r="AF27" s="15">
        <v>0.17</v>
      </c>
    </row>
    <row r="28" spans="1:32" x14ac:dyDescent="0.35">
      <c r="A28" s="19"/>
      <c r="B28" s="11" t="s">
        <v>611</v>
      </c>
      <c r="C28" s="12">
        <v>115</v>
      </c>
      <c r="D28" s="12">
        <v>3</v>
      </c>
      <c r="E28" s="12">
        <v>6</v>
      </c>
      <c r="F28" s="12">
        <v>0</v>
      </c>
      <c r="G28" s="12">
        <v>3</v>
      </c>
      <c r="H28" s="12">
        <v>12</v>
      </c>
      <c r="I28" s="12">
        <v>12</v>
      </c>
      <c r="J28" s="12">
        <v>0</v>
      </c>
      <c r="K28" s="12">
        <v>12</v>
      </c>
      <c r="L28" s="12">
        <v>2</v>
      </c>
      <c r="M28" s="12">
        <v>3</v>
      </c>
      <c r="N28" s="12">
        <v>8</v>
      </c>
      <c r="O28" s="12">
        <v>4</v>
      </c>
      <c r="P28" s="12">
        <v>0</v>
      </c>
      <c r="Q28" s="12">
        <v>3</v>
      </c>
      <c r="R28" s="12">
        <v>3</v>
      </c>
      <c r="S28" s="12">
        <v>5</v>
      </c>
      <c r="T28" s="12">
        <v>5</v>
      </c>
      <c r="U28" s="12">
        <v>4</v>
      </c>
      <c r="V28" s="12">
        <v>0</v>
      </c>
      <c r="W28" s="12">
        <v>2</v>
      </c>
      <c r="X28" s="12">
        <v>3</v>
      </c>
      <c r="Y28" s="12">
        <v>9</v>
      </c>
      <c r="Z28" s="12">
        <v>0</v>
      </c>
      <c r="AA28" s="12">
        <v>4</v>
      </c>
      <c r="AB28" s="12">
        <v>3</v>
      </c>
      <c r="AC28" s="12">
        <v>5</v>
      </c>
      <c r="AD28" s="12">
        <v>4</v>
      </c>
      <c r="AE28" s="12">
        <v>0</v>
      </c>
      <c r="AF28" s="12">
        <v>0</v>
      </c>
    </row>
    <row r="29" spans="1:32" x14ac:dyDescent="0.35">
      <c r="A29" s="19"/>
      <c r="B29" s="13" t="s">
        <v>612</v>
      </c>
      <c r="C29" s="14" t="s">
        <v>475</v>
      </c>
      <c r="D29" s="14" t="s">
        <v>475</v>
      </c>
      <c r="E29" s="15">
        <v>0.01</v>
      </c>
      <c r="F29" s="14" t="s">
        <v>475</v>
      </c>
      <c r="G29" s="14" t="s">
        <v>475</v>
      </c>
      <c r="H29" s="15">
        <v>0.01</v>
      </c>
      <c r="I29" s="15">
        <v>0.01</v>
      </c>
      <c r="J29" s="14" t="s">
        <v>475</v>
      </c>
      <c r="K29" s="15">
        <v>0.01</v>
      </c>
      <c r="L29" s="14" t="s">
        <v>475</v>
      </c>
      <c r="M29" s="14" t="s">
        <v>475</v>
      </c>
      <c r="N29" s="15">
        <v>0.01</v>
      </c>
      <c r="O29" s="14" t="s">
        <v>475</v>
      </c>
      <c r="P29" s="14" t="s">
        <v>475</v>
      </c>
      <c r="Q29" s="14" t="s">
        <v>475</v>
      </c>
      <c r="R29" s="14" t="s">
        <v>475</v>
      </c>
      <c r="S29" s="15">
        <v>0.01</v>
      </c>
      <c r="T29" s="15">
        <v>0.01</v>
      </c>
      <c r="U29" s="15">
        <v>0.01</v>
      </c>
      <c r="V29" s="14" t="s">
        <v>475</v>
      </c>
      <c r="W29" s="14" t="s">
        <v>475</v>
      </c>
      <c r="X29" s="14" t="s">
        <v>475</v>
      </c>
      <c r="Y29" s="15">
        <v>0.01</v>
      </c>
      <c r="Z29" s="14" t="s">
        <v>475</v>
      </c>
      <c r="AA29" s="14" t="s">
        <v>475</v>
      </c>
      <c r="AB29" s="14" t="s">
        <v>475</v>
      </c>
      <c r="AC29" s="15">
        <v>0.01</v>
      </c>
      <c r="AD29" s="14" t="s">
        <v>475</v>
      </c>
      <c r="AE29" s="14" t="s">
        <v>475</v>
      </c>
      <c r="AF29" s="14" t="s">
        <v>475</v>
      </c>
    </row>
    <row r="30" spans="1:32" ht="21.5" x14ac:dyDescent="0.35">
      <c r="A30" s="19"/>
      <c r="B30" s="11" t="s">
        <v>981</v>
      </c>
      <c r="C30" s="12">
        <v>355</v>
      </c>
      <c r="D30" s="12">
        <v>2</v>
      </c>
      <c r="E30" s="12">
        <v>5</v>
      </c>
      <c r="F30" s="12">
        <v>16</v>
      </c>
      <c r="G30" s="12">
        <v>4</v>
      </c>
      <c r="H30" s="12">
        <v>16</v>
      </c>
      <c r="I30" s="12">
        <v>25</v>
      </c>
      <c r="J30" s="12">
        <v>9</v>
      </c>
      <c r="K30" s="12">
        <v>9</v>
      </c>
      <c r="L30" s="12">
        <v>5</v>
      </c>
      <c r="M30" s="12">
        <v>6</v>
      </c>
      <c r="N30" s="12">
        <v>42</v>
      </c>
      <c r="O30" s="12">
        <v>13</v>
      </c>
      <c r="P30" s="12">
        <v>4</v>
      </c>
      <c r="Q30" s="12">
        <v>12</v>
      </c>
      <c r="R30" s="12">
        <v>5</v>
      </c>
      <c r="S30" s="12">
        <v>9</v>
      </c>
      <c r="T30" s="12">
        <v>16</v>
      </c>
      <c r="U30" s="12">
        <v>3</v>
      </c>
      <c r="V30" s="12">
        <v>7</v>
      </c>
      <c r="W30" s="12">
        <v>1</v>
      </c>
      <c r="X30" s="12">
        <v>0</v>
      </c>
      <c r="Y30" s="12">
        <v>3</v>
      </c>
      <c r="Z30" s="12">
        <v>1</v>
      </c>
      <c r="AA30" s="12">
        <v>4</v>
      </c>
      <c r="AB30" s="12">
        <v>15</v>
      </c>
      <c r="AC30" s="12">
        <v>10</v>
      </c>
      <c r="AD30" s="12">
        <v>7</v>
      </c>
      <c r="AE30" s="12">
        <v>3</v>
      </c>
      <c r="AF30" s="12">
        <v>3</v>
      </c>
    </row>
    <row r="31" spans="1:32" x14ac:dyDescent="0.35">
      <c r="A31" s="19"/>
      <c r="B31" s="13" t="s">
        <v>614</v>
      </c>
      <c r="C31" s="15">
        <v>0.01</v>
      </c>
      <c r="D31" s="14" t="s">
        <v>475</v>
      </c>
      <c r="E31" s="15">
        <v>0.01</v>
      </c>
      <c r="F31" s="15">
        <v>0.01</v>
      </c>
      <c r="G31" s="14" t="s">
        <v>475</v>
      </c>
      <c r="H31" s="15">
        <v>0.01</v>
      </c>
      <c r="I31" s="15">
        <v>0.02</v>
      </c>
      <c r="J31" s="15">
        <v>0.03</v>
      </c>
      <c r="K31" s="15">
        <v>0.01</v>
      </c>
      <c r="L31" s="14" t="s">
        <v>475</v>
      </c>
      <c r="M31" s="15">
        <v>0.01</v>
      </c>
      <c r="N31" s="15">
        <v>0.04</v>
      </c>
      <c r="O31" s="15">
        <v>0.01</v>
      </c>
      <c r="P31" s="14" t="s">
        <v>475</v>
      </c>
      <c r="Q31" s="15">
        <v>0.01</v>
      </c>
      <c r="R31" s="15">
        <v>0.01</v>
      </c>
      <c r="S31" s="15">
        <v>0.01</v>
      </c>
      <c r="T31" s="15">
        <v>0.02</v>
      </c>
      <c r="U31" s="15">
        <v>0.01</v>
      </c>
      <c r="V31" s="15">
        <v>0.01</v>
      </c>
      <c r="W31" s="14" t="s">
        <v>475</v>
      </c>
      <c r="X31" s="14" t="s">
        <v>475</v>
      </c>
      <c r="Y31" s="14" t="s">
        <v>475</v>
      </c>
      <c r="Z31" s="14" t="s">
        <v>475</v>
      </c>
      <c r="AA31" s="14" t="s">
        <v>475</v>
      </c>
      <c r="AB31" s="15">
        <v>0.01</v>
      </c>
      <c r="AC31" s="15">
        <v>0.01</v>
      </c>
      <c r="AD31" s="15">
        <v>0.01</v>
      </c>
      <c r="AE31" s="14" t="s">
        <v>475</v>
      </c>
      <c r="AF31" s="14" t="s">
        <v>475</v>
      </c>
    </row>
    <row r="32" spans="1:32" x14ac:dyDescent="0.35">
      <c r="A32" s="19"/>
      <c r="B32" s="11" t="s">
        <v>485</v>
      </c>
      <c r="C32" s="12">
        <v>1258</v>
      </c>
      <c r="D32" s="12">
        <v>18</v>
      </c>
      <c r="E32" s="12">
        <v>64</v>
      </c>
      <c r="F32" s="12">
        <v>62</v>
      </c>
      <c r="G32" s="12">
        <v>37</v>
      </c>
      <c r="H32" s="12">
        <v>63</v>
      </c>
      <c r="I32" s="12">
        <v>67</v>
      </c>
      <c r="J32" s="12">
        <v>4</v>
      </c>
      <c r="K32" s="12">
        <v>56</v>
      </c>
      <c r="L32" s="12">
        <v>52</v>
      </c>
      <c r="M32" s="12">
        <v>22</v>
      </c>
      <c r="N32" s="12">
        <v>95</v>
      </c>
      <c r="O32" s="12">
        <v>60</v>
      </c>
      <c r="P32" s="12">
        <v>19</v>
      </c>
      <c r="Q32" s="12">
        <v>41</v>
      </c>
      <c r="R32" s="12">
        <v>44</v>
      </c>
      <c r="S32" s="12">
        <v>65</v>
      </c>
      <c r="T32" s="12">
        <v>44</v>
      </c>
      <c r="U32" s="12">
        <v>16</v>
      </c>
      <c r="V32" s="12">
        <v>26</v>
      </c>
      <c r="W32" s="12">
        <v>14</v>
      </c>
      <c r="X32" s="12">
        <v>7</v>
      </c>
      <c r="Y32" s="12">
        <v>23</v>
      </c>
      <c r="Z32" s="12">
        <v>26</v>
      </c>
      <c r="AA32" s="12">
        <v>122</v>
      </c>
      <c r="AB32" s="12">
        <v>52</v>
      </c>
      <c r="AC32" s="12">
        <v>22</v>
      </c>
      <c r="AD32" s="12">
        <v>28</v>
      </c>
      <c r="AE32" s="12">
        <v>32</v>
      </c>
      <c r="AF32" s="12">
        <v>10</v>
      </c>
    </row>
    <row r="33" spans="1:32" x14ac:dyDescent="0.35">
      <c r="A33" s="19"/>
      <c r="B33" s="13" t="s">
        <v>486</v>
      </c>
      <c r="C33" s="15">
        <v>0.05</v>
      </c>
      <c r="D33" s="15">
        <v>0.02</v>
      </c>
      <c r="E33" s="15">
        <v>0.06</v>
      </c>
      <c r="F33" s="15">
        <v>0.06</v>
      </c>
      <c r="G33" s="15">
        <v>0.04</v>
      </c>
      <c r="H33" s="15">
        <v>0.05</v>
      </c>
      <c r="I33" s="15">
        <v>0.04</v>
      </c>
      <c r="J33" s="15">
        <v>0.01</v>
      </c>
      <c r="K33" s="15">
        <v>0.06</v>
      </c>
      <c r="L33" s="15">
        <v>0.05</v>
      </c>
      <c r="M33" s="15">
        <v>0.02</v>
      </c>
      <c r="N33" s="15">
        <v>0.1</v>
      </c>
      <c r="O33" s="15">
        <v>0.06</v>
      </c>
      <c r="P33" s="15">
        <v>0.02</v>
      </c>
      <c r="Q33" s="15">
        <v>0.04</v>
      </c>
      <c r="R33" s="15">
        <v>0.09</v>
      </c>
      <c r="S33" s="15">
        <v>0.06</v>
      </c>
      <c r="T33" s="15">
        <v>0.04</v>
      </c>
      <c r="U33" s="15">
        <v>0.03</v>
      </c>
      <c r="V33" s="15">
        <v>0.03</v>
      </c>
      <c r="W33" s="15">
        <v>0.03</v>
      </c>
      <c r="X33" s="15">
        <v>0.01</v>
      </c>
      <c r="Y33" s="15">
        <v>0.02</v>
      </c>
      <c r="Z33" s="15">
        <v>0.02</v>
      </c>
      <c r="AA33" s="15">
        <v>0.12</v>
      </c>
      <c r="AB33" s="15">
        <v>0.05</v>
      </c>
      <c r="AC33" s="15">
        <v>0.02</v>
      </c>
      <c r="AD33" s="15">
        <v>0.03</v>
      </c>
      <c r="AE33" s="15">
        <v>0.03</v>
      </c>
      <c r="AF33" s="15">
        <v>0.01</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189</v>
      </c>
      <c r="C3" s="18"/>
      <c r="D3" s="18"/>
      <c r="E3" s="18"/>
      <c r="F3" s="18"/>
      <c r="H3" s="18" t="s">
        <v>190</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982</v>
      </c>
      <c r="C12" s="12">
        <v>19665</v>
      </c>
      <c r="D12" s="12">
        <v>769</v>
      </c>
      <c r="E12" s="12">
        <v>556</v>
      </c>
      <c r="F12" s="12">
        <v>714</v>
      </c>
      <c r="G12" s="12">
        <v>920</v>
      </c>
      <c r="H12" s="12">
        <v>989</v>
      </c>
      <c r="I12" s="12">
        <v>1163</v>
      </c>
      <c r="J12" s="12">
        <v>175</v>
      </c>
      <c r="K12" s="12">
        <v>821</v>
      </c>
      <c r="L12" s="12">
        <v>917</v>
      </c>
      <c r="M12" s="12">
        <v>745</v>
      </c>
      <c r="N12" s="12">
        <v>803</v>
      </c>
      <c r="O12" s="12">
        <v>610</v>
      </c>
      <c r="P12" s="12">
        <v>840</v>
      </c>
      <c r="Q12" s="12">
        <v>687</v>
      </c>
      <c r="R12" s="12">
        <v>360</v>
      </c>
      <c r="S12" s="12">
        <v>795</v>
      </c>
      <c r="T12" s="12">
        <v>924</v>
      </c>
      <c r="U12" s="12">
        <v>451</v>
      </c>
      <c r="V12" s="12">
        <v>835</v>
      </c>
      <c r="W12" s="12">
        <v>487</v>
      </c>
      <c r="X12" s="12">
        <v>831</v>
      </c>
      <c r="Y12" s="12">
        <v>606</v>
      </c>
      <c r="Z12" s="12">
        <v>873</v>
      </c>
      <c r="AA12" s="12">
        <v>978</v>
      </c>
      <c r="AB12" s="12">
        <v>740</v>
      </c>
      <c r="AC12" s="12">
        <v>821</v>
      </c>
      <c r="AD12" s="12">
        <v>821</v>
      </c>
      <c r="AE12" s="12">
        <v>834</v>
      </c>
      <c r="AF12" s="12">
        <v>836</v>
      </c>
    </row>
    <row r="13" spans="1:32" x14ac:dyDescent="0.35">
      <c r="A13" s="19"/>
      <c r="B13" s="13" t="s">
        <v>983</v>
      </c>
      <c r="C13" s="15">
        <v>0.74</v>
      </c>
      <c r="D13" s="15">
        <v>0.76</v>
      </c>
      <c r="E13" s="15">
        <v>0.54</v>
      </c>
      <c r="F13" s="15">
        <v>0.65</v>
      </c>
      <c r="G13" s="15">
        <v>0.91</v>
      </c>
      <c r="H13" s="15">
        <v>0.81</v>
      </c>
      <c r="I13" s="15">
        <v>0.77</v>
      </c>
      <c r="J13" s="15">
        <v>0.59</v>
      </c>
      <c r="K13" s="15">
        <v>0.82000000000000006</v>
      </c>
      <c r="L13" s="15">
        <v>0.92</v>
      </c>
      <c r="M13" s="15">
        <v>0.74</v>
      </c>
      <c r="N13" s="15">
        <v>0.8</v>
      </c>
      <c r="O13" s="15">
        <v>0.61</v>
      </c>
      <c r="P13" s="15">
        <v>0.84</v>
      </c>
      <c r="Q13" s="15">
        <v>0.67</v>
      </c>
      <c r="R13" s="15">
        <v>0.71</v>
      </c>
      <c r="S13" s="15">
        <v>0.79</v>
      </c>
      <c r="T13" s="15">
        <v>0.92</v>
      </c>
      <c r="U13" s="15">
        <v>0.9</v>
      </c>
      <c r="V13" s="15">
        <v>0.82000000000000006</v>
      </c>
      <c r="W13" s="15">
        <v>0.96</v>
      </c>
      <c r="X13" s="15">
        <v>0.82000000000000006</v>
      </c>
      <c r="Y13" s="15">
        <v>0.6</v>
      </c>
      <c r="Z13" s="15">
        <v>0.85</v>
      </c>
      <c r="AA13" s="15">
        <v>0.95000000000000007</v>
      </c>
      <c r="AB13" s="15">
        <v>0.70000000000000007</v>
      </c>
      <c r="AC13" s="15">
        <v>0.82000000000000006</v>
      </c>
      <c r="AD13" s="15">
        <v>0.82000000000000006</v>
      </c>
      <c r="AE13" s="15">
        <v>0.82000000000000006</v>
      </c>
      <c r="AF13" s="15">
        <v>0.8</v>
      </c>
    </row>
    <row r="14" spans="1:32" x14ac:dyDescent="0.35">
      <c r="A14" s="19"/>
      <c r="B14" s="11" t="s">
        <v>984</v>
      </c>
      <c r="C14" s="12">
        <v>5625</v>
      </c>
      <c r="D14" s="12">
        <v>222</v>
      </c>
      <c r="E14" s="12">
        <v>335</v>
      </c>
      <c r="F14" s="12">
        <v>321</v>
      </c>
      <c r="G14" s="12">
        <v>59</v>
      </c>
      <c r="H14" s="12">
        <v>178</v>
      </c>
      <c r="I14" s="12">
        <v>288</v>
      </c>
      <c r="J14" s="12">
        <v>110</v>
      </c>
      <c r="K14" s="12">
        <v>130</v>
      </c>
      <c r="L14" s="12">
        <v>65</v>
      </c>
      <c r="M14" s="12">
        <v>247</v>
      </c>
      <c r="N14" s="12">
        <v>159</v>
      </c>
      <c r="O14" s="12">
        <v>311</v>
      </c>
      <c r="P14" s="12">
        <v>143</v>
      </c>
      <c r="Q14" s="12">
        <v>296</v>
      </c>
      <c r="R14" s="12">
        <v>124</v>
      </c>
      <c r="S14" s="12">
        <v>164</v>
      </c>
      <c r="T14" s="12">
        <v>54</v>
      </c>
      <c r="U14" s="12">
        <v>36</v>
      </c>
      <c r="V14" s="12">
        <v>155</v>
      </c>
      <c r="W14" s="12">
        <v>12</v>
      </c>
      <c r="X14" s="12">
        <v>159</v>
      </c>
      <c r="Y14" s="12">
        <v>346</v>
      </c>
      <c r="Z14" s="12">
        <v>140</v>
      </c>
      <c r="AA14" s="12">
        <v>26</v>
      </c>
      <c r="AB14" s="12">
        <v>276</v>
      </c>
      <c r="AC14" s="12">
        <v>158</v>
      </c>
      <c r="AD14" s="12">
        <v>147</v>
      </c>
      <c r="AE14" s="12">
        <v>139</v>
      </c>
      <c r="AF14" s="12">
        <v>158</v>
      </c>
    </row>
    <row r="15" spans="1:32" x14ac:dyDescent="0.35">
      <c r="A15" s="19"/>
      <c r="B15" s="13" t="s">
        <v>985</v>
      </c>
      <c r="C15" s="15">
        <v>0.21</v>
      </c>
      <c r="D15" s="15">
        <v>0.22</v>
      </c>
      <c r="E15" s="15">
        <v>0.33</v>
      </c>
      <c r="F15" s="15">
        <v>0.28999999999999998</v>
      </c>
      <c r="G15" s="15">
        <v>0.06</v>
      </c>
      <c r="H15" s="15">
        <v>0.15</v>
      </c>
      <c r="I15" s="15">
        <v>0.19</v>
      </c>
      <c r="J15" s="15">
        <v>0.37</v>
      </c>
      <c r="K15" s="15">
        <v>0.13</v>
      </c>
      <c r="L15" s="15">
        <v>0.06</v>
      </c>
      <c r="M15" s="15">
        <v>0.24</v>
      </c>
      <c r="N15" s="15">
        <v>0.16</v>
      </c>
      <c r="O15" s="15">
        <v>0.31</v>
      </c>
      <c r="P15" s="15">
        <v>0.14000000000000001</v>
      </c>
      <c r="Q15" s="15">
        <v>0.28999999999999998</v>
      </c>
      <c r="R15" s="15">
        <v>0.25</v>
      </c>
      <c r="S15" s="15">
        <v>0.17</v>
      </c>
      <c r="T15" s="15">
        <v>0.05</v>
      </c>
      <c r="U15" s="15">
        <v>7.0000000000000007E-2</v>
      </c>
      <c r="V15" s="15">
        <v>0.15</v>
      </c>
      <c r="W15" s="15">
        <v>0.02</v>
      </c>
      <c r="X15" s="15">
        <v>0.16</v>
      </c>
      <c r="Y15" s="15">
        <v>0.35</v>
      </c>
      <c r="Z15" s="15">
        <v>0.13</v>
      </c>
      <c r="AA15" s="15">
        <v>0.02</v>
      </c>
      <c r="AB15" s="15">
        <v>0.26</v>
      </c>
      <c r="AC15" s="15">
        <v>0.16</v>
      </c>
      <c r="AD15" s="15">
        <v>0.14000000000000001</v>
      </c>
      <c r="AE15" s="15">
        <v>0.14000000000000001</v>
      </c>
      <c r="AF15" s="15">
        <v>0.15</v>
      </c>
    </row>
    <row r="16" spans="1:32" x14ac:dyDescent="0.35">
      <c r="A16" s="19"/>
      <c r="B16" s="11" t="s">
        <v>485</v>
      </c>
      <c r="C16" s="12">
        <v>1155</v>
      </c>
      <c r="D16" s="12">
        <v>22</v>
      </c>
      <c r="E16" s="12">
        <v>138</v>
      </c>
      <c r="F16" s="12">
        <v>67</v>
      </c>
      <c r="G16" s="12">
        <v>28</v>
      </c>
      <c r="H16" s="12">
        <v>54</v>
      </c>
      <c r="I16" s="12">
        <v>65</v>
      </c>
      <c r="J16" s="12">
        <v>10</v>
      </c>
      <c r="K16" s="12">
        <v>51</v>
      </c>
      <c r="L16" s="12">
        <v>20</v>
      </c>
      <c r="M16" s="12">
        <v>18</v>
      </c>
      <c r="N16" s="12">
        <v>41</v>
      </c>
      <c r="O16" s="12">
        <v>80</v>
      </c>
      <c r="P16" s="12">
        <v>21</v>
      </c>
      <c r="Q16" s="12">
        <v>44</v>
      </c>
      <c r="R16" s="12">
        <v>21</v>
      </c>
      <c r="S16" s="12">
        <v>43</v>
      </c>
      <c r="T16" s="12">
        <v>28</v>
      </c>
      <c r="U16" s="12">
        <v>17</v>
      </c>
      <c r="V16" s="12">
        <v>25</v>
      </c>
      <c r="W16" s="12">
        <v>9</v>
      </c>
      <c r="X16" s="12">
        <v>19</v>
      </c>
      <c r="Y16" s="12">
        <v>51</v>
      </c>
      <c r="Z16" s="12">
        <v>17</v>
      </c>
      <c r="AA16" s="12">
        <v>29</v>
      </c>
      <c r="AB16" s="12">
        <v>35</v>
      </c>
      <c r="AC16" s="12">
        <v>24</v>
      </c>
      <c r="AD16" s="12">
        <v>37</v>
      </c>
      <c r="AE16" s="12">
        <v>39</v>
      </c>
      <c r="AF16" s="12">
        <v>49</v>
      </c>
    </row>
    <row r="17" spans="1:32" x14ac:dyDescent="0.35">
      <c r="A17" s="19"/>
      <c r="B17" s="13" t="s">
        <v>986</v>
      </c>
      <c r="C17" s="15">
        <v>0.05</v>
      </c>
      <c r="D17" s="15">
        <v>0.02</v>
      </c>
      <c r="E17" s="15">
        <v>0.13</v>
      </c>
      <c r="F17" s="15">
        <v>0.06</v>
      </c>
      <c r="G17" s="15">
        <v>0.03</v>
      </c>
      <c r="H17" s="15">
        <v>0.04</v>
      </c>
      <c r="I17" s="15">
        <v>0.04</v>
      </c>
      <c r="J17" s="15">
        <v>0.04</v>
      </c>
      <c r="K17" s="15">
        <v>0.05</v>
      </c>
      <c r="L17" s="15">
        <v>0.02</v>
      </c>
      <c r="M17" s="15">
        <v>0.02</v>
      </c>
      <c r="N17" s="15">
        <v>0.04</v>
      </c>
      <c r="O17" s="15">
        <v>0.08</v>
      </c>
      <c r="P17" s="15">
        <v>0.02</v>
      </c>
      <c r="Q17" s="15">
        <v>0.04</v>
      </c>
      <c r="R17" s="15">
        <v>0.04</v>
      </c>
      <c r="S17" s="15">
        <v>0.04</v>
      </c>
      <c r="T17" s="15">
        <v>0.03</v>
      </c>
      <c r="U17" s="15">
        <v>0.03</v>
      </c>
      <c r="V17" s="15">
        <v>0.03</v>
      </c>
      <c r="W17" s="15">
        <v>0.02</v>
      </c>
      <c r="X17" s="15">
        <v>0.02</v>
      </c>
      <c r="Y17" s="15">
        <v>0.05</v>
      </c>
      <c r="Z17" s="15">
        <v>0.02</v>
      </c>
      <c r="AA17" s="15">
        <v>0.03</v>
      </c>
      <c r="AB17" s="15">
        <v>0.04</v>
      </c>
      <c r="AC17" s="15">
        <v>0.02</v>
      </c>
      <c r="AD17" s="15">
        <v>0.04</v>
      </c>
      <c r="AE17" s="15">
        <v>0.04</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987</v>
      </c>
      <c r="C3" s="18"/>
      <c r="D3" s="18"/>
      <c r="E3" s="18"/>
      <c r="F3" s="18"/>
      <c r="H3" s="18" t="s">
        <v>988</v>
      </c>
      <c r="I3" s="18"/>
      <c r="J3" s="18"/>
      <c r="K3" s="18"/>
      <c r="L3" s="18"/>
    </row>
    <row r="4" spans="1:32" ht="27" customHeight="1" x14ac:dyDescent="0.35">
      <c r="B4" s="18" t="s">
        <v>989</v>
      </c>
      <c r="C4" s="18"/>
      <c r="D4" s="18"/>
      <c r="E4" s="18"/>
      <c r="F4" s="18"/>
      <c r="H4" s="18" t="s">
        <v>990</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HYPERLINK("#Content!A98","&lt;&lt;Back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7188</v>
      </c>
      <c r="D12" s="12">
        <v>239</v>
      </c>
      <c r="E12" s="12">
        <v>236</v>
      </c>
      <c r="F12" s="12">
        <v>237</v>
      </c>
      <c r="G12" s="12">
        <v>616</v>
      </c>
      <c r="H12" s="12">
        <v>368</v>
      </c>
      <c r="I12" s="12">
        <v>437</v>
      </c>
      <c r="J12" s="12">
        <v>69</v>
      </c>
      <c r="K12" s="12">
        <v>247</v>
      </c>
      <c r="L12" s="12">
        <v>472</v>
      </c>
      <c r="M12" s="12">
        <v>272</v>
      </c>
      <c r="N12" s="12">
        <v>400</v>
      </c>
      <c r="O12" s="12">
        <v>206</v>
      </c>
      <c r="P12" s="12">
        <v>294</v>
      </c>
      <c r="Q12" s="12">
        <v>151</v>
      </c>
      <c r="R12" s="12">
        <v>138</v>
      </c>
      <c r="S12" s="12">
        <v>352</v>
      </c>
      <c r="T12" s="12">
        <v>363</v>
      </c>
      <c r="U12" s="12">
        <v>217</v>
      </c>
      <c r="V12" s="12">
        <v>243</v>
      </c>
      <c r="W12" s="12">
        <v>169</v>
      </c>
      <c r="X12" s="12">
        <v>411</v>
      </c>
      <c r="Y12" s="12">
        <v>379</v>
      </c>
      <c r="Z12" s="12">
        <v>204</v>
      </c>
      <c r="AA12" s="12">
        <v>262</v>
      </c>
      <c r="AB12" s="12">
        <v>171</v>
      </c>
      <c r="AC12" s="12">
        <v>313</v>
      </c>
      <c r="AD12" s="12">
        <v>409</v>
      </c>
      <c r="AE12" s="12">
        <v>506</v>
      </c>
      <c r="AF12" s="12">
        <v>463</v>
      </c>
    </row>
    <row r="13" spans="1:32" x14ac:dyDescent="0.35">
      <c r="A13" s="19"/>
      <c r="B13" s="13" t="s">
        <v>761</v>
      </c>
      <c r="C13" s="15">
        <v>0.27</v>
      </c>
      <c r="D13" s="15">
        <v>0.24</v>
      </c>
      <c r="E13" s="15">
        <v>0.23</v>
      </c>
      <c r="F13" s="15">
        <v>0.22</v>
      </c>
      <c r="G13" s="15">
        <v>0.61</v>
      </c>
      <c r="H13" s="15">
        <v>0.3</v>
      </c>
      <c r="I13" s="15">
        <v>0.28999999999999998</v>
      </c>
      <c r="J13" s="15">
        <v>0.23</v>
      </c>
      <c r="K13" s="15">
        <v>0.24</v>
      </c>
      <c r="L13" s="15">
        <v>0.47</v>
      </c>
      <c r="M13" s="15">
        <v>0.27</v>
      </c>
      <c r="N13" s="15">
        <v>0.4</v>
      </c>
      <c r="O13" s="15">
        <v>0.21</v>
      </c>
      <c r="P13" s="15">
        <v>0.28999999999999998</v>
      </c>
      <c r="Q13" s="15">
        <v>0.15</v>
      </c>
      <c r="R13" s="15">
        <v>0.27</v>
      </c>
      <c r="S13" s="15">
        <v>0.35</v>
      </c>
      <c r="T13" s="15">
        <v>0.36</v>
      </c>
      <c r="U13" s="15">
        <v>0.43</v>
      </c>
      <c r="V13" s="15">
        <v>0.24</v>
      </c>
      <c r="W13" s="15">
        <v>0.34</v>
      </c>
      <c r="X13" s="15">
        <v>0.41</v>
      </c>
      <c r="Y13" s="15">
        <v>0.38</v>
      </c>
      <c r="Z13" s="15">
        <v>0.2</v>
      </c>
      <c r="AA13" s="15">
        <v>0.25</v>
      </c>
      <c r="AB13" s="15">
        <v>0.16</v>
      </c>
      <c r="AC13" s="15">
        <v>0.31</v>
      </c>
      <c r="AD13" s="15">
        <v>0.41</v>
      </c>
      <c r="AE13" s="15">
        <v>0.5</v>
      </c>
      <c r="AF13" s="15">
        <v>0.44</v>
      </c>
    </row>
    <row r="14" spans="1:32" x14ac:dyDescent="0.35">
      <c r="A14" s="19"/>
      <c r="B14" s="11" t="s">
        <v>762</v>
      </c>
      <c r="C14" s="12">
        <v>11297</v>
      </c>
      <c r="D14" s="12">
        <v>421</v>
      </c>
      <c r="E14" s="12">
        <v>356</v>
      </c>
      <c r="F14" s="12">
        <v>438</v>
      </c>
      <c r="G14" s="12">
        <v>246</v>
      </c>
      <c r="H14" s="12">
        <v>393</v>
      </c>
      <c r="I14" s="12">
        <v>505</v>
      </c>
      <c r="J14" s="12">
        <v>112</v>
      </c>
      <c r="K14" s="12">
        <v>318</v>
      </c>
      <c r="L14" s="12">
        <v>361</v>
      </c>
      <c r="M14" s="12">
        <v>494</v>
      </c>
      <c r="N14" s="12">
        <v>344</v>
      </c>
      <c r="O14" s="12">
        <v>419</v>
      </c>
      <c r="P14" s="12">
        <v>474</v>
      </c>
      <c r="Q14" s="12">
        <v>602</v>
      </c>
      <c r="R14" s="12">
        <v>210</v>
      </c>
      <c r="S14" s="12">
        <v>362</v>
      </c>
      <c r="T14" s="12">
        <v>432</v>
      </c>
      <c r="U14" s="12">
        <v>158</v>
      </c>
      <c r="V14" s="12">
        <v>513</v>
      </c>
      <c r="W14" s="12">
        <v>215</v>
      </c>
      <c r="X14" s="12">
        <v>324</v>
      </c>
      <c r="Y14" s="12">
        <v>328</v>
      </c>
      <c r="Z14" s="12">
        <v>581</v>
      </c>
      <c r="AA14" s="12">
        <v>708</v>
      </c>
      <c r="AB14" s="12">
        <v>493</v>
      </c>
      <c r="AC14" s="12">
        <v>352</v>
      </c>
      <c r="AD14" s="12">
        <v>379</v>
      </c>
      <c r="AE14" s="12">
        <v>356</v>
      </c>
      <c r="AF14" s="12">
        <v>364</v>
      </c>
    </row>
    <row r="15" spans="1:32" x14ac:dyDescent="0.35">
      <c r="A15" s="19"/>
      <c r="B15" s="13" t="s">
        <v>763</v>
      </c>
      <c r="C15" s="15">
        <v>0.43</v>
      </c>
      <c r="D15" s="15">
        <v>0.41</v>
      </c>
      <c r="E15" s="15">
        <v>0.34</v>
      </c>
      <c r="F15" s="15">
        <v>0.4</v>
      </c>
      <c r="G15" s="15">
        <v>0.25</v>
      </c>
      <c r="H15" s="15">
        <v>0.32</v>
      </c>
      <c r="I15" s="15">
        <v>0.33</v>
      </c>
      <c r="J15" s="15">
        <v>0.38</v>
      </c>
      <c r="K15" s="15">
        <v>0.32</v>
      </c>
      <c r="L15" s="15">
        <v>0.36</v>
      </c>
      <c r="M15" s="15">
        <v>0.49</v>
      </c>
      <c r="N15" s="15">
        <v>0.34</v>
      </c>
      <c r="O15" s="15">
        <v>0.42</v>
      </c>
      <c r="P15" s="15">
        <v>0.47</v>
      </c>
      <c r="Q15" s="15">
        <v>0.57999999999999996</v>
      </c>
      <c r="R15" s="15">
        <v>0.42</v>
      </c>
      <c r="S15" s="15">
        <v>0.36</v>
      </c>
      <c r="T15" s="15">
        <v>0.43</v>
      </c>
      <c r="U15" s="15">
        <v>0.31</v>
      </c>
      <c r="V15" s="15">
        <v>0.51</v>
      </c>
      <c r="W15" s="15">
        <v>0.42</v>
      </c>
      <c r="X15" s="15">
        <v>0.32</v>
      </c>
      <c r="Y15" s="15">
        <v>0.33</v>
      </c>
      <c r="Z15" s="15">
        <v>0.56000000000000005</v>
      </c>
      <c r="AA15" s="15">
        <v>0.69000000000000006</v>
      </c>
      <c r="AB15" s="15">
        <v>0.47</v>
      </c>
      <c r="AC15" s="15">
        <v>0.35</v>
      </c>
      <c r="AD15" s="15">
        <v>0.38</v>
      </c>
      <c r="AE15" s="15">
        <v>0.35</v>
      </c>
      <c r="AF15" s="15">
        <v>0.35</v>
      </c>
    </row>
    <row r="16" spans="1:32" x14ac:dyDescent="0.35">
      <c r="A16" s="19"/>
      <c r="B16" s="11" t="s">
        <v>764</v>
      </c>
      <c r="C16" s="12">
        <v>4994</v>
      </c>
      <c r="D16" s="12">
        <v>240</v>
      </c>
      <c r="E16" s="12">
        <v>224</v>
      </c>
      <c r="F16" s="12">
        <v>279</v>
      </c>
      <c r="G16" s="12">
        <v>67</v>
      </c>
      <c r="H16" s="12">
        <v>267</v>
      </c>
      <c r="I16" s="12">
        <v>346</v>
      </c>
      <c r="J16" s="12">
        <v>79</v>
      </c>
      <c r="K16" s="12">
        <v>199</v>
      </c>
      <c r="L16" s="12">
        <v>77</v>
      </c>
      <c r="M16" s="12">
        <v>165</v>
      </c>
      <c r="N16" s="12">
        <v>165</v>
      </c>
      <c r="O16" s="12">
        <v>228</v>
      </c>
      <c r="P16" s="12">
        <v>182</v>
      </c>
      <c r="Q16" s="12">
        <v>196</v>
      </c>
      <c r="R16" s="12">
        <v>89</v>
      </c>
      <c r="S16" s="12">
        <v>170</v>
      </c>
      <c r="T16" s="12">
        <v>125</v>
      </c>
      <c r="U16" s="12">
        <v>60</v>
      </c>
      <c r="V16" s="12">
        <v>163</v>
      </c>
      <c r="W16" s="12">
        <v>88</v>
      </c>
      <c r="X16" s="12">
        <v>153</v>
      </c>
      <c r="Y16" s="12">
        <v>165</v>
      </c>
      <c r="Z16" s="12">
        <v>175</v>
      </c>
      <c r="AA16" s="12">
        <v>17</v>
      </c>
      <c r="AB16" s="12">
        <v>255</v>
      </c>
      <c r="AC16" s="12">
        <v>194</v>
      </c>
      <c r="AD16" s="12">
        <v>129</v>
      </c>
      <c r="AE16" s="12">
        <v>88</v>
      </c>
      <c r="AF16" s="12">
        <v>117</v>
      </c>
    </row>
    <row r="17" spans="1:32" x14ac:dyDescent="0.35">
      <c r="A17" s="19"/>
      <c r="B17" s="13" t="s">
        <v>765</v>
      </c>
      <c r="C17" s="15">
        <v>0.19</v>
      </c>
      <c r="D17" s="15">
        <v>0.24</v>
      </c>
      <c r="E17" s="15">
        <v>0.22</v>
      </c>
      <c r="F17" s="15">
        <v>0.25</v>
      </c>
      <c r="G17" s="15">
        <v>7.0000000000000007E-2</v>
      </c>
      <c r="H17" s="15">
        <v>0.22</v>
      </c>
      <c r="I17" s="15">
        <v>0.23</v>
      </c>
      <c r="J17" s="15">
        <v>0.27</v>
      </c>
      <c r="K17" s="15">
        <v>0.2</v>
      </c>
      <c r="L17" s="15">
        <v>0.08</v>
      </c>
      <c r="M17" s="15">
        <v>0.16</v>
      </c>
      <c r="N17" s="15">
        <v>0.16</v>
      </c>
      <c r="O17" s="15">
        <v>0.23</v>
      </c>
      <c r="P17" s="15">
        <v>0.18</v>
      </c>
      <c r="Q17" s="15">
        <v>0.19</v>
      </c>
      <c r="R17" s="15">
        <v>0.18</v>
      </c>
      <c r="S17" s="15">
        <v>0.17</v>
      </c>
      <c r="T17" s="15">
        <v>0.12</v>
      </c>
      <c r="U17" s="15">
        <v>0.12</v>
      </c>
      <c r="V17" s="15">
        <v>0.16</v>
      </c>
      <c r="W17" s="15">
        <v>0.17</v>
      </c>
      <c r="X17" s="15">
        <v>0.15</v>
      </c>
      <c r="Y17" s="15">
        <v>0.16</v>
      </c>
      <c r="Z17" s="15">
        <v>0.17</v>
      </c>
      <c r="AA17" s="15">
        <v>0.02</v>
      </c>
      <c r="AB17" s="15">
        <v>0.24</v>
      </c>
      <c r="AC17" s="15">
        <v>0.19</v>
      </c>
      <c r="AD17" s="15">
        <v>0.13</v>
      </c>
      <c r="AE17" s="15">
        <v>0.09</v>
      </c>
      <c r="AF17" s="15">
        <v>0.11</v>
      </c>
    </row>
    <row r="18" spans="1:32" x14ac:dyDescent="0.35">
      <c r="A18" s="19"/>
      <c r="B18" s="11" t="s">
        <v>766</v>
      </c>
      <c r="C18" s="12">
        <v>2079</v>
      </c>
      <c r="D18" s="12">
        <v>96</v>
      </c>
      <c r="E18" s="12">
        <v>122</v>
      </c>
      <c r="F18" s="12">
        <v>101</v>
      </c>
      <c r="G18" s="12">
        <v>64</v>
      </c>
      <c r="H18" s="12">
        <v>169</v>
      </c>
      <c r="I18" s="12">
        <v>195</v>
      </c>
      <c r="J18" s="12">
        <v>26</v>
      </c>
      <c r="K18" s="12">
        <v>168</v>
      </c>
      <c r="L18" s="12">
        <v>65</v>
      </c>
      <c r="M18" s="12">
        <v>62</v>
      </c>
      <c r="N18" s="12">
        <v>58</v>
      </c>
      <c r="O18" s="12">
        <v>96</v>
      </c>
      <c r="P18" s="12">
        <v>33</v>
      </c>
      <c r="Q18" s="12">
        <v>49</v>
      </c>
      <c r="R18" s="12">
        <v>56</v>
      </c>
      <c r="S18" s="12">
        <v>73</v>
      </c>
      <c r="T18" s="12">
        <v>18</v>
      </c>
      <c r="U18" s="12">
        <v>49</v>
      </c>
      <c r="V18" s="12">
        <v>73</v>
      </c>
      <c r="W18" s="12">
        <v>20</v>
      </c>
      <c r="X18" s="12">
        <v>96</v>
      </c>
      <c r="Y18" s="12">
        <v>108</v>
      </c>
      <c r="Z18" s="12">
        <v>32</v>
      </c>
      <c r="AA18" s="12">
        <v>14</v>
      </c>
      <c r="AB18" s="12">
        <v>70</v>
      </c>
      <c r="AC18" s="12">
        <v>126</v>
      </c>
      <c r="AD18" s="12">
        <v>52</v>
      </c>
      <c r="AE18" s="12">
        <v>43</v>
      </c>
      <c r="AF18" s="12">
        <v>78</v>
      </c>
    </row>
    <row r="19" spans="1:32" x14ac:dyDescent="0.35">
      <c r="A19" s="19"/>
      <c r="B19" s="13" t="s">
        <v>767</v>
      </c>
      <c r="C19" s="15">
        <v>0.08</v>
      </c>
      <c r="D19" s="15">
        <v>0.09</v>
      </c>
      <c r="E19" s="15">
        <v>0.12</v>
      </c>
      <c r="F19" s="15">
        <v>0.09</v>
      </c>
      <c r="G19" s="15">
        <v>0.06</v>
      </c>
      <c r="H19" s="15">
        <v>0.14000000000000001</v>
      </c>
      <c r="I19" s="15">
        <v>0.13</v>
      </c>
      <c r="J19" s="15">
        <v>0.09</v>
      </c>
      <c r="K19" s="15">
        <v>0.17</v>
      </c>
      <c r="L19" s="15">
        <v>0.06</v>
      </c>
      <c r="M19" s="15">
        <v>0.06</v>
      </c>
      <c r="N19" s="15">
        <v>0.06</v>
      </c>
      <c r="O19" s="15">
        <v>0.09</v>
      </c>
      <c r="P19" s="15">
        <v>0.04</v>
      </c>
      <c r="Q19" s="15">
        <v>0.05</v>
      </c>
      <c r="R19" s="15">
        <v>0.11</v>
      </c>
      <c r="S19" s="15">
        <v>7.0000000000000007E-2</v>
      </c>
      <c r="T19" s="15">
        <v>0.02</v>
      </c>
      <c r="U19" s="15">
        <v>0.1</v>
      </c>
      <c r="V19" s="15">
        <v>7.0000000000000007E-2</v>
      </c>
      <c r="W19" s="15">
        <v>0.04</v>
      </c>
      <c r="X19" s="15">
        <v>0.09</v>
      </c>
      <c r="Y19" s="15">
        <v>0.11</v>
      </c>
      <c r="Z19" s="15">
        <v>0.03</v>
      </c>
      <c r="AA19" s="15">
        <v>0.01</v>
      </c>
      <c r="AB19" s="15">
        <v>7.0000000000000007E-2</v>
      </c>
      <c r="AC19" s="15">
        <v>0.13</v>
      </c>
      <c r="AD19" s="15">
        <v>0.05</v>
      </c>
      <c r="AE19" s="15">
        <v>0.04</v>
      </c>
      <c r="AF19" s="15">
        <v>0.08</v>
      </c>
    </row>
    <row r="20" spans="1:32" x14ac:dyDescent="0.35">
      <c r="A20" s="19"/>
      <c r="B20" s="11" t="s">
        <v>485</v>
      </c>
      <c r="C20" s="12">
        <v>888</v>
      </c>
      <c r="D20" s="12">
        <v>16</v>
      </c>
      <c r="E20" s="12">
        <v>92</v>
      </c>
      <c r="F20" s="12">
        <v>47</v>
      </c>
      <c r="G20" s="12">
        <v>13</v>
      </c>
      <c r="H20" s="12">
        <v>24</v>
      </c>
      <c r="I20" s="12">
        <v>33</v>
      </c>
      <c r="J20" s="12">
        <v>9</v>
      </c>
      <c r="K20" s="12">
        <v>69</v>
      </c>
      <c r="L20" s="12">
        <v>28</v>
      </c>
      <c r="M20" s="12">
        <v>17</v>
      </c>
      <c r="N20" s="12">
        <v>36</v>
      </c>
      <c r="O20" s="12">
        <v>52</v>
      </c>
      <c r="P20" s="12">
        <v>21</v>
      </c>
      <c r="Q20" s="12">
        <v>29</v>
      </c>
      <c r="R20" s="12">
        <v>11</v>
      </c>
      <c r="S20" s="12">
        <v>45</v>
      </c>
      <c r="T20" s="12">
        <v>68</v>
      </c>
      <c r="U20" s="12">
        <v>20</v>
      </c>
      <c r="V20" s="12">
        <v>22</v>
      </c>
      <c r="W20" s="12">
        <v>16</v>
      </c>
      <c r="X20" s="12">
        <v>25</v>
      </c>
      <c r="Y20" s="12">
        <v>23</v>
      </c>
      <c r="Z20" s="12">
        <v>39</v>
      </c>
      <c r="AA20" s="12">
        <v>33</v>
      </c>
      <c r="AB20" s="12">
        <v>61</v>
      </c>
      <c r="AC20" s="12">
        <v>18</v>
      </c>
      <c r="AD20" s="12">
        <v>36</v>
      </c>
      <c r="AE20" s="12">
        <v>19</v>
      </c>
      <c r="AF20" s="12">
        <v>20</v>
      </c>
    </row>
    <row r="21" spans="1:32" x14ac:dyDescent="0.35">
      <c r="A21" s="19"/>
      <c r="B21" s="13" t="s">
        <v>486</v>
      </c>
      <c r="C21" s="15">
        <v>0.03</v>
      </c>
      <c r="D21" s="15">
        <v>0.02</v>
      </c>
      <c r="E21" s="15">
        <v>0.09</v>
      </c>
      <c r="F21" s="15">
        <v>0.04</v>
      </c>
      <c r="G21" s="15">
        <v>0.01</v>
      </c>
      <c r="H21" s="15">
        <v>0.02</v>
      </c>
      <c r="I21" s="15">
        <v>0.02</v>
      </c>
      <c r="J21" s="15">
        <v>0.03</v>
      </c>
      <c r="K21" s="15">
        <v>7.0000000000000007E-2</v>
      </c>
      <c r="L21" s="15">
        <v>0.03</v>
      </c>
      <c r="M21" s="15">
        <v>0.02</v>
      </c>
      <c r="N21" s="15">
        <v>0.04</v>
      </c>
      <c r="O21" s="15">
        <v>0.05</v>
      </c>
      <c r="P21" s="15">
        <v>0.02</v>
      </c>
      <c r="Q21" s="15">
        <v>0.03</v>
      </c>
      <c r="R21" s="15">
        <v>0.02</v>
      </c>
      <c r="S21" s="15">
        <v>0.05</v>
      </c>
      <c r="T21" s="15">
        <v>7.0000000000000007E-2</v>
      </c>
      <c r="U21" s="15">
        <v>0.04</v>
      </c>
      <c r="V21" s="15">
        <v>0.02</v>
      </c>
      <c r="W21" s="15">
        <v>0.03</v>
      </c>
      <c r="X21" s="15">
        <v>0.03</v>
      </c>
      <c r="Y21" s="15">
        <v>0.02</v>
      </c>
      <c r="Z21" s="15">
        <v>0.04</v>
      </c>
      <c r="AA21" s="15">
        <v>0.03</v>
      </c>
      <c r="AB21" s="15">
        <v>0.06</v>
      </c>
      <c r="AC21" s="15">
        <v>0.02</v>
      </c>
      <c r="AD21" s="15">
        <v>0.03</v>
      </c>
      <c r="AE21" s="15">
        <v>0.02</v>
      </c>
      <c r="AF21" s="15">
        <v>0.02</v>
      </c>
    </row>
    <row r="22" spans="1:32" x14ac:dyDescent="0.35">
      <c r="A22" s="19"/>
      <c r="B22" s="11" t="s">
        <v>768</v>
      </c>
      <c r="C22" s="12">
        <v>18485</v>
      </c>
      <c r="D22" s="12">
        <v>660</v>
      </c>
      <c r="E22" s="12">
        <v>592</v>
      </c>
      <c r="F22" s="12">
        <v>675</v>
      </c>
      <c r="G22" s="12">
        <v>862</v>
      </c>
      <c r="H22" s="12">
        <v>761</v>
      </c>
      <c r="I22" s="12">
        <v>942</v>
      </c>
      <c r="J22" s="12">
        <v>181</v>
      </c>
      <c r="K22" s="12">
        <v>565</v>
      </c>
      <c r="L22" s="12">
        <v>833</v>
      </c>
      <c r="M22" s="12">
        <v>766</v>
      </c>
      <c r="N22" s="12">
        <v>744</v>
      </c>
      <c r="O22" s="12">
        <v>625</v>
      </c>
      <c r="P22" s="12">
        <v>768</v>
      </c>
      <c r="Q22" s="12">
        <v>753</v>
      </c>
      <c r="R22" s="12">
        <v>348</v>
      </c>
      <c r="S22" s="12">
        <v>714</v>
      </c>
      <c r="T22" s="12">
        <v>795</v>
      </c>
      <c r="U22" s="12">
        <v>375</v>
      </c>
      <c r="V22" s="12">
        <v>756</v>
      </c>
      <c r="W22" s="12">
        <v>384</v>
      </c>
      <c r="X22" s="12">
        <v>735</v>
      </c>
      <c r="Y22" s="12">
        <v>707</v>
      </c>
      <c r="Z22" s="12">
        <v>785</v>
      </c>
      <c r="AA22" s="12">
        <v>970</v>
      </c>
      <c r="AB22" s="12">
        <v>664</v>
      </c>
      <c r="AC22" s="12">
        <v>665</v>
      </c>
      <c r="AD22" s="12">
        <v>788</v>
      </c>
      <c r="AE22" s="12">
        <v>862</v>
      </c>
      <c r="AF22" s="12">
        <v>827</v>
      </c>
    </row>
    <row r="23" spans="1:32" x14ac:dyDescent="0.35">
      <c r="A23" s="19"/>
      <c r="B23" s="13" t="s">
        <v>769</v>
      </c>
      <c r="C23" s="15">
        <v>0.70000000000000007</v>
      </c>
      <c r="D23" s="15">
        <v>0.65</v>
      </c>
      <c r="E23" s="15">
        <v>0.57000000000000006</v>
      </c>
      <c r="F23" s="15">
        <v>0.62</v>
      </c>
      <c r="G23" s="15">
        <v>0.86</v>
      </c>
      <c r="H23" s="15">
        <v>0.62</v>
      </c>
      <c r="I23" s="15">
        <v>0.62</v>
      </c>
      <c r="J23" s="15">
        <v>0.61</v>
      </c>
      <c r="K23" s="15">
        <v>0.56000000000000005</v>
      </c>
      <c r="L23" s="15">
        <v>0.83000000000000007</v>
      </c>
      <c r="M23" s="15">
        <v>0.76</v>
      </c>
      <c r="N23" s="15">
        <v>0.74</v>
      </c>
      <c r="O23" s="15">
        <v>0.63</v>
      </c>
      <c r="P23" s="15">
        <v>0.76</v>
      </c>
      <c r="Q23" s="15">
        <v>0.73</v>
      </c>
      <c r="R23" s="15">
        <v>0.69000000000000006</v>
      </c>
      <c r="S23" s="15">
        <v>0.71</v>
      </c>
      <c r="T23" s="15">
        <v>0.79</v>
      </c>
      <c r="U23" s="15">
        <v>0.74</v>
      </c>
      <c r="V23" s="15">
        <v>0.75</v>
      </c>
      <c r="W23" s="15">
        <v>0.76</v>
      </c>
      <c r="X23" s="15">
        <v>0.73</v>
      </c>
      <c r="Y23" s="15">
        <v>0.71</v>
      </c>
      <c r="Z23" s="15">
        <v>0.76</v>
      </c>
      <c r="AA23" s="15">
        <v>0.94000000000000006</v>
      </c>
      <c r="AB23" s="15">
        <v>0.63</v>
      </c>
      <c r="AC23" s="15">
        <v>0.66</v>
      </c>
      <c r="AD23" s="15">
        <v>0.79</v>
      </c>
      <c r="AE23" s="15">
        <v>0.85</v>
      </c>
      <c r="AF23" s="15">
        <v>0.79</v>
      </c>
    </row>
    <row r="24" spans="1:32" x14ac:dyDescent="0.35">
      <c r="A24" s="19"/>
      <c r="B24" s="11" t="s">
        <v>770</v>
      </c>
      <c r="C24" s="12">
        <v>7073</v>
      </c>
      <c r="D24" s="12">
        <v>336</v>
      </c>
      <c r="E24" s="12">
        <v>346</v>
      </c>
      <c r="F24" s="12">
        <v>380</v>
      </c>
      <c r="G24" s="12">
        <v>131</v>
      </c>
      <c r="H24" s="12">
        <v>436</v>
      </c>
      <c r="I24" s="12">
        <v>541</v>
      </c>
      <c r="J24" s="12">
        <v>105</v>
      </c>
      <c r="K24" s="12">
        <v>367</v>
      </c>
      <c r="L24" s="12">
        <v>142</v>
      </c>
      <c r="M24" s="12">
        <v>227</v>
      </c>
      <c r="N24" s="12">
        <v>223</v>
      </c>
      <c r="O24" s="12">
        <v>324</v>
      </c>
      <c r="P24" s="12">
        <v>215</v>
      </c>
      <c r="Q24" s="12">
        <v>245</v>
      </c>
      <c r="R24" s="12">
        <v>145</v>
      </c>
      <c r="S24" s="12">
        <v>243</v>
      </c>
      <c r="T24" s="12">
        <v>143</v>
      </c>
      <c r="U24" s="12">
        <v>109</v>
      </c>
      <c r="V24" s="12">
        <v>236</v>
      </c>
      <c r="W24" s="12">
        <v>108</v>
      </c>
      <c r="X24" s="12">
        <v>249</v>
      </c>
      <c r="Y24" s="12">
        <v>273</v>
      </c>
      <c r="Z24" s="12">
        <v>207</v>
      </c>
      <c r="AA24" s="12">
        <v>31</v>
      </c>
      <c r="AB24" s="12">
        <v>325</v>
      </c>
      <c r="AC24" s="12">
        <v>320</v>
      </c>
      <c r="AD24" s="12">
        <v>181</v>
      </c>
      <c r="AE24" s="12">
        <v>131</v>
      </c>
      <c r="AF24" s="12">
        <v>195</v>
      </c>
    </row>
    <row r="25" spans="1:32" x14ac:dyDescent="0.35">
      <c r="A25" s="19"/>
      <c r="B25" s="13" t="s">
        <v>771</v>
      </c>
      <c r="C25" s="15">
        <v>0.27</v>
      </c>
      <c r="D25" s="15">
        <v>0.33</v>
      </c>
      <c r="E25" s="15">
        <v>0.34</v>
      </c>
      <c r="F25" s="15">
        <v>0.34</v>
      </c>
      <c r="G25" s="15">
        <v>0.13</v>
      </c>
      <c r="H25" s="15">
        <v>0.36</v>
      </c>
      <c r="I25" s="15">
        <v>0.36</v>
      </c>
      <c r="J25" s="15">
        <v>0.36</v>
      </c>
      <c r="K25" s="15">
        <v>0.37</v>
      </c>
      <c r="L25" s="15">
        <v>0.14000000000000001</v>
      </c>
      <c r="M25" s="15">
        <v>0.22</v>
      </c>
      <c r="N25" s="15">
        <v>0.22</v>
      </c>
      <c r="O25" s="15">
        <v>0.32</v>
      </c>
      <c r="P25" s="15">
        <v>0.22</v>
      </c>
      <c r="Q25" s="15">
        <v>0.24</v>
      </c>
      <c r="R25" s="15">
        <v>0.28999999999999998</v>
      </c>
      <c r="S25" s="15">
        <v>0.24</v>
      </c>
      <c r="T25" s="15">
        <v>0.14000000000000001</v>
      </c>
      <c r="U25" s="15">
        <v>0.22</v>
      </c>
      <c r="V25" s="15">
        <v>0.23</v>
      </c>
      <c r="W25" s="15">
        <v>0.21</v>
      </c>
      <c r="X25" s="15">
        <v>0.24</v>
      </c>
      <c r="Y25" s="15">
        <v>0.27</v>
      </c>
      <c r="Z25" s="15">
        <v>0.2</v>
      </c>
      <c r="AA25" s="15">
        <v>0.03</v>
      </c>
      <c r="AB25" s="15">
        <v>0.31</v>
      </c>
      <c r="AC25" s="15">
        <v>0.32</v>
      </c>
      <c r="AD25" s="15">
        <v>0.18</v>
      </c>
      <c r="AE25" s="15">
        <v>0.13</v>
      </c>
      <c r="AF25" s="15">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991</v>
      </c>
      <c r="C3" s="18"/>
      <c r="D3" s="18"/>
      <c r="E3" s="18"/>
      <c r="F3" s="18"/>
      <c r="H3" s="18" t="s">
        <v>992</v>
      </c>
      <c r="I3" s="18"/>
      <c r="J3" s="18"/>
      <c r="K3" s="18"/>
      <c r="L3" s="18"/>
    </row>
    <row r="4" spans="1:43" ht="27" customHeight="1" x14ac:dyDescent="0.35">
      <c r="B4" s="18" t="s">
        <v>993</v>
      </c>
      <c r="C4" s="18"/>
      <c r="D4" s="18"/>
      <c r="E4" s="18"/>
      <c r="F4" s="18"/>
      <c r="H4" s="18" t="s">
        <v>648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HYPERLINK("#Content!A99","&lt;&lt;Back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994</v>
      </c>
      <c r="C12" s="12">
        <v>1455</v>
      </c>
      <c r="D12" s="12">
        <v>51</v>
      </c>
      <c r="E12" s="12">
        <v>106</v>
      </c>
      <c r="F12" s="12">
        <v>62</v>
      </c>
      <c r="G12" s="12">
        <v>18</v>
      </c>
      <c r="H12" s="12">
        <v>24</v>
      </c>
      <c r="I12" s="12">
        <v>30</v>
      </c>
      <c r="J12" s="12">
        <v>6</v>
      </c>
      <c r="K12" s="12">
        <v>66</v>
      </c>
      <c r="L12" s="12">
        <v>45</v>
      </c>
      <c r="M12" s="12">
        <v>58</v>
      </c>
      <c r="N12" s="12">
        <v>43</v>
      </c>
      <c r="O12" s="12">
        <v>42</v>
      </c>
      <c r="P12" s="12">
        <v>64</v>
      </c>
      <c r="Q12" s="12">
        <v>82</v>
      </c>
      <c r="R12" s="12">
        <v>56</v>
      </c>
      <c r="S12" s="12">
        <v>53</v>
      </c>
      <c r="T12" s="12">
        <v>124</v>
      </c>
      <c r="U12" s="12">
        <v>11</v>
      </c>
      <c r="V12" s="12">
        <v>76</v>
      </c>
      <c r="W12" s="12">
        <v>17</v>
      </c>
      <c r="X12" s="12">
        <v>19</v>
      </c>
      <c r="Y12" s="12">
        <v>88</v>
      </c>
      <c r="Z12" s="12">
        <v>117</v>
      </c>
      <c r="AA12" s="12">
        <v>29</v>
      </c>
      <c r="AB12" s="12">
        <v>144</v>
      </c>
      <c r="AC12" s="12">
        <v>40</v>
      </c>
      <c r="AD12" s="12">
        <v>59</v>
      </c>
      <c r="AE12" s="12">
        <v>26</v>
      </c>
      <c r="AF12" s="12">
        <v>14</v>
      </c>
      <c r="AG12" s="12">
        <v>100</v>
      </c>
      <c r="AH12" s="12">
        <v>209</v>
      </c>
      <c r="AI12" s="12">
        <v>94</v>
      </c>
      <c r="AJ12" s="12">
        <v>59</v>
      </c>
      <c r="AK12" s="12">
        <v>364</v>
      </c>
      <c r="AL12" s="12">
        <v>144</v>
      </c>
      <c r="AM12" s="12">
        <v>65</v>
      </c>
      <c r="AN12" s="12">
        <v>70</v>
      </c>
      <c r="AO12" s="12">
        <v>819</v>
      </c>
      <c r="AP12" s="12">
        <v>73</v>
      </c>
      <c r="AQ12" s="12">
        <v>223</v>
      </c>
    </row>
    <row r="13" spans="1:43" x14ac:dyDescent="0.35">
      <c r="A13" s="19"/>
      <c r="B13" s="13" t="s">
        <v>995</v>
      </c>
      <c r="C13" s="15">
        <v>0.05</v>
      </c>
      <c r="D13" s="15">
        <v>0.05</v>
      </c>
      <c r="E13" s="15">
        <v>0.1</v>
      </c>
      <c r="F13" s="15">
        <v>0.06</v>
      </c>
      <c r="G13" s="15">
        <v>0.02</v>
      </c>
      <c r="H13" s="15">
        <v>0.02</v>
      </c>
      <c r="I13" s="15">
        <v>0.02</v>
      </c>
      <c r="J13" s="15">
        <v>0.02</v>
      </c>
      <c r="K13" s="15">
        <v>7.0000000000000007E-2</v>
      </c>
      <c r="L13" s="15">
        <v>0.04</v>
      </c>
      <c r="M13" s="15">
        <v>0.06</v>
      </c>
      <c r="N13" s="15">
        <v>0.04</v>
      </c>
      <c r="O13" s="15">
        <v>0.04</v>
      </c>
      <c r="P13" s="15">
        <v>0.06</v>
      </c>
      <c r="Q13" s="15">
        <v>0.08</v>
      </c>
      <c r="R13" s="15">
        <v>0.11</v>
      </c>
      <c r="S13" s="15">
        <v>0.05</v>
      </c>
      <c r="T13" s="15">
        <v>0.12</v>
      </c>
      <c r="U13" s="15">
        <v>0.02</v>
      </c>
      <c r="V13" s="15">
        <v>7.0000000000000007E-2</v>
      </c>
      <c r="W13" s="15">
        <v>0.03</v>
      </c>
      <c r="X13" s="15">
        <v>0.02</v>
      </c>
      <c r="Y13" s="15">
        <v>0.09</v>
      </c>
      <c r="Z13" s="15">
        <v>0.12</v>
      </c>
      <c r="AA13" s="15">
        <v>0.03</v>
      </c>
      <c r="AB13" s="15">
        <v>0.14000000000000001</v>
      </c>
      <c r="AC13" s="15">
        <v>0.04</v>
      </c>
      <c r="AD13" s="15">
        <v>0.06</v>
      </c>
      <c r="AE13" s="15">
        <v>0.03</v>
      </c>
      <c r="AF13" s="15">
        <v>0.01</v>
      </c>
      <c r="AG13" s="15">
        <v>0.1</v>
      </c>
      <c r="AH13" s="15">
        <v>0.21</v>
      </c>
      <c r="AI13" s="15">
        <v>0.18</v>
      </c>
      <c r="AJ13" s="15">
        <v>0.06</v>
      </c>
      <c r="AK13" s="15">
        <v>0.36</v>
      </c>
      <c r="AL13" s="15">
        <v>0.14000000000000001</v>
      </c>
      <c r="AM13" s="15">
        <v>0.06</v>
      </c>
      <c r="AN13" s="15">
        <v>7.0000000000000007E-2</v>
      </c>
      <c r="AO13" s="15">
        <v>0.82000000000000006</v>
      </c>
      <c r="AP13" s="15">
        <v>0.14000000000000001</v>
      </c>
      <c r="AQ13" s="15">
        <v>0.22</v>
      </c>
    </row>
    <row r="14" spans="1:43" x14ac:dyDescent="0.35">
      <c r="A14" s="19"/>
      <c r="B14" s="11" t="s">
        <v>996</v>
      </c>
      <c r="C14" s="12">
        <v>8452</v>
      </c>
      <c r="D14" s="12">
        <v>255</v>
      </c>
      <c r="E14" s="12">
        <v>335</v>
      </c>
      <c r="F14" s="12">
        <v>483</v>
      </c>
      <c r="G14" s="12">
        <v>202</v>
      </c>
      <c r="H14" s="12">
        <v>203</v>
      </c>
      <c r="I14" s="12">
        <v>280</v>
      </c>
      <c r="J14" s="12">
        <v>77</v>
      </c>
      <c r="K14" s="12">
        <v>451</v>
      </c>
      <c r="L14" s="12">
        <v>236</v>
      </c>
      <c r="M14" s="12">
        <v>399</v>
      </c>
      <c r="N14" s="12">
        <v>236</v>
      </c>
      <c r="O14" s="12">
        <v>310</v>
      </c>
      <c r="P14" s="12">
        <v>414</v>
      </c>
      <c r="Q14" s="12">
        <v>365</v>
      </c>
      <c r="R14" s="12">
        <v>212</v>
      </c>
      <c r="S14" s="12">
        <v>497</v>
      </c>
      <c r="T14" s="12">
        <v>529</v>
      </c>
      <c r="U14" s="12">
        <v>83</v>
      </c>
      <c r="V14" s="12">
        <v>533</v>
      </c>
      <c r="W14" s="12">
        <v>187</v>
      </c>
      <c r="X14" s="12">
        <v>200</v>
      </c>
      <c r="Y14" s="12">
        <v>268</v>
      </c>
      <c r="Z14" s="12">
        <v>560</v>
      </c>
      <c r="AA14" s="12">
        <v>442</v>
      </c>
      <c r="AB14" s="12">
        <v>561</v>
      </c>
      <c r="AC14" s="12">
        <v>349</v>
      </c>
      <c r="AD14" s="12">
        <v>429</v>
      </c>
      <c r="AE14" s="12">
        <v>368</v>
      </c>
      <c r="AF14" s="12">
        <v>207</v>
      </c>
      <c r="AG14" s="12">
        <v>297</v>
      </c>
      <c r="AH14" s="12">
        <v>540</v>
      </c>
      <c r="AI14" s="12">
        <v>146</v>
      </c>
      <c r="AJ14" s="12">
        <v>279</v>
      </c>
      <c r="AK14" s="12">
        <v>497</v>
      </c>
      <c r="AL14" s="12">
        <v>414</v>
      </c>
      <c r="AM14" s="12">
        <v>315</v>
      </c>
      <c r="AN14" s="12">
        <v>292</v>
      </c>
      <c r="AO14" s="12">
        <v>123</v>
      </c>
      <c r="AP14" s="12">
        <v>167</v>
      </c>
      <c r="AQ14" s="12">
        <v>518</v>
      </c>
    </row>
    <row r="15" spans="1:43" x14ac:dyDescent="0.35">
      <c r="A15" s="19"/>
      <c r="B15" s="13" t="s">
        <v>997</v>
      </c>
      <c r="C15" s="15">
        <v>0.32</v>
      </c>
      <c r="D15" s="15">
        <v>0.25</v>
      </c>
      <c r="E15" s="15">
        <v>0.33</v>
      </c>
      <c r="F15" s="15">
        <v>0.44</v>
      </c>
      <c r="G15" s="15">
        <v>0.2</v>
      </c>
      <c r="H15" s="15">
        <v>0.16</v>
      </c>
      <c r="I15" s="15">
        <v>0.19</v>
      </c>
      <c r="J15" s="15">
        <v>0.26</v>
      </c>
      <c r="K15" s="15">
        <v>0.45</v>
      </c>
      <c r="L15" s="15">
        <v>0.24</v>
      </c>
      <c r="M15" s="15">
        <v>0.4</v>
      </c>
      <c r="N15" s="15">
        <v>0.24</v>
      </c>
      <c r="O15" s="15">
        <v>0.31</v>
      </c>
      <c r="P15" s="15">
        <v>0.41</v>
      </c>
      <c r="Q15" s="15">
        <v>0.35</v>
      </c>
      <c r="R15" s="15">
        <v>0.42</v>
      </c>
      <c r="S15" s="15">
        <v>0.5</v>
      </c>
      <c r="T15" s="15">
        <v>0.53</v>
      </c>
      <c r="U15" s="15">
        <v>0.16</v>
      </c>
      <c r="V15" s="15">
        <v>0.53</v>
      </c>
      <c r="W15" s="15">
        <v>0.37</v>
      </c>
      <c r="X15" s="15">
        <v>0.2</v>
      </c>
      <c r="Y15" s="15">
        <v>0.27</v>
      </c>
      <c r="Z15" s="15">
        <v>0.54</v>
      </c>
      <c r="AA15" s="15">
        <v>0.43</v>
      </c>
      <c r="AB15" s="15">
        <v>0.53</v>
      </c>
      <c r="AC15" s="15">
        <v>0.35</v>
      </c>
      <c r="AD15" s="15">
        <v>0.43</v>
      </c>
      <c r="AE15" s="15">
        <v>0.36</v>
      </c>
      <c r="AF15" s="15">
        <v>0.2</v>
      </c>
      <c r="AG15" s="15">
        <v>0.28999999999999998</v>
      </c>
      <c r="AH15" s="15">
        <v>0.53</v>
      </c>
      <c r="AI15" s="15">
        <v>0.28000000000000003</v>
      </c>
      <c r="AJ15" s="15">
        <v>0.27</v>
      </c>
      <c r="AK15" s="15">
        <v>0.5</v>
      </c>
      <c r="AL15" s="15">
        <v>0.41</v>
      </c>
      <c r="AM15" s="15">
        <v>0.3</v>
      </c>
      <c r="AN15" s="15">
        <v>0.28999999999999998</v>
      </c>
      <c r="AO15" s="15">
        <v>0.12</v>
      </c>
      <c r="AP15" s="15">
        <v>0.32</v>
      </c>
      <c r="AQ15" s="15">
        <v>0.52</v>
      </c>
    </row>
    <row r="16" spans="1:43" x14ac:dyDescent="0.35">
      <c r="A16" s="19"/>
      <c r="B16" s="11" t="s">
        <v>998</v>
      </c>
      <c r="C16" s="12">
        <v>10179</v>
      </c>
      <c r="D16" s="12">
        <v>431</v>
      </c>
      <c r="E16" s="12">
        <v>327</v>
      </c>
      <c r="F16" s="12">
        <v>408</v>
      </c>
      <c r="G16" s="12">
        <v>457</v>
      </c>
      <c r="H16" s="12">
        <v>644</v>
      </c>
      <c r="I16" s="12">
        <v>793</v>
      </c>
      <c r="J16" s="12">
        <v>149</v>
      </c>
      <c r="K16" s="12">
        <v>332</v>
      </c>
      <c r="L16" s="12">
        <v>353</v>
      </c>
      <c r="M16" s="12">
        <v>376</v>
      </c>
      <c r="N16" s="12">
        <v>368</v>
      </c>
      <c r="O16" s="12">
        <v>406</v>
      </c>
      <c r="P16" s="12">
        <v>323</v>
      </c>
      <c r="Q16" s="12">
        <v>376</v>
      </c>
      <c r="R16" s="12">
        <v>129</v>
      </c>
      <c r="S16" s="12">
        <v>296</v>
      </c>
      <c r="T16" s="12">
        <v>237</v>
      </c>
      <c r="U16" s="12">
        <v>255</v>
      </c>
      <c r="V16" s="12">
        <v>311</v>
      </c>
      <c r="W16" s="12">
        <v>190</v>
      </c>
      <c r="X16" s="12">
        <v>416</v>
      </c>
      <c r="Y16" s="12">
        <v>336</v>
      </c>
      <c r="Z16" s="12">
        <v>209</v>
      </c>
      <c r="AA16" s="12">
        <v>276</v>
      </c>
      <c r="AB16" s="12">
        <v>257</v>
      </c>
      <c r="AC16" s="12">
        <v>404</v>
      </c>
      <c r="AD16" s="12">
        <v>388</v>
      </c>
      <c r="AE16" s="12">
        <v>445</v>
      </c>
      <c r="AF16" s="12">
        <v>498</v>
      </c>
      <c r="AG16" s="12">
        <v>332</v>
      </c>
      <c r="AH16" s="12">
        <v>176</v>
      </c>
      <c r="AI16" s="12">
        <v>101</v>
      </c>
      <c r="AJ16" s="12">
        <v>330</v>
      </c>
      <c r="AK16" s="12">
        <v>73</v>
      </c>
      <c r="AL16" s="12">
        <v>154</v>
      </c>
      <c r="AM16" s="12">
        <v>361</v>
      </c>
      <c r="AN16" s="12">
        <v>434</v>
      </c>
      <c r="AO16" s="12">
        <v>26</v>
      </c>
      <c r="AP16" s="12">
        <v>153</v>
      </c>
      <c r="AQ16" s="12">
        <v>119</v>
      </c>
    </row>
    <row r="17" spans="1:43" x14ac:dyDescent="0.35">
      <c r="A17" s="19"/>
      <c r="B17" s="13" t="s">
        <v>999</v>
      </c>
      <c r="C17" s="15">
        <v>0.38</v>
      </c>
      <c r="D17" s="15">
        <v>0.43</v>
      </c>
      <c r="E17" s="15">
        <v>0.32</v>
      </c>
      <c r="F17" s="15">
        <v>0.37</v>
      </c>
      <c r="G17" s="15">
        <v>0.45</v>
      </c>
      <c r="H17" s="15">
        <v>0.53</v>
      </c>
      <c r="I17" s="15">
        <v>0.52</v>
      </c>
      <c r="J17" s="15">
        <v>0.51</v>
      </c>
      <c r="K17" s="15">
        <v>0.33</v>
      </c>
      <c r="L17" s="15">
        <v>0.35</v>
      </c>
      <c r="M17" s="15">
        <v>0.37</v>
      </c>
      <c r="N17" s="15">
        <v>0.37</v>
      </c>
      <c r="O17" s="15">
        <v>0.41</v>
      </c>
      <c r="P17" s="15">
        <v>0.32</v>
      </c>
      <c r="Q17" s="15">
        <v>0.37</v>
      </c>
      <c r="R17" s="15">
        <v>0.26</v>
      </c>
      <c r="S17" s="15">
        <v>0.3</v>
      </c>
      <c r="T17" s="15">
        <v>0.23</v>
      </c>
      <c r="U17" s="15">
        <v>0.51</v>
      </c>
      <c r="V17" s="15">
        <v>0.31</v>
      </c>
      <c r="W17" s="15">
        <v>0.37</v>
      </c>
      <c r="X17" s="15">
        <v>0.41</v>
      </c>
      <c r="Y17" s="15">
        <v>0.33</v>
      </c>
      <c r="Z17" s="15">
        <v>0.2</v>
      </c>
      <c r="AA17" s="15">
        <v>0.26</v>
      </c>
      <c r="AB17" s="15">
        <v>0.25</v>
      </c>
      <c r="AC17" s="15">
        <v>0.4</v>
      </c>
      <c r="AD17" s="15">
        <v>0.38</v>
      </c>
      <c r="AE17" s="15">
        <v>0.44</v>
      </c>
      <c r="AF17" s="15">
        <v>0.48</v>
      </c>
      <c r="AG17" s="15">
        <v>0.32</v>
      </c>
      <c r="AH17" s="15">
        <v>0.17</v>
      </c>
      <c r="AI17" s="15">
        <v>0.19</v>
      </c>
      <c r="AJ17" s="15">
        <v>0.32</v>
      </c>
      <c r="AK17" s="15">
        <v>7.0000000000000007E-2</v>
      </c>
      <c r="AL17" s="15">
        <v>0.15</v>
      </c>
      <c r="AM17" s="15">
        <v>0.35</v>
      </c>
      <c r="AN17" s="15">
        <v>0.43</v>
      </c>
      <c r="AO17" s="15">
        <v>0.03</v>
      </c>
      <c r="AP17" s="15">
        <v>0.28999999999999998</v>
      </c>
      <c r="AQ17" s="15">
        <v>0.12</v>
      </c>
    </row>
    <row r="18" spans="1:43" x14ac:dyDescent="0.35">
      <c r="A18" s="19"/>
      <c r="B18" s="11" t="s">
        <v>1000</v>
      </c>
      <c r="C18" s="12">
        <v>5434</v>
      </c>
      <c r="D18" s="12">
        <v>257</v>
      </c>
      <c r="E18" s="12">
        <v>170</v>
      </c>
      <c r="F18" s="12">
        <v>105</v>
      </c>
      <c r="G18" s="12">
        <v>321</v>
      </c>
      <c r="H18" s="12">
        <v>313</v>
      </c>
      <c r="I18" s="12">
        <v>370</v>
      </c>
      <c r="J18" s="12">
        <v>57</v>
      </c>
      <c r="K18" s="12">
        <v>83</v>
      </c>
      <c r="L18" s="12">
        <v>342</v>
      </c>
      <c r="M18" s="12">
        <v>155</v>
      </c>
      <c r="N18" s="12">
        <v>322</v>
      </c>
      <c r="O18" s="12">
        <v>190</v>
      </c>
      <c r="P18" s="12">
        <v>178</v>
      </c>
      <c r="Q18" s="12">
        <v>176</v>
      </c>
      <c r="R18" s="12">
        <v>62</v>
      </c>
      <c r="S18" s="12">
        <v>35</v>
      </c>
      <c r="T18" s="12">
        <v>77</v>
      </c>
      <c r="U18" s="12">
        <v>131</v>
      </c>
      <c r="V18" s="12">
        <v>73</v>
      </c>
      <c r="W18" s="12">
        <v>74</v>
      </c>
      <c r="X18" s="12">
        <v>359</v>
      </c>
      <c r="Y18" s="12">
        <v>266</v>
      </c>
      <c r="Z18" s="12">
        <v>92</v>
      </c>
      <c r="AA18" s="12">
        <v>247</v>
      </c>
      <c r="AB18" s="12">
        <v>56</v>
      </c>
      <c r="AC18" s="12">
        <v>177</v>
      </c>
      <c r="AD18" s="12">
        <v>102</v>
      </c>
      <c r="AE18" s="12">
        <v>146</v>
      </c>
      <c r="AF18" s="12">
        <v>315</v>
      </c>
      <c r="AG18" s="12">
        <v>267</v>
      </c>
      <c r="AH18" s="12">
        <v>61</v>
      </c>
      <c r="AI18" s="12">
        <v>91</v>
      </c>
      <c r="AJ18" s="12">
        <v>353</v>
      </c>
      <c r="AK18" s="12">
        <v>60</v>
      </c>
      <c r="AL18" s="12">
        <v>82</v>
      </c>
      <c r="AM18" s="12">
        <v>223</v>
      </c>
      <c r="AN18" s="12">
        <v>179</v>
      </c>
      <c r="AO18" s="12">
        <v>13</v>
      </c>
      <c r="AP18" s="12">
        <v>130</v>
      </c>
      <c r="AQ18" s="12">
        <v>65</v>
      </c>
    </row>
    <row r="19" spans="1:43" x14ac:dyDescent="0.35">
      <c r="A19" s="19"/>
      <c r="B19" s="13" t="s">
        <v>1001</v>
      </c>
      <c r="C19" s="15">
        <v>0.21</v>
      </c>
      <c r="D19" s="15">
        <v>0.25</v>
      </c>
      <c r="E19" s="15">
        <v>0.16</v>
      </c>
      <c r="F19" s="15">
        <v>0.09</v>
      </c>
      <c r="G19" s="15">
        <v>0.32</v>
      </c>
      <c r="H19" s="15">
        <v>0.26</v>
      </c>
      <c r="I19" s="15">
        <v>0.24</v>
      </c>
      <c r="J19" s="15">
        <v>0.19</v>
      </c>
      <c r="K19" s="15">
        <v>0.08</v>
      </c>
      <c r="L19" s="15">
        <v>0.34</v>
      </c>
      <c r="M19" s="15">
        <v>0.15</v>
      </c>
      <c r="N19" s="15">
        <v>0.32</v>
      </c>
      <c r="O19" s="15">
        <v>0.19</v>
      </c>
      <c r="P19" s="15">
        <v>0.18</v>
      </c>
      <c r="Q19" s="15">
        <v>0.17</v>
      </c>
      <c r="R19" s="15">
        <v>0.12</v>
      </c>
      <c r="S19" s="15">
        <v>0.03</v>
      </c>
      <c r="T19" s="15">
        <v>0.08</v>
      </c>
      <c r="U19" s="15">
        <v>0.26</v>
      </c>
      <c r="V19" s="15">
        <v>7.0000000000000007E-2</v>
      </c>
      <c r="W19" s="15">
        <v>0.15</v>
      </c>
      <c r="X19" s="15">
        <v>0.36</v>
      </c>
      <c r="Y19" s="15">
        <v>0.26</v>
      </c>
      <c r="Z19" s="15">
        <v>0.09</v>
      </c>
      <c r="AA19" s="15">
        <v>0.24</v>
      </c>
      <c r="AB19" s="15">
        <v>0.05</v>
      </c>
      <c r="AC19" s="15">
        <v>0.18</v>
      </c>
      <c r="AD19" s="15">
        <v>0.1</v>
      </c>
      <c r="AE19" s="15">
        <v>0.14000000000000001</v>
      </c>
      <c r="AF19" s="15">
        <v>0.3</v>
      </c>
      <c r="AG19" s="15">
        <v>0.26</v>
      </c>
      <c r="AH19" s="15">
        <v>0.06</v>
      </c>
      <c r="AI19" s="15">
        <v>0.18</v>
      </c>
      <c r="AJ19" s="15">
        <v>0.34</v>
      </c>
      <c r="AK19" s="15">
        <v>0.06</v>
      </c>
      <c r="AL19" s="15">
        <v>0.08</v>
      </c>
      <c r="AM19" s="15">
        <v>0.22</v>
      </c>
      <c r="AN19" s="15">
        <v>0.18</v>
      </c>
      <c r="AO19" s="15">
        <v>0.01</v>
      </c>
      <c r="AP19" s="15">
        <v>0.25</v>
      </c>
      <c r="AQ19" s="15">
        <v>0.06</v>
      </c>
    </row>
    <row r="20" spans="1:43" x14ac:dyDescent="0.35">
      <c r="A20" s="19"/>
      <c r="B20" s="11" t="s">
        <v>485</v>
      </c>
      <c r="C20" s="12">
        <v>926</v>
      </c>
      <c r="D20" s="12">
        <v>20</v>
      </c>
      <c r="E20" s="12">
        <v>93</v>
      </c>
      <c r="F20" s="12">
        <v>44</v>
      </c>
      <c r="G20" s="12">
        <v>7</v>
      </c>
      <c r="H20" s="12">
        <v>36</v>
      </c>
      <c r="I20" s="12">
        <v>42</v>
      </c>
      <c r="J20" s="12">
        <v>6</v>
      </c>
      <c r="K20" s="12">
        <v>70</v>
      </c>
      <c r="L20" s="12">
        <v>26</v>
      </c>
      <c r="M20" s="12">
        <v>22</v>
      </c>
      <c r="N20" s="12">
        <v>34</v>
      </c>
      <c r="O20" s="12">
        <v>53</v>
      </c>
      <c r="P20" s="12">
        <v>25</v>
      </c>
      <c r="Q20" s="12">
        <v>28</v>
      </c>
      <c r="R20" s="12">
        <v>45</v>
      </c>
      <c r="S20" s="12">
        <v>121</v>
      </c>
      <c r="T20" s="12">
        <v>39</v>
      </c>
      <c r="U20" s="12">
        <v>25</v>
      </c>
      <c r="V20" s="12">
        <v>22</v>
      </c>
      <c r="W20" s="12">
        <v>39</v>
      </c>
      <c r="X20" s="12">
        <v>15</v>
      </c>
      <c r="Y20" s="12">
        <v>45</v>
      </c>
      <c r="Z20" s="12">
        <v>52</v>
      </c>
      <c r="AA20" s="12">
        <v>39</v>
      </c>
      <c r="AB20" s="12">
        <v>34</v>
      </c>
      <c r="AC20" s="12">
        <v>33</v>
      </c>
      <c r="AD20" s="12">
        <v>27</v>
      </c>
      <c r="AE20" s="12">
        <v>27</v>
      </c>
      <c r="AF20" s="12">
        <v>9</v>
      </c>
      <c r="AG20" s="12">
        <v>38</v>
      </c>
      <c r="AH20" s="12">
        <v>26</v>
      </c>
      <c r="AI20" s="12">
        <v>90</v>
      </c>
      <c r="AJ20" s="12">
        <v>17</v>
      </c>
      <c r="AK20" s="12">
        <v>13</v>
      </c>
      <c r="AL20" s="12">
        <v>218</v>
      </c>
      <c r="AM20" s="12">
        <v>76</v>
      </c>
      <c r="AN20" s="12">
        <v>27</v>
      </c>
      <c r="AO20" s="12">
        <v>24</v>
      </c>
      <c r="AP20" s="12">
        <v>2</v>
      </c>
      <c r="AQ20" s="12">
        <v>78</v>
      </c>
    </row>
    <row r="21" spans="1:43" x14ac:dyDescent="0.35">
      <c r="A21" s="19"/>
      <c r="B21" s="13" t="s">
        <v>486</v>
      </c>
      <c r="C21" s="15">
        <v>0.04</v>
      </c>
      <c r="D21" s="15">
        <v>0.02</v>
      </c>
      <c r="E21" s="15">
        <v>0.09</v>
      </c>
      <c r="F21" s="15">
        <v>0.04</v>
      </c>
      <c r="G21" s="15">
        <v>0.01</v>
      </c>
      <c r="H21" s="15">
        <v>0.03</v>
      </c>
      <c r="I21" s="15">
        <v>0.03</v>
      </c>
      <c r="J21" s="15">
        <v>0.02</v>
      </c>
      <c r="K21" s="15">
        <v>7.0000000000000007E-2</v>
      </c>
      <c r="L21" s="15">
        <v>0.03</v>
      </c>
      <c r="M21" s="15">
        <v>0.02</v>
      </c>
      <c r="N21" s="15">
        <v>0.03</v>
      </c>
      <c r="O21" s="15">
        <v>0.05</v>
      </c>
      <c r="P21" s="15">
        <v>0.03</v>
      </c>
      <c r="Q21" s="15">
        <v>0.03</v>
      </c>
      <c r="R21" s="15">
        <v>0.09</v>
      </c>
      <c r="S21" s="15">
        <v>0.12</v>
      </c>
      <c r="T21" s="15">
        <v>0.04</v>
      </c>
      <c r="U21" s="15">
        <v>0.05</v>
      </c>
      <c r="V21" s="15">
        <v>0.02</v>
      </c>
      <c r="W21" s="15">
        <v>0.08</v>
      </c>
      <c r="X21" s="15">
        <v>0.01</v>
      </c>
      <c r="Y21" s="15">
        <v>0.05</v>
      </c>
      <c r="Z21" s="15">
        <v>0.05</v>
      </c>
      <c r="AA21" s="15">
        <v>0.04</v>
      </c>
      <c r="AB21" s="15">
        <v>0.03</v>
      </c>
      <c r="AC21" s="15">
        <v>0.03</v>
      </c>
      <c r="AD21" s="15">
        <v>0.03</v>
      </c>
      <c r="AE21" s="15">
        <v>0.03</v>
      </c>
      <c r="AF21" s="15">
        <v>0.01</v>
      </c>
      <c r="AG21" s="15">
        <v>0.03</v>
      </c>
      <c r="AH21" s="15">
        <v>0.03</v>
      </c>
      <c r="AI21" s="15">
        <v>0.17</v>
      </c>
      <c r="AJ21" s="15">
        <v>0.01</v>
      </c>
      <c r="AK21" s="15">
        <v>0.01</v>
      </c>
      <c r="AL21" s="15">
        <v>0.22</v>
      </c>
      <c r="AM21" s="15">
        <v>7.0000000000000007E-2</v>
      </c>
      <c r="AN21" s="15">
        <v>0.03</v>
      </c>
      <c r="AO21" s="15">
        <v>0.02</v>
      </c>
      <c r="AP21" s="14" t="s">
        <v>475</v>
      </c>
      <c r="AQ21" s="15">
        <v>0.08</v>
      </c>
    </row>
    <row r="22" spans="1:43" x14ac:dyDescent="0.35">
      <c r="A22" s="19"/>
      <c r="B22" s="11" t="s">
        <v>710</v>
      </c>
      <c r="C22" s="12">
        <v>9907</v>
      </c>
      <c r="D22" s="12">
        <v>306</v>
      </c>
      <c r="E22" s="12">
        <v>441</v>
      </c>
      <c r="F22" s="12">
        <v>545</v>
      </c>
      <c r="G22" s="12">
        <v>220</v>
      </c>
      <c r="H22" s="12">
        <v>227</v>
      </c>
      <c r="I22" s="12">
        <v>310</v>
      </c>
      <c r="J22" s="12">
        <v>83</v>
      </c>
      <c r="K22" s="12">
        <v>517</v>
      </c>
      <c r="L22" s="12">
        <v>281</v>
      </c>
      <c r="M22" s="12">
        <v>457</v>
      </c>
      <c r="N22" s="12">
        <v>279</v>
      </c>
      <c r="O22" s="12">
        <v>352</v>
      </c>
      <c r="P22" s="12">
        <v>478</v>
      </c>
      <c r="Q22" s="12">
        <v>447</v>
      </c>
      <c r="R22" s="12">
        <v>268</v>
      </c>
      <c r="S22" s="12">
        <v>550</v>
      </c>
      <c r="T22" s="12">
        <v>653</v>
      </c>
      <c r="U22" s="12">
        <v>94</v>
      </c>
      <c r="V22" s="12">
        <v>609</v>
      </c>
      <c r="W22" s="12">
        <v>204</v>
      </c>
      <c r="X22" s="12">
        <v>219</v>
      </c>
      <c r="Y22" s="12">
        <v>356</v>
      </c>
      <c r="Z22" s="12">
        <v>677</v>
      </c>
      <c r="AA22" s="12">
        <v>471</v>
      </c>
      <c r="AB22" s="12">
        <v>705</v>
      </c>
      <c r="AC22" s="12">
        <v>389</v>
      </c>
      <c r="AD22" s="12">
        <v>488</v>
      </c>
      <c r="AE22" s="12">
        <v>394</v>
      </c>
      <c r="AF22" s="12">
        <v>221</v>
      </c>
      <c r="AG22" s="12">
        <v>397</v>
      </c>
      <c r="AH22" s="12">
        <v>749</v>
      </c>
      <c r="AI22" s="12">
        <v>240</v>
      </c>
      <c r="AJ22" s="12">
        <v>338</v>
      </c>
      <c r="AK22" s="12">
        <v>861</v>
      </c>
      <c r="AL22" s="12">
        <v>558</v>
      </c>
      <c r="AM22" s="12">
        <v>380</v>
      </c>
      <c r="AN22" s="12">
        <v>362</v>
      </c>
      <c r="AO22" s="12">
        <v>942</v>
      </c>
      <c r="AP22" s="12">
        <v>240</v>
      </c>
      <c r="AQ22" s="12">
        <v>741</v>
      </c>
    </row>
    <row r="23" spans="1:43" x14ac:dyDescent="0.35">
      <c r="A23" s="19"/>
      <c r="B23" s="13" t="s">
        <v>710</v>
      </c>
      <c r="C23" s="15">
        <v>0.37</v>
      </c>
      <c r="D23" s="15">
        <v>0.3</v>
      </c>
      <c r="E23" s="15">
        <v>0.43</v>
      </c>
      <c r="F23" s="15">
        <v>0.5</v>
      </c>
      <c r="G23" s="15">
        <v>0.22</v>
      </c>
      <c r="H23" s="15">
        <v>0.18</v>
      </c>
      <c r="I23" s="15">
        <v>0.21</v>
      </c>
      <c r="J23" s="15">
        <v>0.28000000000000003</v>
      </c>
      <c r="K23" s="15">
        <v>0.52</v>
      </c>
      <c r="L23" s="15">
        <v>0.28000000000000003</v>
      </c>
      <c r="M23" s="15">
        <v>0.46</v>
      </c>
      <c r="N23" s="15">
        <v>0.28000000000000003</v>
      </c>
      <c r="O23" s="15">
        <v>0.35</v>
      </c>
      <c r="P23" s="15">
        <v>0.47</v>
      </c>
      <c r="Q23" s="15">
        <v>0.43</v>
      </c>
      <c r="R23" s="15">
        <v>0.53</v>
      </c>
      <c r="S23" s="15">
        <v>0.55000000000000004</v>
      </c>
      <c r="T23" s="15">
        <v>0.65</v>
      </c>
      <c r="U23" s="15">
        <v>0.18</v>
      </c>
      <c r="V23" s="15">
        <v>0.6</v>
      </c>
      <c r="W23" s="15">
        <v>0.4</v>
      </c>
      <c r="X23" s="15">
        <v>0.22</v>
      </c>
      <c r="Y23" s="15">
        <v>0.36</v>
      </c>
      <c r="Z23" s="15">
        <v>0.66</v>
      </c>
      <c r="AA23" s="15">
        <v>0.46</v>
      </c>
      <c r="AB23" s="15">
        <v>0.67</v>
      </c>
      <c r="AC23" s="15">
        <v>0.39</v>
      </c>
      <c r="AD23" s="15">
        <v>0.49</v>
      </c>
      <c r="AE23" s="15">
        <v>0.39</v>
      </c>
      <c r="AF23" s="15">
        <v>0.21</v>
      </c>
      <c r="AG23" s="15">
        <v>0.39</v>
      </c>
      <c r="AH23" s="15">
        <v>0.74</v>
      </c>
      <c r="AI23" s="15">
        <v>0.46</v>
      </c>
      <c r="AJ23" s="15">
        <v>0.33</v>
      </c>
      <c r="AK23" s="15">
        <v>0.86</v>
      </c>
      <c r="AL23" s="15">
        <v>0.55000000000000004</v>
      </c>
      <c r="AM23" s="15">
        <v>0.36</v>
      </c>
      <c r="AN23" s="15">
        <v>0.36</v>
      </c>
      <c r="AO23" s="15">
        <v>0.94000000000000006</v>
      </c>
      <c r="AP23" s="15">
        <v>0.46</v>
      </c>
      <c r="AQ23" s="15">
        <v>0.74</v>
      </c>
    </row>
    <row r="24" spans="1:43" x14ac:dyDescent="0.35">
      <c r="A24" s="19"/>
      <c r="B24" s="11" t="s">
        <v>1002</v>
      </c>
      <c r="C24" s="12">
        <v>15613</v>
      </c>
      <c r="D24" s="12">
        <v>688</v>
      </c>
      <c r="E24" s="12">
        <v>497</v>
      </c>
      <c r="F24" s="12">
        <v>513</v>
      </c>
      <c r="G24" s="12">
        <v>778</v>
      </c>
      <c r="H24" s="12">
        <v>957</v>
      </c>
      <c r="I24" s="12">
        <v>1163</v>
      </c>
      <c r="J24" s="12">
        <v>206</v>
      </c>
      <c r="K24" s="12">
        <v>415</v>
      </c>
      <c r="L24" s="12">
        <v>695</v>
      </c>
      <c r="M24" s="12">
        <v>531</v>
      </c>
      <c r="N24" s="12">
        <v>690</v>
      </c>
      <c r="O24" s="12">
        <v>596</v>
      </c>
      <c r="P24" s="12">
        <v>501</v>
      </c>
      <c r="Q24" s="12">
        <v>552</v>
      </c>
      <c r="R24" s="12">
        <v>191</v>
      </c>
      <c r="S24" s="12">
        <v>331</v>
      </c>
      <c r="T24" s="12">
        <v>314</v>
      </c>
      <c r="U24" s="12">
        <v>386</v>
      </c>
      <c r="V24" s="12">
        <v>384</v>
      </c>
      <c r="W24" s="12">
        <v>264</v>
      </c>
      <c r="X24" s="12">
        <v>775</v>
      </c>
      <c r="Y24" s="12">
        <v>602</v>
      </c>
      <c r="Z24" s="12">
        <v>301</v>
      </c>
      <c r="AA24" s="12">
        <v>523</v>
      </c>
      <c r="AB24" s="12">
        <v>313</v>
      </c>
      <c r="AC24" s="12">
        <v>581</v>
      </c>
      <c r="AD24" s="12">
        <v>490</v>
      </c>
      <c r="AE24" s="12">
        <v>591</v>
      </c>
      <c r="AF24" s="12">
        <v>813</v>
      </c>
      <c r="AG24" s="12">
        <v>599</v>
      </c>
      <c r="AH24" s="12">
        <v>237</v>
      </c>
      <c r="AI24" s="12">
        <v>192</v>
      </c>
      <c r="AJ24" s="12">
        <v>683</v>
      </c>
      <c r="AK24" s="12">
        <v>133</v>
      </c>
      <c r="AL24" s="12">
        <v>236</v>
      </c>
      <c r="AM24" s="12">
        <v>584</v>
      </c>
      <c r="AN24" s="12">
        <v>613</v>
      </c>
      <c r="AO24" s="12">
        <v>39</v>
      </c>
      <c r="AP24" s="12">
        <v>283</v>
      </c>
      <c r="AQ24" s="12">
        <v>184</v>
      </c>
    </row>
    <row r="25" spans="1:43" x14ac:dyDescent="0.35">
      <c r="A25" s="19"/>
      <c r="B25" s="13" t="s">
        <v>711</v>
      </c>
      <c r="C25" s="15">
        <v>0.59</v>
      </c>
      <c r="D25" s="15">
        <v>0.68</v>
      </c>
      <c r="E25" s="15">
        <v>0.48</v>
      </c>
      <c r="F25" s="15">
        <v>0.46</v>
      </c>
      <c r="G25" s="15">
        <v>0.77</v>
      </c>
      <c r="H25" s="15">
        <v>0.79</v>
      </c>
      <c r="I25" s="15">
        <v>0.76</v>
      </c>
      <c r="J25" s="15">
        <v>0.70000000000000007</v>
      </c>
      <c r="K25" s="15">
        <v>0.41</v>
      </c>
      <c r="L25" s="15">
        <v>0.69000000000000006</v>
      </c>
      <c r="M25" s="15">
        <v>0.52</v>
      </c>
      <c r="N25" s="15">
        <v>0.69000000000000006</v>
      </c>
      <c r="O25" s="15">
        <v>0.6</v>
      </c>
      <c r="P25" s="15">
        <v>0.5</v>
      </c>
      <c r="Q25" s="15">
        <v>0.54</v>
      </c>
      <c r="R25" s="15">
        <v>0.38</v>
      </c>
      <c r="S25" s="15">
        <v>0.33</v>
      </c>
      <c r="T25" s="15">
        <v>0.31</v>
      </c>
      <c r="U25" s="15">
        <v>0.77</v>
      </c>
      <c r="V25" s="15">
        <v>0.38</v>
      </c>
      <c r="W25" s="15">
        <v>0.52</v>
      </c>
      <c r="X25" s="15">
        <v>0.77</v>
      </c>
      <c r="Y25" s="15">
        <v>0.59</v>
      </c>
      <c r="Z25" s="15">
        <v>0.28999999999999998</v>
      </c>
      <c r="AA25" s="15">
        <v>0.5</v>
      </c>
      <c r="AB25" s="15">
        <v>0.3</v>
      </c>
      <c r="AC25" s="15">
        <v>0.57999999999999996</v>
      </c>
      <c r="AD25" s="15">
        <v>0.48</v>
      </c>
      <c r="AE25" s="15">
        <v>0.57999999999999996</v>
      </c>
      <c r="AF25" s="15">
        <v>0.78</v>
      </c>
      <c r="AG25" s="15">
        <v>0.57999999999999996</v>
      </c>
      <c r="AH25" s="15">
        <v>0.23</v>
      </c>
      <c r="AI25" s="15">
        <v>0.37</v>
      </c>
      <c r="AJ25" s="15">
        <v>0.66</v>
      </c>
      <c r="AK25" s="15">
        <v>0.13</v>
      </c>
      <c r="AL25" s="15">
        <v>0.23</v>
      </c>
      <c r="AM25" s="15">
        <v>0.57000000000000006</v>
      </c>
      <c r="AN25" s="15">
        <v>0.61</v>
      </c>
      <c r="AO25" s="15">
        <v>0.04</v>
      </c>
      <c r="AP25" s="15">
        <v>0.54</v>
      </c>
      <c r="AQ25" s="15">
        <v>0.18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1003</v>
      </c>
      <c r="C3" s="18"/>
      <c r="D3" s="18"/>
      <c r="E3" s="18"/>
      <c r="F3" s="18"/>
      <c r="H3" s="18" t="s">
        <v>1004</v>
      </c>
      <c r="I3" s="18"/>
      <c r="J3" s="18"/>
      <c r="K3" s="18"/>
      <c r="L3" s="18"/>
    </row>
    <row r="4" spans="1:43" ht="27" customHeight="1" x14ac:dyDescent="0.35">
      <c r="B4" s="18" t="s">
        <v>1005</v>
      </c>
      <c r="C4" s="18"/>
      <c r="D4" s="18"/>
      <c r="E4" s="18"/>
      <c r="F4" s="18"/>
      <c r="H4" s="18" t="s">
        <v>1006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HYPERLINK("#Content!A100","&lt;&lt;Back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994</v>
      </c>
      <c r="C12" s="12">
        <v>560</v>
      </c>
      <c r="D12" s="12">
        <v>31</v>
      </c>
      <c r="E12" s="12">
        <v>134</v>
      </c>
      <c r="F12" s="12">
        <v>19</v>
      </c>
      <c r="G12" s="12">
        <v>3</v>
      </c>
      <c r="H12" s="12">
        <v>11</v>
      </c>
      <c r="I12" s="12">
        <v>16</v>
      </c>
      <c r="J12" s="12">
        <v>5</v>
      </c>
      <c r="K12" s="12">
        <v>46</v>
      </c>
      <c r="L12" s="12">
        <v>9</v>
      </c>
      <c r="M12" s="12">
        <v>49</v>
      </c>
      <c r="N12" s="12">
        <v>5</v>
      </c>
      <c r="O12" s="12">
        <v>24</v>
      </c>
      <c r="P12" s="12">
        <v>13</v>
      </c>
      <c r="Q12" s="12">
        <v>34</v>
      </c>
      <c r="R12" s="12">
        <v>67</v>
      </c>
      <c r="S12" s="12">
        <v>35</v>
      </c>
      <c r="T12" s="12">
        <v>23</v>
      </c>
      <c r="U12" s="12">
        <v>11</v>
      </c>
      <c r="V12" s="12">
        <v>32</v>
      </c>
      <c r="W12" s="12">
        <v>9</v>
      </c>
      <c r="X12" s="12">
        <v>11</v>
      </c>
      <c r="Y12" s="12">
        <v>65</v>
      </c>
      <c r="Z12" s="12">
        <v>10</v>
      </c>
      <c r="AA12" s="12">
        <v>5</v>
      </c>
      <c r="AB12" s="12">
        <v>32</v>
      </c>
      <c r="AC12" s="12">
        <v>43</v>
      </c>
      <c r="AD12" s="12">
        <v>43</v>
      </c>
      <c r="AE12" s="12">
        <v>2</v>
      </c>
      <c r="AF12" s="12">
        <v>3</v>
      </c>
      <c r="AG12" s="12">
        <v>89</v>
      </c>
      <c r="AH12" s="12">
        <v>130</v>
      </c>
      <c r="AI12" s="12">
        <v>126</v>
      </c>
      <c r="AJ12" s="12">
        <v>351</v>
      </c>
      <c r="AK12" s="12">
        <v>10</v>
      </c>
      <c r="AL12" s="12">
        <v>185</v>
      </c>
      <c r="AM12" s="12">
        <v>18</v>
      </c>
      <c r="AN12" s="12">
        <v>202</v>
      </c>
      <c r="AO12" s="12">
        <v>39</v>
      </c>
      <c r="AP12" s="12">
        <v>87</v>
      </c>
      <c r="AQ12" s="12">
        <v>51</v>
      </c>
    </row>
    <row r="13" spans="1:43" x14ac:dyDescent="0.35">
      <c r="A13" s="19"/>
      <c r="B13" s="13" t="s">
        <v>995</v>
      </c>
      <c r="C13" s="15">
        <v>0.02</v>
      </c>
      <c r="D13" s="15">
        <v>0.03</v>
      </c>
      <c r="E13" s="15">
        <v>0.13</v>
      </c>
      <c r="F13" s="15">
        <v>0.01</v>
      </c>
      <c r="G13" s="14" t="s">
        <v>475</v>
      </c>
      <c r="H13" s="15">
        <v>0.01</v>
      </c>
      <c r="I13" s="15">
        <v>0.01</v>
      </c>
      <c r="J13" s="15">
        <v>0.02</v>
      </c>
      <c r="K13" s="15">
        <v>0.05</v>
      </c>
      <c r="L13" s="15">
        <v>0.01</v>
      </c>
      <c r="M13" s="15">
        <v>0.05</v>
      </c>
      <c r="N13" s="14" t="s">
        <v>475</v>
      </c>
      <c r="O13" s="15">
        <v>0.02</v>
      </c>
      <c r="P13" s="15">
        <v>0.01</v>
      </c>
      <c r="Q13" s="15">
        <v>0.03</v>
      </c>
      <c r="R13" s="15">
        <v>0.13</v>
      </c>
      <c r="S13" s="15">
        <v>0.03</v>
      </c>
      <c r="T13" s="15">
        <v>0.02</v>
      </c>
      <c r="U13" s="15">
        <v>0.02</v>
      </c>
      <c r="V13" s="15">
        <v>0.03</v>
      </c>
      <c r="W13" s="15">
        <v>0.02</v>
      </c>
      <c r="X13" s="15">
        <v>0.01</v>
      </c>
      <c r="Y13" s="15">
        <v>7.0000000000000007E-2</v>
      </c>
      <c r="Z13" s="15">
        <v>0.01</v>
      </c>
      <c r="AA13" s="14" t="s">
        <v>475</v>
      </c>
      <c r="AB13" s="15">
        <v>0.03</v>
      </c>
      <c r="AC13" s="15">
        <v>0.04</v>
      </c>
      <c r="AD13" s="15">
        <v>0.04</v>
      </c>
      <c r="AE13" s="14" t="s">
        <v>475</v>
      </c>
      <c r="AF13" s="14" t="s">
        <v>475</v>
      </c>
      <c r="AG13" s="15">
        <v>0.09</v>
      </c>
      <c r="AH13" s="15">
        <v>0.13</v>
      </c>
      <c r="AI13" s="15">
        <v>0.24</v>
      </c>
      <c r="AJ13" s="15">
        <v>0.34</v>
      </c>
      <c r="AK13" s="15">
        <v>0.01</v>
      </c>
      <c r="AL13" s="15">
        <v>0.18</v>
      </c>
      <c r="AM13" s="15">
        <v>0.02</v>
      </c>
      <c r="AN13" s="15">
        <v>0.2</v>
      </c>
      <c r="AO13" s="15">
        <v>0.04</v>
      </c>
      <c r="AP13" s="15">
        <v>0.17</v>
      </c>
      <c r="AQ13" s="15">
        <v>0.05</v>
      </c>
    </row>
    <row r="14" spans="1:43" x14ac:dyDescent="0.35">
      <c r="A14" s="19"/>
      <c r="B14" s="11" t="s">
        <v>996</v>
      </c>
      <c r="C14" s="12">
        <v>3353</v>
      </c>
      <c r="D14" s="12">
        <v>104</v>
      </c>
      <c r="E14" s="12">
        <v>330</v>
      </c>
      <c r="F14" s="12">
        <v>175</v>
      </c>
      <c r="G14" s="12">
        <v>21</v>
      </c>
      <c r="H14" s="12">
        <v>100</v>
      </c>
      <c r="I14" s="12">
        <v>141</v>
      </c>
      <c r="J14" s="12">
        <v>41</v>
      </c>
      <c r="K14" s="12">
        <v>179</v>
      </c>
      <c r="L14" s="12">
        <v>59</v>
      </c>
      <c r="M14" s="12">
        <v>396</v>
      </c>
      <c r="N14" s="12">
        <v>103</v>
      </c>
      <c r="O14" s="12">
        <v>110</v>
      </c>
      <c r="P14" s="12">
        <v>154</v>
      </c>
      <c r="Q14" s="12">
        <v>171</v>
      </c>
      <c r="R14" s="12">
        <v>194</v>
      </c>
      <c r="S14" s="12">
        <v>164</v>
      </c>
      <c r="T14" s="12">
        <v>82</v>
      </c>
      <c r="U14" s="12">
        <v>51</v>
      </c>
      <c r="V14" s="12">
        <v>296</v>
      </c>
      <c r="W14" s="12">
        <v>51</v>
      </c>
      <c r="X14" s="12">
        <v>73</v>
      </c>
      <c r="Y14" s="12">
        <v>163</v>
      </c>
      <c r="Z14" s="12">
        <v>108</v>
      </c>
      <c r="AA14" s="12">
        <v>37</v>
      </c>
      <c r="AB14" s="12">
        <v>195</v>
      </c>
      <c r="AC14" s="12">
        <v>209</v>
      </c>
      <c r="AD14" s="12">
        <v>213</v>
      </c>
      <c r="AE14" s="12">
        <v>24</v>
      </c>
      <c r="AF14" s="12">
        <v>34</v>
      </c>
      <c r="AG14" s="12">
        <v>292</v>
      </c>
      <c r="AH14" s="12">
        <v>370</v>
      </c>
      <c r="AI14" s="12">
        <v>212</v>
      </c>
      <c r="AJ14" s="12">
        <v>420</v>
      </c>
      <c r="AK14" s="12">
        <v>106</v>
      </c>
      <c r="AL14" s="12">
        <v>361</v>
      </c>
      <c r="AM14" s="12">
        <v>93</v>
      </c>
      <c r="AN14" s="12">
        <v>222</v>
      </c>
      <c r="AO14" s="12">
        <v>63</v>
      </c>
      <c r="AP14" s="12">
        <v>136</v>
      </c>
      <c r="AQ14" s="12">
        <v>219</v>
      </c>
    </row>
    <row r="15" spans="1:43" x14ac:dyDescent="0.35">
      <c r="A15" s="19"/>
      <c r="B15" s="13" t="s">
        <v>997</v>
      </c>
      <c r="C15" s="15">
        <v>0.13</v>
      </c>
      <c r="D15" s="15">
        <v>0.1</v>
      </c>
      <c r="E15" s="15">
        <v>0.32</v>
      </c>
      <c r="F15" s="15">
        <v>0.16</v>
      </c>
      <c r="G15" s="15">
        <v>0.02</v>
      </c>
      <c r="H15" s="15">
        <v>0.08</v>
      </c>
      <c r="I15" s="15">
        <v>0.09</v>
      </c>
      <c r="J15" s="15">
        <v>0.14000000000000001</v>
      </c>
      <c r="K15" s="15">
        <v>0.18</v>
      </c>
      <c r="L15" s="15">
        <v>0.06</v>
      </c>
      <c r="M15" s="15">
        <v>0.39</v>
      </c>
      <c r="N15" s="15">
        <v>0.1</v>
      </c>
      <c r="O15" s="15">
        <v>0.11</v>
      </c>
      <c r="P15" s="15">
        <v>0.16</v>
      </c>
      <c r="Q15" s="15">
        <v>0.17</v>
      </c>
      <c r="R15" s="15">
        <v>0.39</v>
      </c>
      <c r="S15" s="15">
        <v>0.16</v>
      </c>
      <c r="T15" s="15">
        <v>0.08</v>
      </c>
      <c r="U15" s="15">
        <v>0.1</v>
      </c>
      <c r="V15" s="15">
        <v>0.28999999999999998</v>
      </c>
      <c r="W15" s="15">
        <v>0.1</v>
      </c>
      <c r="X15" s="15">
        <v>7.0000000000000007E-2</v>
      </c>
      <c r="Y15" s="15">
        <v>0.16</v>
      </c>
      <c r="Z15" s="15">
        <v>0.1</v>
      </c>
      <c r="AA15" s="15">
        <v>0.04</v>
      </c>
      <c r="AB15" s="15">
        <v>0.19</v>
      </c>
      <c r="AC15" s="15">
        <v>0.21</v>
      </c>
      <c r="AD15" s="15">
        <v>0.21</v>
      </c>
      <c r="AE15" s="15">
        <v>0.02</v>
      </c>
      <c r="AF15" s="15">
        <v>0.03</v>
      </c>
      <c r="AG15" s="15">
        <v>0.28000000000000003</v>
      </c>
      <c r="AH15" s="15">
        <v>0.37</v>
      </c>
      <c r="AI15" s="15">
        <v>0.4</v>
      </c>
      <c r="AJ15" s="15">
        <v>0.4</v>
      </c>
      <c r="AK15" s="15">
        <v>0.11</v>
      </c>
      <c r="AL15" s="15">
        <v>0.36</v>
      </c>
      <c r="AM15" s="15">
        <v>0.09</v>
      </c>
      <c r="AN15" s="15">
        <v>0.22</v>
      </c>
      <c r="AO15" s="15">
        <v>0.06</v>
      </c>
      <c r="AP15" s="15">
        <v>0.26</v>
      </c>
      <c r="AQ15" s="15">
        <v>0.22</v>
      </c>
    </row>
    <row r="16" spans="1:43" x14ac:dyDescent="0.35">
      <c r="A16" s="19"/>
      <c r="B16" s="11" t="s">
        <v>998</v>
      </c>
      <c r="C16" s="12">
        <v>9042</v>
      </c>
      <c r="D16" s="12">
        <v>333</v>
      </c>
      <c r="E16" s="12">
        <v>316</v>
      </c>
      <c r="F16" s="12">
        <v>384</v>
      </c>
      <c r="G16" s="12">
        <v>190</v>
      </c>
      <c r="H16" s="12">
        <v>395</v>
      </c>
      <c r="I16" s="12">
        <v>519</v>
      </c>
      <c r="J16" s="12">
        <v>124</v>
      </c>
      <c r="K16" s="12">
        <v>217</v>
      </c>
      <c r="L16" s="12">
        <v>256</v>
      </c>
      <c r="M16" s="12">
        <v>387</v>
      </c>
      <c r="N16" s="12">
        <v>397</v>
      </c>
      <c r="O16" s="12">
        <v>423</v>
      </c>
      <c r="P16" s="12">
        <v>382</v>
      </c>
      <c r="Q16" s="12">
        <v>431</v>
      </c>
      <c r="R16" s="12">
        <v>143</v>
      </c>
      <c r="S16" s="12">
        <v>261</v>
      </c>
      <c r="T16" s="12">
        <v>185</v>
      </c>
      <c r="U16" s="12">
        <v>205</v>
      </c>
      <c r="V16" s="12">
        <v>382</v>
      </c>
      <c r="W16" s="12">
        <v>191</v>
      </c>
      <c r="X16" s="12">
        <v>231</v>
      </c>
      <c r="Y16" s="12">
        <v>229</v>
      </c>
      <c r="Z16" s="12">
        <v>190</v>
      </c>
      <c r="AA16" s="12">
        <v>250</v>
      </c>
      <c r="AB16" s="12">
        <v>402</v>
      </c>
      <c r="AC16" s="12">
        <v>390</v>
      </c>
      <c r="AD16" s="12">
        <v>360</v>
      </c>
      <c r="AE16" s="12">
        <v>219</v>
      </c>
      <c r="AF16" s="12">
        <v>188</v>
      </c>
      <c r="AG16" s="12">
        <v>344</v>
      </c>
      <c r="AH16" s="12">
        <v>254</v>
      </c>
      <c r="AI16" s="12">
        <v>67</v>
      </c>
      <c r="AJ16" s="12">
        <v>173</v>
      </c>
      <c r="AK16" s="12">
        <v>392</v>
      </c>
      <c r="AL16" s="12">
        <v>183</v>
      </c>
      <c r="AM16" s="12">
        <v>319</v>
      </c>
      <c r="AN16" s="12">
        <v>337</v>
      </c>
      <c r="AO16" s="12">
        <v>106</v>
      </c>
      <c r="AP16" s="12">
        <v>179</v>
      </c>
      <c r="AQ16" s="12">
        <v>198</v>
      </c>
    </row>
    <row r="17" spans="1:43" x14ac:dyDescent="0.35">
      <c r="A17" s="19"/>
      <c r="B17" s="13" t="s">
        <v>999</v>
      </c>
      <c r="C17" s="15">
        <v>0.34</v>
      </c>
      <c r="D17" s="15">
        <v>0.33</v>
      </c>
      <c r="E17" s="15">
        <v>0.31</v>
      </c>
      <c r="F17" s="15">
        <v>0.35</v>
      </c>
      <c r="G17" s="15">
        <v>0.19</v>
      </c>
      <c r="H17" s="15">
        <v>0.32</v>
      </c>
      <c r="I17" s="15">
        <v>0.34</v>
      </c>
      <c r="J17" s="15">
        <v>0.42</v>
      </c>
      <c r="K17" s="15">
        <v>0.22</v>
      </c>
      <c r="L17" s="15">
        <v>0.25</v>
      </c>
      <c r="M17" s="15">
        <v>0.39</v>
      </c>
      <c r="N17" s="15">
        <v>0.4</v>
      </c>
      <c r="O17" s="15">
        <v>0.42</v>
      </c>
      <c r="P17" s="15">
        <v>0.38</v>
      </c>
      <c r="Q17" s="15">
        <v>0.42</v>
      </c>
      <c r="R17" s="15">
        <v>0.28000000000000003</v>
      </c>
      <c r="S17" s="15">
        <v>0.26</v>
      </c>
      <c r="T17" s="15">
        <v>0.18</v>
      </c>
      <c r="U17" s="15">
        <v>0.41</v>
      </c>
      <c r="V17" s="15">
        <v>0.38</v>
      </c>
      <c r="W17" s="15">
        <v>0.38</v>
      </c>
      <c r="X17" s="15">
        <v>0.23</v>
      </c>
      <c r="Y17" s="15">
        <v>0.23</v>
      </c>
      <c r="Z17" s="15">
        <v>0.18</v>
      </c>
      <c r="AA17" s="15">
        <v>0.24</v>
      </c>
      <c r="AB17" s="15">
        <v>0.38</v>
      </c>
      <c r="AC17" s="15">
        <v>0.39</v>
      </c>
      <c r="AD17" s="15">
        <v>0.36</v>
      </c>
      <c r="AE17" s="15">
        <v>0.22</v>
      </c>
      <c r="AF17" s="15">
        <v>0.18</v>
      </c>
      <c r="AG17" s="15">
        <v>0.33</v>
      </c>
      <c r="AH17" s="15">
        <v>0.25</v>
      </c>
      <c r="AI17" s="15">
        <v>0.13</v>
      </c>
      <c r="AJ17" s="15">
        <v>0.17</v>
      </c>
      <c r="AK17" s="15">
        <v>0.39</v>
      </c>
      <c r="AL17" s="15">
        <v>0.18</v>
      </c>
      <c r="AM17" s="15">
        <v>0.31</v>
      </c>
      <c r="AN17" s="15">
        <v>0.34</v>
      </c>
      <c r="AO17" s="15">
        <v>0.11</v>
      </c>
      <c r="AP17" s="15">
        <v>0.34</v>
      </c>
      <c r="AQ17" s="15">
        <v>0.2</v>
      </c>
    </row>
    <row r="18" spans="1:43" x14ac:dyDescent="0.35">
      <c r="A18" s="19"/>
      <c r="B18" s="11" t="s">
        <v>1000</v>
      </c>
      <c r="C18" s="12">
        <v>12671</v>
      </c>
      <c r="D18" s="12">
        <v>525</v>
      </c>
      <c r="E18" s="12">
        <v>150</v>
      </c>
      <c r="F18" s="12">
        <v>495</v>
      </c>
      <c r="G18" s="12">
        <v>787</v>
      </c>
      <c r="H18" s="12">
        <v>680</v>
      </c>
      <c r="I18" s="12">
        <v>799</v>
      </c>
      <c r="J18" s="12">
        <v>119</v>
      </c>
      <c r="K18" s="12">
        <v>526</v>
      </c>
      <c r="L18" s="12">
        <v>648</v>
      </c>
      <c r="M18" s="12">
        <v>154</v>
      </c>
      <c r="N18" s="12">
        <v>463</v>
      </c>
      <c r="O18" s="12">
        <v>387</v>
      </c>
      <c r="P18" s="12">
        <v>441</v>
      </c>
      <c r="Q18" s="12">
        <v>363</v>
      </c>
      <c r="R18" s="12">
        <v>69</v>
      </c>
      <c r="S18" s="12">
        <v>476</v>
      </c>
      <c r="T18" s="12">
        <v>689</v>
      </c>
      <c r="U18" s="12">
        <v>211</v>
      </c>
      <c r="V18" s="12">
        <v>274</v>
      </c>
      <c r="W18" s="12">
        <v>225</v>
      </c>
      <c r="X18" s="12">
        <v>678</v>
      </c>
      <c r="Y18" s="12">
        <v>525</v>
      </c>
      <c r="Z18" s="12">
        <v>717</v>
      </c>
      <c r="AA18" s="12">
        <v>715</v>
      </c>
      <c r="AB18" s="12">
        <v>382</v>
      </c>
      <c r="AC18" s="12">
        <v>329</v>
      </c>
      <c r="AD18" s="12">
        <v>366</v>
      </c>
      <c r="AE18" s="12">
        <v>749</v>
      </c>
      <c r="AF18" s="12">
        <v>810</v>
      </c>
      <c r="AG18" s="12">
        <v>280</v>
      </c>
      <c r="AH18" s="12">
        <v>224</v>
      </c>
      <c r="AI18" s="12">
        <v>30</v>
      </c>
      <c r="AJ18" s="12">
        <v>83</v>
      </c>
      <c r="AK18" s="12">
        <v>458</v>
      </c>
      <c r="AL18" s="12">
        <v>174</v>
      </c>
      <c r="AM18" s="12">
        <v>531</v>
      </c>
      <c r="AN18" s="12">
        <v>223</v>
      </c>
      <c r="AO18" s="12">
        <v>756</v>
      </c>
      <c r="AP18" s="12">
        <v>119</v>
      </c>
      <c r="AQ18" s="12">
        <v>479</v>
      </c>
    </row>
    <row r="19" spans="1:43" x14ac:dyDescent="0.35">
      <c r="A19" s="19"/>
      <c r="B19" s="13" t="s">
        <v>1001</v>
      </c>
      <c r="C19" s="15">
        <v>0.48</v>
      </c>
      <c r="D19" s="15">
        <v>0.52</v>
      </c>
      <c r="E19" s="15">
        <v>0.14000000000000001</v>
      </c>
      <c r="F19" s="15">
        <v>0.45</v>
      </c>
      <c r="G19" s="15">
        <v>0.78</v>
      </c>
      <c r="H19" s="15">
        <v>0.56000000000000005</v>
      </c>
      <c r="I19" s="15">
        <v>0.53</v>
      </c>
      <c r="J19" s="15">
        <v>0.4</v>
      </c>
      <c r="K19" s="15">
        <v>0.52</v>
      </c>
      <c r="L19" s="15">
        <v>0.65</v>
      </c>
      <c r="M19" s="15">
        <v>0.15</v>
      </c>
      <c r="N19" s="15">
        <v>0.46</v>
      </c>
      <c r="O19" s="15">
        <v>0.39</v>
      </c>
      <c r="P19" s="15">
        <v>0.44</v>
      </c>
      <c r="Q19" s="15">
        <v>0.35</v>
      </c>
      <c r="R19" s="15">
        <v>0.14000000000000001</v>
      </c>
      <c r="S19" s="15">
        <v>0.48</v>
      </c>
      <c r="T19" s="15">
        <v>0.69000000000000006</v>
      </c>
      <c r="U19" s="15">
        <v>0.42</v>
      </c>
      <c r="V19" s="15">
        <v>0.27</v>
      </c>
      <c r="W19" s="15">
        <v>0.44</v>
      </c>
      <c r="X19" s="15">
        <v>0.67</v>
      </c>
      <c r="Y19" s="15">
        <v>0.52</v>
      </c>
      <c r="Z19" s="15">
        <v>0.70000000000000007</v>
      </c>
      <c r="AA19" s="15">
        <v>0.69000000000000006</v>
      </c>
      <c r="AB19" s="15">
        <v>0.36</v>
      </c>
      <c r="AC19" s="15">
        <v>0.33</v>
      </c>
      <c r="AD19" s="15">
        <v>0.37</v>
      </c>
      <c r="AE19" s="15">
        <v>0.74</v>
      </c>
      <c r="AF19" s="15">
        <v>0.78</v>
      </c>
      <c r="AG19" s="15">
        <v>0.27</v>
      </c>
      <c r="AH19" s="15">
        <v>0.22</v>
      </c>
      <c r="AI19" s="15">
        <v>0.06</v>
      </c>
      <c r="AJ19" s="15">
        <v>0.08</v>
      </c>
      <c r="AK19" s="15">
        <v>0.45</v>
      </c>
      <c r="AL19" s="15">
        <v>0.17</v>
      </c>
      <c r="AM19" s="15">
        <v>0.51</v>
      </c>
      <c r="AN19" s="15">
        <v>0.22</v>
      </c>
      <c r="AO19" s="15">
        <v>0.75</v>
      </c>
      <c r="AP19" s="15">
        <v>0.23</v>
      </c>
      <c r="AQ19" s="15">
        <v>0.48</v>
      </c>
    </row>
    <row r="20" spans="1:43" x14ac:dyDescent="0.35">
      <c r="A20" s="19"/>
      <c r="B20" s="11" t="s">
        <v>485</v>
      </c>
      <c r="C20" s="12">
        <v>819</v>
      </c>
      <c r="D20" s="12">
        <v>21</v>
      </c>
      <c r="E20" s="12">
        <v>100</v>
      </c>
      <c r="F20" s="12">
        <v>30</v>
      </c>
      <c r="G20" s="12">
        <v>5</v>
      </c>
      <c r="H20" s="12">
        <v>35</v>
      </c>
      <c r="I20" s="12">
        <v>41</v>
      </c>
      <c r="J20" s="12">
        <v>6</v>
      </c>
      <c r="K20" s="12">
        <v>34</v>
      </c>
      <c r="L20" s="12">
        <v>31</v>
      </c>
      <c r="M20" s="12">
        <v>23</v>
      </c>
      <c r="N20" s="12">
        <v>36</v>
      </c>
      <c r="O20" s="12">
        <v>58</v>
      </c>
      <c r="P20" s="12">
        <v>14</v>
      </c>
      <c r="Q20" s="12">
        <v>28</v>
      </c>
      <c r="R20" s="12">
        <v>32</v>
      </c>
      <c r="S20" s="12">
        <v>66</v>
      </c>
      <c r="T20" s="12">
        <v>27</v>
      </c>
      <c r="U20" s="12">
        <v>25</v>
      </c>
      <c r="V20" s="12">
        <v>31</v>
      </c>
      <c r="W20" s="12">
        <v>32</v>
      </c>
      <c r="X20" s="12">
        <v>16</v>
      </c>
      <c r="Y20" s="12">
        <v>21</v>
      </c>
      <c r="Z20" s="12">
        <v>6</v>
      </c>
      <c r="AA20" s="12">
        <v>26</v>
      </c>
      <c r="AB20" s="12">
        <v>40</v>
      </c>
      <c r="AC20" s="12">
        <v>33</v>
      </c>
      <c r="AD20" s="12">
        <v>23</v>
      </c>
      <c r="AE20" s="12">
        <v>16</v>
      </c>
      <c r="AF20" s="12">
        <v>8</v>
      </c>
      <c r="AG20" s="12">
        <v>30</v>
      </c>
      <c r="AH20" s="12">
        <v>35</v>
      </c>
      <c r="AI20" s="12">
        <v>87</v>
      </c>
      <c r="AJ20" s="12">
        <v>10</v>
      </c>
      <c r="AK20" s="12">
        <v>41</v>
      </c>
      <c r="AL20" s="12">
        <v>110</v>
      </c>
      <c r="AM20" s="12">
        <v>79</v>
      </c>
      <c r="AN20" s="12">
        <v>18</v>
      </c>
      <c r="AO20" s="12">
        <v>41</v>
      </c>
      <c r="AP20" s="12">
        <v>3</v>
      </c>
      <c r="AQ20" s="12">
        <v>54</v>
      </c>
    </row>
    <row r="21" spans="1:43" x14ac:dyDescent="0.35">
      <c r="A21" s="19"/>
      <c r="B21" s="13" t="s">
        <v>486</v>
      </c>
      <c r="C21" s="15">
        <v>0.03</v>
      </c>
      <c r="D21" s="15">
        <v>0.02</v>
      </c>
      <c r="E21" s="15">
        <v>0.1</v>
      </c>
      <c r="F21" s="15">
        <v>0.03</v>
      </c>
      <c r="G21" s="15">
        <v>0.01</v>
      </c>
      <c r="H21" s="15">
        <v>0.03</v>
      </c>
      <c r="I21" s="15">
        <v>0.03</v>
      </c>
      <c r="J21" s="15">
        <v>0.02</v>
      </c>
      <c r="K21" s="15">
        <v>0.03</v>
      </c>
      <c r="L21" s="15">
        <v>0.03</v>
      </c>
      <c r="M21" s="15">
        <v>0.02</v>
      </c>
      <c r="N21" s="15">
        <v>0.04</v>
      </c>
      <c r="O21" s="15">
        <v>0.06</v>
      </c>
      <c r="P21" s="15">
        <v>0.01</v>
      </c>
      <c r="Q21" s="15">
        <v>0.03</v>
      </c>
      <c r="R21" s="15">
        <v>0.06</v>
      </c>
      <c r="S21" s="15">
        <v>7.0000000000000007E-2</v>
      </c>
      <c r="T21" s="15">
        <v>0.03</v>
      </c>
      <c r="U21" s="15">
        <v>0.05</v>
      </c>
      <c r="V21" s="15">
        <v>0.03</v>
      </c>
      <c r="W21" s="15">
        <v>0.06</v>
      </c>
      <c r="X21" s="15">
        <v>0.02</v>
      </c>
      <c r="Y21" s="15">
        <v>0.02</v>
      </c>
      <c r="Z21" s="15">
        <v>0.01</v>
      </c>
      <c r="AA21" s="15">
        <v>0.03</v>
      </c>
      <c r="AB21" s="15">
        <v>0.04</v>
      </c>
      <c r="AC21" s="15">
        <v>0.03</v>
      </c>
      <c r="AD21" s="15">
        <v>0.02</v>
      </c>
      <c r="AE21" s="15">
        <v>0.02</v>
      </c>
      <c r="AF21" s="15">
        <v>0.01</v>
      </c>
      <c r="AG21" s="15">
        <v>0.03</v>
      </c>
      <c r="AH21" s="15">
        <v>0.03</v>
      </c>
      <c r="AI21" s="15">
        <v>0.17</v>
      </c>
      <c r="AJ21" s="15">
        <v>0.01</v>
      </c>
      <c r="AK21" s="15">
        <v>0.04</v>
      </c>
      <c r="AL21" s="15">
        <v>0.11</v>
      </c>
      <c r="AM21" s="15">
        <v>7.0000000000000007E-2</v>
      </c>
      <c r="AN21" s="15">
        <v>0.02</v>
      </c>
      <c r="AO21" s="15">
        <v>0.04</v>
      </c>
      <c r="AP21" s="14" t="s">
        <v>475</v>
      </c>
      <c r="AQ21" s="15">
        <v>0.05</v>
      </c>
    </row>
    <row r="22" spans="1:43" x14ac:dyDescent="0.35">
      <c r="A22" s="19"/>
      <c r="B22" s="11" t="s">
        <v>710</v>
      </c>
      <c r="C22" s="12">
        <v>3913</v>
      </c>
      <c r="D22" s="12">
        <v>135</v>
      </c>
      <c r="E22" s="12">
        <v>464</v>
      </c>
      <c r="F22" s="12">
        <v>194</v>
      </c>
      <c r="G22" s="12">
        <v>24</v>
      </c>
      <c r="H22" s="12">
        <v>111</v>
      </c>
      <c r="I22" s="12">
        <v>157</v>
      </c>
      <c r="J22" s="12">
        <v>46</v>
      </c>
      <c r="K22" s="12">
        <v>225</v>
      </c>
      <c r="L22" s="12">
        <v>68</v>
      </c>
      <c r="M22" s="12">
        <v>445</v>
      </c>
      <c r="N22" s="12">
        <v>108</v>
      </c>
      <c r="O22" s="12">
        <v>134</v>
      </c>
      <c r="P22" s="12">
        <v>167</v>
      </c>
      <c r="Q22" s="12">
        <v>205</v>
      </c>
      <c r="R22" s="12">
        <v>261</v>
      </c>
      <c r="S22" s="12">
        <v>199</v>
      </c>
      <c r="T22" s="12">
        <v>105</v>
      </c>
      <c r="U22" s="12">
        <v>62</v>
      </c>
      <c r="V22" s="12">
        <v>328</v>
      </c>
      <c r="W22" s="12">
        <v>60</v>
      </c>
      <c r="X22" s="12">
        <v>84</v>
      </c>
      <c r="Y22" s="12">
        <v>228</v>
      </c>
      <c r="Z22" s="12">
        <v>118</v>
      </c>
      <c r="AA22" s="12">
        <v>42</v>
      </c>
      <c r="AB22" s="12">
        <v>227</v>
      </c>
      <c r="AC22" s="12">
        <v>252</v>
      </c>
      <c r="AD22" s="12">
        <v>256</v>
      </c>
      <c r="AE22" s="12">
        <v>26</v>
      </c>
      <c r="AF22" s="12">
        <v>37</v>
      </c>
      <c r="AG22" s="12">
        <v>381</v>
      </c>
      <c r="AH22" s="12">
        <v>500</v>
      </c>
      <c r="AI22" s="12">
        <v>338</v>
      </c>
      <c r="AJ22" s="12">
        <v>771</v>
      </c>
      <c r="AK22" s="12">
        <v>116</v>
      </c>
      <c r="AL22" s="12">
        <v>546</v>
      </c>
      <c r="AM22" s="12">
        <v>111</v>
      </c>
      <c r="AN22" s="12">
        <v>424</v>
      </c>
      <c r="AO22" s="12">
        <v>102</v>
      </c>
      <c r="AP22" s="12">
        <v>223</v>
      </c>
      <c r="AQ22" s="12">
        <v>270</v>
      </c>
    </row>
    <row r="23" spans="1:43" x14ac:dyDescent="0.35">
      <c r="A23" s="19"/>
      <c r="B23" s="13" t="s">
        <v>710</v>
      </c>
      <c r="C23" s="15">
        <v>0.15</v>
      </c>
      <c r="D23" s="15">
        <v>0.13</v>
      </c>
      <c r="E23" s="15">
        <v>0.45</v>
      </c>
      <c r="F23" s="15">
        <v>0.17</v>
      </c>
      <c r="G23" s="15">
        <v>0.02</v>
      </c>
      <c r="H23" s="15">
        <v>0.09</v>
      </c>
      <c r="I23" s="15">
        <v>0.1</v>
      </c>
      <c r="J23" s="15">
        <v>0.16</v>
      </c>
      <c r="K23" s="15">
        <v>0.23</v>
      </c>
      <c r="L23" s="15">
        <v>7.0000000000000007E-2</v>
      </c>
      <c r="M23" s="15">
        <v>0.44</v>
      </c>
      <c r="N23" s="15">
        <v>0.1</v>
      </c>
      <c r="O23" s="15">
        <v>0.13</v>
      </c>
      <c r="P23" s="15">
        <v>0.17</v>
      </c>
      <c r="Q23" s="15">
        <v>0.2</v>
      </c>
      <c r="R23" s="15">
        <v>0.52</v>
      </c>
      <c r="S23" s="15">
        <v>0.19</v>
      </c>
      <c r="T23" s="15">
        <v>0.1</v>
      </c>
      <c r="U23" s="15">
        <v>0.12</v>
      </c>
      <c r="V23" s="15">
        <v>0.32</v>
      </c>
      <c r="W23" s="15">
        <v>0.12</v>
      </c>
      <c r="X23" s="15">
        <v>0.08</v>
      </c>
      <c r="Y23" s="15">
        <v>0.23</v>
      </c>
      <c r="Z23" s="15">
        <v>0.11</v>
      </c>
      <c r="AA23" s="15">
        <v>0.04</v>
      </c>
      <c r="AB23" s="15">
        <v>0.22</v>
      </c>
      <c r="AC23" s="15">
        <v>0.25</v>
      </c>
      <c r="AD23" s="15">
        <v>0.25</v>
      </c>
      <c r="AE23" s="15">
        <v>0.02</v>
      </c>
      <c r="AF23" s="15">
        <v>0.03</v>
      </c>
      <c r="AG23" s="15">
        <v>0.37</v>
      </c>
      <c r="AH23" s="15">
        <v>0.5</v>
      </c>
      <c r="AI23" s="15">
        <v>0.64</v>
      </c>
      <c r="AJ23" s="15">
        <v>0.74</v>
      </c>
      <c r="AK23" s="15">
        <v>0.12</v>
      </c>
      <c r="AL23" s="15">
        <v>0.54</v>
      </c>
      <c r="AM23" s="15">
        <v>0.11</v>
      </c>
      <c r="AN23" s="15">
        <v>0.42</v>
      </c>
      <c r="AO23" s="15">
        <v>0.1</v>
      </c>
      <c r="AP23" s="15">
        <v>0.43</v>
      </c>
      <c r="AQ23" s="15">
        <v>0.27</v>
      </c>
    </row>
    <row r="24" spans="1:43" x14ac:dyDescent="0.35">
      <c r="A24" s="19"/>
      <c r="B24" s="11" t="s">
        <v>1002</v>
      </c>
      <c r="C24" s="12">
        <v>21713</v>
      </c>
      <c r="D24" s="12">
        <v>858</v>
      </c>
      <c r="E24" s="12">
        <v>466</v>
      </c>
      <c r="F24" s="12">
        <v>879</v>
      </c>
      <c r="G24" s="12">
        <v>977</v>
      </c>
      <c r="H24" s="12">
        <v>1075</v>
      </c>
      <c r="I24" s="12">
        <v>1318</v>
      </c>
      <c r="J24" s="12">
        <v>243</v>
      </c>
      <c r="K24" s="12">
        <v>743</v>
      </c>
      <c r="L24" s="12">
        <v>904</v>
      </c>
      <c r="M24" s="12">
        <v>541</v>
      </c>
      <c r="N24" s="12">
        <v>860</v>
      </c>
      <c r="O24" s="12">
        <v>810</v>
      </c>
      <c r="P24" s="12">
        <v>823</v>
      </c>
      <c r="Q24" s="12">
        <v>794</v>
      </c>
      <c r="R24" s="12">
        <v>212</v>
      </c>
      <c r="S24" s="12">
        <v>737</v>
      </c>
      <c r="T24" s="12">
        <v>874</v>
      </c>
      <c r="U24" s="12">
        <v>416</v>
      </c>
      <c r="V24" s="12">
        <v>656</v>
      </c>
      <c r="W24" s="12">
        <v>416</v>
      </c>
      <c r="X24" s="12">
        <v>909</v>
      </c>
      <c r="Y24" s="12">
        <v>754</v>
      </c>
      <c r="Z24" s="12">
        <v>907</v>
      </c>
      <c r="AA24" s="12">
        <v>965</v>
      </c>
      <c r="AB24" s="12">
        <v>784</v>
      </c>
      <c r="AC24" s="12">
        <v>719</v>
      </c>
      <c r="AD24" s="12">
        <v>726</v>
      </c>
      <c r="AE24" s="12">
        <v>968</v>
      </c>
      <c r="AF24" s="12">
        <v>998</v>
      </c>
      <c r="AG24" s="12">
        <v>624</v>
      </c>
      <c r="AH24" s="12">
        <v>478</v>
      </c>
      <c r="AI24" s="12">
        <v>97</v>
      </c>
      <c r="AJ24" s="12">
        <v>256</v>
      </c>
      <c r="AK24" s="12">
        <v>850</v>
      </c>
      <c r="AL24" s="12">
        <v>357</v>
      </c>
      <c r="AM24" s="12">
        <v>850</v>
      </c>
      <c r="AN24" s="12">
        <v>560</v>
      </c>
      <c r="AO24" s="12">
        <v>862</v>
      </c>
      <c r="AP24" s="12">
        <v>298</v>
      </c>
      <c r="AQ24" s="12">
        <v>677</v>
      </c>
    </row>
    <row r="25" spans="1:43" x14ac:dyDescent="0.35">
      <c r="A25" s="19"/>
      <c r="B25" s="13" t="s">
        <v>711</v>
      </c>
      <c r="C25" s="15">
        <v>0.82000000000000006</v>
      </c>
      <c r="D25" s="15">
        <v>0.85</v>
      </c>
      <c r="E25" s="15">
        <v>0.45</v>
      </c>
      <c r="F25" s="15">
        <v>0.8</v>
      </c>
      <c r="G25" s="15">
        <v>0.97</v>
      </c>
      <c r="H25" s="15">
        <v>0.88</v>
      </c>
      <c r="I25" s="15">
        <v>0.87</v>
      </c>
      <c r="J25" s="15">
        <v>0.82000000000000006</v>
      </c>
      <c r="K25" s="15">
        <v>0.74</v>
      </c>
      <c r="L25" s="15">
        <v>0.9</v>
      </c>
      <c r="M25" s="15">
        <v>0.54</v>
      </c>
      <c r="N25" s="15">
        <v>0.86</v>
      </c>
      <c r="O25" s="15">
        <v>0.81</v>
      </c>
      <c r="P25" s="15">
        <v>0.82000000000000006</v>
      </c>
      <c r="Q25" s="15">
        <v>0.77</v>
      </c>
      <c r="R25" s="15">
        <v>0.42</v>
      </c>
      <c r="S25" s="15">
        <v>0.74</v>
      </c>
      <c r="T25" s="15">
        <v>0.87</v>
      </c>
      <c r="U25" s="15">
        <v>0.83000000000000007</v>
      </c>
      <c r="V25" s="15">
        <v>0.65</v>
      </c>
      <c r="W25" s="15">
        <v>0.82000000000000006</v>
      </c>
      <c r="X25" s="15">
        <v>0.9</v>
      </c>
      <c r="Y25" s="15">
        <v>0.75</v>
      </c>
      <c r="Z25" s="15">
        <v>0.88</v>
      </c>
      <c r="AA25" s="15">
        <v>0.93</v>
      </c>
      <c r="AB25" s="15">
        <v>0.74</v>
      </c>
      <c r="AC25" s="15">
        <v>0.72</v>
      </c>
      <c r="AD25" s="15">
        <v>0.73</v>
      </c>
      <c r="AE25" s="15">
        <v>0.96</v>
      </c>
      <c r="AF25" s="15">
        <v>0.96</v>
      </c>
      <c r="AG25" s="15">
        <v>0.6</v>
      </c>
      <c r="AH25" s="15">
        <v>0.47</v>
      </c>
      <c r="AI25" s="15">
        <v>0.19</v>
      </c>
      <c r="AJ25" s="15">
        <v>0.25</v>
      </c>
      <c r="AK25" s="15">
        <v>0.84</v>
      </c>
      <c r="AL25" s="15">
        <v>0.35</v>
      </c>
      <c r="AM25" s="15">
        <v>0.82000000000000006</v>
      </c>
      <c r="AN25" s="15">
        <v>0.56000000000000005</v>
      </c>
      <c r="AO25" s="15">
        <v>0.86</v>
      </c>
      <c r="AP25" s="15">
        <v>0.57000000000000006</v>
      </c>
      <c r="AQ25" s="15">
        <v>0.68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1007</v>
      </c>
      <c r="C3" s="18"/>
      <c r="D3" s="18"/>
      <c r="E3" s="18"/>
      <c r="F3" s="18"/>
      <c r="H3" s="18" t="s">
        <v>1008</v>
      </c>
      <c r="I3" s="18"/>
      <c r="J3" s="18"/>
      <c r="K3" s="18"/>
      <c r="L3" s="18"/>
    </row>
    <row r="4" spans="1:43" ht="27" customHeight="1" x14ac:dyDescent="0.35">
      <c r="B4" s="18" t="s">
        <v>1009</v>
      </c>
      <c r="C4" s="18"/>
      <c r="D4" s="18"/>
      <c r="E4" s="18"/>
      <c r="F4" s="18"/>
      <c r="H4" s="18" t="s">
        <v>1010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HYPERLINK("#Content!A101","&lt;&lt;Back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994</v>
      </c>
      <c r="C12" s="12">
        <v>1074</v>
      </c>
      <c r="D12" s="12">
        <v>37</v>
      </c>
      <c r="E12" s="12">
        <v>96</v>
      </c>
      <c r="F12" s="12">
        <v>29</v>
      </c>
      <c r="G12" s="12">
        <v>21</v>
      </c>
      <c r="H12" s="12">
        <v>19</v>
      </c>
      <c r="I12" s="12">
        <v>28</v>
      </c>
      <c r="J12" s="12">
        <v>9</v>
      </c>
      <c r="K12" s="12">
        <v>74</v>
      </c>
      <c r="L12" s="12">
        <v>33</v>
      </c>
      <c r="M12" s="12">
        <v>47</v>
      </c>
      <c r="N12" s="12">
        <v>82</v>
      </c>
      <c r="O12" s="12">
        <v>44</v>
      </c>
      <c r="P12" s="12">
        <v>47</v>
      </c>
      <c r="Q12" s="12">
        <v>44</v>
      </c>
      <c r="R12" s="12">
        <v>90</v>
      </c>
      <c r="S12" s="12">
        <v>69</v>
      </c>
      <c r="T12" s="12">
        <v>52</v>
      </c>
      <c r="U12" s="12">
        <v>17</v>
      </c>
      <c r="V12" s="12">
        <v>44</v>
      </c>
      <c r="W12" s="12">
        <v>24</v>
      </c>
      <c r="X12" s="12">
        <v>21</v>
      </c>
      <c r="Y12" s="12">
        <v>46</v>
      </c>
      <c r="Z12" s="12">
        <v>24</v>
      </c>
      <c r="AA12" s="12">
        <v>20</v>
      </c>
      <c r="AB12" s="12">
        <v>84</v>
      </c>
      <c r="AC12" s="12">
        <v>67</v>
      </c>
      <c r="AD12" s="12">
        <v>48</v>
      </c>
      <c r="AE12" s="12">
        <v>11</v>
      </c>
      <c r="AF12" s="12">
        <v>9</v>
      </c>
      <c r="AG12" s="12">
        <v>130</v>
      </c>
      <c r="AH12" s="12">
        <v>186</v>
      </c>
      <c r="AI12" s="12">
        <v>151</v>
      </c>
      <c r="AJ12" s="12">
        <v>251</v>
      </c>
      <c r="AK12" s="12">
        <v>52</v>
      </c>
      <c r="AL12" s="12">
        <v>169</v>
      </c>
      <c r="AM12" s="12">
        <v>35</v>
      </c>
      <c r="AN12" s="12">
        <v>161</v>
      </c>
      <c r="AO12" s="12">
        <v>66</v>
      </c>
      <c r="AP12" s="12">
        <v>118</v>
      </c>
      <c r="AQ12" s="12">
        <v>102</v>
      </c>
    </row>
    <row r="13" spans="1:43" x14ac:dyDescent="0.35">
      <c r="A13" s="19"/>
      <c r="B13" s="13" t="s">
        <v>995</v>
      </c>
      <c r="C13" s="15">
        <v>0.04</v>
      </c>
      <c r="D13" s="15">
        <v>0.04</v>
      </c>
      <c r="E13" s="15">
        <v>0.09</v>
      </c>
      <c r="F13" s="15">
        <v>0.03</v>
      </c>
      <c r="G13" s="15">
        <v>0.02</v>
      </c>
      <c r="H13" s="15">
        <v>0.01</v>
      </c>
      <c r="I13" s="15">
        <v>0.02</v>
      </c>
      <c r="J13" s="15">
        <v>0.03</v>
      </c>
      <c r="K13" s="15">
        <v>7.0000000000000007E-2</v>
      </c>
      <c r="L13" s="15">
        <v>0.03</v>
      </c>
      <c r="M13" s="15">
        <v>0.05</v>
      </c>
      <c r="N13" s="15">
        <v>0.08</v>
      </c>
      <c r="O13" s="15">
        <v>0.04</v>
      </c>
      <c r="P13" s="15">
        <v>0.04</v>
      </c>
      <c r="Q13" s="15">
        <v>0.04</v>
      </c>
      <c r="R13" s="15">
        <v>0.18</v>
      </c>
      <c r="S13" s="15">
        <v>7.0000000000000007E-2</v>
      </c>
      <c r="T13" s="15">
        <v>0.05</v>
      </c>
      <c r="U13" s="15">
        <v>0.03</v>
      </c>
      <c r="V13" s="15">
        <v>0.04</v>
      </c>
      <c r="W13" s="15">
        <v>0.05</v>
      </c>
      <c r="X13" s="15">
        <v>0.02</v>
      </c>
      <c r="Y13" s="15">
        <v>0.05</v>
      </c>
      <c r="Z13" s="15">
        <v>0.02</v>
      </c>
      <c r="AA13" s="15">
        <v>0.02</v>
      </c>
      <c r="AB13" s="15">
        <v>0.08</v>
      </c>
      <c r="AC13" s="15">
        <v>7.0000000000000007E-2</v>
      </c>
      <c r="AD13" s="15">
        <v>0.05</v>
      </c>
      <c r="AE13" s="15">
        <v>0.01</v>
      </c>
      <c r="AF13" s="15">
        <v>0.01</v>
      </c>
      <c r="AG13" s="15">
        <v>0.12</v>
      </c>
      <c r="AH13" s="15">
        <v>0.18</v>
      </c>
      <c r="AI13" s="15">
        <v>0.28999999999999998</v>
      </c>
      <c r="AJ13" s="15">
        <v>0.24</v>
      </c>
      <c r="AK13" s="15">
        <v>0.05</v>
      </c>
      <c r="AL13" s="15">
        <v>0.17</v>
      </c>
      <c r="AM13" s="15">
        <v>0.03</v>
      </c>
      <c r="AN13" s="15">
        <v>0.16</v>
      </c>
      <c r="AO13" s="15">
        <v>7.0000000000000007E-2</v>
      </c>
      <c r="AP13" s="15">
        <v>0.23</v>
      </c>
      <c r="AQ13" s="15">
        <v>0.1</v>
      </c>
    </row>
    <row r="14" spans="1:43" x14ac:dyDescent="0.35">
      <c r="A14" s="19"/>
      <c r="B14" s="11" t="s">
        <v>996</v>
      </c>
      <c r="C14" s="12">
        <v>7749</v>
      </c>
      <c r="D14" s="12">
        <v>254</v>
      </c>
      <c r="E14" s="12">
        <v>461</v>
      </c>
      <c r="F14" s="12">
        <v>390</v>
      </c>
      <c r="G14" s="12">
        <v>201</v>
      </c>
      <c r="H14" s="12">
        <v>218</v>
      </c>
      <c r="I14" s="12">
        <v>302</v>
      </c>
      <c r="J14" s="12">
        <v>84</v>
      </c>
      <c r="K14" s="12">
        <v>330</v>
      </c>
      <c r="L14" s="12">
        <v>301</v>
      </c>
      <c r="M14" s="12">
        <v>499</v>
      </c>
      <c r="N14" s="12">
        <v>374</v>
      </c>
      <c r="O14" s="12">
        <v>291</v>
      </c>
      <c r="P14" s="12">
        <v>329</v>
      </c>
      <c r="Q14" s="12">
        <v>304</v>
      </c>
      <c r="R14" s="12">
        <v>243</v>
      </c>
      <c r="S14" s="12">
        <v>359</v>
      </c>
      <c r="T14" s="12">
        <v>257</v>
      </c>
      <c r="U14" s="12">
        <v>135</v>
      </c>
      <c r="V14" s="12">
        <v>430</v>
      </c>
      <c r="W14" s="12">
        <v>192</v>
      </c>
      <c r="X14" s="12">
        <v>188</v>
      </c>
      <c r="Y14" s="12">
        <v>223</v>
      </c>
      <c r="Z14" s="12">
        <v>274</v>
      </c>
      <c r="AA14" s="12">
        <v>324</v>
      </c>
      <c r="AB14" s="12">
        <v>494</v>
      </c>
      <c r="AC14" s="12">
        <v>428</v>
      </c>
      <c r="AD14" s="12">
        <v>440</v>
      </c>
      <c r="AE14" s="12">
        <v>215</v>
      </c>
      <c r="AF14" s="12">
        <v>190</v>
      </c>
      <c r="AG14" s="12">
        <v>296</v>
      </c>
      <c r="AH14" s="12">
        <v>519</v>
      </c>
      <c r="AI14" s="12">
        <v>267</v>
      </c>
      <c r="AJ14" s="12">
        <v>438</v>
      </c>
      <c r="AK14" s="12">
        <v>394</v>
      </c>
      <c r="AL14" s="12">
        <v>413</v>
      </c>
      <c r="AM14" s="12">
        <v>276</v>
      </c>
      <c r="AN14" s="12">
        <v>426</v>
      </c>
      <c r="AO14" s="12">
        <v>142</v>
      </c>
      <c r="AP14" s="12">
        <v>166</v>
      </c>
      <c r="AQ14" s="12">
        <v>431</v>
      </c>
    </row>
    <row r="15" spans="1:43" x14ac:dyDescent="0.35">
      <c r="A15" s="19"/>
      <c r="B15" s="13" t="s">
        <v>997</v>
      </c>
      <c r="C15" s="15">
        <v>0.28999999999999998</v>
      </c>
      <c r="D15" s="15">
        <v>0.25</v>
      </c>
      <c r="E15" s="15">
        <v>0.45</v>
      </c>
      <c r="F15" s="15">
        <v>0.35</v>
      </c>
      <c r="G15" s="15">
        <v>0.2</v>
      </c>
      <c r="H15" s="15">
        <v>0.18</v>
      </c>
      <c r="I15" s="15">
        <v>0.2</v>
      </c>
      <c r="J15" s="15">
        <v>0.28000000000000003</v>
      </c>
      <c r="K15" s="15">
        <v>0.33</v>
      </c>
      <c r="L15" s="15">
        <v>0.3</v>
      </c>
      <c r="M15" s="15">
        <v>0.49</v>
      </c>
      <c r="N15" s="15">
        <v>0.37</v>
      </c>
      <c r="O15" s="15">
        <v>0.28999999999999998</v>
      </c>
      <c r="P15" s="15">
        <v>0.33</v>
      </c>
      <c r="Q15" s="15">
        <v>0.3</v>
      </c>
      <c r="R15" s="15">
        <v>0.48</v>
      </c>
      <c r="S15" s="15">
        <v>0.36</v>
      </c>
      <c r="T15" s="15">
        <v>0.26</v>
      </c>
      <c r="U15" s="15">
        <v>0.27</v>
      </c>
      <c r="V15" s="15">
        <v>0.42</v>
      </c>
      <c r="W15" s="15">
        <v>0.38</v>
      </c>
      <c r="X15" s="15">
        <v>0.19</v>
      </c>
      <c r="Y15" s="15">
        <v>0.22</v>
      </c>
      <c r="Z15" s="15">
        <v>0.27</v>
      </c>
      <c r="AA15" s="15">
        <v>0.31</v>
      </c>
      <c r="AB15" s="15">
        <v>0.47</v>
      </c>
      <c r="AC15" s="15">
        <v>0.43</v>
      </c>
      <c r="AD15" s="15">
        <v>0.44</v>
      </c>
      <c r="AE15" s="15">
        <v>0.21</v>
      </c>
      <c r="AF15" s="15">
        <v>0.18</v>
      </c>
      <c r="AG15" s="15">
        <v>0.28999999999999998</v>
      </c>
      <c r="AH15" s="15">
        <v>0.51</v>
      </c>
      <c r="AI15" s="15">
        <v>0.51</v>
      </c>
      <c r="AJ15" s="15">
        <v>0.42</v>
      </c>
      <c r="AK15" s="15">
        <v>0.39</v>
      </c>
      <c r="AL15" s="15">
        <v>0.41</v>
      </c>
      <c r="AM15" s="15">
        <v>0.27</v>
      </c>
      <c r="AN15" s="15">
        <v>0.42</v>
      </c>
      <c r="AO15" s="15">
        <v>0.14000000000000001</v>
      </c>
      <c r="AP15" s="15">
        <v>0.32</v>
      </c>
      <c r="AQ15" s="15">
        <v>0.43</v>
      </c>
    </row>
    <row r="16" spans="1:43" x14ac:dyDescent="0.35">
      <c r="A16" s="19"/>
      <c r="B16" s="11" t="s">
        <v>998</v>
      </c>
      <c r="C16" s="12">
        <v>11246</v>
      </c>
      <c r="D16" s="12">
        <v>480</v>
      </c>
      <c r="E16" s="12">
        <v>262</v>
      </c>
      <c r="F16" s="12">
        <v>426</v>
      </c>
      <c r="G16" s="12">
        <v>550</v>
      </c>
      <c r="H16" s="12">
        <v>630</v>
      </c>
      <c r="I16" s="12">
        <v>770</v>
      </c>
      <c r="J16" s="12">
        <v>141</v>
      </c>
      <c r="K16" s="12">
        <v>376</v>
      </c>
      <c r="L16" s="12">
        <v>366</v>
      </c>
      <c r="M16" s="12">
        <v>335</v>
      </c>
      <c r="N16" s="12">
        <v>348</v>
      </c>
      <c r="O16" s="12">
        <v>406</v>
      </c>
      <c r="P16" s="12">
        <v>402</v>
      </c>
      <c r="Q16" s="12">
        <v>434</v>
      </c>
      <c r="R16" s="12">
        <v>92</v>
      </c>
      <c r="S16" s="12">
        <v>363</v>
      </c>
      <c r="T16" s="12">
        <v>444</v>
      </c>
      <c r="U16" s="12">
        <v>217</v>
      </c>
      <c r="V16" s="12">
        <v>387</v>
      </c>
      <c r="W16" s="12">
        <v>190</v>
      </c>
      <c r="X16" s="12">
        <v>530</v>
      </c>
      <c r="Y16" s="12">
        <v>353</v>
      </c>
      <c r="Z16" s="12">
        <v>445</v>
      </c>
      <c r="AA16" s="12">
        <v>397</v>
      </c>
      <c r="AB16" s="12">
        <v>357</v>
      </c>
      <c r="AC16" s="12">
        <v>341</v>
      </c>
      <c r="AD16" s="12">
        <v>356</v>
      </c>
      <c r="AE16" s="12">
        <v>606</v>
      </c>
      <c r="AF16" s="12">
        <v>560</v>
      </c>
      <c r="AG16" s="12">
        <v>286</v>
      </c>
      <c r="AH16" s="12">
        <v>188</v>
      </c>
      <c r="AI16" s="12">
        <v>35</v>
      </c>
      <c r="AJ16" s="12">
        <v>235</v>
      </c>
      <c r="AK16" s="12">
        <v>326</v>
      </c>
      <c r="AL16" s="12">
        <v>127</v>
      </c>
      <c r="AM16" s="12">
        <v>404</v>
      </c>
      <c r="AN16" s="12">
        <v>292</v>
      </c>
      <c r="AO16" s="12">
        <v>247</v>
      </c>
      <c r="AP16" s="12">
        <v>144</v>
      </c>
      <c r="AQ16" s="12">
        <v>175</v>
      </c>
    </row>
    <row r="17" spans="1:43" x14ac:dyDescent="0.35">
      <c r="A17" s="19"/>
      <c r="B17" s="13" t="s">
        <v>999</v>
      </c>
      <c r="C17" s="15">
        <v>0.43</v>
      </c>
      <c r="D17" s="15">
        <v>0.47</v>
      </c>
      <c r="E17" s="15">
        <v>0.26</v>
      </c>
      <c r="F17" s="15">
        <v>0.39</v>
      </c>
      <c r="G17" s="15">
        <v>0.55000000000000004</v>
      </c>
      <c r="H17" s="15">
        <v>0.52</v>
      </c>
      <c r="I17" s="15">
        <v>0.51</v>
      </c>
      <c r="J17" s="15">
        <v>0.48</v>
      </c>
      <c r="K17" s="15">
        <v>0.38</v>
      </c>
      <c r="L17" s="15">
        <v>0.37</v>
      </c>
      <c r="M17" s="15">
        <v>0.33</v>
      </c>
      <c r="N17" s="15">
        <v>0.35</v>
      </c>
      <c r="O17" s="15">
        <v>0.41</v>
      </c>
      <c r="P17" s="15">
        <v>0.4</v>
      </c>
      <c r="Q17" s="15">
        <v>0.42</v>
      </c>
      <c r="R17" s="15">
        <v>0.18</v>
      </c>
      <c r="S17" s="15">
        <v>0.36</v>
      </c>
      <c r="T17" s="15">
        <v>0.44</v>
      </c>
      <c r="U17" s="15">
        <v>0.43</v>
      </c>
      <c r="V17" s="15">
        <v>0.38</v>
      </c>
      <c r="W17" s="15">
        <v>0.37</v>
      </c>
      <c r="X17" s="15">
        <v>0.52</v>
      </c>
      <c r="Y17" s="15">
        <v>0.35</v>
      </c>
      <c r="Z17" s="15">
        <v>0.43</v>
      </c>
      <c r="AA17" s="15">
        <v>0.39</v>
      </c>
      <c r="AB17" s="15">
        <v>0.34</v>
      </c>
      <c r="AC17" s="15">
        <v>0.34</v>
      </c>
      <c r="AD17" s="15">
        <v>0.35</v>
      </c>
      <c r="AE17" s="15">
        <v>0.6</v>
      </c>
      <c r="AF17" s="15">
        <v>0.54</v>
      </c>
      <c r="AG17" s="15">
        <v>0.28000000000000003</v>
      </c>
      <c r="AH17" s="15">
        <v>0.19</v>
      </c>
      <c r="AI17" s="15">
        <v>7.0000000000000007E-2</v>
      </c>
      <c r="AJ17" s="15">
        <v>0.23</v>
      </c>
      <c r="AK17" s="15">
        <v>0.32</v>
      </c>
      <c r="AL17" s="15">
        <v>0.13</v>
      </c>
      <c r="AM17" s="15">
        <v>0.39</v>
      </c>
      <c r="AN17" s="15">
        <v>0.28999999999999998</v>
      </c>
      <c r="AO17" s="15">
        <v>0.24</v>
      </c>
      <c r="AP17" s="15">
        <v>0.27</v>
      </c>
      <c r="AQ17" s="15">
        <v>0.18</v>
      </c>
    </row>
    <row r="18" spans="1:43" x14ac:dyDescent="0.35">
      <c r="A18" s="19"/>
      <c r="B18" s="11" t="s">
        <v>1000</v>
      </c>
      <c r="C18" s="12">
        <v>5062</v>
      </c>
      <c r="D18" s="12">
        <v>210</v>
      </c>
      <c r="E18" s="12">
        <v>66</v>
      </c>
      <c r="F18" s="12">
        <v>212</v>
      </c>
      <c r="G18" s="12">
        <v>212</v>
      </c>
      <c r="H18" s="12">
        <v>303</v>
      </c>
      <c r="I18" s="12">
        <v>353</v>
      </c>
      <c r="J18" s="12">
        <v>50</v>
      </c>
      <c r="K18" s="12">
        <v>159</v>
      </c>
      <c r="L18" s="12">
        <v>228</v>
      </c>
      <c r="M18" s="12">
        <v>100</v>
      </c>
      <c r="N18" s="12">
        <v>136</v>
      </c>
      <c r="O18" s="12">
        <v>185</v>
      </c>
      <c r="P18" s="12">
        <v>208</v>
      </c>
      <c r="Q18" s="12">
        <v>219</v>
      </c>
      <c r="R18" s="12">
        <v>22</v>
      </c>
      <c r="S18" s="12">
        <v>95</v>
      </c>
      <c r="T18" s="12">
        <v>208</v>
      </c>
      <c r="U18" s="12">
        <v>94</v>
      </c>
      <c r="V18" s="12">
        <v>138</v>
      </c>
      <c r="W18" s="12">
        <v>63</v>
      </c>
      <c r="X18" s="12">
        <v>243</v>
      </c>
      <c r="Y18" s="12">
        <v>320</v>
      </c>
      <c r="Z18" s="12">
        <v>226</v>
      </c>
      <c r="AA18" s="12">
        <v>227</v>
      </c>
      <c r="AB18" s="12">
        <v>56</v>
      </c>
      <c r="AC18" s="12">
        <v>124</v>
      </c>
      <c r="AD18" s="12">
        <v>123</v>
      </c>
      <c r="AE18" s="12">
        <v>139</v>
      </c>
      <c r="AF18" s="12">
        <v>265</v>
      </c>
      <c r="AG18" s="12">
        <v>278</v>
      </c>
      <c r="AH18" s="12">
        <v>91</v>
      </c>
      <c r="AI18" s="12">
        <v>19</v>
      </c>
      <c r="AJ18" s="12">
        <v>107</v>
      </c>
      <c r="AK18" s="12">
        <v>175</v>
      </c>
      <c r="AL18" s="12">
        <v>56</v>
      </c>
      <c r="AM18" s="12">
        <v>179</v>
      </c>
      <c r="AN18" s="12">
        <v>87</v>
      </c>
      <c r="AO18" s="12">
        <v>481</v>
      </c>
      <c r="AP18" s="12">
        <v>93</v>
      </c>
      <c r="AQ18" s="12">
        <v>155</v>
      </c>
    </row>
    <row r="19" spans="1:43" x14ac:dyDescent="0.35">
      <c r="A19" s="19"/>
      <c r="B19" s="13" t="s">
        <v>1001</v>
      </c>
      <c r="C19" s="15">
        <v>0.19</v>
      </c>
      <c r="D19" s="15">
        <v>0.21</v>
      </c>
      <c r="E19" s="15">
        <v>0.06</v>
      </c>
      <c r="F19" s="15">
        <v>0.19</v>
      </c>
      <c r="G19" s="15">
        <v>0.21</v>
      </c>
      <c r="H19" s="15">
        <v>0.25</v>
      </c>
      <c r="I19" s="15">
        <v>0.23</v>
      </c>
      <c r="J19" s="15">
        <v>0.17</v>
      </c>
      <c r="K19" s="15">
        <v>0.16</v>
      </c>
      <c r="L19" s="15">
        <v>0.23</v>
      </c>
      <c r="M19" s="15">
        <v>0.1</v>
      </c>
      <c r="N19" s="15">
        <v>0.14000000000000001</v>
      </c>
      <c r="O19" s="15">
        <v>0.18</v>
      </c>
      <c r="P19" s="15">
        <v>0.21</v>
      </c>
      <c r="Q19" s="15">
        <v>0.21</v>
      </c>
      <c r="R19" s="15">
        <v>0.05</v>
      </c>
      <c r="S19" s="15">
        <v>0.09</v>
      </c>
      <c r="T19" s="15">
        <v>0.21</v>
      </c>
      <c r="U19" s="15">
        <v>0.19</v>
      </c>
      <c r="V19" s="15">
        <v>0.14000000000000001</v>
      </c>
      <c r="W19" s="15">
        <v>0.12</v>
      </c>
      <c r="X19" s="15">
        <v>0.24</v>
      </c>
      <c r="Y19" s="15">
        <v>0.32</v>
      </c>
      <c r="Z19" s="15">
        <v>0.22</v>
      </c>
      <c r="AA19" s="15">
        <v>0.22</v>
      </c>
      <c r="AB19" s="15">
        <v>0.05</v>
      </c>
      <c r="AC19" s="15">
        <v>0.12</v>
      </c>
      <c r="AD19" s="15">
        <v>0.12</v>
      </c>
      <c r="AE19" s="15">
        <v>0.14000000000000001</v>
      </c>
      <c r="AF19" s="15">
        <v>0.25</v>
      </c>
      <c r="AG19" s="15">
        <v>0.27</v>
      </c>
      <c r="AH19" s="15">
        <v>0.09</v>
      </c>
      <c r="AI19" s="15">
        <v>0.03</v>
      </c>
      <c r="AJ19" s="15">
        <v>0.1</v>
      </c>
      <c r="AK19" s="15">
        <v>0.18</v>
      </c>
      <c r="AL19" s="15">
        <v>0.05</v>
      </c>
      <c r="AM19" s="15">
        <v>0.17</v>
      </c>
      <c r="AN19" s="15">
        <v>0.09</v>
      </c>
      <c r="AO19" s="15">
        <v>0.48</v>
      </c>
      <c r="AP19" s="15">
        <v>0.18</v>
      </c>
      <c r="AQ19" s="15">
        <v>0.15</v>
      </c>
    </row>
    <row r="20" spans="1:43" x14ac:dyDescent="0.35">
      <c r="A20" s="19"/>
      <c r="B20" s="11" t="s">
        <v>485</v>
      </c>
      <c r="C20" s="12">
        <v>1314</v>
      </c>
      <c r="D20" s="12">
        <v>32</v>
      </c>
      <c r="E20" s="12">
        <v>146</v>
      </c>
      <c r="F20" s="12">
        <v>45</v>
      </c>
      <c r="G20" s="12">
        <v>22</v>
      </c>
      <c r="H20" s="12">
        <v>52</v>
      </c>
      <c r="I20" s="12">
        <v>64</v>
      </c>
      <c r="J20" s="12">
        <v>12</v>
      </c>
      <c r="K20" s="12">
        <v>63</v>
      </c>
      <c r="L20" s="12">
        <v>73</v>
      </c>
      <c r="M20" s="12">
        <v>29</v>
      </c>
      <c r="N20" s="12">
        <v>64</v>
      </c>
      <c r="O20" s="12">
        <v>75</v>
      </c>
      <c r="P20" s="12">
        <v>19</v>
      </c>
      <c r="Q20" s="12">
        <v>26</v>
      </c>
      <c r="R20" s="12">
        <v>57</v>
      </c>
      <c r="S20" s="12">
        <v>116</v>
      </c>
      <c r="T20" s="12">
        <v>45</v>
      </c>
      <c r="U20" s="12">
        <v>42</v>
      </c>
      <c r="V20" s="12">
        <v>16</v>
      </c>
      <c r="W20" s="12">
        <v>38</v>
      </c>
      <c r="X20" s="12">
        <v>27</v>
      </c>
      <c r="Y20" s="12">
        <v>61</v>
      </c>
      <c r="Z20" s="12">
        <v>63</v>
      </c>
      <c r="AA20" s="12">
        <v>66</v>
      </c>
      <c r="AB20" s="12">
        <v>61</v>
      </c>
      <c r="AC20" s="12">
        <v>44</v>
      </c>
      <c r="AD20" s="12">
        <v>38</v>
      </c>
      <c r="AE20" s="12">
        <v>41</v>
      </c>
      <c r="AF20" s="12">
        <v>19</v>
      </c>
      <c r="AG20" s="12">
        <v>45</v>
      </c>
      <c r="AH20" s="12">
        <v>30</v>
      </c>
      <c r="AI20" s="12">
        <v>52</v>
      </c>
      <c r="AJ20" s="12">
        <v>6</v>
      </c>
      <c r="AK20" s="12">
        <v>60</v>
      </c>
      <c r="AL20" s="12">
        <v>247</v>
      </c>
      <c r="AM20" s="12">
        <v>145</v>
      </c>
      <c r="AN20" s="12">
        <v>37</v>
      </c>
      <c r="AO20" s="12">
        <v>70</v>
      </c>
      <c r="AP20" s="12">
        <v>2</v>
      </c>
      <c r="AQ20" s="12">
        <v>139</v>
      </c>
    </row>
    <row r="21" spans="1:43" x14ac:dyDescent="0.35">
      <c r="A21" s="19"/>
      <c r="B21" s="13" t="s">
        <v>486</v>
      </c>
      <c r="C21" s="15">
        <v>0.05</v>
      </c>
      <c r="D21" s="15">
        <v>0.03</v>
      </c>
      <c r="E21" s="15">
        <v>0.14000000000000001</v>
      </c>
      <c r="F21" s="15">
        <v>0.04</v>
      </c>
      <c r="G21" s="15">
        <v>0.02</v>
      </c>
      <c r="H21" s="15">
        <v>0.04</v>
      </c>
      <c r="I21" s="15">
        <v>0.04</v>
      </c>
      <c r="J21" s="15">
        <v>0.04</v>
      </c>
      <c r="K21" s="15">
        <v>0.06</v>
      </c>
      <c r="L21" s="15">
        <v>7.0000000000000007E-2</v>
      </c>
      <c r="M21" s="15">
        <v>0.03</v>
      </c>
      <c r="N21" s="15">
        <v>0.06</v>
      </c>
      <c r="O21" s="15">
        <v>0.08</v>
      </c>
      <c r="P21" s="15">
        <v>0.02</v>
      </c>
      <c r="Q21" s="15">
        <v>0.03</v>
      </c>
      <c r="R21" s="15">
        <v>0.11</v>
      </c>
      <c r="S21" s="15">
        <v>0.12</v>
      </c>
      <c r="T21" s="15">
        <v>0.04</v>
      </c>
      <c r="U21" s="15">
        <v>0.08</v>
      </c>
      <c r="V21" s="15">
        <v>0.02</v>
      </c>
      <c r="W21" s="15">
        <v>0.08</v>
      </c>
      <c r="X21" s="15">
        <v>0.03</v>
      </c>
      <c r="Y21" s="15">
        <v>0.06</v>
      </c>
      <c r="Z21" s="15">
        <v>0.06</v>
      </c>
      <c r="AA21" s="15">
        <v>0.06</v>
      </c>
      <c r="AB21" s="15">
        <v>0.06</v>
      </c>
      <c r="AC21" s="15">
        <v>0.04</v>
      </c>
      <c r="AD21" s="15">
        <v>0.04</v>
      </c>
      <c r="AE21" s="15">
        <v>0.04</v>
      </c>
      <c r="AF21" s="15">
        <v>0.02</v>
      </c>
      <c r="AG21" s="15">
        <v>0.04</v>
      </c>
      <c r="AH21" s="15">
        <v>0.03</v>
      </c>
      <c r="AI21" s="15">
        <v>0.1</v>
      </c>
      <c r="AJ21" s="15">
        <v>0.01</v>
      </c>
      <c r="AK21" s="15">
        <v>0.06</v>
      </c>
      <c r="AL21" s="15">
        <v>0.24</v>
      </c>
      <c r="AM21" s="15">
        <v>0.14000000000000001</v>
      </c>
      <c r="AN21" s="15">
        <v>0.04</v>
      </c>
      <c r="AO21" s="15">
        <v>7.0000000000000007E-2</v>
      </c>
      <c r="AP21" s="14" t="s">
        <v>475</v>
      </c>
      <c r="AQ21" s="15">
        <v>0.14000000000000001</v>
      </c>
    </row>
    <row r="22" spans="1:43" x14ac:dyDescent="0.35">
      <c r="A22" s="19"/>
      <c r="B22" s="11" t="s">
        <v>710</v>
      </c>
      <c r="C22" s="12">
        <v>8823</v>
      </c>
      <c r="D22" s="12">
        <v>291</v>
      </c>
      <c r="E22" s="12">
        <v>557</v>
      </c>
      <c r="F22" s="12">
        <v>419</v>
      </c>
      <c r="G22" s="12">
        <v>222</v>
      </c>
      <c r="H22" s="12">
        <v>237</v>
      </c>
      <c r="I22" s="12">
        <v>330</v>
      </c>
      <c r="J22" s="12">
        <v>93</v>
      </c>
      <c r="K22" s="12">
        <v>404</v>
      </c>
      <c r="L22" s="12">
        <v>334</v>
      </c>
      <c r="M22" s="12">
        <v>546</v>
      </c>
      <c r="N22" s="12">
        <v>456</v>
      </c>
      <c r="O22" s="12">
        <v>335</v>
      </c>
      <c r="P22" s="12">
        <v>376</v>
      </c>
      <c r="Q22" s="12">
        <v>348</v>
      </c>
      <c r="R22" s="12">
        <v>333</v>
      </c>
      <c r="S22" s="12">
        <v>428</v>
      </c>
      <c r="T22" s="12">
        <v>309</v>
      </c>
      <c r="U22" s="12">
        <v>152</v>
      </c>
      <c r="V22" s="12">
        <v>474</v>
      </c>
      <c r="W22" s="12">
        <v>216</v>
      </c>
      <c r="X22" s="12">
        <v>209</v>
      </c>
      <c r="Y22" s="12">
        <v>269</v>
      </c>
      <c r="Z22" s="12">
        <v>298</v>
      </c>
      <c r="AA22" s="12">
        <v>344</v>
      </c>
      <c r="AB22" s="12">
        <v>578</v>
      </c>
      <c r="AC22" s="12">
        <v>495</v>
      </c>
      <c r="AD22" s="12">
        <v>488</v>
      </c>
      <c r="AE22" s="12">
        <v>226</v>
      </c>
      <c r="AF22" s="12">
        <v>199</v>
      </c>
      <c r="AG22" s="12">
        <v>426</v>
      </c>
      <c r="AH22" s="12">
        <v>705</v>
      </c>
      <c r="AI22" s="12">
        <v>418</v>
      </c>
      <c r="AJ22" s="12">
        <v>689</v>
      </c>
      <c r="AK22" s="12">
        <v>446</v>
      </c>
      <c r="AL22" s="12">
        <v>582</v>
      </c>
      <c r="AM22" s="12">
        <v>311</v>
      </c>
      <c r="AN22" s="12">
        <v>587</v>
      </c>
      <c r="AO22" s="12">
        <v>208</v>
      </c>
      <c r="AP22" s="12">
        <v>284</v>
      </c>
      <c r="AQ22" s="12">
        <v>533</v>
      </c>
    </row>
    <row r="23" spans="1:43" x14ac:dyDescent="0.35">
      <c r="A23" s="19"/>
      <c r="B23" s="13" t="s">
        <v>710</v>
      </c>
      <c r="C23" s="15">
        <v>0.33</v>
      </c>
      <c r="D23" s="15">
        <v>0.28999999999999998</v>
      </c>
      <c r="E23" s="15">
        <v>0.54</v>
      </c>
      <c r="F23" s="15">
        <v>0.38</v>
      </c>
      <c r="G23" s="15">
        <v>0.22</v>
      </c>
      <c r="H23" s="15">
        <v>0.19</v>
      </c>
      <c r="I23" s="15">
        <v>0.22</v>
      </c>
      <c r="J23" s="15">
        <v>0.31</v>
      </c>
      <c r="K23" s="15">
        <v>0.4</v>
      </c>
      <c r="L23" s="15">
        <v>0.33</v>
      </c>
      <c r="M23" s="15">
        <v>0.54</v>
      </c>
      <c r="N23" s="15">
        <v>0.45</v>
      </c>
      <c r="O23" s="15">
        <v>0.33</v>
      </c>
      <c r="P23" s="15">
        <v>0.37</v>
      </c>
      <c r="Q23" s="15">
        <v>0.34</v>
      </c>
      <c r="R23" s="15">
        <v>0.66</v>
      </c>
      <c r="S23" s="15">
        <v>0.43</v>
      </c>
      <c r="T23" s="15">
        <v>0.31</v>
      </c>
      <c r="U23" s="15">
        <v>0.3</v>
      </c>
      <c r="V23" s="15">
        <v>0.46</v>
      </c>
      <c r="W23" s="15">
        <v>0.43</v>
      </c>
      <c r="X23" s="15">
        <v>0.21</v>
      </c>
      <c r="Y23" s="15">
        <v>0.27</v>
      </c>
      <c r="Z23" s="15">
        <v>0.28999999999999998</v>
      </c>
      <c r="AA23" s="15">
        <v>0.33</v>
      </c>
      <c r="AB23" s="15">
        <v>0.55000000000000004</v>
      </c>
      <c r="AC23" s="15">
        <v>0.5</v>
      </c>
      <c r="AD23" s="15">
        <v>0.49</v>
      </c>
      <c r="AE23" s="15">
        <v>0.22</v>
      </c>
      <c r="AF23" s="15">
        <v>0.19</v>
      </c>
      <c r="AG23" s="15">
        <v>0.41</v>
      </c>
      <c r="AH23" s="15">
        <v>0.69000000000000006</v>
      </c>
      <c r="AI23" s="15">
        <v>0.8</v>
      </c>
      <c r="AJ23" s="15">
        <v>0.66</v>
      </c>
      <c r="AK23" s="15">
        <v>0.44</v>
      </c>
      <c r="AL23" s="15">
        <v>0.57999999999999996</v>
      </c>
      <c r="AM23" s="15">
        <v>0.3</v>
      </c>
      <c r="AN23" s="15">
        <v>0.57999999999999996</v>
      </c>
      <c r="AO23" s="15">
        <v>0.21</v>
      </c>
      <c r="AP23" s="15">
        <v>0.55000000000000004</v>
      </c>
      <c r="AQ23" s="15">
        <v>0.53</v>
      </c>
    </row>
    <row r="24" spans="1:43" x14ac:dyDescent="0.35">
      <c r="A24" s="19"/>
      <c r="B24" s="11" t="s">
        <v>1002</v>
      </c>
      <c r="C24" s="12">
        <v>16308</v>
      </c>
      <c r="D24" s="12">
        <v>690</v>
      </c>
      <c r="E24" s="12">
        <v>328</v>
      </c>
      <c r="F24" s="12">
        <v>638</v>
      </c>
      <c r="G24" s="12">
        <v>762</v>
      </c>
      <c r="H24" s="12">
        <v>933</v>
      </c>
      <c r="I24" s="12">
        <v>1123</v>
      </c>
      <c r="J24" s="12">
        <v>191</v>
      </c>
      <c r="K24" s="12">
        <v>535</v>
      </c>
      <c r="L24" s="12">
        <v>594</v>
      </c>
      <c r="M24" s="12">
        <v>435</v>
      </c>
      <c r="N24" s="12">
        <v>484</v>
      </c>
      <c r="O24" s="12">
        <v>591</v>
      </c>
      <c r="P24" s="12">
        <v>610</v>
      </c>
      <c r="Q24" s="12">
        <v>653</v>
      </c>
      <c r="R24" s="12">
        <v>114</v>
      </c>
      <c r="S24" s="12">
        <v>458</v>
      </c>
      <c r="T24" s="12">
        <v>652</v>
      </c>
      <c r="U24" s="12">
        <v>311</v>
      </c>
      <c r="V24" s="12">
        <v>525</v>
      </c>
      <c r="W24" s="12">
        <v>253</v>
      </c>
      <c r="X24" s="12">
        <v>773</v>
      </c>
      <c r="Y24" s="12">
        <v>673</v>
      </c>
      <c r="Z24" s="12">
        <v>671</v>
      </c>
      <c r="AA24" s="12">
        <v>624</v>
      </c>
      <c r="AB24" s="12">
        <v>413</v>
      </c>
      <c r="AC24" s="12">
        <v>465</v>
      </c>
      <c r="AD24" s="12">
        <v>479</v>
      </c>
      <c r="AE24" s="12">
        <v>745</v>
      </c>
      <c r="AF24" s="12">
        <v>825</v>
      </c>
      <c r="AG24" s="12">
        <v>564</v>
      </c>
      <c r="AH24" s="12">
        <v>279</v>
      </c>
      <c r="AI24" s="12">
        <v>54</v>
      </c>
      <c r="AJ24" s="12">
        <v>342</v>
      </c>
      <c r="AK24" s="12">
        <v>501</v>
      </c>
      <c r="AL24" s="12">
        <v>183</v>
      </c>
      <c r="AM24" s="12">
        <v>583</v>
      </c>
      <c r="AN24" s="12">
        <v>379</v>
      </c>
      <c r="AO24" s="12">
        <v>728</v>
      </c>
      <c r="AP24" s="12">
        <v>237</v>
      </c>
      <c r="AQ24" s="12">
        <v>330</v>
      </c>
    </row>
    <row r="25" spans="1:43" x14ac:dyDescent="0.35">
      <c r="A25" s="19"/>
      <c r="B25" s="13" t="s">
        <v>711</v>
      </c>
      <c r="C25" s="15">
        <v>0.62</v>
      </c>
      <c r="D25" s="15">
        <v>0.68</v>
      </c>
      <c r="E25" s="15">
        <v>0.32</v>
      </c>
      <c r="F25" s="15">
        <v>0.57999999999999996</v>
      </c>
      <c r="G25" s="15">
        <v>0.76</v>
      </c>
      <c r="H25" s="15">
        <v>0.77</v>
      </c>
      <c r="I25" s="15">
        <v>0.74</v>
      </c>
      <c r="J25" s="15">
        <v>0.65</v>
      </c>
      <c r="K25" s="15">
        <v>0.54</v>
      </c>
      <c r="L25" s="15">
        <v>0.6</v>
      </c>
      <c r="M25" s="15">
        <v>0.43</v>
      </c>
      <c r="N25" s="15">
        <v>0.49</v>
      </c>
      <c r="O25" s="15">
        <v>0.59</v>
      </c>
      <c r="P25" s="15">
        <v>0.61</v>
      </c>
      <c r="Q25" s="15">
        <v>0.63</v>
      </c>
      <c r="R25" s="15">
        <v>0.23</v>
      </c>
      <c r="S25" s="15">
        <v>0.45</v>
      </c>
      <c r="T25" s="15">
        <v>0.65</v>
      </c>
      <c r="U25" s="15">
        <v>0.62</v>
      </c>
      <c r="V25" s="15">
        <v>0.52</v>
      </c>
      <c r="W25" s="15">
        <v>0.49</v>
      </c>
      <c r="X25" s="15">
        <v>0.76</v>
      </c>
      <c r="Y25" s="15">
        <v>0.67</v>
      </c>
      <c r="Z25" s="15">
        <v>0.65</v>
      </c>
      <c r="AA25" s="15">
        <v>0.61</v>
      </c>
      <c r="AB25" s="15">
        <v>0.39</v>
      </c>
      <c r="AC25" s="15">
        <v>0.46</v>
      </c>
      <c r="AD25" s="15">
        <v>0.47</v>
      </c>
      <c r="AE25" s="15">
        <v>0.74</v>
      </c>
      <c r="AF25" s="15">
        <v>0.79</v>
      </c>
      <c r="AG25" s="15">
        <v>0.55000000000000004</v>
      </c>
      <c r="AH25" s="15">
        <v>0.28000000000000003</v>
      </c>
      <c r="AI25" s="15">
        <v>0.1</v>
      </c>
      <c r="AJ25" s="15">
        <v>0.33</v>
      </c>
      <c r="AK25" s="15">
        <v>0.5</v>
      </c>
      <c r="AL25" s="15">
        <v>0.18</v>
      </c>
      <c r="AM25" s="15">
        <v>0.56000000000000005</v>
      </c>
      <c r="AN25" s="15">
        <v>0.38</v>
      </c>
      <c r="AO25" s="15">
        <v>0.72</v>
      </c>
      <c r="AP25" s="15">
        <v>0.45</v>
      </c>
      <c r="AQ25" s="15">
        <v>0.33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1011</v>
      </c>
      <c r="C3" s="18"/>
      <c r="D3" s="18"/>
      <c r="E3" s="18"/>
      <c r="F3" s="18"/>
      <c r="H3" s="18" t="s">
        <v>1012</v>
      </c>
      <c r="I3" s="18"/>
      <c r="J3" s="18"/>
      <c r="K3" s="18"/>
      <c r="L3" s="18"/>
    </row>
    <row r="4" spans="1:32" ht="27" customHeight="1" x14ac:dyDescent="0.35">
      <c r="B4" s="18" t="s">
        <v>1013</v>
      </c>
      <c r="C4" s="18"/>
      <c r="D4" s="18"/>
      <c r="E4" s="18"/>
      <c r="F4" s="18"/>
      <c r="H4" s="18" t="s">
        <v>1014</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HYPERLINK("#Content!A102","&lt;&lt;Back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10689</v>
      </c>
      <c r="D12" s="12">
        <v>370</v>
      </c>
      <c r="E12" s="12">
        <v>339</v>
      </c>
      <c r="F12" s="12">
        <v>443</v>
      </c>
      <c r="G12" s="12">
        <v>681</v>
      </c>
      <c r="H12" s="12">
        <v>584</v>
      </c>
      <c r="I12" s="12">
        <v>729</v>
      </c>
      <c r="J12" s="12">
        <v>144</v>
      </c>
      <c r="K12" s="12">
        <v>415</v>
      </c>
      <c r="L12" s="12">
        <v>509</v>
      </c>
      <c r="M12" s="12">
        <v>361</v>
      </c>
      <c r="N12" s="12">
        <v>508</v>
      </c>
      <c r="O12" s="12">
        <v>300</v>
      </c>
      <c r="P12" s="12">
        <v>342</v>
      </c>
      <c r="Q12" s="12">
        <v>475</v>
      </c>
      <c r="R12" s="12">
        <v>296</v>
      </c>
      <c r="S12" s="12">
        <v>323</v>
      </c>
      <c r="T12" s="12">
        <v>358</v>
      </c>
      <c r="U12" s="12">
        <v>240</v>
      </c>
      <c r="V12" s="12">
        <v>375</v>
      </c>
      <c r="W12" s="12">
        <v>246</v>
      </c>
      <c r="X12" s="12">
        <v>333</v>
      </c>
      <c r="Y12" s="12">
        <v>546</v>
      </c>
      <c r="Z12" s="12">
        <v>203</v>
      </c>
      <c r="AA12" s="12">
        <v>296</v>
      </c>
      <c r="AB12" s="12">
        <v>242</v>
      </c>
      <c r="AC12" s="12">
        <v>612</v>
      </c>
      <c r="AD12" s="12">
        <v>550</v>
      </c>
      <c r="AE12" s="12">
        <v>554</v>
      </c>
      <c r="AF12" s="12">
        <v>625</v>
      </c>
    </row>
    <row r="13" spans="1:32" x14ac:dyDescent="0.35">
      <c r="A13" s="19"/>
      <c r="B13" s="13" t="s">
        <v>761</v>
      </c>
      <c r="C13" s="15">
        <v>0.4</v>
      </c>
      <c r="D13" s="15">
        <v>0.36</v>
      </c>
      <c r="E13" s="15">
        <v>0.33</v>
      </c>
      <c r="F13" s="15">
        <v>0.4</v>
      </c>
      <c r="G13" s="15">
        <v>0.68</v>
      </c>
      <c r="H13" s="15">
        <v>0.48</v>
      </c>
      <c r="I13" s="15">
        <v>0.48</v>
      </c>
      <c r="J13" s="15">
        <v>0.49</v>
      </c>
      <c r="K13" s="15">
        <v>0.41</v>
      </c>
      <c r="L13" s="15">
        <v>0.51</v>
      </c>
      <c r="M13" s="15">
        <v>0.36</v>
      </c>
      <c r="N13" s="15">
        <v>0.51</v>
      </c>
      <c r="O13" s="15">
        <v>0.3</v>
      </c>
      <c r="P13" s="15">
        <v>0.34</v>
      </c>
      <c r="Q13" s="15">
        <v>0.46</v>
      </c>
      <c r="R13" s="15">
        <v>0.59</v>
      </c>
      <c r="S13" s="15">
        <v>0.32</v>
      </c>
      <c r="T13" s="15">
        <v>0.35</v>
      </c>
      <c r="U13" s="15">
        <v>0.48</v>
      </c>
      <c r="V13" s="15">
        <v>0.37</v>
      </c>
      <c r="W13" s="15">
        <v>0.49</v>
      </c>
      <c r="X13" s="15">
        <v>0.33</v>
      </c>
      <c r="Y13" s="15">
        <v>0.54</v>
      </c>
      <c r="Z13" s="15">
        <v>0.2</v>
      </c>
      <c r="AA13" s="15">
        <v>0.28999999999999998</v>
      </c>
      <c r="AB13" s="15">
        <v>0.23</v>
      </c>
      <c r="AC13" s="15">
        <v>0.61</v>
      </c>
      <c r="AD13" s="15">
        <v>0.55000000000000004</v>
      </c>
      <c r="AE13" s="15">
        <v>0.55000000000000004</v>
      </c>
      <c r="AF13" s="15">
        <v>0.6</v>
      </c>
    </row>
    <row r="14" spans="1:32" x14ac:dyDescent="0.35">
      <c r="A14" s="19"/>
      <c r="B14" s="11" t="s">
        <v>762</v>
      </c>
      <c r="C14" s="12">
        <v>11098</v>
      </c>
      <c r="D14" s="12">
        <v>411</v>
      </c>
      <c r="E14" s="12">
        <v>393</v>
      </c>
      <c r="F14" s="12">
        <v>455</v>
      </c>
      <c r="G14" s="12">
        <v>235</v>
      </c>
      <c r="H14" s="12">
        <v>511</v>
      </c>
      <c r="I14" s="12">
        <v>623</v>
      </c>
      <c r="J14" s="12">
        <v>112</v>
      </c>
      <c r="K14" s="12">
        <v>452</v>
      </c>
      <c r="L14" s="12">
        <v>383</v>
      </c>
      <c r="M14" s="12">
        <v>405</v>
      </c>
      <c r="N14" s="12">
        <v>364</v>
      </c>
      <c r="O14" s="12">
        <v>433</v>
      </c>
      <c r="P14" s="12">
        <v>461</v>
      </c>
      <c r="Q14" s="12">
        <v>402</v>
      </c>
      <c r="R14" s="12">
        <v>147</v>
      </c>
      <c r="S14" s="12">
        <v>412</v>
      </c>
      <c r="T14" s="12">
        <v>421</v>
      </c>
      <c r="U14" s="12">
        <v>175</v>
      </c>
      <c r="V14" s="12">
        <v>496</v>
      </c>
      <c r="W14" s="12">
        <v>189</v>
      </c>
      <c r="X14" s="12">
        <v>423</v>
      </c>
      <c r="Y14" s="12">
        <v>317</v>
      </c>
      <c r="Z14" s="12">
        <v>594</v>
      </c>
      <c r="AA14" s="12">
        <v>603</v>
      </c>
      <c r="AB14" s="12">
        <v>531</v>
      </c>
      <c r="AC14" s="12">
        <v>274</v>
      </c>
      <c r="AD14" s="12">
        <v>356</v>
      </c>
      <c r="AE14" s="12">
        <v>346</v>
      </c>
      <c r="AF14" s="12">
        <v>302</v>
      </c>
    </row>
    <row r="15" spans="1:32" x14ac:dyDescent="0.35">
      <c r="A15" s="19"/>
      <c r="B15" s="13" t="s">
        <v>763</v>
      </c>
      <c r="C15" s="15">
        <v>0.42</v>
      </c>
      <c r="D15" s="15">
        <v>0.41</v>
      </c>
      <c r="E15" s="15">
        <v>0.38</v>
      </c>
      <c r="F15" s="15">
        <v>0.41</v>
      </c>
      <c r="G15" s="15">
        <v>0.23</v>
      </c>
      <c r="H15" s="15">
        <v>0.42</v>
      </c>
      <c r="I15" s="15">
        <v>0.41</v>
      </c>
      <c r="J15" s="15">
        <v>0.38</v>
      </c>
      <c r="K15" s="15">
        <v>0.45</v>
      </c>
      <c r="L15" s="15">
        <v>0.38</v>
      </c>
      <c r="M15" s="15">
        <v>0.4</v>
      </c>
      <c r="N15" s="15">
        <v>0.36</v>
      </c>
      <c r="O15" s="15">
        <v>0.43</v>
      </c>
      <c r="P15" s="15">
        <v>0.46</v>
      </c>
      <c r="Q15" s="15">
        <v>0.39</v>
      </c>
      <c r="R15" s="15">
        <v>0.28999999999999998</v>
      </c>
      <c r="S15" s="15">
        <v>0.41</v>
      </c>
      <c r="T15" s="15">
        <v>0.42</v>
      </c>
      <c r="U15" s="15">
        <v>0.35</v>
      </c>
      <c r="V15" s="15">
        <v>0.49</v>
      </c>
      <c r="W15" s="15">
        <v>0.37</v>
      </c>
      <c r="X15" s="15">
        <v>0.42</v>
      </c>
      <c r="Y15" s="15">
        <v>0.32</v>
      </c>
      <c r="Z15" s="15">
        <v>0.57000000000000006</v>
      </c>
      <c r="AA15" s="15">
        <v>0.57999999999999996</v>
      </c>
      <c r="AB15" s="15">
        <v>0.5</v>
      </c>
      <c r="AC15" s="15">
        <v>0.27</v>
      </c>
      <c r="AD15" s="15">
        <v>0.35</v>
      </c>
      <c r="AE15" s="15">
        <v>0.34</v>
      </c>
      <c r="AF15" s="15">
        <v>0.28999999999999998</v>
      </c>
    </row>
    <row r="16" spans="1:32" x14ac:dyDescent="0.35">
      <c r="A16" s="19"/>
      <c r="B16" s="11" t="s">
        <v>764</v>
      </c>
      <c r="C16" s="12">
        <v>2638</v>
      </c>
      <c r="D16" s="12">
        <v>163</v>
      </c>
      <c r="E16" s="12">
        <v>112</v>
      </c>
      <c r="F16" s="12">
        <v>149</v>
      </c>
      <c r="G16" s="12">
        <v>37</v>
      </c>
      <c r="H16" s="12">
        <v>64</v>
      </c>
      <c r="I16" s="12">
        <v>91</v>
      </c>
      <c r="J16" s="12">
        <v>28</v>
      </c>
      <c r="K16" s="12">
        <v>61</v>
      </c>
      <c r="L16" s="12">
        <v>45</v>
      </c>
      <c r="M16" s="12">
        <v>131</v>
      </c>
      <c r="N16" s="12">
        <v>44</v>
      </c>
      <c r="O16" s="12">
        <v>145</v>
      </c>
      <c r="P16" s="12">
        <v>151</v>
      </c>
      <c r="Q16" s="12">
        <v>99</v>
      </c>
      <c r="R16" s="12">
        <v>36</v>
      </c>
      <c r="S16" s="12">
        <v>137</v>
      </c>
      <c r="T16" s="12">
        <v>99</v>
      </c>
      <c r="U16" s="12">
        <v>39</v>
      </c>
      <c r="V16" s="12">
        <v>105</v>
      </c>
      <c r="W16" s="12">
        <v>37</v>
      </c>
      <c r="X16" s="12">
        <v>180</v>
      </c>
      <c r="Y16" s="12">
        <v>86</v>
      </c>
      <c r="Z16" s="12">
        <v>142</v>
      </c>
      <c r="AA16" s="12">
        <v>33</v>
      </c>
      <c r="AB16" s="12">
        <v>174</v>
      </c>
      <c r="AC16" s="12">
        <v>77</v>
      </c>
      <c r="AD16" s="12">
        <v>48</v>
      </c>
      <c r="AE16" s="12">
        <v>63</v>
      </c>
      <c r="AF16" s="12">
        <v>69</v>
      </c>
    </row>
    <row r="17" spans="1:32" x14ac:dyDescent="0.35">
      <c r="A17" s="19"/>
      <c r="B17" s="13" t="s">
        <v>765</v>
      </c>
      <c r="C17" s="15">
        <v>0.1</v>
      </c>
      <c r="D17" s="15">
        <v>0.16</v>
      </c>
      <c r="E17" s="15">
        <v>0.11</v>
      </c>
      <c r="F17" s="15">
        <v>0.14000000000000001</v>
      </c>
      <c r="G17" s="15">
        <v>0.04</v>
      </c>
      <c r="H17" s="15">
        <v>0.05</v>
      </c>
      <c r="I17" s="15">
        <v>0.06</v>
      </c>
      <c r="J17" s="15">
        <v>0.09</v>
      </c>
      <c r="K17" s="15">
        <v>0.06</v>
      </c>
      <c r="L17" s="15">
        <v>0.05</v>
      </c>
      <c r="M17" s="15">
        <v>0.13</v>
      </c>
      <c r="N17" s="15">
        <v>0.04</v>
      </c>
      <c r="O17" s="15">
        <v>0.14000000000000001</v>
      </c>
      <c r="P17" s="15">
        <v>0.15</v>
      </c>
      <c r="Q17" s="15">
        <v>0.1</v>
      </c>
      <c r="R17" s="15">
        <v>7.0000000000000007E-2</v>
      </c>
      <c r="S17" s="15">
        <v>0.14000000000000001</v>
      </c>
      <c r="T17" s="15">
        <v>0.1</v>
      </c>
      <c r="U17" s="15">
        <v>0.08</v>
      </c>
      <c r="V17" s="15">
        <v>0.1</v>
      </c>
      <c r="W17" s="15">
        <v>7.0000000000000007E-2</v>
      </c>
      <c r="X17" s="15">
        <v>0.18</v>
      </c>
      <c r="Y17" s="15">
        <v>0.08</v>
      </c>
      <c r="Z17" s="15">
        <v>0.14000000000000001</v>
      </c>
      <c r="AA17" s="15">
        <v>0.03</v>
      </c>
      <c r="AB17" s="15">
        <v>0.17</v>
      </c>
      <c r="AC17" s="15">
        <v>0.08</v>
      </c>
      <c r="AD17" s="15">
        <v>0.05</v>
      </c>
      <c r="AE17" s="15">
        <v>0.06</v>
      </c>
      <c r="AF17" s="15">
        <v>7.0000000000000007E-2</v>
      </c>
    </row>
    <row r="18" spans="1:32" x14ac:dyDescent="0.35">
      <c r="A18" s="19"/>
      <c r="B18" s="11" t="s">
        <v>766</v>
      </c>
      <c r="C18" s="12">
        <v>582</v>
      </c>
      <c r="D18" s="12">
        <v>38</v>
      </c>
      <c r="E18" s="12">
        <v>23</v>
      </c>
      <c r="F18" s="12">
        <v>18</v>
      </c>
      <c r="G18" s="12">
        <v>17</v>
      </c>
      <c r="H18" s="12">
        <v>10</v>
      </c>
      <c r="I18" s="12">
        <v>16</v>
      </c>
      <c r="J18" s="12">
        <v>6</v>
      </c>
      <c r="K18" s="12">
        <v>17</v>
      </c>
      <c r="L18" s="12">
        <v>12</v>
      </c>
      <c r="M18" s="12">
        <v>50</v>
      </c>
      <c r="N18" s="12">
        <v>9</v>
      </c>
      <c r="O18" s="12">
        <v>46</v>
      </c>
      <c r="P18" s="12">
        <v>28</v>
      </c>
      <c r="Q18" s="12">
        <v>23</v>
      </c>
      <c r="R18" s="12">
        <v>10</v>
      </c>
      <c r="S18" s="12">
        <v>25</v>
      </c>
      <c r="T18" s="12">
        <v>11</v>
      </c>
      <c r="U18" s="12">
        <v>22</v>
      </c>
      <c r="V18" s="12">
        <v>10</v>
      </c>
      <c r="W18" s="12">
        <v>16</v>
      </c>
      <c r="X18" s="12">
        <v>21</v>
      </c>
      <c r="Y18" s="12">
        <v>18</v>
      </c>
      <c r="Z18" s="12">
        <v>18</v>
      </c>
      <c r="AA18" s="12">
        <v>9</v>
      </c>
      <c r="AB18" s="12">
        <v>38</v>
      </c>
      <c r="AC18" s="12">
        <v>19</v>
      </c>
      <c r="AD18" s="12">
        <v>10</v>
      </c>
      <c r="AE18" s="12">
        <v>16</v>
      </c>
      <c r="AF18" s="12">
        <v>13</v>
      </c>
    </row>
    <row r="19" spans="1:32" x14ac:dyDescent="0.35">
      <c r="A19" s="19"/>
      <c r="B19" s="13" t="s">
        <v>767</v>
      </c>
      <c r="C19" s="15">
        <v>0.02</v>
      </c>
      <c r="D19" s="15">
        <v>0.04</v>
      </c>
      <c r="E19" s="15">
        <v>0.02</v>
      </c>
      <c r="F19" s="15">
        <v>0.02</v>
      </c>
      <c r="G19" s="15">
        <v>0.02</v>
      </c>
      <c r="H19" s="15">
        <v>0.01</v>
      </c>
      <c r="I19" s="15">
        <v>0.01</v>
      </c>
      <c r="J19" s="15">
        <v>0.02</v>
      </c>
      <c r="K19" s="15">
        <v>0.02</v>
      </c>
      <c r="L19" s="15">
        <v>0.01</v>
      </c>
      <c r="M19" s="15">
        <v>0.05</v>
      </c>
      <c r="N19" s="15">
        <v>0.01</v>
      </c>
      <c r="O19" s="15">
        <v>0.05</v>
      </c>
      <c r="P19" s="15">
        <v>0.03</v>
      </c>
      <c r="Q19" s="15">
        <v>0.02</v>
      </c>
      <c r="R19" s="15">
        <v>0.02</v>
      </c>
      <c r="S19" s="15">
        <v>0.03</v>
      </c>
      <c r="T19" s="15">
        <v>0.01</v>
      </c>
      <c r="U19" s="15">
        <v>0.04</v>
      </c>
      <c r="V19" s="15">
        <v>0.01</v>
      </c>
      <c r="W19" s="15">
        <v>0.03</v>
      </c>
      <c r="X19" s="15">
        <v>0.02</v>
      </c>
      <c r="Y19" s="15">
        <v>0.02</v>
      </c>
      <c r="Z19" s="15">
        <v>0.02</v>
      </c>
      <c r="AA19" s="15">
        <v>0.01</v>
      </c>
      <c r="AB19" s="15">
        <v>0.04</v>
      </c>
      <c r="AC19" s="15">
        <v>0.02</v>
      </c>
      <c r="AD19" s="15">
        <v>0.01</v>
      </c>
      <c r="AE19" s="15">
        <v>0.02</v>
      </c>
      <c r="AF19" s="15">
        <v>0.01</v>
      </c>
    </row>
    <row r="20" spans="1:32" x14ac:dyDescent="0.35">
      <c r="A20" s="19"/>
      <c r="B20" s="11" t="s">
        <v>485</v>
      </c>
      <c r="C20" s="12">
        <v>1439</v>
      </c>
      <c r="D20" s="12">
        <v>30</v>
      </c>
      <c r="E20" s="12">
        <v>163</v>
      </c>
      <c r="F20" s="12">
        <v>38</v>
      </c>
      <c r="G20" s="12">
        <v>37</v>
      </c>
      <c r="H20" s="12">
        <v>52</v>
      </c>
      <c r="I20" s="12">
        <v>57</v>
      </c>
      <c r="J20" s="12">
        <v>5</v>
      </c>
      <c r="K20" s="12">
        <v>56</v>
      </c>
      <c r="L20" s="12">
        <v>53</v>
      </c>
      <c r="M20" s="12">
        <v>63</v>
      </c>
      <c r="N20" s="12">
        <v>77</v>
      </c>
      <c r="O20" s="12">
        <v>77</v>
      </c>
      <c r="P20" s="12">
        <v>22</v>
      </c>
      <c r="Q20" s="12">
        <v>28</v>
      </c>
      <c r="R20" s="12">
        <v>16</v>
      </c>
      <c r="S20" s="12">
        <v>106</v>
      </c>
      <c r="T20" s="12">
        <v>117</v>
      </c>
      <c r="U20" s="12">
        <v>28</v>
      </c>
      <c r="V20" s="12">
        <v>29</v>
      </c>
      <c r="W20" s="12">
        <v>21</v>
      </c>
      <c r="X20" s="12">
        <v>52</v>
      </c>
      <c r="Y20" s="12">
        <v>36</v>
      </c>
      <c r="Z20" s="12">
        <v>74</v>
      </c>
      <c r="AA20" s="12">
        <v>92</v>
      </c>
      <c r="AB20" s="12">
        <v>66</v>
      </c>
      <c r="AC20" s="12">
        <v>21</v>
      </c>
      <c r="AD20" s="12">
        <v>41</v>
      </c>
      <c r="AE20" s="12">
        <v>33</v>
      </c>
      <c r="AF20" s="12">
        <v>34</v>
      </c>
    </row>
    <row r="21" spans="1:32" x14ac:dyDescent="0.35">
      <c r="A21" s="19"/>
      <c r="B21" s="13" t="s">
        <v>486</v>
      </c>
      <c r="C21" s="15">
        <v>0.06</v>
      </c>
      <c r="D21" s="15">
        <v>0.03</v>
      </c>
      <c r="E21" s="15">
        <v>0.16</v>
      </c>
      <c r="F21" s="15">
        <v>0.03</v>
      </c>
      <c r="G21" s="15">
        <v>0.03</v>
      </c>
      <c r="H21" s="15">
        <v>0.04</v>
      </c>
      <c r="I21" s="15">
        <v>0.04</v>
      </c>
      <c r="J21" s="15">
        <v>0.02</v>
      </c>
      <c r="K21" s="15">
        <v>0.06</v>
      </c>
      <c r="L21" s="15">
        <v>0.05</v>
      </c>
      <c r="M21" s="15">
        <v>0.06</v>
      </c>
      <c r="N21" s="15">
        <v>0.08</v>
      </c>
      <c r="O21" s="15">
        <v>0.08</v>
      </c>
      <c r="P21" s="15">
        <v>0.02</v>
      </c>
      <c r="Q21" s="15">
        <v>0.03</v>
      </c>
      <c r="R21" s="15">
        <v>0.03</v>
      </c>
      <c r="S21" s="15">
        <v>0.1</v>
      </c>
      <c r="T21" s="15">
        <v>0.12</v>
      </c>
      <c r="U21" s="15">
        <v>0.05</v>
      </c>
      <c r="V21" s="15">
        <v>0.03</v>
      </c>
      <c r="W21" s="15">
        <v>0.04</v>
      </c>
      <c r="X21" s="15">
        <v>0.05</v>
      </c>
      <c r="Y21" s="15">
        <v>0.04</v>
      </c>
      <c r="Z21" s="15">
        <v>7.0000000000000007E-2</v>
      </c>
      <c r="AA21" s="15">
        <v>0.09</v>
      </c>
      <c r="AB21" s="15">
        <v>0.06</v>
      </c>
      <c r="AC21" s="15">
        <v>0.02</v>
      </c>
      <c r="AD21" s="15">
        <v>0.04</v>
      </c>
      <c r="AE21" s="15">
        <v>0.03</v>
      </c>
      <c r="AF21" s="15">
        <v>0.03</v>
      </c>
    </row>
    <row r="22" spans="1:32" x14ac:dyDescent="0.35">
      <c r="A22" s="19"/>
      <c r="B22" s="11" t="s">
        <v>768</v>
      </c>
      <c r="C22" s="12">
        <v>21787</v>
      </c>
      <c r="D22" s="12">
        <v>781</v>
      </c>
      <c r="E22" s="12">
        <v>732</v>
      </c>
      <c r="F22" s="12">
        <v>898</v>
      </c>
      <c r="G22" s="12">
        <v>916</v>
      </c>
      <c r="H22" s="12">
        <v>1095</v>
      </c>
      <c r="I22" s="12">
        <v>1352</v>
      </c>
      <c r="J22" s="12">
        <v>256</v>
      </c>
      <c r="K22" s="12">
        <v>867</v>
      </c>
      <c r="L22" s="12">
        <v>892</v>
      </c>
      <c r="M22" s="12">
        <v>766</v>
      </c>
      <c r="N22" s="12">
        <v>872</v>
      </c>
      <c r="O22" s="12">
        <v>733</v>
      </c>
      <c r="P22" s="12">
        <v>803</v>
      </c>
      <c r="Q22" s="12">
        <v>877</v>
      </c>
      <c r="R22" s="12">
        <v>443</v>
      </c>
      <c r="S22" s="12">
        <v>735</v>
      </c>
      <c r="T22" s="12">
        <v>779</v>
      </c>
      <c r="U22" s="12">
        <v>415</v>
      </c>
      <c r="V22" s="12">
        <v>871</v>
      </c>
      <c r="W22" s="12">
        <v>435</v>
      </c>
      <c r="X22" s="12">
        <v>756</v>
      </c>
      <c r="Y22" s="12">
        <v>863</v>
      </c>
      <c r="Z22" s="12">
        <v>797</v>
      </c>
      <c r="AA22" s="12">
        <v>899</v>
      </c>
      <c r="AB22" s="12">
        <v>773</v>
      </c>
      <c r="AC22" s="12">
        <v>886</v>
      </c>
      <c r="AD22" s="12">
        <v>906</v>
      </c>
      <c r="AE22" s="12">
        <v>900</v>
      </c>
      <c r="AF22" s="12">
        <v>927</v>
      </c>
    </row>
    <row r="23" spans="1:32" x14ac:dyDescent="0.35">
      <c r="A23" s="19"/>
      <c r="B23" s="13" t="s">
        <v>769</v>
      </c>
      <c r="C23" s="15">
        <v>0.82000000000000006</v>
      </c>
      <c r="D23" s="15">
        <v>0.77</v>
      </c>
      <c r="E23" s="15">
        <v>0.71</v>
      </c>
      <c r="F23" s="15">
        <v>0.81</v>
      </c>
      <c r="G23" s="15">
        <v>0.91</v>
      </c>
      <c r="H23" s="15">
        <v>0.9</v>
      </c>
      <c r="I23" s="15">
        <v>0.89</v>
      </c>
      <c r="J23" s="15">
        <v>0.87</v>
      </c>
      <c r="K23" s="15">
        <v>0.86</v>
      </c>
      <c r="L23" s="15">
        <v>0.89</v>
      </c>
      <c r="M23" s="15">
        <v>0.76</v>
      </c>
      <c r="N23" s="15">
        <v>0.87</v>
      </c>
      <c r="O23" s="15">
        <v>0.73</v>
      </c>
      <c r="P23" s="15">
        <v>0.8</v>
      </c>
      <c r="Q23" s="15">
        <v>0.85</v>
      </c>
      <c r="R23" s="15">
        <v>0.88</v>
      </c>
      <c r="S23" s="15">
        <v>0.73</v>
      </c>
      <c r="T23" s="15">
        <v>0.77</v>
      </c>
      <c r="U23" s="15">
        <v>0.83000000000000007</v>
      </c>
      <c r="V23" s="15">
        <v>0.86</v>
      </c>
      <c r="W23" s="15">
        <v>0.86</v>
      </c>
      <c r="X23" s="15">
        <v>0.75</v>
      </c>
      <c r="Y23" s="15">
        <v>0.86</v>
      </c>
      <c r="Z23" s="15">
        <v>0.77</v>
      </c>
      <c r="AA23" s="15">
        <v>0.87</v>
      </c>
      <c r="AB23" s="15">
        <v>0.73</v>
      </c>
      <c r="AC23" s="15">
        <v>0.88</v>
      </c>
      <c r="AD23" s="15">
        <v>0.9</v>
      </c>
      <c r="AE23" s="15">
        <v>0.89</v>
      </c>
      <c r="AF23" s="15">
        <v>0.89</v>
      </c>
    </row>
    <row r="24" spans="1:32" x14ac:dyDescent="0.35">
      <c r="A24" s="19"/>
      <c r="B24" s="11" t="s">
        <v>770</v>
      </c>
      <c r="C24" s="12">
        <v>3220</v>
      </c>
      <c r="D24" s="12">
        <v>201</v>
      </c>
      <c r="E24" s="12">
        <v>135</v>
      </c>
      <c r="F24" s="12">
        <v>167</v>
      </c>
      <c r="G24" s="12">
        <v>54</v>
      </c>
      <c r="H24" s="12">
        <v>74</v>
      </c>
      <c r="I24" s="12">
        <v>107</v>
      </c>
      <c r="J24" s="12">
        <v>34</v>
      </c>
      <c r="K24" s="12">
        <v>78</v>
      </c>
      <c r="L24" s="12">
        <v>57</v>
      </c>
      <c r="M24" s="12">
        <v>181</v>
      </c>
      <c r="N24" s="12">
        <v>53</v>
      </c>
      <c r="O24" s="12">
        <v>191</v>
      </c>
      <c r="P24" s="12">
        <v>179</v>
      </c>
      <c r="Q24" s="12">
        <v>122</v>
      </c>
      <c r="R24" s="12">
        <v>46</v>
      </c>
      <c r="S24" s="12">
        <v>162</v>
      </c>
      <c r="T24" s="12">
        <v>110</v>
      </c>
      <c r="U24" s="12">
        <v>61</v>
      </c>
      <c r="V24" s="12">
        <v>115</v>
      </c>
      <c r="W24" s="12">
        <v>53</v>
      </c>
      <c r="X24" s="12">
        <v>201</v>
      </c>
      <c r="Y24" s="12">
        <v>104</v>
      </c>
      <c r="Z24" s="12">
        <v>160</v>
      </c>
      <c r="AA24" s="12">
        <v>42</v>
      </c>
      <c r="AB24" s="12">
        <v>212</v>
      </c>
      <c r="AC24" s="12">
        <v>96</v>
      </c>
      <c r="AD24" s="12">
        <v>58</v>
      </c>
      <c r="AE24" s="12">
        <v>79</v>
      </c>
      <c r="AF24" s="12">
        <v>82</v>
      </c>
    </row>
    <row r="25" spans="1:32" x14ac:dyDescent="0.35">
      <c r="A25" s="19"/>
      <c r="B25" s="13" t="s">
        <v>771</v>
      </c>
      <c r="C25" s="15">
        <v>0.12</v>
      </c>
      <c r="D25" s="15">
        <v>0.2</v>
      </c>
      <c r="E25" s="15">
        <v>0.13</v>
      </c>
      <c r="F25" s="15">
        <v>0.16</v>
      </c>
      <c r="G25" s="15">
        <v>0.06</v>
      </c>
      <c r="H25" s="15">
        <v>0.06</v>
      </c>
      <c r="I25" s="15">
        <v>7.0000000000000007E-2</v>
      </c>
      <c r="J25" s="15">
        <v>0.11</v>
      </c>
      <c r="K25" s="15">
        <v>0.08</v>
      </c>
      <c r="L25" s="15">
        <v>0.06</v>
      </c>
      <c r="M25" s="15">
        <v>0.18</v>
      </c>
      <c r="N25" s="15">
        <v>0.05</v>
      </c>
      <c r="O25" s="15">
        <v>0.19</v>
      </c>
      <c r="P25" s="15">
        <v>0.18</v>
      </c>
      <c r="Q25" s="15">
        <v>0.12</v>
      </c>
      <c r="R25" s="15">
        <v>0.09</v>
      </c>
      <c r="S25" s="15">
        <v>0.17</v>
      </c>
      <c r="T25" s="15">
        <v>0.11</v>
      </c>
      <c r="U25" s="15">
        <v>0.12</v>
      </c>
      <c r="V25" s="15">
        <v>0.11</v>
      </c>
      <c r="W25" s="15">
        <v>0.1</v>
      </c>
      <c r="X25" s="15">
        <v>0.2</v>
      </c>
      <c r="Y25" s="15">
        <v>0.1</v>
      </c>
      <c r="Z25" s="15">
        <v>0.16</v>
      </c>
      <c r="AA25" s="15">
        <v>0.04</v>
      </c>
      <c r="AB25" s="15">
        <v>0.21</v>
      </c>
      <c r="AC25" s="15">
        <v>0.1</v>
      </c>
      <c r="AD25" s="15">
        <v>0.06</v>
      </c>
      <c r="AE25" s="15">
        <v>0.08</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1015</v>
      </c>
      <c r="C3" s="18"/>
      <c r="D3" s="18"/>
      <c r="E3" s="18"/>
      <c r="F3" s="18"/>
      <c r="H3" s="18" t="s">
        <v>1016</v>
      </c>
      <c r="I3" s="18"/>
      <c r="J3" s="18"/>
      <c r="K3" s="18"/>
      <c r="L3" s="18"/>
    </row>
    <row r="4" spans="1:32" ht="27" customHeight="1" x14ac:dyDescent="0.35">
      <c r="B4" s="18" t="s">
        <v>1017</v>
      </c>
      <c r="C4" s="18"/>
      <c r="D4" s="18"/>
      <c r="E4" s="18"/>
      <c r="F4" s="18"/>
      <c r="H4" s="18" t="s">
        <v>1018</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HYPERLINK("#Content!A103","&lt;&lt;Back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9439</v>
      </c>
      <c r="D12" s="12">
        <v>336</v>
      </c>
      <c r="E12" s="12">
        <v>360</v>
      </c>
      <c r="F12" s="12">
        <v>400</v>
      </c>
      <c r="G12" s="12">
        <v>400</v>
      </c>
      <c r="H12" s="12">
        <v>443</v>
      </c>
      <c r="I12" s="12">
        <v>552</v>
      </c>
      <c r="J12" s="12">
        <v>109</v>
      </c>
      <c r="K12" s="12">
        <v>358</v>
      </c>
      <c r="L12" s="12">
        <v>428</v>
      </c>
      <c r="M12" s="12">
        <v>527</v>
      </c>
      <c r="N12" s="12">
        <v>484</v>
      </c>
      <c r="O12" s="12">
        <v>337</v>
      </c>
      <c r="P12" s="12">
        <v>323</v>
      </c>
      <c r="Q12" s="12">
        <v>310</v>
      </c>
      <c r="R12" s="12">
        <v>325</v>
      </c>
      <c r="S12" s="12">
        <v>403</v>
      </c>
      <c r="T12" s="12">
        <v>469</v>
      </c>
      <c r="U12" s="12">
        <v>236</v>
      </c>
      <c r="V12" s="12">
        <v>291</v>
      </c>
      <c r="W12" s="12">
        <v>272</v>
      </c>
      <c r="X12" s="12">
        <v>313</v>
      </c>
      <c r="Y12" s="12">
        <v>448</v>
      </c>
      <c r="Z12" s="12">
        <v>238</v>
      </c>
      <c r="AA12" s="12">
        <v>257</v>
      </c>
      <c r="AB12" s="12">
        <v>290</v>
      </c>
      <c r="AC12" s="12">
        <v>638</v>
      </c>
      <c r="AD12" s="12">
        <v>570</v>
      </c>
      <c r="AE12" s="12">
        <v>373</v>
      </c>
      <c r="AF12" s="12">
        <v>498</v>
      </c>
    </row>
    <row r="13" spans="1:32" x14ac:dyDescent="0.35">
      <c r="A13" s="19"/>
      <c r="B13" s="13" t="s">
        <v>761</v>
      </c>
      <c r="C13" s="15">
        <v>0.35</v>
      </c>
      <c r="D13" s="15">
        <v>0.33</v>
      </c>
      <c r="E13" s="15">
        <v>0.35</v>
      </c>
      <c r="F13" s="15">
        <v>0.36</v>
      </c>
      <c r="G13" s="15">
        <v>0.4</v>
      </c>
      <c r="H13" s="15">
        <v>0.36</v>
      </c>
      <c r="I13" s="15">
        <v>0.37</v>
      </c>
      <c r="J13" s="15">
        <v>0.37</v>
      </c>
      <c r="K13" s="15">
        <v>0.36</v>
      </c>
      <c r="L13" s="15">
        <v>0.43</v>
      </c>
      <c r="M13" s="15">
        <v>0.52</v>
      </c>
      <c r="N13" s="15">
        <v>0.48</v>
      </c>
      <c r="O13" s="15">
        <v>0.34</v>
      </c>
      <c r="P13" s="15">
        <v>0.32</v>
      </c>
      <c r="Q13" s="15">
        <v>0.3</v>
      </c>
      <c r="R13" s="15">
        <v>0.64</v>
      </c>
      <c r="S13" s="15">
        <v>0.4</v>
      </c>
      <c r="T13" s="15">
        <v>0.47</v>
      </c>
      <c r="U13" s="15">
        <v>0.47</v>
      </c>
      <c r="V13" s="15">
        <v>0.28999999999999998</v>
      </c>
      <c r="W13" s="15">
        <v>0.54</v>
      </c>
      <c r="X13" s="15">
        <v>0.31</v>
      </c>
      <c r="Y13" s="15">
        <v>0.45</v>
      </c>
      <c r="Z13" s="15">
        <v>0.23</v>
      </c>
      <c r="AA13" s="15">
        <v>0.25</v>
      </c>
      <c r="AB13" s="15">
        <v>0.28000000000000003</v>
      </c>
      <c r="AC13" s="15">
        <v>0.64</v>
      </c>
      <c r="AD13" s="15">
        <v>0.57000000000000006</v>
      </c>
      <c r="AE13" s="15">
        <v>0.37</v>
      </c>
      <c r="AF13" s="15">
        <v>0.48</v>
      </c>
    </row>
    <row r="14" spans="1:32" x14ac:dyDescent="0.35">
      <c r="A14" s="19"/>
      <c r="B14" s="11" t="s">
        <v>762</v>
      </c>
      <c r="C14" s="12">
        <v>13477</v>
      </c>
      <c r="D14" s="12">
        <v>553</v>
      </c>
      <c r="E14" s="12">
        <v>497</v>
      </c>
      <c r="F14" s="12">
        <v>523</v>
      </c>
      <c r="G14" s="12">
        <v>393</v>
      </c>
      <c r="H14" s="12">
        <v>645</v>
      </c>
      <c r="I14" s="12">
        <v>803</v>
      </c>
      <c r="J14" s="12">
        <v>157</v>
      </c>
      <c r="K14" s="12">
        <v>506</v>
      </c>
      <c r="L14" s="12">
        <v>455</v>
      </c>
      <c r="M14" s="12">
        <v>403</v>
      </c>
      <c r="N14" s="12">
        <v>388</v>
      </c>
      <c r="O14" s="12">
        <v>511</v>
      </c>
      <c r="P14" s="12">
        <v>551</v>
      </c>
      <c r="Q14" s="12">
        <v>582</v>
      </c>
      <c r="R14" s="12">
        <v>136</v>
      </c>
      <c r="S14" s="12">
        <v>462</v>
      </c>
      <c r="T14" s="12">
        <v>438</v>
      </c>
      <c r="U14" s="12">
        <v>210</v>
      </c>
      <c r="V14" s="12">
        <v>562</v>
      </c>
      <c r="W14" s="12">
        <v>218</v>
      </c>
      <c r="X14" s="12">
        <v>507</v>
      </c>
      <c r="Y14" s="12">
        <v>444</v>
      </c>
      <c r="Z14" s="12">
        <v>662</v>
      </c>
      <c r="AA14" s="12">
        <v>664</v>
      </c>
      <c r="AB14" s="12">
        <v>571</v>
      </c>
      <c r="AC14" s="12">
        <v>301</v>
      </c>
      <c r="AD14" s="12">
        <v>381</v>
      </c>
      <c r="AE14" s="12">
        <v>454</v>
      </c>
      <c r="AF14" s="12">
        <v>388</v>
      </c>
    </row>
    <row r="15" spans="1:32" x14ac:dyDescent="0.35">
      <c r="A15" s="19"/>
      <c r="B15" s="13" t="s">
        <v>763</v>
      </c>
      <c r="C15" s="15">
        <v>0.51</v>
      </c>
      <c r="D15" s="15">
        <v>0.55000000000000004</v>
      </c>
      <c r="E15" s="15">
        <v>0.48</v>
      </c>
      <c r="F15" s="15">
        <v>0.48</v>
      </c>
      <c r="G15" s="15">
        <v>0.39</v>
      </c>
      <c r="H15" s="15">
        <v>0.53</v>
      </c>
      <c r="I15" s="15">
        <v>0.53</v>
      </c>
      <c r="J15" s="15">
        <v>0.53</v>
      </c>
      <c r="K15" s="15">
        <v>0.5</v>
      </c>
      <c r="L15" s="15">
        <v>0.45</v>
      </c>
      <c r="M15" s="15">
        <v>0.4</v>
      </c>
      <c r="N15" s="15">
        <v>0.39</v>
      </c>
      <c r="O15" s="15">
        <v>0.51</v>
      </c>
      <c r="P15" s="15">
        <v>0.55000000000000004</v>
      </c>
      <c r="Q15" s="15">
        <v>0.57000000000000006</v>
      </c>
      <c r="R15" s="15">
        <v>0.27</v>
      </c>
      <c r="S15" s="15">
        <v>0.46</v>
      </c>
      <c r="T15" s="15">
        <v>0.43</v>
      </c>
      <c r="U15" s="15">
        <v>0.42</v>
      </c>
      <c r="V15" s="15">
        <v>0.55000000000000004</v>
      </c>
      <c r="W15" s="15">
        <v>0.43</v>
      </c>
      <c r="X15" s="15">
        <v>0.5</v>
      </c>
      <c r="Y15" s="15">
        <v>0.44</v>
      </c>
      <c r="Z15" s="15">
        <v>0.64</v>
      </c>
      <c r="AA15" s="15">
        <v>0.64</v>
      </c>
      <c r="AB15" s="15">
        <v>0.54</v>
      </c>
      <c r="AC15" s="15">
        <v>0.3</v>
      </c>
      <c r="AD15" s="15">
        <v>0.38</v>
      </c>
      <c r="AE15" s="15">
        <v>0.45</v>
      </c>
      <c r="AF15" s="15">
        <v>0.37</v>
      </c>
    </row>
    <row r="16" spans="1:32" x14ac:dyDescent="0.35">
      <c r="A16" s="19"/>
      <c r="B16" s="11" t="s">
        <v>764</v>
      </c>
      <c r="C16" s="12">
        <v>2037</v>
      </c>
      <c r="D16" s="12">
        <v>94</v>
      </c>
      <c r="E16" s="12">
        <v>75</v>
      </c>
      <c r="F16" s="12">
        <v>120</v>
      </c>
      <c r="G16" s="12">
        <v>106</v>
      </c>
      <c r="H16" s="12">
        <v>79</v>
      </c>
      <c r="I16" s="12">
        <v>97</v>
      </c>
      <c r="J16" s="12">
        <v>18</v>
      </c>
      <c r="K16" s="12">
        <v>70</v>
      </c>
      <c r="L16" s="12">
        <v>40</v>
      </c>
      <c r="M16" s="12">
        <v>52</v>
      </c>
      <c r="N16" s="12">
        <v>48</v>
      </c>
      <c r="O16" s="12">
        <v>75</v>
      </c>
      <c r="P16" s="12">
        <v>106</v>
      </c>
      <c r="Q16" s="12">
        <v>92</v>
      </c>
      <c r="R16" s="12">
        <v>28</v>
      </c>
      <c r="S16" s="12">
        <v>57</v>
      </c>
      <c r="T16" s="12">
        <v>41</v>
      </c>
      <c r="U16" s="12">
        <v>30</v>
      </c>
      <c r="V16" s="12">
        <v>108</v>
      </c>
      <c r="W16" s="12">
        <v>10</v>
      </c>
      <c r="X16" s="12">
        <v>113</v>
      </c>
      <c r="Y16" s="12">
        <v>66</v>
      </c>
      <c r="Z16" s="12">
        <v>103</v>
      </c>
      <c r="AA16" s="12">
        <v>25</v>
      </c>
      <c r="AB16" s="12">
        <v>124</v>
      </c>
      <c r="AC16" s="12">
        <v>50</v>
      </c>
      <c r="AD16" s="12">
        <v>35</v>
      </c>
      <c r="AE16" s="12">
        <v>112</v>
      </c>
      <c r="AF16" s="12">
        <v>85</v>
      </c>
    </row>
    <row r="17" spans="1:32" x14ac:dyDescent="0.35">
      <c r="A17" s="19"/>
      <c r="B17" s="13" t="s">
        <v>765</v>
      </c>
      <c r="C17" s="15">
        <v>0.08</v>
      </c>
      <c r="D17" s="15">
        <v>0.09</v>
      </c>
      <c r="E17" s="15">
        <v>7.0000000000000007E-2</v>
      </c>
      <c r="F17" s="15">
        <v>0.11</v>
      </c>
      <c r="G17" s="15">
        <v>0.1</v>
      </c>
      <c r="H17" s="15">
        <v>7.0000000000000007E-2</v>
      </c>
      <c r="I17" s="15">
        <v>0.06</v>
      </c>
      <c r="J17" s="15">
        <v>0.06</v>
      </c>
      <c r="K17" s="15">
        <v>7.0000000000000007E-2</v>
      </c>
      <c r="L17" s="15">
        <v>0.04</v>
      </c>
      <c r="M17" s="15">
        <v>0.05</v>
      </c>
      <c r="N17" s="15">
        <v>0.05</v>
      </c>
      <c r="O17" s="15">
        <v>7.0000000000000007E-2</v>
      </c>
      <c r="P17" s="15">
        <v>0.11</v>
      </c>
      <c r="Q17" s="15">
        <v>0.09</v>
      </c>
      <c r="R17" s="15">
        <v>0.06</v>
      </c>
      <c r="S17" s="15">
        <v>0.06</v>
      </c>
      <c r="T17" s="15">
        <v>0.04</v>
      </c>
      <c r="U17" s="15">
        <v>0.06</v>
      </c>
      <c r="V17" s="15">
        <v>0.11</v>
      </c>
      <c r="W17" s="15">
        <v>0.02</v>
      </c>
      <c r="X17" s="15">
        <v>0.11</v>
      </c>
      <c r="Y17" s="15">
        <v>7.0000000000000007E-2</v>
      </c>
      <c r="Z17" s="15">
        <v>0.1</v>
      </c>
      <c r="AA17" s="15">
        <v>0.02</v>
      </c>
      <c r="AB17" s="15">
        <v>0.12</v>
      </c>
      <c r="AC17" s="15">
        <v>0.05</v>
      </c>
      <c r="AD17" s="15">
        <v>0.04</v>
      </c>
      <c r="AE17" s="15">
        <v>0.11</v>
      </c>
      <c r="AF17" s="15">
        <v>0.08</v>
      </c>
    </row>
    <row r="18" spans="1:32" x14ac:dyDescent="0.35">
      <c r="A18" s="19"/>
      <c r="B18" s="11" t="s">
        <v>766</v>
      </c>
      <c r="C18" s="12">
        <v>506</v>
      </c>
      <c r="D18" s="12">
        <v>17</v>
      </c>
      <c r="E18" s="12">
        <v>12</v>
      </c>
      <c r="F18" s="12">
        <v>32</v>
      </c>
      <c r="G18" s="12">
        <v>27</v>
      </c>
      <c r="H18" s="12">
        <v>26</v>
      </c>
      <c r="I18" s="12">
        <v>31</v>
      </c>
      <c r="J18" s="12">
        <v>5</v>
      </c>
      <c r="K18" s="12">
        <v>21</v>
      </c>
      <c r="L18" s="12">
        <v>12</v>
      </c>
      <c r="M18" s="12">
        <v>11</v>
      </c>
      <c r="N18" s="12">
        <v>16</v>
      </c>
      <c r="O18" s="12">
        <v>19</v>
      </c>
      <c r="P18" s="12">
        <v>10</v>
      </c>
      <c r="Q18" s="12">
        <v>23</v>
      </c>
      <c r="R18" s="12">
        <v>9</v>
      </c>
      <c r="S18" s="12">
        <v>13</v>
      </c>
      <c r="T18" s="12">
        <v>7</v>
      </c>
      <c r="U18" s="12">
        <v>11</v>
      </c>
      <c r="V18" s="12">
        <v>15</v>
      </c>
      <c r="W18" s="12">
        <v>1</v>
      </c>
      <c r="X18" s="12">
        <v>42</v>
      </c>
      <c r="Y18" s="12">
        <v>11</v>
      </c>
      <c r="Z18" s="12">
        <v>15</v>
      </c>
      <c r="AA18" s="12">
        <v>7</v>
      </c>
      <c r="AB18" s="12">
        <v>25</v>
      </c>
      <c r="AC18" s="12">
        <v>4</v>
      </c>
      <c r="AD18" s="12">
        <v>5</v>
      </c>
      <c r="AE18" s="12">
        <v>27</v>
      </c>
      <c r="AF18" s="12">
        <v>22</v>
      </c>
    </row>
    <row r="19" spans="1:32" x14ac:dyDescent="0.35">
      <c r="A19" s="19"/>
      <c r="B19" s="13" t="s">
        <v>767</v>
      </c>
      <c r="C19" s="15">
        <v>0.02</v>
      </c>
      <c r="D19" s="15">
        <v>0.02</v>
      </c>
      <c r="E19" s="15">
        <v>0.01</v>
      </c>
      <c r="F19" s="15">
        <v>0.03</v>
      </c>
      <c r="G19" s="15">
        <v>0.03</v>
      </c>
      <c r="H19" s="15">
        <v>0.02</v>
      </c>
      <c r="I19" s="15">
        <v>0.02</v>
      </c>
      <c r="J19" s="15">
        <v>0.02</v>
      </c>
      <c r="K19" s="15">
        <v>0.02</v>
      </c>
      <c r="L19" s="15">
        <v>0.01</v>
      </c>
      <c r="M19" s="15">
        <v>0.01</v>
      </c>
      <c r="N19" s="15">
        <v>0.01</v>
      </c>
      <c r="O19" s="15">
        <v>0.02</v>
      </c>
      <c r="P19" s="15">
        <v>0.01</v>
      </c>
      <c r="Q19" s="15">
        <v>0.02</v>
      </c>
      <c r="R19" s="15">
        <v>0.02</v>
      </c>
      <c r="S19" s="15">
        <v>0.01</v>
      </c>
      <c r="T19" s="15">
        <v>0.01</v>
      </c>
      <c r="U19" s="15">
        <v>0.02</v>
      </c>
      <c r="V19" s="15">
        <v>0.01</v>
      </c>
      <c r="W19" s="14" t="s">
        <v>475</v>
      </c>
      <c r="X19" s="15">
        <v>0.04</v>
      </c>
      <c r="Y19" s="15">
        <v>0.01</v>
      </c>
      <c r="Z19" s="15">
        <v>0.02</v>
      </c>
      <c r="AA19" s="15">
        <v>0.01</v>
      </c>
      <c r="AB19" s="15">
        <v>0.02</v>
      </c>
      <c r="AC19" s="14" t="s">
        <v>475</v>
      </c>
      <c r="AD19" s="14" t="s">
        <v>475</v>
      </c>
      <c r="AE19" s="15">
        <v>0.03</v>
      </c>
      <c r="AF19" s="15">
        <v>0.02</v>
      </c>
    </row>
    <row r="20" spans="1:32" x14ac:dyDescent="0.35">
      <c r="A20" s="19"/>
      <c r="B20" s="11" t="s">
        <v>485</v>
      </c>
      <c r="C20" s="12">
        <v>986</v>
      </c>
      <c r="D20" s="12">
        <v>13</v>
      </c>
      <c r="E20" s="12">
        <v>86</v>
      </c>
      <c r="F20" s="12">
        <v>27</v>
      </c>
      <c r="G20" s="12">
        <v>80</v>
      </c>
      <c r="H20" s="12">
        <v>27</v>
      </c>
      <c r="I20" s="12">
        <v>33</v>
      </c>
      <c r="J20" s="12">
        <v>6</v>
      </c>
      <c r="K20" s="12">
        <v>46</v>
      </c>
      <c r="L20" s="12">
        <v>67</v>
      </c>
      <c r="M20" s="12">
        <v>16</v>
      </c>
      <c r="N20" s="12">
        <v>67</v>
      </c>
      <c r="O20" s="12">
        <v>59</v>
      </c>
      <c r="P20" s="12">
        <v>14</v>
      </c>
      <c r="Q20" s="12">
        <v>20</v>
      </c>
      <c r="R20" s="12">
        <v>7</v>
      </c>
      <c r="S20" s="12">
        <v>67</v>
      </c>
      <c r="T20" s="12">
        <v>50</v>
      </c>
      <c r="U20" s="12">
        <v>17</v>
      </c>
      <c r="V20" s="12">
        <v>40</v>
      </c>
      <c r="W20" s="12">
        <v>7</v>
      </c>
      <c r="X20" s="12">
        <v>35</v>
      </c>
      <c r="Y20" s="12">
        <v>34</v>
      </c>
      <c r="Z20" s="12">
        <v>14</v>
      </c>
      <c r="AA20" s="12">
        <v>81</v>
      </c>
      <c r="AB20" s="12">
        <v>41</v>
      </c>
      <c r="AC20" s="12">
        <v>9</v>
      </c>
      <c r="AD20" s="12">
        <v>15</v>
      </c>
      <c r="AE20" s="12">
        <v>46</v>
      </c>
      <c r="AF20" s="12">
        <v>50</v>
      </c>
    </row>
    <row r="21" spans="1:32" x14ac:dyDescent="0.35">
      <c r="A21" s="19"/>
      <c r="B21" s="13" t="s">
        <v>486</v>
      </c>
      <c r="C21" s="15">
        <v>0.04</v>
      </c>
      <c r="D21" s="15">
        <v>0.01</v>
      </c>
      <c r="E21" s="15">
        <v>0.09</v>
      </c>
      <c r="F21" s="15">
        <v>0.02</v>
      </c>
      <c r="G21" s="15">
        <v>0.08</v>
      </c>
      <c r="H21" s="15">
        <v>0.02</v>
      </c>
      <c r="I21" s="15">
        <v>0.02</v>
      </c>
      <c r="J21" s="15">
        <v>0.02</v>
      </c>
      <c r="K21" s="15">
        <v>0.05</v>
      </c>
      <c r="L21" s="15">
        <v>7.0000000000000007E-2</v>
      </c>
      <c r="M21" s="15">
        <v>0.02</v>
      </c>
      <c r="N21" s="15">
        <v>7.0000000000000007E-2</v>
      </c>
      <c r="O21" s="15">
        <v>0.06</v>
      </c>
      <c r="P21" s="15">
        <v>0.01</v>
      </c>
      <c r="Q21" s="15">
        <v>0.02</v>
      </c>
      <c r="R21" s="15">
        <v>0.01</v>
      </c>
      <c r="S21" s="15">
        <v>7.0000000000000007E-2</v>
      </c>
      <c r="T21" s="15">
        <v>0.05</v>
      </c>
      <c r="U21" s="15">
        <v>0.03</v>
      </c>
      <c r="V21" s="15">
        <v>0.04</v>
      </c>
      <c r="W21" s="15">
        <v>0.01</v>
      </c>
      <c r="X21" s="15">
        <v>0.04</v>
      </c>
      <c r="Y21" s="15">
        <v>0.03</v>
      </c>
      <c r="Z21" s="15">
        <v>0.01</v>
      </c>
      <c r="AA21" s="15">
        <v>0.08</v>
      </c>
      <c r="AB21" s="15">
        <v>0.04</v>
      </c>
      <c r="AC21" s="15">
        <v>0.01</v>
      </c>
      <c r="AD21" s="15">
        <v>0.01</v>
      </c>
      <c r="AE21" s="15">
        <v>0.04</v>
      </c>
      <c r="AF21" s="15">
        <v>0.05</v>
      </c>
    </row>
    <row r="22" spans="1:32" x14ac:dyDescent="0.35">
      <c r="A22" s="19"/>
      <c r="B22" s="11" t="s">
        <v>768</v>
      </c>
      <c r="C22" s="12">
        <v>22916</v>
      </c>
      <c r="D22" s="12">
        <v>889</v>
      </c>
      <c r="E22" s="12">
        <v>857</v>
      </c>
      <c r="F22" s="12">
        <v>923</v>
      </c>
      <c r="G22" s="12">
        <v>793</v>
      </c>
      <c r="H22" s="12">
        <v>1088</v>
      </c>
      <c r="I22" s="12">
        <v>1355</v>
      </c>
      <c r="J22" s="12">
        <v>266</v>
      </c>
      <c r="K22" s="12">
        <v>864</v>
      </c>
      <c r="L22" s="12">
        <v>883</v>
      </c>
      <c r="M22" s="12">
        <v>930</v>
      </c>
      <c r="N22" s="12">
        <v>872</v>
      </c>
      <c r="O22" s="12">
        <v>848</v>
      </c>
      <c r="P22" s="12">
        <v>874</v>
      </c>
      <c r="Q22" s="12">
        <v>892</v>
      </c>
      <c r="R22" s="12">
        <v>461</v>
      </c>
      <c r="S22" s="12">
        <v>865</v>
      </c>
      <c r="T22" s="12">
        <v>907</v>
      </c>
      <c r="U22" s="12">
        <v>446</v>
      </c>
      <c r="V22" s="12">
        <v>853</v>
      </c>
      <c r="W22" s="12">
        <v>490</v>
      </c>
      <c r="X22" s="12">
        <v>820</v>
      </c>
      <c r="Y22" s="12">
        <v>892</v>
      </c>
      <c r="Z22" s="12">
        <v>900</v>
      </c>
      <c r="AA22" s="12">
        <v>921</v>
      </c>
      <c r="AB22" s="12">
        <v>861</v>
      </c>
      <c r="AC22" s="12">
        <v>939</v>
      </c>
      <c r="AD22" s="12">
        <v>951</v>
      </c>
      <c r="AE22" s="12">
        <v>827</v>
      </c>
      <c r="AF22" s="12">
        <v>886</v>
      </c>
    </row>
    <row r="23" spans="1:32" x14ac:dyDescent="0.35">
      <c r="A23" s="19"/>
      <c r="B23" s="13" t="s">
        <v>769</v>
      </c>
      <c r="C23" s="15">
        <v>0.86</v>
      </c>
      <c r="D23" s="15">
        <v>0.88</v>
      </c>
      <c r="E23" s="15">
        <v>0.83000000000000007</v>
      </c>
      <c r="F23" s="15">
        <v>0.84</v>
      </c>
      <c r="G23" s="15">
        <v>0.79</v>
      </c>
      <c r="H23" s="15">
        <v>0.89</v>
      </c>
      <c r="I23" s="15">
        <v>0.9</v>
      </c>
      <c r="J23" s="15">
        <v>0.9</v>
      </c>
      <c r="K23" s="15">
        <v>0.86</v>
      </c>
      <c r="L23" s="15">
        <v>0.88</v>
      </c>
      <c r="M23" s="15">
        <v>0.92</v>
      </c>
      <c r="N23" s="15">
        <v>0.87</v>
      </c>
      <c r="O23" s="15">
        <v>0.85</v>
      </c>
      <c r="P23" s="15">
        <v>0.87</v>
      </c>
      <c r="Q23" s="15">
        <v>0.87</v>
      </c>
      <c r="R23" s="15">
        <v>0.91</v>
      </c>
      <c r="S23" s="15">
        <v>0.86</v>
      </c>
      <c r="T23" s="15">
        <v>0.9</v>
      </c>
      <c r="U23" s="15">
        <v>0.89</v>
      </c>
      <c r="V23" s="15">
        <v>0.84</v>
      </c>
      <c r="W23" s="15">
        <v>0.97</v>
      </c>
      <c r="X23" s="15">
        <v>0.81</v>
      </c>
      <c r="Y23" s="15">
        <v>0.89</v>
      </c>
      <c r="Z23" s="15">
        <v>0.87</v>
      </c>
      <c r="AA23" s="15">
        <v>0.89</v>
      </c>
      <c r="AB23" s="15">
        <v>0.82000000000000006</v>
      </c>
      <c r="AC23" s="15">
        <v>0.94000000000000006</v>
      </c>
      <c r="AD23" s="15">
        <v>0.95000000000000007</v>
      </c>
      <c r="AE23" s="15">
        <v>0.82000000000000006</v>
      </c>
      <c r="AF23" s="15">
        <v>0.85</v>
      </c>
    </row>
    <row r="24" spans="1:32" x14ac:dyDescent="0.35">
      <c r="A24" s="19"/>
      <c r="B24" s="11" t="s">
        <v>770</v>
      </c>
      <c r="C24" s="12">
        <v>2543</v>
      </c>
      <c r="D24" s="12">
        <v>111</v>
      </c>
      <c r="E24" s="12">
        <v>87</v>
      </c>
      <c r="F24" s="12">
        <v>152</v>
      </c>
      <c r="G24" s="12">
        <v>133</v>
      </c>
      <c r="H24" s="12">
        <v>105</v>
      </c>
      <c r="I24" s="12">
        <v>128</v>
      </c>
      <c r="J24" s="12">
        <v>23</v>
      </c>
      <c r="K24" s="12">
        <v>91</v>
      </c>
      <c r="L24" s="12">
        <v>52</v>
      </c>
      <c r="M24" s="12">
        <v>63</v>
      </c>
      <c r="N24" s="12">
        <v>64</v>
      </c>
      <c r="O24" s="12">
        <v>94</v>
      </c>
      <c r="P24" s="12">
        <v>116</v>
      </c>
      <c r="Q24" s="12">
        <v>115</v>
      </c>
      <c r="R24" s="12">
        <v>37</v>
      </c>
      <c r="S24" s="12">
        <v>70</v>
      </c>
      <c r="T24" s="12">
        <v>48</v>
      </c>
      <c r="U24" s="12">
        <v>41</v>
      </c>
      <c r="V24" s="12">
        <v>123</v>
      </c>
      <c r="W24" s="12">
        <v>11</v>
      </c>
      <c r="X24" s="12">
        <v>155</v>
      </c>
      <c r="Y24" s="12">
        <v>77</v>
      </c>
      <c r="Z24" s="12">
        <v>118</v>
      </c>
      <c r="AA24" s="12">
        <v>32</v>
      </c>
      <c r="AB24" s="12">
        <v>149</v>
      </c>
      <c r="AC24" s="12">
        <v>54</v>
      </c>
      <c r="AD24" s="12">
        <v>40</v>
      </c>
      <c r="AE24" s="12">
        <v>139</v>
      </c>
      <c r="AF24" s="12">
        <v>107</v>
      </c>
    </row>
    <row r="25" spans="1:32" x14ac:dyDescent="0.35">
      <c r="A25" s="19"/>
      <c r="B25" s="13" t="s">
        <v>771</v>
      </c>
      <c r="C25" s="15">
        <v>0.1</v>
      </c>
      <c r="D25" s="15">
        <v>0.11</v>
      </c>
      <c r="E25" s="15">
        <v>0.08</v>
      </c>
      <c r="F25" s="15">
        <v>0.14000000000000001</v>
      </c>
      <c r="G25" s="15">
        <v>0.13</v>
      </c>
      <c r="H25" s="15">
        <v>0.09</v>
      </c>
      <c r="I25" s="15">
        <v>0.08</v>
      </c>
      <c r="J25" s="15">
        <v>0.08</v>
      </c>
      <c r="K25" s="15">
        <v>0.09</v>
      </c>
      <c r="L25" s="15">
        <v>0.05</v>
      </c>
      <c r="M25" s="15">
        <v>0.06</v>
      </c>
      <c r="N25" s="15">
        <v>0.06</v>
      </c>
      <c r="O25" s="15">
        <v>0.09</v>
      </c>
      <c r="P25" s="15">
        <v>0.12</v>
      </c>
      <c r="Q25" s="15">
        <v>0.11</v>
      </c>
      <c r="R25" s="15">
        <v>0.08</v>
      </c>
      <c r="S25" s="15">
        <v>7.0000000000000007E-2</v>
      </c>
      <c r="T25" s="15">
        <v>0.05</v>
      </c>
      <c r="U25" s="15">
        <v>0.08</v>
      </c>
      <c r="V25" s="15">
        <v>0.12</v>
      </c>
      <c r="W25" s="15">
        <v>0.02</v>
      </c>
      <c r="X25" s="15">
        <v>0.15</v>
      </c>
      <c r="Y25" s="15">
        <v>0.08</v>
      </c>
      <c r="Z25" s="15">
        <v>0.12</v>
      </c>
      <c r="AA25" s="15">
        <v>0.03</v>
      </c>
      <c r="AB25" s="15">
        <v>0.14000000000000001</v>
      </c>
      <c r="AC25" s="15">
        <v>0.05</v>
      </c>
      <c r="AD25" s="15">
        <v>0.04</v>
      </c>
      <c r="AE25" s="15">
        <v>0.14000000000000001</v>
      </c>
      <c r="AF25" s="15">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Q25"/>
  <sheetViews>
    <sheetView workbookViewId="0">
      <pane xSplit="3" ySplit="9" topLeftCell="D10" activePane="bottomRight" state="frozen"/>
      <selection pane="topRight"/>
      <selection pane="bottomLeft"/>
      <selection pane="bottomRight" activeCell="AF23" sqref="AF23"/>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1019</v>
      </c>
      <c r="C3" s="18"/>
      <c r="D3" s="18"/>
      <c r="E3" s="18"/>
      <c r="F3" s="18"/>
      <c r="H3" s="18" t="s">
        <v>1020</v>
      </c>
      <c r="I3" s="18"/>
      <c r="J3" s="18"/>
      <c r="K3" s="18"/>
      <c r="L3" s="18"/>
    </row>
    <row r="4" spans="1:43" ht="27" customHeight="1" x14ac:dyDescent="0.35">
      <c r="B4" s="18" t="s">
        <v>1021</v>
      </c>
      <c r="C4" s="18"/>
      <c r="D4" s="18"/>
      <c r="E4" s="18"/>
      <c r="F4" s="18"/>
      <c r="H4" s="18" t="s">
        <v>1022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HYPERLINK("#Content!A104","&lt;&lt;Back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1023</v>
      </c>
      <c r="C12" s="12">
        <v>12548</v>
      </c>
      <c r="D12" s="12">
        <v>330</v>
      </c>
      <c r="E12" s="12">
        <v>729</v>
      </c>
      <c r="F12" s="12">
        <v>401</v>
      </c>
      <c r="G12" s="12">
        <v>504</v>
      </c>
      <c r="H12" s="12">
        <v>613</v>
      </c>
      <c r="I12" s="12">
        <v>751</v>
      </c>
      <c r="J12" s="12">
        <v>138</v>
      </c>
      <c r="K12" s="12">
        <v>375</v>
      </c>
      <c r="L12" s="12">
        <v>651</v>
      </c>
      <c r="M12" s="12">
        <v>729</v>
      </c>
      <c r="N12" s="12">
        <v>564</v>
      </c>
      <c r="O12" s="12">
        <v>419</v>
      </c>
      <c r="P12" s="12">
        <v>615</v>
      </c>
      <c r="Q12" s="12">
        <v>457</v>
      </c>
      <c r="R12" s="12">
        <v>280</v>
      </c>
      <c r="S12" s="12">
        <v>626</v>
      </c>
      <c r="T12" s="12">
        <v>452</v>
      </c>
      <c r="U12" s="12">
        <v>210</v>
      </c>
      <c r="V12" s="12">
        <v>494</v>
      </c>
      <c r="W12" s="12">
        <v>197</v>
      </c>
      <c r="X12" s="12">
        <v>303</v>
      </c>
      <c r="Y12" s="12">
        <v>628</v>
      </c>
      <c r="Z12" s="12">
        <v>473</v>
      </c>
      <c r="AA12" s="12">
        <v>465</v>
      </c>
      <c r="AB12" s="12">
        <v>440</v>
      </c>
      <c r="AC12" s="12">
        <v>603</v>
      </c>
      <c r="AD12" s="12">
        <v>568</v>
      </c>
      <c r="AE12" s="12">
        <v>438</v>
      </c>
      <c r="AF12" s="12">
        <v>447</v>
      </c>
      <c r="AG12" s="12">
        <v>480</v>
      </c>
      <c r="AH12" s="12">
        <v>540</v>
      </c>
      <c r="AI12" s="12">
        <v>387</v>
      </c>
      <c r="AJ12" s="12">
        <v>567</v>
      </c>
      <c r="AK12" s="12">
        <v>729</v>
      </c>
      <c r="AL12" s="12">
        <v>662</v>
      </c>
      <c r="AM12" s="12">
        <v>404</v>
      </c>
      <c r="AN12" s="12">
        <v>496</v>
      </c>
      <c r="AO12" s="12">
        <v>791</v>
      </c>
      <c r="AP12" s="12">
        <v>287</v>
      </c>
      <c r="AQ12" s="12">
        <v>593</v>
      </c>
    </row>
    <row r="13" spans="1:43" x14ac:dyDescent="0.35">
      <c r="A13" s="19"/>
      <c r="B13" s="13" t="s">
        <v>1024</v>
      </c>
      <c r="C13" s="15">
        <v>0.47</v>
      </c>
      <c r="D13" s="15">
        <v>0.33</v>
      </c>
      <c r="E13" s="15">
        <v>0.71</v>
      </c>
      <c r="F13" s="15">
        <v>0.36</v>
      </c>
      <c r="G13" s="15">
        <v>0.5</v>
      </c>
      <c r="H13" s="15">
        <v>0.5</v>
      </c>
      <c r="I13" s="15">
        <v>0.49</v>
      </c>
      <c r="J13" s="15">
        <v>0.47</v>
      </c>
      <c r="K13" s="15">
        <v>0.37</v>
      </c>
      <c r="L13" s="15">
        <v>0.65</v>
      </c>
      <c r="M13" s="15">
        <v>0.72</v>
      </c>
      <c r="N13" s="15">
        <v>0.56000000000000005</v>
      </c>
      <c r="O13" s="15">
        <v>0.42</v>
      </c>
      <c r="P13" s="15">
        <v>0.61</v>
      </c>
      <c r="Q13" s="15">
        <v>0.44</v>
      </c>
      <c r="R13" s="15">
        <v>0.56000000000000005</v>
      </c>
      <c r="S13" s="15">
        <v>0.62</v>
      </c>
      <c r="T13" s="15">
        <v>0.45</v>
      </c>
      <c r="U13" s="15">
        <v>0.42</v>
      </c>
      <c r="V13" s="15">
        <v>0.48</v>
      </c>
      <c r="W13" s="15">
        <v>0.39</v>
      </c>
      <c r="X13" s="15">
        <v>0.3</v>
      </c>
      <c r="Y13" s="15">
        <v>0.63</v>
      </c>
      <c r="Z13" s="15">
        <v>0.46</v>
      </c>
      <c r="AA13" s="15">
        <v>0.45</v>
      </c>
      <c r="AB13" s="15">
        <v>0.42</v>
      </c>
      <c r="AC13" s="15">
        <v>0.6</v>
      </c>
      <c r="AD13" s="15">
        <v>0.57000000000000006</v>
      </c>
      <c r="AE13" s="15">
        <v>0.43</v>
      </c>
      <c r="AF13" s="15">
        <v>0.43</v>
      </c>
      <c r="AG13" s="15">
        <v>0.46</v>
      </c>
      <c r="AH13" s="15">
        <v>0.53</v>
      </c>
      <c r="AI13" s="15">
        <v>0.74</v>
      </c>
      <c r="AJ13" s="15">
        <v>0.55000000000000004</v>
      </c>
      <c r="AK13" s="15">
        <v>0.72</v>
      </c>
      <c r="AL13" s="15">
        <v>0.65</v>
      </c>
      <c r="AM13" s="15">
        <v>0.39</v>
      </c>
      <c r="AN13" s="15">
        <v>0.49</v>
      </c>
      <c r="AO13" s="15">
        <v>0.79</v>
      </c>
      <c r="AP13" s="15">
        <v>0.55000000000000004</v>
      </c>
      <c r="AQ13" s="15">
        <v>0.59</v>
      </c>
    </row>
    <row r="14" spans="1:43" x14ac:dyDescent="0.35">
      <c r="A14" s="19"/>
      <c r="B14" s="11" t="s">
        <v>1025</v>
      </c>
      <c r="C14" s="12">
        <v>11044</v>
      </c>
      <c r="D14" s="12">
        <v>466</v>
      </c>
      <c r="E14" s="12">
        <v>246</v>
      </c>
      <c r="F14" s="12">
        <v>522</v>
      </c>
      <c r="G14" s="12">
        <v>356</v>
      </c>
      <c r="H14" s="12">
        <v>479</v>
      </c>
      <c r="I14" s="12">
        <v>602</v>
      </c>
      <c r="J14" s="12">
        <v>123</v>
      </c>
      <c r="K14" s="12">
        <v>441</v>
      </c>
      <c r="L14" s="12">
        <v>288</v>
      </c>
      <c r="M14" s="12">
        <v>252</v>
      </c>
      <c r="N14" s="12">
        <v>371</v>
      </c>
      <c r="O14" s="12">
        <v>438</v>
      </c>
      <c r="P14" s="12">
        <v>294</v>
      </c>
      <c r="Q14" s="12">
        <v>491</v>
      </c>
      <c r="R14" s="12">
        <v>177</v>
      </c>
      <c r="S14" s="12">
        <v>288</v>
      </c>
      <c r="T14" s="12">
        <v>413</v>
      </c>
      <c r="U14" s="12">
        <v>212</v>
      </c>
      <c r="V14" s="12">
        <v>456</v>
      </c>
      <c r="W14" s="12">
        <v>195</v>
      </c>
      <c r="X14" s="12">
        <v>426</v>
      </c>
      <c r="Y14" s="12">
        <v>315</v>
      </c>
      <c r="Z14" s="12">
        <v>495</v>
      </c>
      <c r="AA14" s="12">
        <v>547</v>
      </c>
      <c r="AB14" s="12">
        <v>461</v>
      </c>
      <c r="AC14" s="12">
        <v>310</v>
      </c>
      <c r="AD14" s="12">
        <v>354</v>
      </c>
      <c r="AE14" s="12">
        <v>435</v>
      </c>
      <c r="AF14" s="12">
        <v>431</v>
      </c>
      <c r="AG14" s="12">
        <v>386</v>
      </c>
      <c r="AH14" s="12">
        <v>376</v>
      </c>
      <c r="AI14" s="12">
        <v>94</v>
      </c>
      <c r="AJ14" s="12">
        <v>351</v>
      </c>
      <c r="AK14" s="12">
        <v>248</v>
      </c>
      <c r="AL14" s="12">
        <v>268</v>
      </c>
      <c r="AM14" s="12">
        <v>454</v>
      </c>
      <c r="AN14" s="12">
        <v>405</v>
      </c>
      <c r="AO14" s="12">
        <v>195</v>
      </c>
      <c r="AP14" s="12">
        <v>169</v>
      </c>
      <c r="AQ14" s="12">
        <v>232</v>
      </c>
    </row>
    <row r="15" spans="1:43" x14ac:dyDescent="0.35">
      <c r="A15" s="19"/>
      <c r="B15" s="13" t="s">
        <v>1026</v>
      </c>
      <c r="C15" s="15">
        <v>0.42</v>
      </c>
      <c r="D15" s="15">
        <v>0.46</v>
      </c>
      <c r="E15" s="15">
        <v>0.24</v>
      </c>
      <c r="F15" s="15">
        <v>0.47</v>
      </c>
      <c r="G15" s="15">
        <v>0.36</v>
      </c>
      <c r="H15" s="15">
        <v>0.39</v>
      </c>
      <c r="I15" s="15">
        <v>0.4</v>
      </c>
      <c r="J15" s="15">
        <v>0.41</v>
      </c>
      <c r="K15" s="15">
        <v>0.44</v>
      </c>
      <c r="L15" s="15">
        <v>0.28999999999999998</v>
      </c>
      <c r="M15" s="15">
        <v>0.25</v>
      </c>
      <c r="N15" s="15">
        <v>0.37</v>
      </c>
      <c r="O15" s="15">
        <v>0.44</v>
      </c>
      <c r="P15" s="15">
        <v>0.28999999999999998</v>
      </c>
      <c r="Q15" s="15">
        <v>0.48</v>
      </c>
      <c r="R15" s="15">
        <v>0.35</v>
      </c>
      <c r="S15" s="15">
        <v>0.28999999999999998</v>
      </c>
      <c r="T15" s="15">
        <v>0.41</v>
      </c>
      <c r="U15" s="15">
        <v>0.42</v>
      </c>
      <c r="V15" s="15">
        <v>0.45</v>
      </c>
      <c r="W15" s="15">
        <v>0.38</v>
      </c>
      <c r="X15" s="15">
        <v>0.42</v>
      </c>
      <c r="Y15" s="15">
        <v>0.31</v>
      </c>
      <c r="Z15" s="15">
        <v>0.48</v>
      </c>
      <c r="AA15" s="15">
        <v>0.53</v>
      </c>
      <c r="AB15" s="15">
        <v>0.44</v>
      </c>
      <c r="AC15" s="15">
        <v>0.31</v>
      </c>
      <c r="AD15" s="15">
        <v>0.35</v>
      </c>
      <c r="AE15" s="15">
        <v>0.43</v>
      </c>
      <c r="AF15" s="15">
        <v>0.41</v>
      </c>
      <c r="AG15" s="15">
        <v>0.37</v>
      </c>
      <c r="AH15" s="15">
        <v>0.37</v>
      </c>
      <c r="AI15" s="15">
        <v>0.18</v>
      </c>
      <c r="AJ15" s="15">
        <v>0.34</v>
      </c>
      <c r="AK15" s="15">
        <v>0.25</v>
      </c>
      <c r="AL15" s="15">
        <v>0.27</v>
      </c>
      <c r="AM15" s="15">
        <v>0.44</v>
      </c>
      <c r="AN15" s="15">
        <v>0.4</v>
      </c>
      <c r="AO15" s="15">
        <v>0.2</v>
      </c>
      <c r="AP15" s="15">
        <v>0.32</v>
      </c>
      <c r="AQ15" s="15">
        <v>0.23</v>
      </c>
    </row>
    <row r="16" spans="1:43" x14ac:dyDescent="0.35">
      <c r="A16" s="19"/>
      <c r="B16" s="11" t="s">
        <v>1027</v>
      </c>
      <c r="C16" s="12">
        <v>2404</v>
      </c>
      <c r="D16" s="12">
        <v>167</v>
      </c>
      <c r="E16" s="12">
        <v>51</v>
      </c>
      <c r="F16" s="12">
        <v>120</v>
      </c>
      <c r="G16" s="12">
        <v>131</v>
      </c>
      <c r="H16" s="12">
        <v>119</v>
      </c>
      <c r="I16" s="12">
        <v>149</v>
      </c>
      <c r="J16" s="12">
        <v>30</v>
      </c>
      <c r="K16" s="12">
        <v>167</v>
      </c>
      <c r="L16" s="12">
        <v>53</v>
      </c>
      <c r="M16" s="12">
        <v>25</v>
      </c>
      <c r="N16" s="12">
        <v>60</v>
      </c>
      <c r="O16" s="12">
        <v>106</v>
      </c>
      <c r="P16" s="12">
        <v>78</v>
      </c>
      <c r="Q16" s="12">
        <v>71</v>
      </c>
      <c r="R16" s="12">
        <v>39</v>
      </c>
      <c r="S16" s="12">
        <v>70</v>
      </c>
      <c r="T16" s="12">
        <v>122</v>
      </c>
      <c r="U16" s="12">
        <v>55</v>
      </c>
      <c r="V16" s="12">
        <v>58</v>
      </c>
      <c r="W16" s="12">
        <v>90</v>
      </c>
      <c r="X16" s="12">
        <v>247</v>
      </c>
      <c r="Y16" s="12">
        <v>55</v>
      </c>
      <c r="Z16" s="12">
        <v>58</v>
      </c>
      <c r="AA16" s="12">
        <v>18</v>
      </c>
      <c r="AB16" s="12">
        <v>122</v>
      </c>
      <c r="AC16" s="12">
        <v>81</v>
      </c>
      <c r="AD16" s="12">
        <v>74</v>
      </c>
      <c r="AE16" s="12">
        <v>123</v>
      </c>
      <c r="AF16" s="12">
        <v>140</v>
      </c>
      <c r="AG16" s="12">
        <v>112</v>
      </c>
      <c r="AH16" s="12">
        <v>69</v>
      </c>
      <c r="AI16" s="12">
        <v>22</v>
      </c>
      <c r="AJ16" s="12">
        <v>108</v>
      </c>
      <c r="AK16" s="12">
        <v>26</v>
      </c>
      <c r="AL16" s="12">
        <v>57</v>
      </c>
      <c r="AM16" s="12">
        <v>138</v>
      </c>
      <c r="AN16" s="12">
        <v>95</v>
      </c>
      <c r="AO16" s="12">
        <v>14</v>
      </c>
      <c r="AP16" s="12">
        <v>44</v>
      </c>
      <c r="AQ16" s="12">
        <v>120</v>
      </c>
    </row>
    <row r="17" spans="1:43" x14ac:dyDescent="0.35">
      <c r="A17" s="19"/>
      <c r="B17" s="13" t="s">
        <v>1028</v>
      </c>
      <c r="C17" s="15">
        <v>0.09</v>
      </c>
      <c r="D17" s="15">
        <v>0.16</v>
      </c>
      <c r="E17" s="15">
        <v>0.05</v>
      </c>
      <c r="F17" s="15">
        <v>0.11</v>
      </c>
      <c r="G17" s="15">
        <v>0.13</v>
      </c>
      <c r="H17" s="15">
        <v>0.1</v>
      </c>
      <c r="I17" s="15">
        <v>0.1</v>
      </c>
      <c r="J17" s="15">
        <v>0.1</v>
      </c>
      <c r="K17" s="15">
        <v>0.17</v>
      </c>
      <c r="L17" s="15">
        <v>0.05</v>
      </c>
      <c r="M17" s="15">
        <v>0.03</v>
      </c>
      <c r="N17" s="15">
        <v>0.06</v>
      </c>
      <c r="O17" s="15">
        <v>0.1</v>
      </c>
      <c r="P17" s="15">
        <v>0.08</v>
      </c>
      <c r="Q17" s="15">
        <v>7.0000000000000007E-2</v>
      </c>
      <c r="R17" s="15">
        <v>0.08</v>
      </c>
      <c r="S17" s="15">
        <v>7.0000000000000007E-2</v>
      </c>
      <c r="T17" s="15">
        <v>0.12</v>
      </c>
      <c r="U17" s="15">
        <v>0.11</v>
      </c>
      <c r="V17" s="15">
        <v>0.06</v>
      </c>
      <c r="W17" s="15">
        <v>0.18</v>
      </c>
      <c r="X17" s="15">
        <v>0.25</v>
      </c>
      <c r="Y17" s="15">
        <v>0.05</v>
      </c>
      <c r="Z17" s="15">
        <v>0.06</v>
      </c>
      <c r="AA17" s="15">
        <v>0.02</v>
      </c>
      <c r="AB17" s="15">
        <v>0.11</v>
      </c>
      <c r="AC17" s="15">
        <v>0.08</v>
      </c>
      <c r="AD17" s="15">
        <v>7.0000000000000007E-2</v>
      </c>
      <c r="AE17" s="15">
        <v>0.12</v>
      </c>
      <c r="AF17" s="15">
        <v>0.14000000000000001</v>
      </c>
      <c r="AG17" s="15">
        <v>0.11</v>
      </c>
      <c r="AH17" s="15">
        <v>7.0000000000000007E-2</v>
      </c>
      <c r="AI17" s="15">
        <v>0.04</v>
      </c>
      <c r="AJ17" s="15">
        <v>0.1</v>
      </c>
      <c r="AK17" s="15">
        <v>0.03</v>
      </c>
      <c r="AL17" s="15">
        <v>0.06</v>
      </c>
      <c r="AM17" s="15">
        <v>0.13</v>
      </c>
      <c r="AN17" s="15">
        <v>0.1</v>
      </c>
      <c r="AO17" s="15">
        <v>0.01</v>
      </c>
      <c r="AP17" s="15">
        <v>0.09</v>
      </c>
      <c r="AQ17" s="15">
        <v>0.12</v>
      </c>
    </row>
    <row r="18" spans="1:43" x14ac:dyDescent="0.35">
      <c r="A18" s="19"/>
      <c r="B18" s="11" t="s">
        <v>1029</v>
      </c>
      <c r="C18" s="12">
        <v>421</v>
      </c>
      <c r="D18" s="12">
        <v>49</v>
      </c>
      <c r="E18" s="12">
        <v>2</v>
      </c>
      <c r="F18" s="12">
        <v>53</v>
      </c>
      <c r="G18" s="12">
        <v>11</v>
      </c>
      <c r="H18" s="12">
        <v>8</v>
      </c>
      <c r="I18" s="12">
        <v>13</v>
      </c>
      <c r="J18" s="12">
        <v>5</v>
      </c>
      <c r="K18" s="12">
        <v>16</v>
      </c>
      <c r="L18" s="12">
        <v>9</v>
      </c>
      <c r="M18" s="12">
        <v>5</v>
      </c>
      <c r="N18" s="12">
        <v>8</v>
      </c>
      <c r="O18" s="12">
        <v>36</v>
      </c>
      <c r="P18" s="12">
        <v>16</v>
      </c>
      <c r="Q18" s="12">
        <v>8</v>
      </c>
      <c r="R18" s="12">
        <v>7</v>
      </c>
      <c r="S18" s="12">
        <v>17</v>
      </c>
      <c r="T18" s="12">
        <v>18</v>
      </c>
      <c r="U18" s="12">
        <v>24</v>
      </c>
      <c r="V18" s="12">
        <v>7</v>
      </c>
      <c r="W18" s="12">
        <v>26</v>
      </c>
      <c r="X18" s="12">
        <v>32</v>
      </c>
      <c r="Y18" s="12">
        <v>5</v>
      </c>
      <c r="Z18" s="12">
        <v>2</v>
      </c>
      <c r="AA18" s="12">
        <v>2</v>
      </c>
      <c r="AB18" s="12">
        <v>28</v>
      </c>
      <c r="AC18" s="12">
        <v>8</v>
      </c>
      <c r="AD18" s="12">
        <v>9</v>
      </c>
      <c r="AE18" s="12">
        <v>16</v>
      </c>
      <c r="AF18" s="12">
        <v>24</v>
      </c>
      <c r="AG18" s="12">
        <v>58</v>
      </c>
      <c r="AH18" s="12">
        <v>28</v>
      </c>
      <c r="AI18" s="12">
        <v>20</v>
      </c>
      <c r="AJ18" s="12">
        <v>11</v>
      </c>
      <c r="AK18" s="12">
        <v>4</v>
      </c>
      <c r="AL18" s="12">
        <v>22</v>
      </c>
      <c r="AM18" s="12">
        <v>43</v>
      </c>
      <c r="AN18" s="12">
        <v>6</v>
      </c>
      <c r="AO18" s="12">
        <v>3</v>
      </c>
      <c r="AP18" s="12">
        <v>23</v>
      </c>
      <c r="AQ18" s="12">
        <v>57</v>
      </c>
    </row>
    <row r="19" spans="1:43" x14ac:dyDescent="0.35">
      <c r="A19" s="19"/>
      <c r="B19" s="13" t="s">
        <v>1030</v>
      </c>
      <c r="C19" s="15">
        <v>0.02</v>
      </c>
      <c r="D19" s="15">
        <v>0.05</v>
      </c>
      <c r="E19" s="14" t="s">
        <v>475</v>
      </c>
      <c r="F19" s="15">
        <v>0.05</v>
      </c>
      <c r="G19" s="15">
        <v>0.01</v>
      </c>
      <c r="H19" s="15">
        <v>0.01</v>
      </c>
      <c r="I19" s="15">
        <v>0.01</v>
      </c>
      <c r="J19" s="15">
        <v>0.02</v>
      </c>
      <c r="K19" s="15">
        <v>0.02</v>
      </c>
      <c r="L19" s="15">
        <v>0.01</v>
      </c>
      <c r="M19" s="14" t="s">
        <v>475</v>
      </c>
      <c r="N19" s="15">
        <v>0.01</v>
      </c>
      <c r="O19" s="15">
        <v>0.04</v>
      </c>
      <c r="P19" s="15">
        <v>0.02</v>
      </c>
      <c r="Q19" s="15">
        <v>0.01</v>
      </c>
      <c r="R19" s="15">
        <v>0.01</v>
      </c>
      <c r="S19" s="15">
        <v>0.02</v>
      </c>
      <c r="T19" s="15">
        <v>0.02</v>
      </c>
      <c r="U19" s="15">
        <v>0.05</v>
      </c>
      <c r="V19" s="15">
        <v>0.01</v>
      </c>
      <c r="W19" s="15">
        <v>0.05</v>
      </c>
      <c r="X19" s="15">
        <v>0.03</v>
      </c>
      <c r="Y19" s="15">
        <v>0.01</v>
      </c>
      <c r="Z19" s="14" t="s">
        <v>475</v>
      </c>
      <c r="AA19" s="14" t="s">
        <v>475</v>
      </c>
      <c r="AB19" s="15">
        <v>0.03</v>
      </c>
      <c r="AC19" s="15">
        <v>0.01</v>
      </c>
      <c r="AD19" s="15">
        <v>0.01</v>
      </c>
      <c r="AE19" s="15">
        <v>0.02</v>
      </c>
      <c r="AF19" s="15">
        <v>0.02</v>
      </c>
      <c r="AG19" s="15">
        <v>0.06</v>
      </c>
      <c r="AH19" s="15">
        <v>0.03</v>
      </c>
      <c r="AI19" s="15">
        <v>0.04</v>
      </c>
      <c r="AJ19" s="15">
        <v>0.01</v>
      </c>
      <c r="AK19" s="14" t="s">
        <v>475</v>
      </c>
      <c r="AL19" s="15">
        <v>0.02</v>
      </c>
      <c r="AM19" s="15">
        <v>0.04</v>
      </c>
      <c r="AN19" s="15">
        <v>0.01</v>
      </c>
      <c r="AO19" s="14" t="s">
        <v>475</v>
      </c>
      <c r="AP19" s="15">
        <v>0.04</v>
      </c>
      <c r="AQ19" s="15">
        <v>0.06</v>
      </c>
    </row>
    <row r="20" spans="1:43" x14ac:dyDescent="0.35">
      <c r="A20" s="19"/>
      <c r="B20" s="11" t="s">
        <v>485</v>
      </c>
      <c r="C20" s="12">
        <v>28</v>
      </c>
      <c r="D20" s="12">
        <v>0</v>
      </c>
      <c r="E20" s="12">
        <v>3</v>
      </c>
      <c r="F20" s="12">
        <v>6</v>
      </c>
      <c r="G20" s="12">
        <v>3</v>
      </c>
      <c r="H20" s="12">
        <v>2</v>
      </c>
      <c r="I20" s="12">
        <v>2</v>
      </c>
      <c r="J20" s="12">
        <v>0</v>
      </c>
      <c r="K20" s="12">
        <v>2</v>
      </c>
      <c r="L20" s="12">
        <v>1</v>
      </c>
      <c r="M20" s="12">
        <v>0</v>
      </c>
      <c r="N20" s="12">
        <v>0</v>
      </c>
      <c r="O20" s="12">
        <v>2</v>
      </c>
      <c r="P20" s="12">
        <v>1</v>
      </c>
      <c r="Q20" s="12">
        <v>0</v>
      </c>
      <c r="R20" s="12">
        <v>0</v>
      </c>
      <c r="S20" s="12">
        <v>2</v>
      </c>
      <c r="T20" s="12">
        <v>0</v>
      </c>
      <c r="U20" s="12">
        <v>2</v>
      </c>
      <c r="V20" s="12">
        <v>0</v>
      </c>
      <c r="W20" s="12">
        <v>0</v>
      </c>
      <c r="X20" s="12">
        <v>0</v>
      </c>
      <c r="Y20" s="12">
        <v>1</v>
      </c>
      <c r="Z20" s="12">
        <v>2</v>
      </c>
      <c r="AA20" s="12">
        <v>1</v>
      </c>
      <c r="AB20" s="12">
        <v>0</v>
      </c>
      <c r="AC20" s="12">
        <v>1</v>
      </c>
      <c r="AD20" s="12">
        <v>0</v>
      </c>
      <c r="AE20" s="12">
        <v>1</v>
      </c>
      <c r="AF20" s="12">
        <v>1</v>
      </c>
      <c r="AG20" s="12">
        <v>0</v>
      </c>
      <c r="AH20" s="12">
        <v>0</v>
      </c>
      <c r="AI20" s="12">
        <v>1</v>
      </c>
      <c r="AJ20" s="12">
        <v>0</v>
      </c>
      <c r="AK20" s="12">
        <v>0</v>
      </c>
      <c r="AL20" s="12">
        <v>3</v>
      </c>
      <c r="AM20" s="12">
        <v>1</v>
      </c>
      <c r="AN20" s="12">
        <v>0</v>
      </c>
      <c r="AO20" s="12">
        <v>2</v>
      </c>
      <c r="AP20" s="12">
        <v>0</v>
      </c>
      <c r="AQ20" s="12">
        <v>0</v>
      </c>
    </row>
    <row r="21" spans="1:43" x14ac:dyDescent="0.35">
      <c r="A21" s="19"/>
      <c r="B21" s="13" t="s">
        <v>486</v>
      </c>
      <c r="C21" s="14" t="s">
        <v>475</v>
      </c>
      <c r="D21" s="14" t="s">
        <v>475</v>
      </c>
      <c r="E21" s="14" t="s">
        <v>475</v>
      </c>
      <c r="F21" s="15">
        <v>0.01</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row r="22" spans="1:43" x14ac:dyDescent="0.35">
      <c r="A22" s="19"/>
      <c r="B22" s="11" t="s">
        <v>1031</v>
      </c>
      <c r="C22" s="12">
        <v>23592</v>
      </c>
      <c r="D22" s="12">
        <v>796</v>
      </c>
      <c r="E22" s="12">
        <v>975</v>
      </c>
      <c r="F22" s="12">
        <v>923</v>
      </c>
      <c r="G22" s="12">
        <v>860</v>
      </c>
      <c r="H22" s="12">
        <v>1092</v>
      </c>
      <c r="I22" s="12">
        <v>1353</v>
      </c>
      <c r="J22" s="12">
        <v>261</v>
      </c>
      <c r="K22" s="12">
        <v>816</v>
      </c>
      <c r="L22" s="12">
        <v>939</v>
      </c>
      <c r="M22" s="12">
        <v>981</v>
      </c>
      <c r="N22" s="12">
        <v>935</v>
      </c>
      <c r="O22" s="12">
        <v>857</v>
      </c>
      <c r="P22" s="12">
        <v>909</v>
      </c>
      <c r="Q22" s="12">
        <v>948</v>
      </c>
      <c r="R22" s="12">
        <v>457</v>
      </c>
      <c r="S22" s="12">
        <v>914</v>
      </c>
      <c r="T22" s="12">
        <v>865</v>
      </c>
      <c r="U22" s="12">
        <v>422</v>
      </c>
      <c r="V22" s="12">
        <v>950</v>
      </c>
      <c r="W22" s="12">
        <v>392</v>
      </c>
      <c r="X22" s="12">
        <v>729</v>
      </c>
      <c r="Y22" s="12">
        <v>943</v>
      </c>
      <c r="Z22" s="12">
        <v>968</v>
      </c>
      <c r="AA22" s="12">
        <v>1012</v>
      </c>
      <c r="AB22" s="12">
        <v>901</v>
      </c>
      <c r="AC22" s="12">
        <v>913</v>
      </c>
      <c r="AD22" s="12">
        <v>922</v>
      </c>
      <c r="AE22" s="12">
        <v>873</v>
      </c>
      <c r="AF22" s="12">
        <v>878</v>
      </c>
      <c r="AG22" s="12">
        <v>866</v>
      </c>
      <c r="AH22" s="12">
        <v>916</v>
      </c>
      <c r="AI22" s="12">
        <v>481</v>
      </c>
      <c r="AJ22" s="12">
        <v>918</v>
      </c>
      <c r="AK22" s="12">
        <v>977</v>
      </c>
      <c r="AL22" s="12">
        <v>930</v>
      </c>
      <c r="AM22" s="12">
        <v>858</v>
      </c>
      <c r="AN22" s="12">
        <v>901</v>
      </c>
      <c r="AO22" s="12">
        <v>986</v>
      </c>
      <c r="AP22" s="12">
        <v>456</v>
      </c>
      <c r="AQ22" s="12">
        <v>825</v>
      </c>
    </row>
    <row r="23" spans="1:43" x14ac:dyDescent="0.35">
      <c r="A23" s="19"/>
      <c r="B23" s="13" t="s">
        <v>1032</v>
      </c>
      <c r="C23" s="15">
        <v>0.89</v>
      </c>
      <c r="D23" s="15">
        <v>0.79</v>
      </c>
      <c r="E23" s="15">
        <v>0.95000000000000007</v>
      </c>
      <c r="F23" s="15">
        <v>0.83000000000000007</v>
      </c>
      <c r="G23" s="15">
        <v>0.86</v>
      </c>
      <c r="H23" s="15">
        <v>0.89</v>
      </c>
      <c r="I23" s="15">
        <v>0.89</v>
      </c>
      <c r="J23" s="15">
        <v>0.88</v>
      </c>
      <c r="K23" s="15">
        <v>0.81</v>
      </c>
      <c r="L23" s="15">
        <v>0.94000000000000006</v>
      </c>
      <c r="M23" s="15">
        <v>0.97</v>
      </c>
      <c r="N23" s="15">
        <v>0.93</v>
      </c>
      <c r="O23" s="15">
        <v>0.86</v>
      </c>
      <c r="P23" s="15">
        <v>0.9</v>
      </c>
      <c r="Q23" s="15">
        <v>0.92</v>
      </c>
      <c r="R23" s="15">
        <v>0.91</v>
      </c>
      <c r="S23" s="15">
        <v>0.91</v>
      </c>
      <c r="T23" s="15">
        <v>0.86</v>
      </c>
      <c r="U23" s="15">
        <v>0.84</v>
      </c>
      <c r="V23" s="15">
        <v>0.93</v>
      </c>
      <c r="W23" s="15">
        <v>0.77</v>
      </c>
      <c r="X23" s="15">
        <v>0.72</v>
      </c>
      <c r="Y23" s="15">
        <v>0.94000000000000006</v>
      </c>
      <c r="Z23" s="15">
        <v>0.94000000000000006</v>
      </c>
      <c r="AA23" s="15">
        <v>0.98</v>
      </c>
      <c r="AB23" s="15">
        <v>0.86</v>
      </c>
      <c r="AC23" s="15">
        <v>0.91</v>
      </c>
      <c r="AD23" s="15">
        <v>0.92</v>
      </c>
      <c r="AE23" s="15">
        <v>0.86</v>
      </c>
      <c r="AF23" s="15">
        <v>0.84</v>
      </c>
      <c r="AG23" s="15">
        <v>0.83000000000000007</v>
      </c>
      <c r="AH23" s="15">
        <v>0.9</v>
      </c>
      <c r="AI23" s="15">
        <v>0.92</v>
      </c>
      <c r="AJ23" s="15">
        <v>0.89</v>
      </c>
      <c r="AK23" s="15">
        <v>0.97</v>
      </c>
      <c r="AL23" s="15">
        <v>0.92</v>
      </c>
      <c r="AM23" s="15">
        <v>0.83000000000000007</v>
      </c>
      <c r="AN23" s="15">
        <v>0.89</v>
      </c>
      <c r="AO23" s="15">
        <v>0.99</v>
      </c>
      <c r="AP23" s="15">
        <v>0.87</v>
      </c>
      <c r="AQ23" s="15">
        <v>0.82000000000000006</v>
      </c>
    </row>
    <row r="24" spans="1:43" x14ac:dyDescent="0.35">
      <c r="A24" s="19"/>
      <c r="B24" s="11" t="s">
        <v>1033</v>
      </c>
      <c r="C24" s="12">
        <v>2825</v>
      </c>
      <c r="D24" s="12">
        <v>216</v>
      </c>
      <c r="E24" s="12">
        <v>53</v>
      </c>
      <c r="F24" s="12">
        <v>173</v>
      </c>
      <c r="G24" s="12">
        <v>142</v>
      </c>
      <c r="H24" s="12">
        <v>127</v>
      </c>
      <c r="I24" s="12">
        <v>162</v>
      </c>
      <c r="J24" s="12">
        <v>35</v>
      </c>
      <c r="K24" s="12">
        <v>183</v>
      </c>
      <c r="L24" s="12">
        <v>62</v>
      </c>
      <c r="M24" s="12">
        <v>30</v>
      </c>
      <c r="N24" s="12">
        <v>68</v>
      </c>
      <c r="O24" s="12">
        <v>142</v>
      </c>
      <c r="P24" s="12">
        <v>94</v>
      </c>
      <c r="Q24" s="12">
        <v>79</v>
      </c>
      <c r="R24" s="12">
        <v>46</v>
      </c>
      <c r="S24" s="12">
        <v>87</v>
      </c>
      <c r="T24" s="12">
        <v>140</v>
      </c>
      <c r="U24" s="12">
        <v>79</v>
      </c>
      <c r="V24" s="12">
        <v>65</v>
      </c>
      <c r="W24" s="12">
        <v>116</v>
      </c>
      <c r="X24" s="12">
        <v>279</v>
      </c>
      <c r="Y24" s="12">
        <v>60</v>
      </c>
      <c r="Z24" s="12">
        <v>60</v>
      </c>
      <c r="AA24" s="12">
        <v>20</v>
      </c>
      <c r="AB24" s="12">
        <v>150</v>
      </c>
      <c r="AC24" s="12">
        <v>89</v>
      </c>
      <c r="AD24" s="12">
        <v>83</v>
      </c>
      <c r="AE24" s="12">
        <v>139</v>
      </c>
      <c r="AF24" s="12">
        <v>164</v>
      </c>
      <c r="AG24" s="12">
        <v>170</v>
      </c>
      <c r="AH24" s="12">
        <v>97</v>
      </c>
      <c r="AI24" s="12">
        <v>42</v>
      </c>
      <c r="AJ24" s="12">
        <v>119</v>
      </c>
      <c r="AK24" s="12">
        <v>30</v>
      </c>
      <c r="AL24" s="12">
        <v>79</v>
      </c>
      <c r="AM24" s="12">
        <v>181</v>
      </c>
      <c r="AN24" s="12">
        <v>101</v>
      </c>
      <c r="AO24" s="12">
        <v>17</v>
      </c>
      <c r="AP24" s="12">
        <v>67</v>
      </c>
      <c r="AQ24" s="12">
        <v>177</v>
      </c>
    </row>
    <row r="25" spans="1:43" x14ac:dyDescent="0.35">
      <c r="A25" s="19"/>
      <c r="B25" s="13" t="s">
        <v>1034</v>
      </c>
      <c r="C25" s="15">
        <v>0.11</v>
      </c>
      <c r="D25" s="15">
        <v>0.21</v>
      </c>
      <c r="E25" s="15">
        <v>0.05</v>
      </c>
      <c r="F25" s="15">
        <v>0.16</v>
      </c>
      <c r="G25" s="15">
        <v>0.14000000000000001</v>
      </c>
      <c r="H25" s="15">
        <v>0.11</v>
      </c>
      <c r="I25" s="15">
        <v>0.11</v>
      </c>
      <c r="J25" s="15">
        <v>0.12</v>
      </c>
      <c r="K25" s="15">
        <v>0.19</v>
      </c>
      <c r="L25" s="15">
        <v>0.06</v>
      </c>
      <c r="M25" s="15">
        <v>0.03</v>
      </c>
      <c r="N25" s="15">
        <v>7.0000000000000007E-2</v>
      </c>
      <c r="O25" s="15">
        <v>0.14000000000000001</v>
      </c>
      <c r="P25" s="15">
        <v>0.1</v>
      </c>
      <c r="Q25" s="15">
        <v>0.08</v>
      </c>
      <c r="R25" s="15">
        <v>0.09</v>
      </c>
      <c r="S25" s="15">
        <v>0.09</v>
      </c>
      <c r="T25" s="15">
        <v>0.14000000000000001</v>
      </c>
      <c r="U25" s="15">
        <v>0.16</v>
      </c>
      <c r="V25" s="15">
        <v>7.0000000000000007E-2</v>
      </c>
      <c r="W25" s="15">
        <v>0.23</v>
      </c>
      <c r="X25" s="15">
        <v>0.28000000000000003</v>
      </c>
      <c r="Y25" s="15">
        <v>0.06</v>
      </c>
      <c r="Z25" s="15">
        <v>0.06</v>
      </c>
      <c r="AA25" s="15">
        <v>0.02</v>
      </c>
      <c r="AB25" s="15">
        <v>0.14000000000000001</v>
      </c>
      <c r="AC25" s="15">
        <v>0.09</v>
      </c>
      <c r="AD25" s="15">
        <v>0.08</v>
      </c>
      <c r="AE25" s="15">
        <v>0.14000000000000001</v>
      </c>
      <c r="AF25" s="15">
        <v>0.16</v>
      </c>
      <c r="AG25" s="15">
        <v>0.17</v>
      </c>
      <c r="AH25" s="15">
        <v>0.1</v>
      </c>
      <c r="AI25" s="15">
        <v>0.08</v>
      </c>
      <c r="AJ25" s="15">
        <v>0.11</v>
      </c>
      <c r="AK25" s="15">
        <v>0.03</v>
      </c>
      <c r="AL25" s="15">
        <v>0.08</v>
      </c>
      <c r="AM25" s="15">
        <v>0.17</v>
      </c>
      <c r="AN25" s="15">
        <v>0.11</v>
      </c>
      <c r="AO25" s="15">
        <v>0.01</v>
      </c>
      <c r="AP25" s="15">
        <v>0.13</v>
      </c>
      <c r="AQ25" s="15">
        <v>0.18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1035</v>
      </c>
      <c r="C3" s="18"/>
      <c r="D3" s="18"/>
      <c r="E3" s="18"/>
      <c r="F3" s="18"/>
      <c r="H3" s="18" t="s">
        <v>1036</v>
      </c>
      <c r="I3" s="18"/>
      <c r="J3" s="18"/>
      <c r="K3" s="18"/>
      <c r="L3" s="18"/>
    </row>
    <row r="4" spans="1:43" ht="27" customHeight="1" x14ac:dyDescent="0.35">
      <c r="B4" s="18" t="s">
        <v>1037</v>
      </c>
      <c r="C4" s="18"/>
      <c r="D4" s="18"/>
      <c r="E4" s="18"/>
      <c r="F4" s="18"/>
      <c r="H4" s="18" t="s">
        <v>634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HYPERLINK("#Content!A105","&lt;&lt;Back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1023</v>
      </c>
      <c r="C12" s="12">
        <v>13234</v>
      </c>
      <c r="D12" s="12">
        <v>303</v>
      </c>
      <c r="E12" s="12">
        <v>777</v>
      </c>
      <c r="F12" s="12">
        <v>437</v>
      </c>
      <c r="G12" s="12">
        <v>862</v>
      </c>
      <c r="H12" s="12">
        <v>544</v>
      </c>
      <c r="I12" s="12">
        <v>651</v>
      </c>
      <c r="J12" s="12">
        <v>107</v>
      </c>
      <c r="K12" s="12">
        <v>471</v>
      </c>
      <c r="L12" s="12">
        <v>743</v>
      </c>
      <c r="M12" s="12">
        <v>747</v>
      </c>
      <c r="N12" s="12">
        <v>491</v>
      </c>
      <c r="O12" s="12">
        <v>562</v>
      </c>
      <c r="P12" s="12">
        <v>607</v>
      </c>
      <c r="Q12" s="12">
        <v>427</v>
      </c>
      <c r="R12" s="12">
        <v>304</v>
      </c>
      <c r="S12" s="12">
        <v>727</v>
      </c>
      <c r="T12" s="12">
        <v>557</v>
      </c>
      <c r="U12" s="12">
        <v>266</v>
      </c>
      <c r="V12" s="12">
        <v>505</v>
      </c>
      <c r="W12" s="12">
        <v>248</v>
      </c>
      <c r="X12" s="12">
        <v>388</v>
      </c>
      <c r="Y12" s="12">
        <v>652</v>
      </c>
      <c r="Z12" s="12">
        <v>543</v>
      </c>
      <c r="AA12" s="12">
        <v>492</v>
      </c>
      <c r="AB12" s="12">
        <v>473</v>
      </c>
      <c r="AC12" s="12">
        <v>648</v>
      </c>
      <c r="AD12" s="12">
        <v>563</v>
      </c>
      <c r="AE12" s="12">
        <v>700</v>
      </c>
      <c r="AF12" s="12">
        <v>703</v>
      </c>
      <c r="AG12" s="12">
        <v>456</v>
      </c>
      <c r="AH12" s="12">
        <v>516</v>
      </c>
      <c r="AI12" s="12">
        <v>400</v>
      </c>
      <c r="AJ12" s="12">
        <v>598</v>
      </c>
      <c r="AK12" s="12">
        <v>700</v>
      </c>
      <c r="AL12" s="12">
        <v>669</v>
      </c>
      <c r="AM12" s="12">
        <v>412</v>
      </c>
      <c r="AN12" s="12">
        <v>406</v>
      </c>
      <c r="AO12" s="12">
        <v>766</v>
      </c>
      <c r="AP12" s="12">
        <v>313</v>
      </c>
      <c r="AQ12" s="12">
        <v>771</v>
      </c>
    </row>
    <row r="13" spans="1:43" x14ac:dyDescent="0.35">
      <c r="A13" s="19"/>
      <c r="B13" s="13" t="s">
        <v>1024</v>
      </c>
      <c r="C13" s="15">
        <v>0.5</v>
      </c>
      <c r="D13" s="15">
        <v>0.3</v>
      </c>
      <c r="E13" s="15">
        <v>0.76</v>
      </c>
      <c r="F13" s="15">
        <v>0.4</v>
      </c>
      <c r="G13" s="15">
        <v>0.86</v>
      </c>
      <c r="H13" s="15">
        <v>0.44</v>
      </c>
      <c r="I13" s="15">
        <v>0.43</v>
      </c>
      <c r="J13" s="15">
        <v>0.36</v>
      </c>
      <c r="K13" s="15">
        <v>0.47</v>
      </c>
      <c r="L13" s="15">
        <v>0.74</v>
      </c>
      <c r="M13" s="15">
        <v>0.74</v>
      </c>
      <c r="N13" s="15">
        <v>0.49</v>
      </c>
      <c r="O13" s="15">
        <v>0.56000000000000005</v>
      </c>
      <c r="P13" s="15">
        <v>0.61</v>
      </c>
      <c r="Q13" s="15">
        <v>0.42</v>
      </c>
      <c r="R13" s="15">
        <v>0.6</v>
      </c>
      <c r="S13" s="15">
        <v>0.72</v>
      </c>
      <c r="T13" s="15">
        <v>0.55000000000000004</v>
      </c>
      <c r="U13" s="15">
        <v>0.53</v>
      </c>
      <c r="V13" s="15">
        <v>0.5</v>
      </c>
      <c r="W13" s="15">
        <v>0.49</v>
      </c>
      <c r="X13" s="15">
        <v>0.38</v>
      </c>
      <c r="Y13" s="15">
        <v>0.65</v>
      </c>
      <c r="Z13" s="15">
        <v>0.53</v>
      </c>
      <c r="AA13" s="15">
        <v>0.48</v>
      </c>
      <c r="AB13" s="15">
        <v>0.45</v>
      </c>
      <c r="AC13" s="15">
        <v>0.65</v>
      </c>
      <c r="AD13" s="15">
        <v>0.56000000000000005</v>
      </c>
      <c r="AE13" s="15">
        <v>0.69000000000000006</v>
      </c>
      <c r="AF13" s="15">
        <v>0.67</v>
      </c>
      <c r="AG13" s="15">
        <v>0.44</v>
      </c>
      <c r="AH13" s="15">
        <v>0.51</v>
      </c>
      <c r="AI13" s="15">
        <v>0.76</v>
      </c>
      <c r="AJ13" s="15">
        <v>0.57999999999999996</v>
      </c>
      <c r="AK13" s="15">
        <v>0.69000000000000006</v>
      </c>
      <c r="AL13" s="15">
        <v>0.66</v>
      </c>
      <c r="AM13" s="15">
        <v>0.4</v>
      </c>
      <c r="AN13" s="15">
        <v>0.41</v>
      </c>
      <c r="AO13" s="15">
        <v>0.76</v>
      </c>
      <c r="AP13" s="15">
        <v>0.6</v>
      </c>
      <c r="AQ13" s="15">
        <v>0.77</v>
      </c>
    </row>
    <row r="14" spans="1:43" x14ac:dyDescent="0.35">
      <c r="A14" s="19"/>
      <c r="B14" s="11" t="s">
        <v>1025</v>
      </c>
      <c r="C14" s="12">
        <v>10981</v>
      </c>
      <c r="D14" s="12">
        <v>505</v>
      </c>
      <c r="E14" s="12">
        <v>200</v>
      </c>
      <c r="F14" s="12">
        <v>517</v>
      </c>
      <c r="G14" s="12">
        <v>134</v>
      </c>
      <c r="H14" s="12">
        <v>561</v>
      </c>
      <c r="I14" s="12">
        <v>706</v>
      </c>
      <c r="J14" s="12">
        <v>144</v>
      </c>
      <c r="K14" s="12">
        <v>423</v>
      </c>
      <c r="L14" s="12">
        <v>231</v>
      </c>
      <c r="M14" s="12">
        <v>245</v>
      </c>
      <c r="N14" s="12">
        <v>420</v>
      </c>
      <c r="O14" s="12">
        <v>382</v>
      </c>
      <c r="P14" s="12">
        <v>301</v>
      </c>
      <c r="Q14" s="12">
        <v>529</v>
      </c>
      <c r="R14" s="12">
        <v>163</v>
      </c>
      <c r="S14" s="12">
        <v>208</v>
      </c>
      <c r="T14" s="12">
        <v>391</v>
      </c>
      <c r="U14" s="12">
        <v>206</v>
      </c>
      <c r="V14" s="12">
        <v>436</v>
      </c>
      <c r="W14" s="12">
        <v>179</v>
      </c>
      <c r="X14" s="12">
        <v>471</v>
      </c>
      <c r="Y14" s="12">
        <v>305</v>
      </c>
      <c r="Z14" s="12">
        <v>412</v>
      </c>
      <c r="AA14" s="12">
        <v>512</v>
      </c>
      <c r="AB14" s="12">
        <v>396</v>
      </c>
      <c r="AC14" s="12">
        <v>303</v>
      </c>
      <c r="AD14" s="12">
        <v>399</v>
      </c>
      <c r="AE14" s="12">
        <v>273</v>
      </c>
      <c r="AF14" s="12">
        <v>299</v>
      </c>
      <c r="AG14" s="12">
        <v>420</v>
      </c>
      <c r="AH14" s="12">
        <v>377</v>
      </c>
      <c r="AI14" s="12">
        <v>81</v>
      </c>
      <c r="AJ14" s="12">
        <v>331</v>
      </c>
      <c r="AK14" s="12">
        <v>275</v>
      </c>
      <c r="AL14" s="12">
        <v>271</v>
      </c>
      <c r="AM14" s="12">
        <v>455</v>
      </c>
      <c r="AN14" s="12">
        <v>384</v>
      </c>
      <c r="AO14" s="12">
        <v>218</v>
      </c>
      <c r="AP14" s="12">
        <v>154</v>
      </c>
      <c r="AQ14" s="12">
        <v>172</v>
      </c>
    </row>
    <row r="15" spans="1:43" x14ac:dyDescent="0.35">
      <c r="A15" s="19"/>
      <c r="B15" s="13" t="s">
        <v>1026</v>
      </c>
      <c r="C15" s="15">
        <v>0.42</v>
      </c>
      <c r="D15" s="15">
        <v>0.5</v>
      </c>
      <c r="E15" s="15">
        <v>0.19</v>
      </c>
      <c r="F15" s="15">
        <v>0.47</v>
      </c>
      <c r="G15" s="15">
        <v>0.13</v>
      </c>
      <c r="H15" s="15">
        <v>0.46</v>
      </c>
      <c r="I15" s="15">
        <v>0.47</v>
      </c>
      <c r="J15" s="15">
        <v>0.49</v>
      </c>
      <c r="K15" s="15">
        <v>0.42</v>
      </c>
      <c r="L15" s="15">
        <v>0.23</v>
      </c>
      <c r="M15" s="15">
        <v>0.24</v>
      </c>
      <c r="N15" s="15">
        <v>0.42</v>
      </c>
      <c r="O15" s="15">
        <v>0.38</v>
      </c>
      <c r="P15" s="15">
        <v>0.3</v>
      </c>
      <c r="Q15" s="15">
        <v>0.51</v>
      </c>
      <c r="R15" s="15">
        <v>0.33</v>
      </c>
      <c r="S15" s="15">
        <v>0.21</v>
      </c>
      <c r="T15" s="15">
        <v>0.39</v>
      </c>
      <c r="U15" s="15">
        <v>0.41</v>
      </c>
      <c r="V15" s="15">
        <v>0.43</v>
      </c>
      <c r="W15" s="15">
        <v>0.35</v>
      </c>
      <c r="X15" s="15">
        <v>0.47</v>
      </c>
      <c r="Y15" s="15">
        <v>0.31</v>
      </c>
      <c r="Z15" s="15">
        <v>0.4</v>
      </c>
      <c r="AA15" s="15">
        <v>0.49</v>
      </c>
      <c r="AB15" s="15">
        <v>0.38</v>
      </c>
      <c r="AC15" s="15">
        <v>0.3</v>
      </c>
      <c r="AD15" s="15">
        <v>0.4</v>
      </c>
      <c r="AE15" s="15">
        <v>0.27</v>
      </c>
      <c r="AF15" s="15">
        <v>0.28999999999999998</v>
      </c>
      <c r="AG15" s="15">
        <v>0.4</v>
      </c>
      <c r="AH15" s="15">
        <v>0.37</v>
      </c>
      <c r="AI15" s="15">
        <v>0.16</v>
      </c>
      <c r="AJ15" s="15">
        <v>0.32</v>
      </c>
      <c r="AK15" s="15">
        <v>0.27</v>
      </c>
      <c r="AL15" s="15">
        <v>0.27</v>
      </c>
      <c r="AM15" s="15">
        <v>0.44</v>
      </c>
      <c r="AN15" s="15">
        <v>0.38</v>
      </c>
      <c r="AO15" s="15">
        <v>0.22</v>
      </c>
      <c r="AP15" s="15">
        <v>0.28999999999999998</v>
      </c>
      <c r="AQ15" s="15">
        <v>0.17</v>
      </c>
    </row>
    <row r="16" spans="1:43" x14ac:dyDescent="0.35">
      <c r="A16" s="19"/>
      <c r="B16" s="11" t="s">
        <v>1027</v>
      </c>
      <c r="C16" s="12">
        <v>1886</v>
      </c>
      <c r="D16" s="12">
        <v>166</v>
      </c>
      <c r="E16" s="12">
        <v>51</v>
      </c>
      <c r="F16" s="12">
        <v>101</v>
      </c>
      <c r="G16" s="12">
        <v>9</v>
      </c>
      <c r="H16" s="12">
        <v>106</v>
      </c>
      <c r="I16" s="12">
        <v>143</v>
      </c>
      <c r="J16" s="12">
        <v>37</v>
      </c>
      <c r="K16" s="12">
        <v>99</v>
      </c>
      <c r="L16" s="12">
        <v>21</v>
      </c>
      <c r="M16" s="12">
        <v>13</v>
      </c>
      <c r="N16" s="12">
        <v>68</v>
      </c>
      <c r="O16" s="12">
        <v>52</v>
      </c>
      <c r="P16" s="12">
        <v>82</v>
      </c>
      <c r="Q16" s="12">
        <v>62</v>
      </c>
      <c r="R16" s="12">
        <v>34</v>
      </c>
      <c r="S16" s="12">
        <v>50</v>
      </c>
      <c r="T16" s="12">
        <v>50</v>
      </c>
      <c r="U16" s="12">
        <v>20</v>
      </c>
      <c r="V16" s="12">
        <v>65</v>
      </c>
      <c r="W16" s="12">
        <v>74</v>
      </c>
      <c r="X16" s="12">
        <v>128</v>
      </c>
      <c r="Y16" s="12">
        <v>40</v>
      </c>
      <c r="Z16" s="12">
        <v>59</v>
      </c>
      <c r="AA16" s="12">
        <v>28</v>
      </c>
      <c r="AB16" s="12">
        <v>153</v>
      </c>
      <c r="AC16" s="12">
        <v>45</v>
      </c>
      <c r="AD16" s="12">
        <v>40</v>
      </c>
      <c r="AE16" s="12">
        <v>37</v>
      </c>
      <c r="AF16" s="12">
        <v>39</v>
      </c>
      <c r="AG16" s="12">
        <v>101</v>
      </c>
      <c r="AH16" s="12">
        <v>91</v>
      </c>
      <c r="AI16" s="12">
        <v>25</v>
      </c>
      <c r="AJ16" s="12">
        <v>94</v>
      </c>
      <c r="AK16" s="12">
        <v>27</v>
      </c>
      <c r="AL16" s="12">
        <v>52</v>
      </c>
      <c r="AM16" s="12">
        <v>122</v>
      </c>
      <c r="AN16" s="12">
        <v>164</v>
      </c>
      <c r="AO16" s="12">
        <v>18</v>
      </c>
      <c r="AP16" s="12">
        <v>38</v>
      </c>
      <c r="AQ16" s="12">
        <v>45</v>
      </c>
    </row>
    <row r="17" spans="1:43" x14ac:dyDescent="0.35">
      <c r="A17" s="19"/>
      <c r="B17" s="13" t="s">
        <v>1028</v>
      </c>
      <c r="C17" s="15">
        <v>7.0000000000000007E-2</v>
      </c>
      <c r="D17" s="15">
        <v>0.16</v>
      </c>
      <c r="E17" s="15">
        <v>0.05</v>
      </c>
      <c r="F17" s="15">
        <v>0.09</v>
      </c>
      <c r="G17" s="15">
        <v>0.01</v>
      </c>
      <c r="H17" s="15">
        <v>0.09</v>
      </c>
      <c r="I17" s="15">
        <v>0.09</v>
      </c>
      <c r="J17" s="15">
        <v>0.13</v>
      </c>
      <c r="K17" s="15">
        <v>0.1</v>
      </c>
      <c r="L17" s="15">
        <v>0.02</v>
      </c>
      <c r="M17" s="15">
        <v>0.01</v>
      </c>
      <c r="N17" s="15">
        <v>7.0000000000000007E-2</v>
      </c>
      <c r="O17" s="15">
        <v>0.05</v>
      </c>
      <c r="P17" s="15">
        <v>0.08</v>
      </c>
      <c r="Q17" s="15">
        <v>0.06</v>
      </c>
      <c r="R17" s="15">
        <v>7.0000000000000007E-2</v>
      </c>
      <c r="S17" s="15">
        <v>0.05</v>
      </c>
      <c r="T17" s="15">
        <v>0.05</v>
      </c>
      <c r="U17" s="15">
        <v>0.04</v>
      </c>
      <c r="V17" s="15">
        <v>0.06</v>
      </c>
      <c r="W17" s="15">
        <v>0.14000000000000001</v>
      </c>
      <c r="X17" s="15">
        <v>0.13</v>
      </c>
      <c r="Y17" s="15">
        <v>0.04</v>
      </c>
      <c r="Z17" s="15">
        <v>0.06</v>
      </c>
      <c r="AA17" s="15">
        <v>0.03</v>
      </c>
      <c r="AB17" s="15">
        <v>0.14000000000000001</v>
      </c>
      <c r="AC17" s="15">
        <v>0.04</v>
      </c>
      <c r="AD17" s="15">
        <v>0.04</v>
      </c>
      <c r="AE17" s="15">
        <v>0.04</v>
      </c>
      <c r="AF17" s="15">
        <v>0.04</v>
      </c>
      <c r="AG17" s="15">
        <v>0.1</v>
      </c>
      <c r="AH17" s="15">
        <v>0.09</v>
      </c>
      <c r="AI17" s="15">
        <v>0.05</v>
      </c>
      <c r="AJ17" s="15">
        <v>0.09</v>
      </c>
      <c r="AK17" s="15">
        <v>0.03</v>
      </c>
      <c r="AL17" s="15">
        <v>0.05</v>
      </c>
      <c r="AM17" s="15">
        <v>0.12</v>
      </c>
      <c r="AN17" s="15">
        <v>0.16</v>
      </c>
      <c r="AO17" s="15">
        <v>0.02</v>
      </c>
      <c r="AP17" s="15">
        <v>7.0000000000000007E-2</v>
      </c>
      <c r="AQ17" s="15">
        <v>0.05</v>
      </c>
    </row>
    <row r="18" spans="1:43" x14ac:dyDescent="0.35">
      <c r="A18" s="19"/>
      <c r="B18" s="11" t="s">
        <v>1029</v>
      </c>
      <c r="C18" s="12">
        <v>317</v>
      </c>
      <c r="D18" s="12">
        <v>38</v>
      </c>
      <c r="E18" s="12">
        <v>1</v>
      </c>
      <c r="F18" s="12">
        <v>45</v>
      </c>
      <c r="G18" s="12">
        <v>0</v>
      </c>
      <c r="H18" s="12">
        <v>7</v>
      </c>
      <c r="I18" s="12">
        <v>13</v>
      </c>
      <c r="J18" s="12">
        <v>6</v>
      </c>
      <c r="K18" s="12">
        <v>8</v>
      </c>
      <c r="L18" s="12">
        <v>7</v>
      </c>
      <c r="M18" s="12">
        <v>6</v>
      </c>
      <c r="N18" s="12">
        <v>23</v>
      </c>
      <c r="O18" s="12">
        <v>4</v>
      </c>
      <c r="P18" s="12">
        <v>13</v>
      </c>
      <c r="Q18" s="12">
        <v>10</v>
      </c>
      <c r="R18" s="12">
        <v>2</v>
      </c>
      <c r="S18" s="12">
        <v>10</v>
      </c>
      <c r="T18" s="12">
        <v>8</v>
      </c>
      <c r="U18" s="12">
        <v>10</v>
      </c>
      <c r="V18" s="12">
        <v>8</v>
      </c>
      <c r="W18" s="12">
        <v>8</v>
      </c>
      <c r="X18" s="12">
        <v>22</v>
      </c>
      <c r="Y18" s="12">
        <v>4</v>
      </c>
      <c r="Z18" s="12">
        <v>13</v>
      </c>
      <c r="AA18" s="12">
        <v>1</v>
      </c>
      <c r="AB18" s="12">
        <v>29</v>
      </c>
      <c r="AC18" s="12">
        <v>6</v>
      </c>
      <c r="AD18" s="12">
        <v>2</v>
      </c>
      <c r="AE18" s="12">
        <v>1</v>
      </c>
      <c r="AF18" s="12">
        <v>2</v>
      </c>
      <c r="AG18" s="12">
        <v>59</v>
      </c>
      <c r="AH18" s="12">
        <v>29</v>
      </c>
      <c r="AI18" s="12">
        <v>15</v>
      </c>
      <c r="AJ18" s="12">
        <v>12</v>
      </c>
      <c r="AK18" s="12">
        <v>5</v>
      </c>
      <c r="AL18" s="12">
        <v>19</v>
      </c>
      <c r="AM18" s="12">
        <v>48</v>
      </c>
      <c r="AN18" s="12">
        <v>49</v>
      </c>
      <c r="AO18" s="12">
        <v>3</v>
      </c>
      <c r="AP18" s="12">
        <v>19</v>
      </c>
      <c r="AQ18" s="12">
        <v>13</v>
      </c>
    </row>
    <row r="19" spans="1:43" x14ac:dyDescent="0.35">
      <c r="A19" s="19"/>
      <c r="B19" s="13" t="s">
        <v>1030</v>
      </c>
      <c r="C19" s="15">
        <v>0.01</v>
      </c>
      <c r="D19" s="15">
        <v>0.04</v>
      </c>
      <c r="E19" s="14" t="s">
        <v>475</v>
      </c>
      <c r="F19" s="15">
        <v>0.04</v>
      </c>
      <c r="G19" s="14" t="s">
        <v>475</v>
      </c>
      <c r="H19" s="15">
        <v>0.01</v>
      </c>
      <c r="I19" s="15">
        <v>0.01</v>
      </c>
      <c r="J19" s="15">
        <v>0.02</v>
      </c>
      <c r="K19" s="15">
        <v>0.01</v>
      </c>
      <c r="L19" s="15">
        <v>0.01</v>
      </c>
      <c r="M19" s="15">
        <v>0.01</v>
      </c>
      <c r="N19" s="15">
        <v>0.02</v>
      </c>
      <c r="O19" s="15">
        <v>0.01</v>
      </c>
      <c r="P19" s="15">
        <v>0.01</v>
      </c>
      <c r="Q19" s="15">
        <v>0.01</v>
      </c>
      <c r="R19" s="14" t="s">
        <v>475</v>
      </c>
      <c r="S19" s="15">
        <v>0.01</v>
      </c>
      <c r="T19" s="15">
        <v>0.01</v>
      </c>
      <c r="U19" s="15">
        <v>0.02</v>
      </c>
      <c r="V19" s="15">
        <v>0.01</v>
      </c>
      <c r="W19" s="15">
        <v>0.02</v>
      </c>
      <c r="X19" s="15">
        <v>0.02</v>
      </c>
      <c r="Y19" s="14" t="s">
        <v>475</v>
      </c>
      <c r="Z19" s="15">
        <v>0.01</v>
      </c>
      <c r="AA19" s="14" t="s">
        <v>475</v>
      </c>
      <c r="AB19" s="15">
        <v>0.03</v>
      </c>
      <c r="AC19" s="15">
        <v>0.01</v>
      </c>
      <c r="AD19" s="14" t="s">
        <v>475</v>
      </c>
      <c r="AE19" s="14" t="s">
        <v>475</v>
      </c>
      <c r="AF19" s="14" t="s">
        <v>475</v>
      </c>
      <c r="AG19" s="15">
        <v>0.06</v>
      </c>
      <c r="AH19" s="15">
        <v>0.03</v>
      </c>
      <c r="AI19" s="15">
        <v>0.03</v>
      </c>
      <c r="AJ19" s="15">
        <v>0.01</v>
      </c>
      <c r="AK19" s="15">
        <v>0.01</v>
      </c>
      <c r="AL19" s="15">
        <v>0.02</v>
      </c>
      <c r="AM19" s="15">
        <v>0.04</v>
      </c>
      <c r="AN19" s="15">
        <v>0.05</v>
      </c>
      <c r="AO19" s="14" t="s">
        <v>475</v>
      </c>
      <c r="AP19" s="15">
        <v>0.04</v>
      </c>
      <c r="AQ19" s="15">
        <v>0.01</v>
      </c>
    </row>
    <row r="20" spans="1:43" x14ac:dyDescent="0.35">
      <c r="A20" s="19"/>
      <c r="B20" s="11" t="s">
        <v>485</v>
      </c>
      <c r="C20" s="12">
        <v>29</v>
      </c>
      <c r="D20" s="12">
        <v>1</v>
      </c>
      <c r="E20" s="12">
        <v>2</v>
      </c>
      <c r="F20" s="12">
        <v>3</v>
      </c>
      <c r="G20" s="12">
        <v>0</v>
      </c>
      <c r="H20" s="12">
        <v>2</v>
      </c>
      <c r="I20" s="12">
        <v>2</v>
      </c>
      <c r="J20" s="12">
        <v>0</v>
      </c>
      <c r="K20" s="12">
        <v>1</v>
      </c>
      <c r="L20" s="12">
        <v>0</v>
      </c>
      <c r="M20" s="12">
        <v>0</v>
      </c>
      <c r="N20" s="12">
        <v>2</v>
      </c>
      <c r="O20" s="12">
        <v>1</v>
      </c>
      <c r="P20" s="12">
        <v>0</v>
      </c>
      <c r="Q20" s="12">
        <v>0</v>
      </c>
      <c r="R20" s="12">
        <v>0</v>
      </c>
      <c r="S20" s="12">
        <v>7</v>
      </c>
      <c r="T20" s="12">
        <v>0</v>
      </c>
      <c r="U20" s="12">
        <v>2</v>
      </c>
      <c r="V20" s="12">
        <v>0</v>
      </c>
      <c r="W20" s="12">
        <v>0</v>
      </c>
      <c r="X20" s="12">
        <v>0</v>
      </c>
      <c r="Y20" s="12">
        <v>3</v>
      </c>
      <c r="Z20" s="12">
        <v>3</v>
      </c>
      <c r="AA20" s="12">
        <v>0</v>
      </c>
      <c r="AB20" s="12">
        <v>0</v>
      </c>
      <c r="AC20" s="12">
        <v>1</v>
      </c>
      <c r="AD20" s="12">
        <v>0</v>
      </c>
      <c r="AE20" s="12">
        <v>1</v>
      </c>
      <c r="AF20" s="12">
        <v>0</v>
      </c>
      <c r="AG20" s="12">
        <v>0</v>
      </c>
      <c r="AH20" s="12">
        <v>0</v>
      </c>
      <c r="AI20" s="12">
        <v>2</v>
      </c>
      <c r="AJ20" s="12">
        <v>1</v>
      </c>
      <c r="AK20" s="12">
        <v>0</v>
      </c>
      <c r="AL20" s="12">
        <v>2</v>
      </c>
      <c r="AM20" s="12">
        <v>2</v>
      </c>
      <c r="AN20" s="12">
        <v>1</v>
      </c>
      <c r="AO20" s="12">
        <v>1</v>
      </c>
      <c r="AP20" s="12">
        <v>0</v>
      </c>
      <c r="AQ20" s="12">
        <v>0</v>
      </c>
    </row>
    <row r="21" spans="1:43" x14ac:dyDescent="0.35">
      <c r="A21" s="19"/>
      <c r="B21" s="13" t="s">
        <v>486</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5">
        <v>0.01</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row r="22" spans="1:43" x14ac:dyDescent="0.35">
      <c r="A22" s="19"/>
      <c r="B22" s="11" t="s">
        <v>1031</v>
      </c>
      <c r="C22" s="12">
        <v>24215</v>
      </c>
      <c r="D22" s="12">
        <v>808</v>
      </c>
      <c r="E22" s="12">
        <v>977</v>
      </c>
      <c r="F22" s="12">
        <v>954</v>
      </c>
      <c r="G22" s="12">
        <v>996</v>
      </c>
      <c r="H22" s="12">
        <v>1105</v>
      </c>
      <c r="I22" s="12">
        <v>1357</v>
      </c>
      <c r="J22" s="12">
        <v>251</v>
      </c>
      <c r="K22" s="12">
        <v>894</v>
      </c>
      <c r="L22" s="12">
        <v>974</v>
      </c>
      <c r="M22" s="12">
        <v>992</v>
      </c>
      <c r="N22" s="12">
        <v>911</v>
      </c>
      <c r="O22" s="12">
        <v>944</v>
      </c>
      <c r="P22" s="12">
        <v>908</v>
      </c>
      <c r="Q22" s="12">
        <v>956</v>
      </c>
      <c r="R22" s="12">
        <v>467</v>
      </c>
      <c r="S22" s="12">
        <v>935</v>
      </c>
      <c r="T22" s="12">
        <v>948</v>
      </c>
      <c r="U22" s="12">
        <v>472</v>
      </c>
      <c r="V22" s="12">
        <v>941</v>
      </c>
      <c r="W22" s="12">
        <v>427</v>
      </c>
      <c r="X22" s="12">
        <v>859</v>
      </c>
      <c r="Y22" s="12">
        <v>957</v>
      </c>
      <c r="Z22" s="12">
        <v>955</v>
      </c>
      <c r="AA22" s="12">
        <v>1004</v>
      </c>
      <c r="AB22" s="12">
        <v>869</v>
      </c>
      <c r="AC22" s="12">
        <v>951</v>
      </c>
      <c r="AD22" s="12">
        <v>962</v>
      </c>
      <c r="AE22" s="12">
        <v>973</v>
      </c>
      <c r="AF22" s="12">
        <v>1002</v>
      </c>
      <c r="AG22" s="12">
        <v>876</v>
      </c>
      <c r="AH22" s="12">
        <v>893</v>
      </c>
      <c r="AI22" s="12">
        <v>481</v>
      </c>
      <c r="AJ22" s="12">
        <v>929</v>
      </c>
      <c r="AK22" s="12">
        <v>975</v>
      </c>
      <c r="AL22" s="12">
        <v>940</v>
      </c>
      <c r="AM22" s="12">
        <v>867</v>
      </c>
      <c r="AN22" s="12">
        <v>790</v>
      </c>
      <c r="AO22" s="12">
        <v>984</v>
      </c>
      <c r="AP22" s="12">
        <v>467</v>
      </c>
      <c r="AQ22" s="12">
        <v>943</v>
      </c>
    </row>
    <row r="23" spans="1:43" x14ac:dyDescent="0.35">
      <c r="A23" s="19"/>
      <c r="B23" s="13" t="s">
        <v>1032</v>
      </c>
      <c r="C23" s="15">
        <v>0.92</v>
      </c>
      <c r="D23" s="15">
        <v>0.8</v>
      </c>
      <c r="E23" s="15">
        <v>0.95000000000000007</v>
      </c>
      <c r="F23" s="15">
        <v>0.87</v>
      </c>
      <c r="G23" s="15">
        <v>0.99</v>
      </c>
      <c r="H23" s="15">
        <v>0.9</v>
      </c>
      <c r="I23" s="15">
        <v>0.9</v>
      </c>
      <c r="J23" s="15">
        <v>0.85</v>
      </c>
      <c r="K23" s="15">
        <v>0.89</v>
      </c>
      <c r="L23" s="15">
        <v>0.97</v>
      </c>
      <c r="M23" s="15">
        <v>0.98</v>
      </c>
      <c r="N23" s="15">
        <v>0.91</v>
      </c>
      <c r="O23" s="15">
        <v>0.94000000000000006</v>
      </c>
      <c r="P23" s="15">
        <v>0.91</v>
      </c>
      <c r="Q23" s="15">
        <v>0.93</v>
      </c>
      <c r="R23" s="15">
        <v>0.93</v>
      </c>
      <c r="S23" s="15">
        <v>0.93</v>
      </c>
      <c r="T23" s="15">
        <v>0.94000000000000006</v>
      </c>
      <c r="U23" s="15">
        <v>0.94000000000000006</v>
      </c>
      <c r="V23" s="15">
        <v>0.93</v>
      </c>
      <c r="W23" s="15">
        <v>0.84</v>
      </c>
      <c r="X23" s="15">
        <v>0.85</v>
      </c>
      <c r="Y23" s="15">
        <v>0.96</v>
      </c>
      <c r="Z23" s="15">
        <v>0.93</v>
      </c>
      <c r="AA23" s="15">
        <v>0.97</v>
      </c>
      <c r="AB23" s="15">
        <v>0.83000000000000007</v>
      </c>
      <c r="AC23" s="15">
        <v>0.95000000000000007</v>
      </c>
      <c r="AD23" s="15">
        <v>0.96</v>
      </c>
      <c r="AE23" s="15">
        <v>0.96</v>
      </c>
      <c r="AF23" s="15">
        <v>0.96</v>
      </c>
      <c r="AG23" s="15">
        <v>0.84</v>
      </c>
      <c r="AH23" s="15">
        <v>0.88</v>
      </c>
      <c r="AI23" s="15">
        <v>0.92</v>
      </c>
      <c r="AJ23" s="15">
        <v>0.9</v>
      </c>
      <c r="AK23" s="15">
        <v>0.96</v>
      </c>
      <c r="AL23" s="15">
        <v>0.93</v>
      </c>
      <c r="AM23" s="15">
        <v>0.84</v>
      </c>
      <c r="AN23" s="15">
        <v>0.79</v>
      </c>
      <c r="AO23" s="15">
        <v>0.98</v>
      </c>
      <c r="AP23" s="15">
        <v>0.89</v>
      </c>
      <c r="AQ23" s="15">
        <v>0.94000000000000006</v>
      </c>
    </row>
    <row r="24" spans="1:43" x14ac:dyDescent="0.35">
      <c r="A24" s="19"/>
      <c r="B24" s="11" t="s">
        <v>1033</v>
      </c>
      <c r="C24" s="12">
        <v>2203</v>
      </c>
      <c r="D24" s="12">
        <v>204</v>
      </c>
      <c r="E24" s="12">
        <v>52</v>
      </c>
      <c r="F24" s="12">
        <v>146</v>
      </c>
      <c r="G24" s="12">
        <v>9</v>
      </c>
      <c r="H24" s="12">
        <v>113</v>
      </c>
      <c r="I24" s="12">
        <v>156</v>
      </c>
      <c r="J24" s="12">
        <v>43</v>
      </c>
      <c r="K24" s="12">
        <v>107</v>
      </c>
      <c r="L24" s="12">
        <v>28</v>
      </c>
      <c r="M24" s="12">
        <v>19</v>
      </c>
      <c r="N24" s="12">
        <v>91</v>
      </c>
      <c r="O24" s="12">
        <v>56</v>
      </c>
      <c r="P24" s="12">
        <v>95</v>
      </c>
      <c r="Q24" s="12">
        <v>72</v>
      </c>
      <c r="R24" s="12">
        <v>36</v>
      </c>
      <c r="S24" s="12">
        <v>60</v>
      </c>
      <c r="T24" s="12">
        <v>58</v>
      </c>
      <c r="U24" s="12">
        <v>30</v>
      </c>
      <c r="V24" s="12">
        <v>73</v>
      </c>
      <c r="W24" s="12">
        <v>82</v>
      </c>
      <c r="X24" s="12">
        <v>150</v>
      </c>
      <c r="Y24" s="12">
        <v>44</v>
      </c>
      <c r="Z24" s="12">
        <v>72</v>
      </c>
      <c r="AA24" s="12">
        <v>29</v>
      </c>
      <c r="AB24" s="12">
        <v>182</v>
      </c>
      <c r="AC24" s="12">
        <v>51</v>
      </c>
      <c r="AD24" s="12">
        <v>42</v>
      </c>
      <c r="AE24" s="12">
        <v>38</v>
      </c>
      <c r="AF24" s="12">
        <v>41</v>
      </c>
      <c r="AG24" s="12">
        <v>160</v>
      </c>
      <c r="AH24" s="12">
        <v>120</v>
      </c>
      <c r="AI24" s="12">
        <v>40</v>
      </c>
      <c r="AJ24" s="12">
        <v>106</v>
      </c>
      <c r="AK24" s="12">
        <v>32</v>
      </c>
      <c r="AL24" s="12">
        <v>71</v>
      </c>
      <c r="AM24" s="12">
        <v>170</v>
      </c>
      <c r="AN24" s="12">
        <v>213</v>
      </c>
      <c r="AO24" s="12">
        <v>21</v>
      </c>
      <c r="AP24" s="12">
        <v>57</v>
      </c>
      <c r="AQ24" s="12">
        <v>58</v>
      </c>
    </row>
    <row r="25" spans="1:43" x14ac:dyDescent="0.35">
      <c r="A25" s="19"/>
      <c r="B25" s="13" t="s">
        <v>1034</v>
      </c>
      <c r="C25" s="15">
        <v>0.08</v>
      </c>
      <c r="D25" s="15">
        <v>0.2</v>
      </c>
      <c r="E25" s="15">
        <v>0.05</v>
      </c>
      <c r="F25" s="15">
        <v>0.13</v>
      </c>
      <c r="G25" s="15">
        <v>0.01</v>
      </c>
      <c r="H25" s="15">
        <v>0.1</v>
      </c>
      <c r="I25" s="15">
        <v>0.1</v>
      </c>
      <c r="J25" s="15">
        <v>0.15</v>
      </c>
      <c r="K25" s="15">
        <v>0.11</v>
      </c>
      <c r="L25" s="15">
        <v>0.03</v>
      </c>
      <c r="M25" s="15">
        <v>0.02</v>
      </c>
      <c r="N25" s="15">
        <v>0.09</v>
      </c>
      <c r="O25" s="15">
        <v>0.06</v>
      </c>
      <c r="P25" s="15">
        <v>0.09</v>
      </c>
      <c r="Q25" s="15">
        <v>7.0000000000000007E-2</v>
      </c>
      <c r="R25" s="15">
        <v>7.0000000000000007E-2</v>
      </c>
      <c r="S25" s="15">
        <v>0.06</v>
      </c>
      <c r="T25" s="15">
        <v>0.06</v>
      </c>
      <c r="U25" s="15">
        <v>0.06</v>
      </c>
      <c r="V25" s="15">
        <v>7.0000000000000007E-2</v>
      </c>
      <c r="W25" s="15">
        <v>0.16</v>
      </c>
      <c r="X25" s="15">
        <v>0.15</v>
      </c>
      <c r="Y25" s="15">
        <v>0.04</v>
      </c>
      <c r="Z25" s="15">
        <v>7.0000000000000007E-2</v>
      </c>
      <c r="AA25" s="15">
        <v>0.03</v>
      </c>
      <c r="AB25" s="15">
        <v>0.17</v>
      </c>
      <c r="AC25" s="15">
        <v>0.05</v>
      </c>
      <c r="AD25" s="15">
        <v>0.04</v>
      </c>
      <c r="AE25" s="15">
        <v>0.04</v>
      </c>
      <c r="AF25" s="15">
        <v>0.04</v>
      </c>
      <c r="AG25" s="15">
        <v>0.16</v>
      </c>
      <c r="AH25" s="15">
        <v>0.12</v>
      </c>
      <c r="AI25" s="15">
        <v>0.08</v>
      </c>
      <c r="AJ25" s="15">
        <v>0.1</v>
      </c>
      <c r="AK25" s="15">
        <v>0.04</v>
      </c>
      <c r="AL25" s="15">
        <v>7.0000000000000007E-2</v>
      </c>
      <c r="AM25" s="15">
        <v>0.16</v>
      </c>
      <c r="AN25" s="15">
        <v>0.21</v>
      </c>
      <c r="AO25" s="15">
        <v>0.02</v>
      </c>
      <c r="AP25" s="15">
        <v>0.11</v>
      </c>
      <c r="AQ25" s="15">
        <v>0.06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1038</v>
      </c>
      <c r="C3" s="18"/>
      <c r="D3" s="18"/>
      <c r="E3" s="18"/>
      <c r="F3" s="18"/>
      <c r="H3" s="18" t="s">
        <v>1039</v>
      </c>
      <c r="I3" s="18"/>
      <c r="J3" s="18"/>
      <c r="K3" s="18"/>
      <c r="L3" s="18"/>
    </row>
    <row r="4" spans="1:43" ht="27" customHeight="1" x14ac:dyDescent="0.35">
      <c r="B4" s="18" t="s">
        <v>691</v>
      </c>
      <c r="C4" s="18"/>
      <c r="D4" s="18"/>
      <c r="E4" s="18"/>
      <c r="F4" s="18"/>
      <c r="H4" s="18" t="s">
        <v>644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HYPERLINK("#Content!A106","&lt;&lt;Back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1023</v>
      </c>
      <c r="C12" s="12">
        <v>3672</v>
      </c>
      <c r="D12" s="12">
        <v>137</v>
      </c>
      <c r="E12" s="12">
        <v>149</v>
      </c>
      <c r="F12" s="12">
        <v>61</v>
      </c>
      <c r="G12" s="12">
        <v>222</v>
      </c>
      <c r="H12" s="12">
        <v>188</v>
      </c>
      <c r="I12" s="12">
        <v>208</v>
      </c>
      <c r="J12" s="12">
        <v>20</v>
      </c>
      <c r="K12" s="12">
        <v>85</v>
      </c>
      <c r="L12" s="12">
        <v>225</v>
      </c>
      <c r="M12" s="12">
        <v>53</v>
      </c>
      <c r="N12" s="12">
        <v>198</v>
      </c>
      <c r="O12" s="12">
        <v>128</v>
      </c>
      <c r="P12" s="12">
        <v>209</v>
      </c>
      <c r="Q12" s="12">
        <v>88</v>
      </c>
      <c r="R12" s="12">
        <v>32</v>
      </c>
      <c r="S12" s="12">
        <v>357</v>
      </c>
      <c r="T12" s="12">
        <v>182</v>
      </c>
      <c r="U12" s="12">
        <v>147</v>
      </c>
      <c r="V12" s="12">
        <v>231</v>
      </c>
      <c r="W12" s="12">
        <v>69</v>
      </c>
      <c r="X12" s="12">
        <v>117</v>
      </c>
      <c r="Y12" s="12">
        <v>178</v>
      </c>
      <c r="Z12" s="12">
        <v>155</v>
      </c>
      <c r="AA12" s="12">
        <v>113</v>
      </c>
      <c r="AB12" s="12">
        <v>164</v>
      </c>
      <c r="AC12" s="12">
        <v>194</v>
      </c>
      <c r="AD12" s="12">
        <v>230</v>
      </c>
      <c r="AE12" s="12">
        <v>67</v>
      </c>
      <c r="AF12" s="12">
        <v>136</v>
      </c>
      <c r="AG12" s="12">
        <v>115</v>
      </c>
      <c r="AH12" s="12">
        <v>147</v>
      </c>
      <c r="AI12" s="12">
        <v>114</v>
      </c>
      <c r="AJ12" s="12">
        <v>38</v>
      </c>
      <c r="AK12" s="12">
        <v>161</v>
      </c>
      <c r="AL12" s="12">
        <v>166</v>
      </c>
      <c r="AM12" s="12">
        <v>81</v>
      </c>
      <c r="AN12" s="12">
        <v>76</v>
      </c>
      <c r="AO12" s="12">
        <v>387</v>
      </c>
      <c r="AP12" s="12">
        <v>69</v>
      </c>
      <c r="AQ12" s="12">
        <v>45</v>
      </c>
    </row>
    <row r="13" spans="1:43" x14ac:dyDescent="0.35">
      <c r="A13" s="19"/>
      <c r="B13" s="13" t="s">
        <v>1024</v>
      </c>
      <c r="C13" s="15">
        <v>0.14000000000000001</v>
      </c>
      <c r="D13" s="15">
        <v>0.14000000000000001</v>
      </c>
      <c r="E13" s="15">
        <v>0.15</v>
      </c>
      <c r="F13" s="15">
        <v>0.06</v>
      </c>
      <c r="G13" s="15">
        <v>0.22</v>
      </c>
      <c r="H13" s="15">
        <v>0.15</v>
      </c>
      <c r="I13" s="15">
        <v>0.14000000000000001</v>
      </c>
      <c r="J13" s="15">
        <v>7.0000000000000007E-2</v>
      </c>
      <c r="K13" s="15">
        <v>0.09</v>
      </c>
      <c r="L13" s="15">
        <v>0.22</v>
      </c>
      <c r="M13" s="15">
        <v>0.05</v>
      </c>
      <c r="N13" s="15">
        <v>0.2</v>
      </c>
      <c r="O13" s="15">
        <v>0.13</v>
      </c>
      <c r="P13" s="15">
        <v>0.21</v>
      </c>
      <c r="Q13" s="15">
        <v>0.09</v>
      </c>
      <c r="R13" s="15">
        <v>0.06</v>
      </c>
      <c r="S13" s="15">
        <v>0.36</v>
      </c>
      <c r="T13" s="15">
        <v>0.18</v>
      </c>
      <c r="U13" s="15">
        <v>0.28999999999999998</v>
      </c>
      <c r="V13" s="15">
        <v>0.23</v>
      </c>
      <c r="W13" s="15">
        <v>0.13</v>
      </c>
      <c r="X13" s="15">
        <v>0.11</v>
      </c>
      <c r="Y13" s="15">
        <v>0.18</v>
      </c>
      <c r="Z13" s="15">
        <v>0.15</v>
      </c>
      <c r="AA13" s="15">
        <v>0.11</v>
      </c>
      <c r="AB13" s="15">
        <v>0.16</v>
      </c>
      <c r="AC13" s="15">
        <v>0.2</v>
      </c>
      <c r="AD13" s="15">
        <v>0.23</v>
      </c>
      <c r="AE13" s="15">
        <v>7.0000000000000007E-2</v>
      </c>
      <c r="AF13" s="15">
        <v>0.13</v>
      </c>
      <c r="AG13" s="15">
        <v>0.11</v>
      </c>
      <c r="AH13" s="15">
        <v>0.15</v>
      </c>
      <c r="AI13" s="15">
        <v>0.22</v>
      </c>
      <c r="AJ13" s="15">
        <v>0.04</v>
      </c>
      <c r="AK13" s="15">
        <v>0.16</v>
      </c>
      <c r="AL13" s="15">
        <v>0.16</v>
      </c>
      <c r="AM13" s="15">
        <v>0.08</v>
      </c>
      <c r="AN13" s="15">
        <v>0.08</v>
      </c>
      <c r="AO13" s="15">
        <v>0.38</v>
      </c>
      <c r="AP13" s="15">
        <v>0.13</v>
      </c>
      <c r="AQ13" s="15">
        <v>0.05</v>
      </c>
    </row>
    <row r="14" spans="1:43" x14ac:dyDescent="0.35">
      <c r="A14" s="19"/>
      <c r="B14" s="11" t="s">
        <v>1025</v>
      </c>
      <c r="C14" s="12">
        <v>12369</v>
      </c>
      <c r="D14" s="12">
        <v>409</v>
      </c>
      <c r="E14" s="12">
        <v>379</v>
      </c>
      <c r="F14" s="12">
        <v>412</v>
      </c>
      <c r="G14" s="12">
        <v>492</v>
      </c>
      <c r="H14" s="12">
        <v>655</v>
      </c>
      <c r="I14" s="12">
        <v>757</v>
      </c>
      <c r="J14" s="12">
        <v>102</v>
      </c>
      <c r="K14" s="12">
        <v>424</v>
      </c>
      <c r="L14" s="12">
        <v>428</v>
      </c>
      <c r="M14" s="12">
        <v>342</v>
      </c>
      <c r="N14" s="12">
        <v>477</v>
      </c>
      <c r="O14" s="12">
        <v>416</v>
      </c>
      <c r="P14" s="12">
        <v>384</v>
      </c>
      <c r="Q14" s="12">
        <v>506</v>
      </c>
      <c r="R14" s="12">
        <v>199</v>
      </c>
      <c r="S14" s="12">
        <v>440</v>
      </c>
      <c r="T14" s="12">
        <v>519</v>
      </c>
      <c r="U14" s="12">
        <v>254</v>
      </c>
      <c r="V14" s="12">
        <v>465</v>
      </c>
      <c r="W14" s="12">
        <v>282</v>
      </c>
      <c r="X14" s="12">
        <v>446</v>
      </c>
      <c r="Y14" s="12">
        <v>373</v>
      </c>
      <c r="Z14" s="12">
        <v>572</v>
      </c>
      <c r="AA14" s="12">
        <v>563</v>
      </c>
      <c r="AB14" s="12">
        <v>510</v>
      </c>
      <c r="AC14" s="12">
        <v>504</v>
      </c>
      <c r="AD14" s="12">
        <v>457</v>
      </c>
      <c r="AE14" s="12">
        <v>488</v>
      </c>
      <c r="AF14" s="12">
        <v>499</v>
      </c>
      <c r="AG14" s="12">
        <v>179</v>
      </c>
      <c r="AH14" s="12">
        <v>475</v>
      </c>
      <c r="AI14" s="12">
        <v>71</v>
      </c>
      <c r="AJ14" s="12">
        <v>220</v>
      </c>
      <c r="AK14" s="12">
        <v>483</v>
      </c>
      <c r="AL14" s="12">
        <v>326</v>
      </c>
      <c r="AM14" s="12">
        <v>335</v>
      </c>
      <c r="AN14" s="12">
        <v>306</v>
      </c>
      <c r="AO14" s="12">
        <v>325</v>
      </c>
      <c r="AP14" s="12">
        <v>127</v>
      </c>
      <c r="AQ14" s="12">
        <v>135</v>
      </c>
    </row>
    <row r="15" spans="1:43" x14ac:dyDescent="0.35">
      <c r="A15" s="19"/>
      <c r="B15" s="13" t="s">
        <v>1026</v>
      </c>
      <c r="C15" s="15">
        <v>0.47</v>
      </c>
      <c r="D15" s="15">
        <v>0.4</v>
      </c>
      <c r="E15" s="15">
        <v>0.37</v>
      </c>
      <c r="F15" s="15">
        <v>0.37</v>
      </c>
      <c r="G15" s="15">
        <v>0.49</v>
      </c>
      <c r="H15" s="15">
        <v>0.54</v>
      </c>
      <c r="I15" s="15">
        <v>0.5</v>
      </c>
      <c r="J15" s="15">
        <v>0.34</v>
      </c>
      <c r="K15" s="15">
        <v>0.42</v>
      </c>
      <c r="L15" s="15">
        <v>0.43</v>
      </c>
      <c r="M15" s="15">
        <v>0.34</v>
      </c>
      <c r="N15" s="15">
        <v>0.47</v>
      </c>
      <c r="O15" s="15">
        <v>0.42</v>
      </c>
      <c r="P15" s="15">
        <v>0.38</v>
      </c>
      <c r="Q15" s="15">
        <v>0.49</v>
      </c>
      <c r="R15" s="15">
        <v>0.4</v>
      </c>
      <c r="S15" s="15">
        <v>0.44</v>
      </c>
      <c r="T15" s="15">
        <v>0.52</v>
      </c>
      <c r="U15" s="15">
        <v>0.5</v>
      </c>
      <c r="V15" s="15">
        <v>0.46</v>
      </c>
      <c r="W15" s="15">
        <v>0.56000000000000005</v>
      </c>
      <c r="X15" s="15">
        <v>0.44</v>
      </c>
      <c r="Y15" s="15">
        <v>0.37</v>
      </c>
      <c r="Z15" s="15">
        <v>0.55000000000000004</v>
      </c>
      <c r="AA15" s="15">
        <v>0.54</v>
      </c>
      <c r="AB15" s="15">
        <v>0.49</v>
      </c>
      <c r="AC15" s="15">
        <v>0.5</v>
      </c>
      <c r="AD15" s="15">
        <v>0.46</v>
      </c>
      <c r="AE15" s="15">
        <v>0.48</v>
      </c>
      <c r="AF15" s="15">
        <v>0.48</v>
      </c>
      <c r="AG15" s="15">
        <v>0.17</v>
      </c>
      <c r="AH15" s="15">
        <v>0.47</v>
      </c>
      <c r="AI15" s="15">
        <v>0.14000000000000001</v>
      </c>
      <c r="AJ15" s="15">
        <v>0.21</v>
      </c>
      <c r="AK15" s="15">
        <v>0.48</v>
      </c>
      <c r="AL15" s="15">
        <v>0.32</v>
      </c>
      <c r="AM15" s="15">
        <v>0.32</v>
      </c>
      <c r="AN15" s="15">
        <v>0.3</v>
      </c>
      <c r="AO15" s="15">
        <v>0.32</v>
      </c>
      <c r="AP15" s="15">
        <v>0.24</v>
      </c>
      <c r="AQ15" s="15">
        <v>0.13</v>
      </c>
    </row>
    <row r="16" spans="1:43" x14ac:dyDescent="0.35">
      <c r="A16" s="19"/>
      <c r="B16" s="11" t="s">
        <v>1027</v>
      </c>
      <c r="C16" s="12">
        <v>7505</v>
      </c>
      <c r="D16" s="12">
        <v>362</v>
      </c>
      <c r="E16" s="12">
        <v>280</v>
      </c>
      <c r="F16" s="12">
        <v>384</v>
      </c>
      <c r="G16" s="12">
        <v>220</v>
      </c>
      <c r="H16" s="12">
        <v>293</v>
      </c>
      <c r="I16" s="12">
        <v>422</v>
      </c>
      <c r="J16" s="12">
        <v>129</v>
      </c>
      <c r="K16" s="12">
        <v>350</v>
      </c>
      <c r="L16" s="12">
        <v>259</v>
      </c>
      <c r="M16" s="12">
        <v>428</v>
      </c>
      <c r="N16" s="12">
        <v>240</v>
      </c>
      <c r="O16" s="12">
        <v>323</v>
      </c>
      <c r="P16" s="12">
        <v>313</v>
      </c>
      <c r="Q16" s="12">
        <v>295</v>
      </c>
      <c r="R16" s="12">
        <v>188</v>
      </c>
      <c r="S16" s="12">
        <v>146</v>
      </c>
      <c r="T16" s="12">
        <v>224</v>
      </c>
      <c r="U16" s="12">
        <v>79</v>
      </c>
      <c r="V16" s="12">
        <v>225</v>
      </c>
      <c r="W16" s="12">
        <v>136</v>
      </c>
      <c r="X16" s="12">
        <v>330</v>
      </c>
      <c r="Y16" s="12">
        <v>265</v>
      </c>
      <c r="Z16" s="12">
        <v>236</v>
      </c>
      <c r="AA16" s="12">
        <v>316</v>
      </c>
      <c r="AB16" s="12">
        <v>267</v>
      </c>
      <c r="AC16" s="12">
        <v>233</v>
      </c>
      <c r="AD16" s="12">
        <v>254</v>
      </c>
      <c r="AE16" s="12">
        <v>335</v>
      </c>
      <c r="AF16" s="12">
        <v>297</v>
      </c>
      <c r="AG16" s="12">
        <v>431</v>
      </c>
      <c r="AH16" s="12">
        <v>226</v>
      </c>
      <c r="AI16" s="12">
        <v>77</v>
      </c>
      <c r="AJ16" s="12">
        <v>361</v>
      </c>
      <c r="AK16" s="12">
        <v>311</v>
      </c>
      <c r="AL16" s="12">
        <v>251</v>
      </c>
      <c r="AM16" s="12">
        <v>386</v>
      </c>
      <c r="AN16" s="12">
        <v>429</v>
      </c>
      <c r="AO16" s="12">
        <v>187</v>
      </c>
      <c r="AP16" s="12">
        <v>195</v>
      </c>
      <c r="AQ16" s="12">
        <v>298</v>
      </c>
    </row>
    <row r="17" spans="1:43" x14ac:dyDescent="0.35">
      <c r="A17" s="19"/>
      <c r="B17" s="13" t="s">
        <v>1028</v>
      </c>
      <c r="C17" s="15">
        <v>0.28000000000000003</v>
      </c>
      <c r="D17" s="15">
        <v>0.36</v>
      </c>
      <c r="E17" s="15">
        <v>0.27</v>
      </c>
      <c r="F17" s="15">
        <v>0.35</v>
      </c>
      <c r="G17" s="15">
        <v>0.22</v>
      </c>
      <c r="H17" s="15">
        <v>0.24</v>
      </c>
      <c r="I17" s="15">
        <v>0.28000000000000003</v>
      </c>
      <c r="J17" s="15">
        <v>0.44</v>
      </c>
      <c r="K17" s="15">
        <v>0.35</v>
      </c>
      <c r="L17" s="15">
        <v>0.26</v>
      </c>
      <c r="M17" s="15">
        <v>0.42</v>
      </c>
      <c r="N17" s="15">
        <v>0.24</v>
      </c>
      <c r="O17" s="15">
        <v>0.32</v>
      </c>
      <c r="P17" s="15">
        <v>0.31</v>
      </c>
      <c r="Q17" s="15">
        <v>0.28999999999999998</v>
      </c>
      <c r="R17" s="15">
        <v>0.37</v>
      </c>
      <c r="S17" s="15">
        <v>0.14000000000000001</v>
      </c>
      <c r="T17" s="15">
        <v>0.22</v>
      </c>
      <c r="U17" s="15">
        <v>0.16</v>
      </c>
      <c r="V17" s="15">
        <v>0.22</v>
      </c>
      <c r="W17" s="15">
        <v>0.27</v>
      </c>
      <c r="X17" s="15">
        <v>0.33</v>
      </c>
      <c r="Y17" s="15">
        <v>0.26</v>
      </c>
      <c r="Z17" s="15">
        <v>0.23</v>
      </c>
      <c r="AA17" s="15">
        <v>0.31</v>
      </c>
      <c r="AB17" s="15">
        <v>0.25</v>
      </c>
      <c r="AC17" s="15">
        <v>0.23</v>
      </c>
      <c r="AD17" s="15">
        <v>0.25</v>
      </c>
      <c r="AE17" s="15">
        <v>0.33</v>
      </c>
      <c r="AF17" s="15">
        <v>0.28000000000000003</v>
      </c>
      <c r="AG17" s="15">
        <v>0.42</v>
      </c>
      <c r="AH17" s="15">
        <v>0.22</v>
      </c>
      <c r="AI17" s="15">
        <v>0.15</v>
      </c>
      <c r="AJ17" s="15">
        <v>0.35</v>
      </c>
      <c r="AK17" s="15">
        <v>0.31</v>
      </c>
      <c r="AL17" s="15">
        <v>0.25</v>
      </c>
      <c r="AM17" s="15">
        <v>0.37</v>
      </c>
      <c r="AN17" s="15">
        <v>0.43</v>
      </c>
      <c r="AO17" s="15">
        <v>0.19</v>
      </c>
      <c r="AP17" s="15">
        <v>0.38</v>
      </c>
      <c r="AQ17" s="15">
        <v>0.3</v>
      </c>
    </row>
    <row r="18" spans="1:43" x14ac:dyDescent="0.35">
      <c r="A18" s="19"/>
      <c r="B18" s="11" t="s">
        <v>1029</v>
      </c>
      <c r="C18" s="12">
        <v>2650</v>
      </c>
      <c r="D18" s="12">
        <v>101</v>
      </c>
      <c r="E18" s="12">
        <v>196</v>
      </c>
      <c r="F18" s="12">
        <v>223</v>
      </c>
      <c r="G18" s="12">
        <v>67</v>
      </c>
      <c r="H18" s="12">
        <v>75</v>
      </c>
      <c r="I18" s="12">
        <v>117</v>
      </c>
      <c r="J18" s="12">
        <v>42</v>
      </c>
      <c r="K18" s="12">
        <v>118</v>
      </c>
      <c r="L18" s="12">
        <v>81</v>
      </c>
      <c r="M18" s="12">
        <v>186</v>
      </c>
      <c r="N18" s="12">
        <v>80</v>
      </c>
      <c r="O18" s="12">
        <v>121</v>
      </c>
      <c r="P18" s="12">
        <v>93</v>
      </c>
      <c r="Q18" s="12">
        <v>136</v>
      </c>
      <c r="R18" s="12">
        <v>83</v>
      </c>
      <c r="S18" s="12">
        <v>47</v>
      </c>
      <c r="T18" s="12">
        <v>75</v>
      </c>
      <c r="U18" s="12">
        <v>24</v>
      </c>
      <c r="V18" s="12">
        <v>81</v>
      </c>
      <c r="W18" s="12">
        <v>20</v>
      </c>
      <c r="X18" s="12">
        <v>110</v>
      </c>
      <c r="Y18" s="12">
        <v>178</v>
      </c>
      <c r="Z18" s="12">
        <v>47</v>
      </c>
      <c r="AA18" s="12">
        <v>40</v>
      </c>
      <c r="AB18" s="12">
        <v>96</v>
      </c>
      <c r="AC18" s="12">
        <v>69</v>
      </c>
      <c r="AD18" s="12">
        <v>61</v>
      </c>
      <c r="AE18" s="12">
        <v>96</v>
      </c>
      <c r="AF18" s="12">
        <v>99</v>
      </c>
      <c r="AG18" s="12">
        <v>302</v>
      </c>
      <c r="AH18" s="12">
        <v>157</v>
      </c>
      <c r="AI18" s="12">
        <v>242</v>
      </c>
      <c r="AJ18" s="12">
        <v>417</v>
      </c>
      <c r="AK18" s="12">
        <v>50</v>
      </c>
      <c r="AL18" s="12">
        <v>203</v>
      </c>
      <c r="AM18" s="12">
        <v>213</v>
      </c>
      <c r="AN18" s="12">
        <v>185</v>
      </c>
      <c r="AO18" s="12">
        <v>89</v>
      </c>
      <c r="AP18" s="12">
        <v>132</v>
      </c>
      <c r="AQ18" s="12">
        <v>505</v>
      </c>
    </row>
    <row r="19" spans="1:43" x14ac:dyDescent="0.35">
      <c r="A19" s="19"/>
      <c r="B19" s="13" t="s">
        <v>1030</v>
      </c>
      <c r="C19" s="15">
        <v>0.1</v>
      </c>
      <c r="D19" s="15">
        <v>0.1</v>
      </c>
      <c r="E19" s="15">
        <v>0.19</v>
      </c>
      <c r="F19" s="15">
        <v>0.2</v>
      </c>
      <c r="G19" s="15">
        <v>7.0000000000000007E-2</v>
      </c>
      <c r="H19" s="15">
        <v>0.06</v>
      </c>
      <c r="I19" s="15">
        <v>7.0000000000000007E-2</v>
      </c>
      <c r="J19" s="15">
        <v>0.14000000000000001</v>
      </c>
      <c r="K19" s="15">
        <v>0.12</v>
      </c>
      <c r="L19" s="15">
        <v>0.08</v>
      </c>
      <c r="M19" s="15">
        <v>0.19</v>
      </c>
      <c r="N19" s="15">
        <v>0.08</v>
      </c>
      <c r="O19" s="15">
        <v>0.12</v>
      </c>
      <c r="P19" s="15">
        <v>0.09</v>
      </c>
      <c r="Q19" s="15">
        <v>0.13</v>
      </c>
      <c r="R19" s="15">
        <v>0.17</v>
      </c>
      <c r="S19" s="15">
        <v>0.05</v>
      </c>
      <c r="T19" s="15">
        <v>7.0000000000000007E-2</v>
      </c>
      <c r="U19" s="15">
        <v>0.05</v>
      </c>
      <c r="V19" s="15">
        <v>0.08</v>
      </c>
      <c r="W19" s="15">
        <v>0.04</v>
      </c>
      <c r="X19" s="15">
        <v>0.11</v>
      </c>
      <c r="Y19" s="15">
        <v>0.18</v>
      </c>
      <c r="Z19" s="15">
        <v>0.05</v>
      </c>
      <c r="AA19" s="15">
        <v>0.04</v>
      </c>
      <c r="AB19" s="15">
        <v>0.09</v>
      </c>
      <c r="AC19" s="15">
        <v>7.0000000000000007E-2</v>
      </c>
      <c r="AD19" s="15">
        <v>0.06</v>
      </c>
      <c r="AE19" s="15">
        <v>0.09</v>
      </c>
      <c r="AF19" s="15">
        <v>0.1</v>
      </c>
      <c r="AG19" s="15">
        <v>0.28999999999999998</v>
      </c>
      <c r="AH19" s="15">
        <v>0.15</v>
      </c>
      <c r="AI19" s="15">
        <v>0.46</v>
      </c>
      <c r="AJ19" s="15">
        <v>0.4</v>
      </c>
      <c r="AK19" s="15">
        <v>0.05</v>
      </c>
      <c r="AL19" s="15">
        <v>0.2</v>
      </c>
      <c r="AM19" s="15">
        <v>0.2</v>
      </c>
      <c r="AN19" s="15">
        <v>0.18</v>
      </c>
      <c r="AO19" s="15">
        <v>0.09</v>
      </c>
      <c r="AP19" s="15">
        <v>0.25</v>
      </c>
      <c r="AQ19" s="15">
        <v>0.5</v>
      </c>
    </row>
    <row r="20" spans="1:43" x14ac:dyDescent="0.35">
      <c r="A20" s="19"/>
      <c r="B20" s="11" t="s">
        <v>485</v>
      </c>
      <c r="C20" s="12">
        <v>249</v>
      </c>
      <c r="D20" s="12">
        <v>5</v>
      </c>
      <c r="E20" s="12">
        <v>25</v>
      </c>
      <c r="F20" s="12">
        <v>21</v>
      </c>
      <c r="G20" s="12">
        <v>5</v>
      </c>
      <c r="H20" s="12">
        <v>10</v>
      </c>
      <c r="I20" s="12">
        <v>12</v>
      </c>
      <c r="J20" s="12">
        <v>2</v>
      </c>
      <c r="K20" s="12">
        <v>24</v>
      </c>
      <c r="L20" s="12">
        <v>9</v>
      </c>
      <c r="M20" s="12">
        <v>0</v>
      </c>
      <c r="N20" s="12">
        <v>8</v>
      </c>
      <c r="O20" s="12">
        <v>13</v>
      </c>
      <c r="P20" s="12">
        <v>5</v>
      </c>
      <c r="Q20" s="12">
        <v>2</v>
      </c>
      <c r="R20" s="12">
        <v>2</v>
      </c>
      <c r="S20" s="12">
        <v>12</v>
      </c>
      <c r="T20" s="12">
        <v>5</v>
      </c>
      <c r="U20" s="12">
        <v>1</v>
      </c>
      <c r="V20" s="12">
        <v>13</v>
      </c>
      <c r="W20" s="12">
        <v>1</v>
      </c>
      <c r="X20" s="12">
        <v>6</v>
      </c>
      <c r="Y20" s="12">
        <v>9</v>
      </c>
      <c r="Z20" s="12">
        <v>21</v>
      </c>
      <c r="AA20" s="12">
        <v>1</v>
      </c>
      <c r="AB20" s="12">
        <v>14</v>
      </c>
      <c r="AC20" s="12">
        <v>3</v>
      </c>
      <c r="AD20" s="12">
        <v>3</v>
      </c>
      <c r="AE20" s="12">
        <v>26</v>
      </c>
      <c r="AF20" s="12">
        <v>11</v>
      </c>
      <c r="AG20" s="12">
        <v>8</v>
      </c>
      <c r="AH20" s="12">
        <v>8</v>
      </c>
      <c r="AI20" s="12">
        <v>18</v>
      </c>
      <c r="AJ20" s="12">
        <v>1</v>
      </c>
      <c r="AK20" s="12">
        <v>1</v>
      </c>
      <c r="AL20" s="12">
        <v>66</v>
      </c>
      <c r="AM20" s="12">
        <v>27</v>
      </c>
      <c r="AN20" s="12">
        <v>7</v>
      </c>
      <c r="AO20" s="12">
        <v>17</v>
      </c>
      <c r="AP20" s="12">
        <v>1</v>
      </c>
      <c r="AQ20" s="12">
        <v>19</v>
      </c>
    </row>
    <row r="21" spans="1:43" x14ac:dyDescent="0.35">
      <c r="A21" s="19"/>
      <c r="B21" s="13" t="s">
        <v>486</v>
      </c>
      <c r="C21" s="15">
        <v>0.01</v>
      </c>
      <c r="D21" s="14" t="s">
        <v>475</v>
      </c>
      <c r="E21" s="15">
        <v>0.02</v>
      </c>
      <c r="F21" s="15">
        <v>0.02</v>
      </c>
      <c r="G21" s="14" t="s">
        <v>475</v>
      </c>
      <c r="H21" s="15">
        <v>0.01</v>
      </c>
      <c r="I21" s="15">
        <v>0.01</v>
      </c>
      <c r="J21" s="15">
        <v>0.01</v>
      </c>
      <c r="K21" s="15">
        <v>0.02</v>
      </c>
      <c r="L21" s="15">
        <v>0.01</v>
      </c>
      <c r="M21" s="14" t="s">
        <v>475</v>
      </c>
      <c r="N21" s="15">
        <v>0.01</v>
      </c>
      <c r="O21" s="15">
        <v>0.01</v>
      </c>
      <c r="P21" s="15">
        <v>0.01</v>
      </c>
      <c r="Q21" s="14" t="s">
        <v>475</v>
      </c>
      <c r="R21" s="14" t="s">
        <v>475</v>
      </c>
      <c r="S21" s="15">
        <v>0.01</v>
      </c>
      <c r="T21" s="15">
        <v>0.01</v>
      </c>
      <c r="U21" s="14" t="s">
        <v>475</v>
      </c>
      <c r="V21" s="15">
        <v>0.01</v>
      </c>
      <c r="W21" s="14" t="s">
        <v>475</v>
      </c>
      <c r="X21" s="15">
        <v>0.01</v>
      </c>
      <c r="Y21" s="15">
        <v>0.01</v>
      </c>
      <c r="Z21" s="15">
        <v>0.02</v>
      </c>
      <c r="AA21" s="14" t="s">
        <v>475</v>
      </c>
      <c r="AB21" s="15">
        <v>0.01</v>
      </c>
      <c r="AC21" s="14" t="s">
        <v>475</v>
      </c>
      <c r="AD21" s="14" t="s">
        <v>475</v>
      </c>
      <c r="AE21" s="15">
        <v>0.03</v>
      </c>
      <c r="AF21" s="15">
        <v>0.01</v>
      </c>
      <c r="AG21" s="15">
        <v>0.01</v>
      </c>
      <c r="AH21" s="15">
        <v>0.01</v>
      </c>
      <c r="AI21" s="15">
        <v>0.03</v>
      </c>
      <c r="AJ21" s="14" t="s">
        <v>475</v>
      </c>
      <c r="AK21" s="14" t="s">
        <v>475</v>
      </c>
      <c r="AL21" s="15">
        <v>7.0000000000000007E-2</v>
      </c>
      <c r="AM21" s="15">
        <v>0.03</v>
      </c>
      <c r="AN21" s="15">
        <v>0.01</v>
      </c>
      <c r="AO21" s="15">
        <v>0.02</v>
      </c>
      <c r="AP21" s="14" t="s">
        <v>475</v>
      </c>
      <c r="AQ21" s="15">
        <v>0.02</v>
      </c>
    </row>
    <row r="22" spans="1:43" x14ac:dyDescent="0.35">
      <c r="A22" s="19"/>
      <c r="B22" s="11" t="s">
        <v>1031</v>
      </c>
      <c r="C22" s="12">
        <v>16041</v>
      </c>
      <c r="D22" s="12">
        <v>546</v>
      </c>
      <c r="E22" s="12">
        <v>528</v>
      </c>
      <c r="F22" s="12">
        <v>473</v>
      </c>
      <c r="G22" s="12">
        <v>714</v>
      </c>
      <c r="H22" s="12">
        <v>843</v>
      </c>
      <c r="I22" s="12">
        <v>965</v>
      </c>
      <c r="J22" s="12">
        <v>122</v>
      </c>
      <c r="K22" s="12">
        <v>509</v>
      </c>
      <c r="L22" s="12">
        <v>653</v>
      </c>
      <c r="M22" s="12">
        <v>395</v>
      </c>
      <c r="N22" s="12">
        <v>675</v>
      </c>
      <c r="O22" s="12">
        <v>544</v>
      </c>
      <c r="P22" s="12">
        <v>593</v>
      </c>
      <c r="Q22" s="12">
        <v>594</v>
      </c>
      <c r="R22" s="12">
        <v>231</v>
      </c>
      <c r="S22" s="12">
        <v>797</v>
      </c>
      <c r="T22" s="12">
        <v>701</v>
      </c>
      <c r="U22" s="12">
        <v>401</v>
      </c>
      <c r="V22" s="12">
        <v>696</v>
      </c>
      <c r="W22" s="12">
        <v>351</v>
      </c>
      <c r="X22" s="12">
        <v>563</v>
      </c>
      <c r="Y22" s="12">
        <v>551</v>
      </c>
      <c r="Z22" s="12">
        <v>727</v>
      </c>
      <c r="AA22" s="12">
        <v>676</v>
      </c>
      <c r="AB22" s="12">
        <v>674</v>
      </c>
      <c r="AC22" s="12">
        <v>698</v>
      </c>
      <c r="AD22" s="12">
        <v>687</v>
      </c>
      <c r="AE22" s="12">
        <v>555</v>
      </c>
      <c r="AF22" s="12">
        <v>635</v>
      </c>
      <c r="AG22" s="12">
        <v>294</v>
      </c>
      <c r="AH22" s="12">
        <v>622</v>
      </c>
      <c r="AI22" s="12">
        <v>185</v>
      </c>
      <c r="AJ22" s="12">
        <v>258</v>
      </c>
      <c r="AK22" s="12">
        <v>644</v>
      </c>
      <c r="AL22" s="12">
        <v>492</v>
      </c>
      <c r="AM22" s="12">
        <v>416</v>
      </c>
      <c r="AN22" s="12">
        <v>382</v>
      </c>
      <c r="AO22" s="12">
        <v>712</v>
      </c>
      <c r="AP22" s="12">
        <v>196</v>
      </c>
      <c r="AQ22" s="12">
        <v>180</v>
      </c>
    </row>
    <row r="23" spans="1:43" x14ac:dyDescent="0.35">
      <c r="A23" s="19"/>
      <c r="B23" s="13" t="s">
        <v>1032</v>
      </c>
      <c r="C23" s="15">
        <v>0.61</v>
      </c>
      <c r="D23" s="15">
        <v>0.54</v>
      </c>
      <c r="E23" s="15">
        <v>0.52</v>
      </c>
      <c r="F23" s="15">
        <v>0.43</v>
      </c>
      <c r="G23" s="15">
        <v>0.71</v>
      </c>
      <c r="H23" s="15">
        <v>0.69000000000000006</v>
      </c>
      <c r="I23" s="15">
        <v>0.64</v>
      </c>
      <c r="J23" s="15">
        <v>0.41</v>
      </c>
      <c r="K23" s="15">
        <v>0.51</v>
      </c>
      <c r="L23" s="15">
        <v>0.65</v>
      </c>
      <c r="M23" s="15">
        <v>0.39</v>
      </c>
      <c r="N23" s="15">
        <v>0.67</v>
      </c>
      <c r="O23" s="15">
        <v>0.55000000000000004</v>
      </c>
      <c r="P23" s="15">
        <v>0.59</v>
      </c>
      <c r="Q23" s="15">
        <v>0.57999999999999996</v>
      </c>
      <c r="R23" s="15">
        <v>0.46</v>
      </c>
      <c r="S23" s="15">
        <v>0.8</v>
      </c>
      <c r="T23" s="15">
        <v>0.70000000000000007</v>
      </c>
      <c r="U23" s="15">
        <v>0.79</v>
      </c>
      <c r="V23" s="15">
        <v>0.69000000000000006</v>
      </c>
      <c r="W23" s="15">
        <v>0.69000000000000006</v>
      </c>
      <c r="X23" s="15">
        <v>0.55000000000000004</v>
      </c>
      <c r="Y23" s="15">
        <v>0.55000000000000004</v>
      </c>
      <c r="Z23" s="15">
        <v>0.70000000000000007</v>
      </c>
      <c r="AA23" s="15">
        <v>0.65</v>
      </c>
      <c r="AB23" s="15">
        <v>0.65</v>
      </c>
      <c r="AC23" s="15">
        <v>0.70000000000000007</v>
      </c>
      <c r="AD23" s="15">
        <v>0.69000000000000006</v>
      </c>
      <c r="AE23" s="15">
        <v>0.55000000000000004</v>
      </c>
      <c r="AF23" s="15">
        <v>0.61</v>
      </c>
      <c r="AG23" s="15">
        <v>0.28000000000000003</v>
      </c>
      <c r="AH23" s="15">
        <v>0.62</v>
      </c>
      <c r="AI23" s="15">
        <v>0.36</v>
      </c>
      <c r="AJ23" s="15">
        <v>0.25</v>
      </c>
      <c r="AK23" s="15">
        <v>0.64</v>
      </c>
      <c r="AL23" s="15">
        <v>0.48</v>
      </c>
      <c r="AM23" s="15">
        <v>0.4</v>
      </c>
      <c r="AN23" s="15">
        <v>0.38</v>
      </c>
      <c r="AO23" s="15">
        <v>0.70000000000000007</v>
      </c>
      <c r="AP23" s="15">
        <v>0.37</v>
      </c>
      <c r="AQ23" s="15">
        <v>0.18</v>
      </c>
    </row>
    <row r="24" spans="1:43" x14ac:dyDescent="0.35">
      <c r="A24" s="19"/>
      <c r="B24" s="11" t="s">
        <v>1033</v>
      </c>
      <c r="C24" s="12">
        <v>10155</v>
      </c>
      <c r="D24" s="12">
        <v>463</v>
      </c>
      <c r="E24" s="12">
        <v>476</v>
      </c>
      <c r="F24" s="12">
        <v>607</v>
      </c>
      <c r="G24" s="12">
        <v>287</v>
      </c>
      <c r="H24" s="12">
        <v>368</v>
      </c>
      <c r="I24" s="12">
        <v>539</v>
      </c>
      <c r="J24" s="12">
        <v>171</v>
      </c>
      <c r="K24" s="12">
        <v>468</v>
      </c>
      <c r="L24" s="12">
        <v>340</v>
      </c>
      <c r="M24" s="12">
        <v>614</v>
      </c>
      <c r="N24" s="12">
        <v>320</v>
      </c>
      <c r="O24" s="12">
        <v>444</v>
      </c>
      <c r="P24" s="12">
        <v>406</v>
      </c>
      <c r="Q24" s="12">
        <v>431</v>
      </c>
      <c r="R24" s="12">
        <v>271</v>
      </c>
      <c r="S24" s="12">
        <v>193</v>
      </c>
      <c r="T24" s="12">
        <v>299</v>
      </c>
      <c r="U24" s="12">
        <v>103</v>
      </c>
      <c r="V24" s="12">
        <v>306</v>
      </c>
      <c r="W24" s="12">
        <v>156</v>
      </c>
      <c r="X24" s="12">
        <v>440</v>
      </c>
      <c r="Y24" s="12">
        <v>443</v>
      </c>
      <c r="Z24" s="12">
        <v>283</v>
      </c>
      <c r="AA24" s="12">
        <v>356</v>
      </c>
      <c r="AB24" s="12">
        <v>363</v>
      </c>
      <c r="AC24" s="12">
        <v>302</v>
      </c>
      <c r="AD24" s="12">
        <v>315</v>
      </c>
      <c r="AE24" s="12">
        <v>431</v>
      </c>
      <c r="AF24" s="12">
        <v>396</v>
      </c>
      <c r="AG24" s="12">
        <v>733</v>
      </c>
      <c r="AH24" s="12">
        <v>383</v>
      </c>
      <c r="AI24" s="12">
        <v>319</v>
      </c>
      <c r="AJ24" s="12">
        <v>778</v>
      </c>
      <c r="AK24" s="12">
        <v>361</v>
      </c>
      <c r="AL24" s="12">
        <v>454</v>
      </c>
      <c r="AM24" s="12">
        <v>599</v>
      </c>
      <c r="AN24" s="12">
        <v>614</v>
      </c>
      <c r="AO24" s="12">
        <v>276</v>
      </c>
      <c r="AP24" s="12">
        <v>327</v>
      </c>
      <c r="AQ24" s="12">
        <v>803</v>
      </c>
    </row>
    <row r="25" spans="1:43" x14ac:dyDescent="0.35">
      <c r="A25" s="19"/>
      <c r="B25" s="13" t="s">
        <v>1034</v>
      </c>
      <c r="C25" s="15">
        <v>0.38</v>
      </c>
      <c r="D25" s="15">
        <v>0.46</v>
      </c>
      <c r="E25" s="15">
        <v>0.46</v>
      </c>
      <c r="F25" s="15">
        <v>0.55000000000000004</v>
      </c>
      <c r="G25" s="15">
        <v>0.28999999999999998</v>
      </c>
      <c r="H25" s="15">
        <v>0.3</v>
      </c>
      <c r="I25" s="15">
        <v>0.35</v>
      </c>
      <c r="J25" s="15">
        <v>0.57999999999999996</v>
      </c>
      <c r="K25" s="15">
        <v>0.47</v>
      </c>
      <c r="L25" s="15">
        <v>0.34</v>
      </c>
      <c r="M25" s="15">
        <v>0.61</v>
      </c>
      <c r="N25" s="15">
        <v>0.32</v>
      </c>
      <c r="O25" s="15">
        <v>0.44</v>
      </c>
      <c r="P25" s="15">
        <v>0.4</v>
      </c>
      <c r="Q25" s="15">
        <v>0.42</v>
      </c>
      <c r="R25" s="15">
        <v>0.54</v>
      </c>
      <c r="S25" s="15">
        <v>0.19</v>
      </c>
      <c r="T25" s="15">
        <v>0.28999999999999998</v>
      </c>
      <c r="U25" s="15">
        <v>0.21</v>
      </c>
      <c r="V25" s="15">
        <v>0.3</v>
      </c>
      <c r="W25" s="15">
        <v>0.31</v>
      </c>
      <c r="X25" s="15">
        <v>0.44</v>
      </c>
      <c r="Y25" s="15">
        <v>0.44</v>
      </c>
      <c r="Z25" s="15">
        <v>0.28000000000000003</v>
      </c>
      <c r="AA25" s="15">
        <v>0.35</v>
      </c>
      <c r="AB25" s="15">
        <v>0.34</v>
      </c>
      <c r="AC25" s="15">
        <v>0.3</v>
      </c>
      <c r="AD25" s="15">
        <v>0.31</v>
      </c>
      <c r="AE25" s="15">
        <v>0.42</v>
      </c>
      <c r="AF25" s="15">
        <v>0.38</v>
      </c>
      <c r="AG25" s="15">
        <v>0.71</v>
      </c>
      <c r="AH25" s="15">
        <v>0.37</v>
      </c>
      <c r="AI25" s="15">
        <v>0.61</v>
      </c>
      <c r="AJ25" s="15">
        <v>0.75</v>
      </c>
      <c r="AK25" s="15">
        <v>0.36</v>
      </c>
      <c r="AL25" s="15">
        <v>0.45</v>
      </c>
      <c r="AM25" s="15">
        <v>0.57000000000000006</v>
      </c>
      <c r="AN25" s="15">
        <v>0.61</v>
      </c>
      <c r="AO25" s="15">
        <v>0.28000000000000003</v>
      </c>
      <c r="AP25" s="15">
        <v>0.63</v>
      </c>
      <c r="AQ25" s="15">
        <v>0.8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1040</v>
      </c>
      <c r="C3" s="18"/>
      <c r="D3" s="18"/>
      <c r="E3" s="18"/>
      <c r="F3" s="18"/>
      <c r="H3" s="18" t="s">
        <v>1041</v>
      </c>
      <c r="I3" s="18"/>
      <c r="J3" s="18"/>
      <c r="K3" s="18"/>
      <c r="L3" s="18"/>
    </row>
    <row r="4" spans="1:43" ht="27" customHeight="1" x14ac:dyDescent="0.35">
      <c r="B4" s="18" t="s">
        <v>1042</v>
      </c>
      <c r="C4" s="18"/>
      <c r="D4" s="18"/>
      <c r="E4" s="18"/>
      <c r="F4" s="18"/>
      <c r="H4" s="18" t="s">
        <v>1043</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HYPERLINK("#Content!A107","&lt;&lt;Back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1023</v>
      </c>
      <c r="C12" s="12">
        <v>4426</v>
      </c>
      <c r="D12" s="12">
        <v>157</v>
      </c>
      <c r="E12" s="12">
        <v>184</v>
      </c>
      <c r="F12" s="12">
        <v>132</v>
      </c>
      <c r="G12" s="12">
        <v>335</v>
      </c>
      <c r="H12" s="12">
        <v>243</v>
      </c>
      <c r="I12" s="12">
        <v>287</v>
      </c>
      <c r="J12" s="12">
        <v>44</v>
      </c>
      <c r="K12" s="12">
        <v>101</v>
      </c>
      <c r="L12" s="12">
        <v>234</v>
      </c>
      <c r="M12" s="12">
        <v>37</v>
      </c>
      <c r="N12" s="12">
        <v>196</v>
      </c>
      <c r="O12" s="12">
        <v>144</v>
      </c>
      <c r="P12" s="12">
        <v>216</v>
      </c>
      <c r="Q12" s="12">
        <v>90</v>
      </c>
      <c r="R12" s="12">
        <v>31</v>
      </c>
      <c r="S12" s="12">
        <v>389</v>
      </c>
      <c r="T12" s="12">
        <v>205</v>
      </c>
      <c r="U12" s="12">
        <v>171</v>
      </c>
      <c r="V12" s="12">
        <v>291</v>
      </c>
      <c r="W12" s="12">
        <v>86</v>
      </c>
      <c r="X12" s="12">
        <v>192</v>
      </c>
      <c r="Y12" s="12">
        <v>244</v>
      </c>
      <c r="Z12" s="12">
        <v>145</v>
      </c>
      <c r="AA12" s="12">
        <v>88</v>
      </c>
      <c r="AB12" s="12">
        <v>193</v>
      </c>
      <c r="AC12" s="12">
        <v>222</v>
      </c>
      <c r="AD12" s="12">
        <v>284</v>
      </c>
      <c r="AE12" s="12">
        <v>213</v>
      </c>
      <c r="AF12" s="12">
        <v>332</v>
      </c>
      <c r="AG12" s="12">
        <v>104</v>
      </c>
      <c r="AH12" s="12">
        <v>185</v>
      </c>
      <c r="AI12" s="12">
        <v>85</v>
      </c>
      <c r="AJ12" s="12">
        <v>98</v>
      </c>
      <c r="AK12" s="12">
        <v>135</v>
      </c>
      <c r="AL12" s="12">
        <v>155</v>
      </c>
      <c r="AM12" s="12">
        <v>129</v>
      </c>
      <c r="AN12" s="12">
        <v>103</v>
      </c>
      <c r="AO12" s="12">
        <v>388</v>
      </c>
      <c r="AP12" s="12">
        <v>70</v>
      </c>
      <c r="AQ12" s="12">
        <v>55</v>
      </c>
    </row>
    <row r="13" spans="1:43" x14ac:dyDescent="0.35">
      <c r="A13" s="19"/>
      <c r="B13" s="13" t="s">
        <v>1024</v>
      </c>
      <c r="C13" s="15">
        <v>0.17</v>
      </c>
      <c r="D13" s="15">
        <v>0.16</v>
      </c>
      <c r="E13" s="15">
        <v>0.18</v>
      </c>
      <c r="F13" s="15">
        <v>0.12</v>
      </c>
      <c r="G13" s="15">
        <v>0.33</v>
      </c>
      <c r="H13" s="15">
        <v>0.2</v>
      </c>
      <c r="I13" s="15">
        <v>0.19</v>
      </c>
      <c r="J13" s="15">
        <v>0.15</v>
      </c>
      <c r="K13" s="15">
        <v>0.1</v>
      </c>
      <c r="L13" s="15">
        <v>0.23</v>
      </c>
      <c r="M13" s="15">
        <v>0.03</v>
      </c>
      <c r="N13" s="15">
        <v>0.2</v>
      </c>
      <c r="O13" s="15">
        <v>0.14000000000000001</v>
      </c>
      <c r="P13" s="15">
        <v>0.21</v>
      </c>
      <c r="Q13" s="15">
        <v>0.09</v>
      </c>
      <c r="R13" s="15">
        <v>0.06</v>
      </c>
      <c r="S13" s="15">
        <v>0.39</v>
      </c>
      <c r="T13" s="15">
        <v>0.2</v>
      </c>
      <c r="U13" s="15">
        <v>0.34</v>
      </c>
      <c r="V13" s="15">
        <v>0.28999999999999998</v>
      </c>
      <c r="W13" s="15">
        <v>0.17</v>
      </c>
      <c r="X13" s="15">
        <v>0.19</v>
      </c>
      <c r="Y13" s="15">
        <v>0.24</v>
      </c>
      <c r="Z13" s="15">
        <v>0.14000000000000001</v>
      </c>
      <c r="AA13" s="15">
        <v>0.09</v>
      </c>
      <c r="AB13" s="15">
        <v>0.18</v>
      </c>
      <c r="AC13" s="15">
        <v>0.22</v>
      </c>
      <c r="AD13" s="15">
        <v>0.28000000000000003</v>
      </c>
      <c r="AE13" s="15">
        <v>0.21</v>
      </c>
      <c r="AF13" s="15">
        <v>0.32</v>
      </c>
      <c r="AG13" s="15">
        <v>0.1</v>
      </c>
      <c r="AH13" s="15">
        <v>0.18</v>
      </c>
      <c r="AI13" s="15">
        <v>0.16</v>
      </c>
      <c r="AJ13" s="15">
        <v>0.09</v>
      </c>
      <c r="AK13" s="15">
        <v>0.14000000000000001</v>
      </c>
      <c r="AL13" s="15">
        <v>0.15</v>
      </c>
      <c r="AM13" s="15">
        <v>0.12</v>
      </c>
      <c r="AN13" s="15">
        <v>0.1</v>
      </c>
      <c r="AO13" s="15">
        <v>0.39</v>
      </c>
      <c r="AP13" s="15">
        <v>0.13</v>
      </c>
      <c r="AQ13" s="15">
        <v>0.05</v>
      </c>
    </row>
    <row r="14" spans="1:43" x14ac:dyDescent="0.35">
      <c r="A14" s="19"/>
      <c r="B14" s="11" t="s">
        <v>1025</v>
      </c>
      <c r="C14" s="12">
        <v>13779</v>
      </c>
      <c r="D14" s="12">
        <v>508</v>
      </c>
      <c r="E14" s="12">
        <v>436</v>
      </c>
      <c r="F14" s="12">
        <v>597</v>
      </c>
      <c r="G14" s="12">
        <v>551</v>
      </c>
      <c r="H14" s="12">
        <v>707</v>
      </c>
      <c r="I14" s="12">
        <v>848</v>
      </c>
      <c r="J14" s="12">
        <v>141</v>
      </c>
      <c r="K14" s="12">
        <v>430</v>
      </c>
      <c r="L14" s="12">
        <v>481</v>
      </c>
      <c r="M14" s="12">
        <v>392</v>
      </c>
      <c r="N14" s="12">
        <v>504</v>
      </c>
      <c r="O14" s="12">
        <v>464</v>
      </c>
      <c r="P14" s="12">
        <v>390</v>
      </c>
      <c r="Q14" s="12">
        <v>539</v>
      </c>
      <c r="R14" s="12">
        <v>183</v>
      </c>
      <c r="S14" s="12">
        <v>433</v>
      </c>
      <c r="T14" s="12">
        <v>532</v>
      </c>
      <c r="U14" s="12">
        <v>271</v>
      </c>
      <c r="V14" s="12">
        <v>538</v>
      </c>
      <c r="W14" s="12">
        <v>312</v>
      </c>
      <c r="X14" s="12">
        <v>533</v>
      </c>
      <c r="Y14" s="12">
        <v>467</v>
      </c>
      <c r="Z14" s="12">
        <v>640</v>
      </c>
      <c r="AA14" s="12">
        <v>588</v>
      </c>
      <c r="AB14" s="12">
        <v>545</v>
      </c>
      <c r="AC14" s="12">
        <v>508</v>
      </c>
      <c r="AD14" s="12">
        <v>493</v>
      </c>
      <c r="AE14" s="12">
        <v>582</v>
      </c>
      <c r="AF14" s="12">
        <v>583</v>
      </c>
      <c r="AG14" s="12">
        <v>169</v>
      </c>
      <c r="AH14" s="12">
        <v>511</v>
      </c>
      <c r="AI14" s="12">
        <v>92</v>
      </c>
      <c r="AJ14" s="12">
        <v>290</v>
      </c>
      <c r="AK14" s="12">
        <v>543</v>
      </c>
      <c r="AL14" s="12">
        <v>353</v>
      </c>
      <c r="AM14" s="12">
        <v>424</v>
      </c>
      <c r="AN14" s="12">
        <v>312</v>
      </c>
      <c r="AO14" s="12">
        <v>345</v>
      </c>
      <c r="AP14" s="12">
        <v>116</v>
      </c>
      <c r="AQ14" s="12">
        <v>175</v>
      </c>
    </row>
    <row r="15" spans="1:43" x14ac:dyDescent="0.35">
      <c r="A15" s="19"/>
      <c r="B15" s="13" t="s">
        <v>1026</v>
      </c>
      <c r="C15" s="15">
        <v>0.52</v>
      </c>
      <c r="D15" s="15">
        <v>0.5</v>
      </c>
      <c r="E15" s="15">
        <v>0.42</v>
      </c>
      <c r="F15" s="15">
        <v>0.54</v>
      </c>
      <c r="G15" s="15">
        <v>0.55000000000000004</v>
      </c>
      <c r="H15" s="15">
        <v>0.57999999999999996</v>
      </c>
      <c r="I15" s="15">
        <v>0.56000000000000005</v>
      </c>
      <c r="J15" s="15">
        <v>0.48</v>
      </c>
      <c r="K15" s="15">
        <v>0.43</v>
      </c>
      <c r="L15" s="15">
        <v>0.48</v>
      </c>
      <c r="M15" s="15">
        <v>0.39</v>
      </c>
      <c r="N15" s="15">
        <v>0.5</v>
      </c>
      <c r="O15" s="15">
        <v>0.46</v>
      </c>
      <c r="P15" s="15">
        <v>0.39</v>
      </c>
      <c r="Q15" s="15">
        <v>0.52</v>
      </c>
      <c r="R15" s="15">
        <v>0.36</v>
      </c>
      <c r="S15" s="15">
        <v>0.43</v>
      </c>
      <c r="T15" s="15">
        <v>0.53</v>
      </c>
      <c r="U15" s="15">
        <v>0.54</v>
      </c>
      <c r="V15" s="15">
        <v>0.53</v>
      </c>
      <c r="W15" s="15">
        <v>0.61</v>
      </c>
      <c r="X15" s="15">
        <v>0.53</v>
      </c>
      <c r="Y15" s="15">
        <v>0.47</v>
      </c>
      <c r="Z15" s="15">
        <v>0.62</v>
      </c>
      <c r="AA15" s="15">
        <v>0.57000000000000006</v>
      </c>
      <c r="AB15" s="15">
        <v>0.52</v>
      </c>
      <c r="AC15" s="15">
        <v>0.51</v>
      </c>
      <c r="AD15" s="15">
        <v>0.49</v>
      </c>
      <c r="AE15" s="15">
        <v>0.57000000000000006</v>
      </c>
      <c r="AF15" s="15">
        <v>0.56000000000000005</v>
      </c>
      <c r="AG15" s="15">
        <v>0.16</v>
      </c>
      <c r="AH15" s="15">
        <v>0.5</v>
      </c>
      <c r="AI15" s="15">
        <v>0.18</v>
      </c>
      <c r="AJ15" s="15">
        <v>0.28000000000000003</v>
      </c>
      <c r="AK15" s="15">
        <v>0.54</v>
      </c>
      <c r="AL15" s="15">
        <v>0.35</v>
      </c>
      <c r="AM15" s="15">
        <v>0.41</v>
      </c>
      <c r="AN15" s="15">
        <v>0.31</v>
      </c>
      <c r="AO15" s="15">
        <v>0.34</v>
      </c>
      <c r="AP15" s="15">
        <v>0.22</v>
      </c>
      <c r="AQ15" s="15">
        <v>0.18</v>
      </c>
    </row>
    <row r="16" spans="1:43" x14ac:dyDescent="0.35">
      <c r="A16" s="19"/>
      <c r="B16" s="11" t="s">
        <v>1027</v>
      </c>
      <c r="C16" s="12">
        <v>6180</v>
      </c>
      <c r="D16" s="12">
        <v>264</v>
      </c>
      <c r="E16" s="12">
        <v>240</v>
      </c>
      <c r="F16" s="12">
        <v>240</v>
      </c>
      <c r="G16" s="12">
        <v>101</v>
      </c>
      <c r="H16" s="12">
        <v>221</v>
      </c>
      <c r="I16" s="12">
        <v>313</v>
      </c>
      <c r="J16" s="12">
        <v>93</v>
      </c>
      <c r="K16" s="12">
        <v>346</v>
      </c>
      <c r="L16" s="12">
        <v>212</v>
      </c>
      <c r="M16" s="12">
        <v>391</v>
      </c>
      <c r="N16" s="12">
        <v>222</v>
      </c>
      <c r="O16" s="12">
        <v>284</v>
      </c>
      <c r="P16" s="12">
        <v>288</v>
      </c>
      <c r="Q16" s="12">
        <v>292</v>
      </c>
      <c r="R16" s="12">
        <v>207</v>
      </c>
      <c r="S16" s="12">
        <v>126</v>
      </c>
      <c r="T16" s="12">
        <v>195</v>
      </c>
      <c r="U16" s="12">
        <v>47</v>
      </c>
      <c r="V16" s="12">
        <v>157</v>
      </c>
      <c r="W16" s="12">
        <v>94</v>
      </c>
      <c r="X16" s="12">
        <v>232</v>
      </c>
      <c r="Y16" s="12">
        <v>210</v>
      </c>
      <c r="Z16" s="12">
        <v>192</v>
      </c>
      <c r="AA16" s="12">
        <v>311</v>
      </c>
      <c r="AB16" s="12">
        <v>220</v>
      </c>
      <c r="AC16" s="12">
        <v>206</v>
      </c>
      <c r="AD16" s="12">
        <v>184</v>
      </c>
      <c r="AE16" s="12">
        <v>171</v>
      </c>
      <c r="AF16" s="12">
        <v>109</v>
      </c>
      <c r="AG16" s="12">
        <v>396</v>
      </c>
      <c r="AH16" s="12">
        <v>202</v>
      </c>
      <c r="AI16" s="12">
        <v>75</v>
      </c>
      <c r="AJ16" s="12">
        <v>373</v>
      </c>
      <c r="AK16" s="12">
        <v>285</v>
      </c>
      <c r="AL16" s="12">
        <v>231</v>
      </c>
      <c r="AM16" s="12">
        <v>310</v>
      </c>
      <c r="AN16" s="12">
        <v>381</v>
      </c>
      <c r="AO16" s="12">
        <v>162</v>
      </c>
      <c r="AP16" s="12">
        <v>191</v>
      </c>
      <c r="AQ16" s="12">
        <v>278</v>
      </c>
    </row>
    <row r="17" spans="1:43" x14ac:dyDescent="0.35">
      <c r="A17" s="19"/>
      <c r="B17" s="13" t="s">
        <v>1028</v>
      </c>
      <c r="C17" s="15">
        <v>0.23</v>
      </c>
      <c r="D17" s="15">
        <v>0.26</v>
      </c>
      <c r="E17" s="15">
        <v>0.23</v>
      </c>
      <c r="F17" s="15">
        <v>0.22</v>
      </c>
      <c r="G17" s="15">
        <v>0.1</v>
      </c>
      <c r="H17" s="15">
        <v>0.18</v>
      </c>
      <c r="I17" s="15">
        <v>0.21</v>
      </c>
      <c r="J17" s="15">
        <v>0.31</v>
      </c>
      <c r="K17" s="15">
        <v>0.34</v>
      </c>
      <c r="L17" s="15">
        <v>0.21</v>
      </c>
      <c r="M17" s="15">
        <v>0.39</v>
      </c>
      <c r="N17" s="15">
        <v>0.22</v>
      </c>
      <c r="O17" s="15">
        <v>0.28000000000000003</v>
      </c>
      <c r="P17" s="15">
        <v>0.28999999999999998</v>
      </c>
      <c r="Q17" s="15">
        <v>0.28999999999999998</v>
      </c>
      <c r="R17" s="15">
        <v>0.41</v>
      </c>
      <c r="S17" s="15">
        <v>0.13</v>
      </c>
      <c r="T17" s="15">
        <v>0.19</v>
      </c>
      <c r="U17" s="15">
        <v>0.09</v>
      </c>
      <c r="V17" s="15">
        <v>0.16</v>
      </c>
      <c r="W17" s="15">
        <v>0.19</v>
      </c>
      <c r="X17" s="15">
        <v>0.23</v>
      </c>
      <c r="Y17" s="15">
        <v>0.21</v>
      </c>
      <c r="Z17" s="15">
        <v>0.19</v>
      </c>
      <c r="AA17" s="15">
        <v>0.3</v>
      </c>
      <c r="AB17" s="15">
        <v>0.21</v>
      </c>
      <c r="AC17" s="15">
        <v>0.21</v>
      </c>
      <c r="AD17" s="15">
        <v>0.18</v>
      </c>
      <c r="AE17" s="15">
        <v>0.17</v>
      </c>
      <c r="AF17" s="15">
        <v>0.1</v>
      </c>
      <c r="AG17" s="15">
        <v>0.38</v>
      </c>
      <c r="AH17" s="15">
        <v>0.2</v>
      </c>
      <c r="AI17" s="15">
        <v>0.14000000000000001</v>
      </c>
      <c r="AJ17" s="15">
        <v>0.36</v>
      </c>
      <c r="AK17" s="15">
        <v>0.28000000000000003</v>
      </c>
      <c r="AL17" s="15">
        <v>0.23</v>
      </c>
      <c r="AM17" s="15">
        <v>0.3</v>
      </c>
      <c r="AN17" s="15">
        <v>0.38</v>
      </c>
      <c r="AO17" s="15">
        <v>0.16</v>
      </c>
      <c r="AP17" s="15">
        <v>0.37</v>
      </c>
      <c r="AQ17" s="15">
        <v>0.28000000000000003</v>
      </c>
    </row>
    <row r="18" spans="1:43" x14ac:dyDescent="0.35">
      <c r="A18" s="19"/>
      <c r="B18" s="11" t="s">
        <v>1029</v>
      </c>
      <c r="C18" s="12">
        <v>1833</v>
      </c>
      <c r="D18" s="12">
        <v>79</v>
      </c>
      <c r="E18" s="12">
        <v>154</v>
      </c>
      <c r="F18" s="12">
        <v>118</v>
      </c>
      <c r="G18" s="12">
        <v>18</v>
      </c>
      <c r="H18" s="12">
        <v>35</v>
      </c>
      <c r="I18" s="12">
        <v>50</v>
      </c>
      <c r="J18" s="12">
        <v>15</v>
      </c>
      <c r="K18" s="12">
        <v>106</v>
      </c>
      <c r="L18" s="12">
        <v>69</v>
      </c>
      <c r="M18" s="12">
        <v>190</v>
      </c>
      <c r="N18" s="12">
        <v>73</v>
      </c>
      <c r="O18" s="12">
        <v>95</v>
      </c>
      <c r="P18" s="12">
        <v>107</v>
      </c>
      <c r="Q18" s="12">
        <v>103</v>
      </c>
      <c r="R18" s="12">
        <v>82</v>
      </c>
      <c r="S18" s="12">
        <v>38</v>
      </c>
      <c r="T18" s="12">
        <v>68</v>
      </c>
      <c r="U18" s="12">
        <v>14</v>
      </c>
      <c r="V18" s="12">
        <v>25</v>
      </c>
      <c r="W18" s="12">
        <v>16</v>
      </c>
      <c r="X18" s="12">
        <v>50</v>
      </c>
      <c r="Y18" s="12">
        <v>69</v>
      </c>
      <c r="Z18" s="12">
        <v>43</v>
      </c>
      <c r="AA18" s="12">
        <v>45</v>
      </c>
      <c r="AB18" s="12">
        <v>84</v>
      </c>
      <c r="AC18" s="12">
        <v>64</v>
      </c>
      <c r="AD18" s="12">
        <v>40</v>
      </c>
      <c r="AE18" s="12">
        <v>30</v>
      </c>
      <c r="AF18" s="12">
        <v>17</v>
      </c>
      <c r="AG18" s="12">
        <v>360</v>
      </c>
      <c r="AH18" s="12">
        <v>107</v>
      </c>
      <c r="AI18" s="12">
        <v>256</v>
      </c>
      <c r="AJ18" s="12">
        <v>276</v>
      </c>
      <c r="AK18" s="12">
        <v>44</v>
      </c>
      <c r="AL18" s="12">
        <v>203</v>
      </c>
      <c r="AM18" s="12">
        <v>151</v>
      </c>
      <c r="AN18" s="12">
        <v>204</v>
      </c>
      <c r="AO18" s="12">
        <v>93</v>
      </c>
      <c r="AP18" s="12">
        <v>145</v>
      </c>
      <c r="AQ18" s="12">
        <v>483</v>
      </c>
    </row>
    <row r="19" spans="1:43" x14ac:dyDescent="0.35">
      <c r="A19" s="19"/>
      <c r="B19" s="13" t="s">
        <v>1030</v>
      </c>
      <c r="C19" s="15">
        <v>7.0000000000000007E-2</v>
      </c>
      <c r="D19" s="15">
        <v>0.08</v>
      </c>
      <c r="E19" s="15">
        <v>0.15</v>
      </c>
      <c r="F19" s="15">
        <v>0.11</v>
      </c>
      <c r="G19" s="15">
        <v>0.02</v>
      </c>
      <c r="H19" s="15">
        <v>0.03</v>
      </c>
      <c r="I19" s="15">
        <v>0.03</v>
      </c>
      <c r="J19" s="15">
        <v>0.05</v>
      </c>
      <c r="K19" s="15">
        <v>0.11</v>
      </c>
      <c r="L19" s="15">
        <v>7.0000000000000007E-2</v>
      </c>
      <c r="M19" s="15">
        <v>0.19</v>
      </c>
      <c r="N19" s="15">
        <v>7.0000000000000007E-2</v>
      </c>
      <c r="O19" s="15">
        <v>0.1</v>
      </c>
      <c r="P19" s="15">
        <v>0.11</v>
      </c>
      <c r="Q19" s="15">
        <v>0.1</v>
      </c>
      <c r="R19" s="15">
        <v>0.16</v>
      </c>
      <c r="S19" s="15">
        <v>0.04</v>
      </c>
      <c r="T19" s="15">
        <v>7.0000000000000007E-2</v>
      </c>
      <c r="U19" s="15">
        <v>0.03</v>
      </c>
      <c r="V19" s="15">
        <v>0.02</v>
      </c>
      <c r="W19" s="15">
        <v>0.03</v>
      </c>
      <c r="X19" s="15">
        <v>0.05</v>
      </c>
      <c r="Y19" s="15">
        <v>7.0000000000000007E-2</v>
      </c>
      <c r="Z19" s="15">
        <v>0.04</v>
      </c>
      <c r="AA19" s="15">
        <v>0.04</v>
      </c>
      <c r="AB19" s="15">
        <v>0.08</v>
      </c>
      <c r="AC19" s="15">
        <v>0.06</v>
      </c>
      <c r="AD19" s="15">
        <v>0.04</v>
      </c>
      <c r="AE19" s="15">
        <v>0.03</v>
      </c>
      <c r="AF19" s="15">
        <v>0.02</v>
      </c>
      <c r="AG19" s="15">
        <v>0.35</v>
      </c>
      <c r="AH19" s="15">
        <v>0.11</v>
      </c>
      <c r="AI19" s="15">
        <v>0.49</v>
      </c>
      <c r="AJ19" s="15">
        <v>0.27</v>
      </c>
      <c r="AK19" s="15">
        <v>0.04</v>
      </c>
      <c r="AL19" s="15">
        <v>0.2</v>
      </c>
      <c r="AM19" s="15">
        <v>0.15</v>
      </c>
      <c r="AN19" s="15">
        <v>0.21</v>
      </c>
      <c r="AO19" s="15">
        <v>0.09</v>
      </c>
      <c r="AP19" s="15">
        <v>0.28000000000000003</v>
      </c>
      <c r="AQ19" s="15">
        <v>0.48</v>
      </c>
    </row>
    <row r="20" spans="1:43" x14ac:dyDescent="0.35">
      <c r="A20" s="19"/>
      <c r="B20" s="11" t="s">
        <v>485</v>
      </c>
      <c r="C20" s="12">
        <v>227</v>
      </c>
      <c r="D20" s="12">
        <v>5</v>
      </c>
      <c r="E20" s="12">
        <v>16</v>
      </c>
      <c r="F20" s="12">
        <v>15</v>
      </c>
      <c r="G20" s="12">
        <v>1</v>
      </c>
      <c r="H20" s="12">
        <v>16</v>
      </c>
      <c r="I20" s="12">
        <v>18</v>
      </c>
      <c r="J20" s="12">
        <v>2</v>
      </c>
      <c r="K20" s="12">
        <v>19</v>
      </c>
      <c r="L20" s="12">
        <v>5</v>
      </c>
      <c r="M20" s="12">
        <v>0</v>
      </c>
      <c r="N20" s="12">
        <v>8</v>
      </c>
      <c r="O20" s="12">
        <v>15</v>
      </c>
      <c r="P20" s="12">
        <v>4</v>
      </c>
      <c r="Q20" s="12">
        <v>3</v>
      </c>
      <c r="R20" s="12">
        <v>2</v>
      </c>
      <c r="S20" s="12">
        <v>15</v>
      </c>
      <c r="T20" s="12">
        <v>6</v>
      </c>
      <c r="U20" s="12">
        <v>1</v>
      </c>
      <c r="V20" s="12">
        <v>4</v>
      </c>
      <c r="W20" s="12">
        <v>0</v>
      </c>
      <c r="X20" s="12">
        <v>2</v>
      </c>
      <c r="Y20" s="12">
        <v>12</v>
      </c>
      <c r="Z20" s="12">
        <v>11</v>
      </c>
      <c r="AA20" s="12">
        <v>2</v>
      </c>
      <c r="AB20" s="12">
        <v>9</v>
      </c>
      <c r="AC20" s="12">
        <v>3</v>
      </c>
      <c r="AD20" s="12">
        <v>5</v>
      </c>
      <c r="AE20" s="12">
        <v>16</v>
      </c>
      <c r="AF20" s="12">
        <v>2</v>
      </c>
      <c r="AG20" s="12">
        <v>7</v>
      </c>
      <c r="AH20" s="12">
        <v>8</v>
      </c>
      <c r="AI20" s="12">
        <v>15</v>
      </c>
      <c r="AJ20" s="12">
        <v>1</v>
      </c>
      <c r="AK20" s="12">
        <v>0</v>
      </c>
      <c r="AL20" s="12">
        <v>69</v>
      </c>
      <c r="AM20" s="12">
        <v>26</v>
      </c>
      <c r="AN20" s="12">
        <v>2</v>
      </c>
      <c r="AO20" s="12">
        <v>17</v>
      </c>
      <c r="AP20" s="12">
        <v>1</v>
      </c>
      <c r="AQ20" s="12">
        <v>11</v>
      </c>
    </row>
    <row r="21" spans="1:43" x14ac:dyDescent="0.35">
      <c r="A21" s="19"/>
      <c r="B21" s="13" t="s">
        <v>486</v>
      </c>
      <c r="C21" s="15">
        <v>0.01</v>
      </c>
      <c r="D21" s="14" t="s">
        <v>475</v>
      </c>
      <c r="E21" s="15">
        <v>0.02</v>
      </c>
      <c r="F21" s="15">
        <v>0.01</v>
      </c>
      <c r="G21" s="14" t="s">
        <v>475</v>
      </c>
      <c r="H21" s="15">
        <v>0.01</v>
      </c>
      <c r="I21" s="15">
        <v>0.01</v>
      </c>
      <c r="J21" s="15">
        <v>0.01</v>
      </c>
      <c r="K21" s="15">
        <v>0.02</v>
      </c>
      <c r="L21" s="15">
        <v>0.01</v>
      </c>
      <c r="M21" s="14" t="s">
        <v>475</v>
      </c>
      <c r="N21" s="15">
        <v>0.01</v>
      </c>
      <c r="O21" s="15">
        <v>0.02</v>
      </c>
      <c r="P21" s="14" t="s">
        <v>475</v>
      </c>
      <c r="Q21" s="14" t="s">
        <v>475</v>
      </c>
      <c r="R21" s="15">
        <v>0.01</v>
      </c>
      <c r="S21" s="15">
        <v>0.01</v>
      </c>
      <c r="T21" s="15">
        <v>0.01</v>
      </c>
      <c r="U21" s="14" t="s">
        <v>475</v>
      </c>
      <c r="V21" s="14" t="s">
        <v>475</v>
      </c>
      <c r="W21" s="14" t="s">
        <v>475</v>
      </c>
      <c r="X21" s="14" t="s">
        <v>475</v>
      </c>
      <c r="Y21" s="15">
        <v>0.01</v>
      </c>
      <c r="Z21" s="15">
        <v>0.01</v>
      </c>
      <c r="AA21" s="14" t="s">
        <v>475</v>
      </c>
      <c r="AB21" s="15">
        <v>0.01</v>
      </c>
      <c r="AC21" s="14" t="s">
        <v>475</v>
      </c>
      <c r="AD21" s="15">
        <v>0.01</v>
      </c>
      <c r="AE21" s="15">
        <v>0.02</v>
      </c>
      <c r="AF21" s="14" t="s">
        <v>475</v>
      </c>
      <c r="AG21" s="15">
        <v>0.01</v>
      </c>
      <c r="AH21" s="15">
        <v>0.01</v>
      </c>
      <c r="AI21" s="15">
        <v>0.03</v>
      </c>
      <c r="AJ21" s="14" t="s">
        <v>475</v>
      </c>
      <c r="AK21" s="14" t="s">
        <v>475</v>
      </c>
      <c r="AL21" s="15">
        <v>7.0000000000000007E-2</v>
      </c>
      <c r="AM21" s="15">
        <v>0.02</v>
      </c>
      <c r="AN21" s="14" t="s">
        <v>475</v>
      </c>
      <c r="AO21" s="15">
        <v>0.02</v>
      </c>
      <c r="AP21" s="14" t="s">
        <v>475</v>
      </c>
      <c r="AQ21" s="15">
        <v>0.01</v>
      </c>
    </row>
    <row r="22" spans="1:43" x14ac:dyDescent="0.35">
      <c r="A22" s="19"/>
      <c r="B22" s="11" t="s">
        <v>1031</v>
      </c>
      <c r="C22" s="12">
        <v>18205</v>
      </c>
      <c r="D22" s="12">
        <v>665</v>
      </c>
      <c r="E22" s="12">
        <v>620</v>
      </c>
      <c r="F22" s="12">
        <v>729</v>
      </c>
      <c r="G22" s="12">
        <v>886</v>
      </c>
      <c r="H22" s="12">
        <v>950</v>
      </c>
      <c r="I22" s="12">
        <v>1135</v>
      </c>
      <c r="J22" s="12">
        <v>185</v>
      </c>
      <c r="K22" s="12">
        <v>531</v>
      </c>
      <c r="L22" s="12">
        <v>715</v>
      </c>
      <c r="M22" s="12">
        <v>429</v>
      </c>
      <c r="N22" s="12">
        <v>700</v>
      </c>
      <c r="O22" s="12">
        <v>608</v>
      </c>
      <c r="P22" s="12">
        <v>606</v>
      </c>
      <c r="Q22" s="12">
        <v>629</v>
      </c>
      <c r="R22" s="12">
        <v>214</v>
      </c>
      <c r="S22" s="12">
        <v>822</v>
      </c>
      <c r="T22" s="12">
        <v>737</v>
      </c>
      <c r="U22" s="12">
        <v>442</v>
      </c>
      <c r="V22" s="12">
        <v>829</v>
      </c>
      <c r="W22" s="12">
        <v>398</v>
      </c>
      <c r="X22" s="12">
        <v>725</v>
      </c>
      <c r="Y22" s="12">
        <v>711</v>
      </c>
      <c r="Z22" s="12">
        <v>785</v>
      </c>
      <c r="AA22" s="12">
        <v>676</v>
      </c>
      <c r="AB22" s="12">
        <v>738</v>
      </c>
      <c r="AC22" s="12">
        <v>730</v>
      </c>
      <c r="AD22" s="12">
        <v>777</v>
      </c>
      <c r="AE22" s="12">
        <v>795</v>
      </c>
      <c r="AF22" s="12">
        <v>915</v>
      </c>
      <c r="AG22" s="12">
        <v>273</v>
      </c>
      <c r="AH22" s="12">
        <v>696</v>
      </c>
      <c r="AI22" s="12">
        <v>177</v>
      </c>
      <c r="AJ22" s="12">
        <v>388</v>
      </c>
      <c r="AK22" s="12">
        <v>678</v>
      </c>
      <c r="AL22" s="12">
        <v>508</v>
      </c>
      <c r="AM22" s="12">
        <v>553</v>
      </c>
      <c r="AN22" s="12">
        <v>415</v>
      </c>
      <c r="AO22" s="12">
        <v>733</v>
      </c>
      <c r="AP22" s="12">
        <v>186</v>
      </c>
      <c r="AQ22" s="12">
        <v>230</v>
      </c>
    </row>
    <row r="23" spans="1:43" x14ac:dyDescent="0.35">
      <c r="A23" s="19"/>
      <c r="B23" s="13" t="s">
        <v>1032</v>
      </c>
      <c r="C23" s="15">
        <v>0.69000000000000006</v>
      </c>
      <c r="D23" s="15">
        <v>0.66</v>
      </c>
      <c r="E23" s="15">
        <v>0.6</v>
      </c>
      <c r="F23" s="15">
        <v>0.66</v>
      </c>
      <c r="G23" s="15">
        <v>0.88</v>
      </c>
      <c r="H23" s="15">
        <v>0.78</v>
      </c>
      <c r="I23" s="15">
        <v>0.75</v>
      </c>
      <c r="J23" s="15">
        <v>0.63</v>
      </c>
      <c r="K23" s="15">
        <v>0.53</v>
      </c>
      <c r="L23" s="15">
        <v>0.71</v>
      </c>
      <c r="M23" s="15">
        <v>0.42</v>
      </c>
      <c r="N23" s="15">
        <v>0.70000000000000007</v>
      </c>
      <c r="O23" s="15">
        <v>0.6</v>
      </c>
      <c r="P23" s="15">
        <v>0.6</v>
      </c>
      <c r="Q23" s="15">
        <v>0.61</v>
      </c>
      <c r="R23" s="15">
        <v>0.42</v>
      </c>
      <c r="S23" s="15">
        <v>0.82000000000000006</v>
      </c>
      <c r="T23" s="15">
        <v>0.73</v>
      </c>
      <c r="U23" s="15">
        <v>0.88</v>
      </c>
      <c r="V23" s="15">
        <v>0.82000000000000006</v>
      </c>
      <c r="W23" s="15">
        <v>0.78</v>
      </c>
      <c r="X23" s="15">
        <v>0.72</v>
      </c>
      <c r="Y23" s="15">
        <v>0.71</v>
      </c>
      <c r="Z23" s="15">
        <v>0.76</v>
      </c>
      <c r="AA23" s="15">
        <v>0.66</v>
      </c>
      <c r="AB23" s="15">
        <v>0.70000000000000007</v>
      </c>
      <c r="AC23" s="15">
        <v>0.73</v>
      </c>
      <c r="AD23" s="15">
        <v>0.77</v>
      </c>
      <c r="AE23" s="15">
        <v>0.78</v>
      </c>
      <c r="AF23" s="15">
        <v>0.88</v>
      </c>
      <c r="AG23" s="15">
        <v>0.26</v>
      </c>
      <c r="AH23" s="15">
        <v>0.68</v>
      </c>
      <c r="AI23" s="15">
        <v>0.34</v>
      </c>
      <c r="AJ23" s="15">
        <v>0.37</v>
      </c>
      <c r="AK23" s="15">
        <v>0.68</v>
      </c>
      <c r="AL23" s="15">
        <v>0.5</v>
      </c>
      <c r="AM23" s="15">
        <v>0.53</v>
      </c>
      <c r="AN23" s="15">
        <v>0.41</v>
      </c>
      <c r="AO23" s="15">
        <v>0.73</v>
      </c>
      <c r="AP23" s="15">
        <v>0.35</v>
      </c>
      <c r="AQ23" s="15">
        <v>0.23</v>
      </c>
    </row>
    <row r="24" spans="1:43" x14ac:dyDescent="0.35">
      <c r="A24" s="19"/>
      <c r="B24" s="11" t="s">
        <v>1033</v>
      </c>
      <c r="C24" s="12">
        <v>8013</v>
      </c>
      <c r="D24" s="12">
        <v>343</v>
      </c>
      <c r="E24" s="12">
        <v>394</v>
      </c>
      <c r="F24" s="12">
        <v>358</v>
      </c>
      <c r="G24" s="12">
        <v>119</v>
      </c>
      <c r="H24" s="12">
        <v>256</v>
      </c>
      <c r="I24" s="12">
        <v>363</v>
      </c>
      <c r="J24" s="12">
        <v>108</v>
      </c>
      <c r="K24" s="12">
        <v>452</v>
      </c>
      <c r="L24" s="12">
        <v>281</v>
      </c>
      <c r="M24" s="12">
        <v>581</v>
      </c>
      <c r="N24" s="12">
        <v>295</v>
      </c>
      <c r="O24" s="12">
        <v>379</v>
      </c>
      <c r="P24" s="12">
        <v>395</v>
      </c>
      <c r="Q24" s="12">
        <v>395</v>
      </c>
      <c r="R24" s="12">
        <v>289</v>
      </c>
      <c r="S24" s="12">
        <v>164</v>
      </c>
      <c r="T24" s="12">
        <v>263</v>
      </c>
      <c r="U24" s="12">
        <v>61</v>
      </c>
      <c r="V24" s="12">
        <v>182</v>
      </c>
      <c r="W24" s="12">
        <v>110</v>
      </c>
      <c r="X24" s="12">
        <v>282</v>
      </c>
      <c r="Y24" s="12">
        <v>279</v>
      </c>
      <c r="Z24" s="12">
        <v>235</v>
      </c>
      <c r="AA24" s="12">
        <v>356</v>
      </c>
      <c r="AB24" s="12">
        <v>304</v>
      </c>
      <c r="AC24" s="12">
        <v>270</v>
      </c>
      <c r="AD24" s="12">
        <v>224</v>
      </c>
      <c r="AE24" s="12">
        <v>201</v>
      </c>
      <c r="AF24" s="12">
        <v>126</v>
      </c>
      <c r="AG24" s="12">
        <v>756</v>
      </c>
      <c r="AH24" s="12">
        <v>309</v>
      </c>
      <c r="AI24" s="12">
        <v>331</v>
      </c>
      <c r="AJ24" s="12">
        <v>649</v>
      </c>
      <c r="AK24" s="12">
        <v>329</v>
      </c>
      <c r="AL24" s="12">
        <v>434</v>
      </c>
      <c r="AM24" s="12">
        <v>461</v>
      </c>
      <c r="AN24" s="12">
        <v>585</v>
      </c>
      <c r="AO24" s="12">
        <v>255</v>
      </c>
      <c r="AP24" s="12">
        <v>336</v>
      </c>
      <c r="AQ24" s="12">
        <v>761</v>
      </c>
    </row>
    <row r="25" spans="1:43" x14ac:dyDescent="0.35">
      <c r="A25" s="19"/>
      <c r="B25" s="13" t="s">
        <v>1034</v>
      </c>
      <c r="C25" s="15">
        <v>0.3</v>
      </c>
      <c r="D25" s="15">
        <v>0.34</v>
      </c>
      <c r="E25" s="15">
        <v>0.38</v>
      </c>
      <c r="F25" s="15">
        <v>0.33</v>
      </c>
      <c r="G25" s="15">
        <v>0.12</v>
      </c>
      <c r="H25" s="15">
        <v>0.21</v>
      </c>
      <c r="I25" s="15">
        <v>0.24</v>
      </c>
      <c r="J25" s="15">
        <v>0.36</v>
      </c>
      <c r="K25" s="15">
        <v>0.45</v>
      </c>
      <c r="L25" s="15">
        <v>0.28000000000000003</v>
      </c>
      <c r="M25" s="15">
        <v>0.57999999999999996</v>
      </c>
      <c r="N25" s="15">
        <v>0.28999999999999998</v>
      </c>
      <c r="O25" s="15">
        <v>0.38</v>
      </c>
      <c r="P25" s="15">
        <v>0.4</v>
      </c>
      <c r="Q25" s="15">
        <v>0.39</v>
      </c>
      <c r="R25" s="15">
        <v>0.57000000000000006</v>
      </c>
      <c r="S25" s="15">
        <v>0.17</v>
      </c>
      <c r="T25" s="15">
        <v>0.26</v>
      </c>
      <c r="U25" s="15">
        <v>0.12</v>
      </c>
      <c r="V25" s="15">
        <v>0.18</v>
      </c>
      <c r="W25" s="15">
        <v>0.22</v>
      </c>
      <c r="X25" s="15">
        <v>0.28000000000000003</v>
      </c>
      <c r="Y25" s="15">
        <v>0.28000000000000003</v>
      </c>
      <c r="Z25" s="15">
        <v>0.23</v>
      </c>
      <c r="AA25" s="15">
        <v>0.34</v>
      </c>
      <c r="AB25" s="15">
        <v>0.28999999999999998</v>
      </c>
      <c r="AC25" s="15">
        <v>0.27</v>
      </c>
      <c r="AD25" s="15">
        <v>0.22</v>
      </c>
      <c r="AE25" s="15">
        <v>0.2</v>
      </c>
      <c r="AF25" s="15">
        <v>0.12</v>
      </c>
      <c r="AG25" s="15">
        <v>0.73</v>
      </c>
      <c r="AH25" s="15">
        <v>0.31</v>
      </c>
      <c r="AI25" s="15">
        <v>0.63</v>
      </c>
      <c r="AJ25" s="15">
        <v>0.63</v>
      </c>
      <c r="AK25" s="15">
        <v>0.32</v>
      </c>
      <c r="AL25" s="15">
        <v>0.43</v>
      </c>
      <c r="AM25" s="15">
        <v>0.45</v>
      </c>
      <c r="AN25" s="15">
        <v>0.59</v>
      </c>
      <c r="AO25" s="15">
        <v>0.25</v>
      </c>
      <c r="AP25" s="15">
        <v>0.65</v>
      </c>
      <c r="AQ25" s="15">
        <v>0.76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1044</v>
      </c>
      <c r="C3" s="18"/>
      <c r="D3" s="18"/>
      <c r="E3" s="18"/>
      <c r="F3" s="18"/>
      <c r="H3" s="18" t="s">
        <v>1045</v>
      </c>
      <c r="I3" s="18"/>
      <c r="J3" s="18"/>
      <c r="K3" s="18"/>
      <c r="L3" s="18"/>
    </row>
    <row r="4" spans="1:32" ht="27" customHeight="1" x14ac:dyDescent="0.35">
      <c r="B4" s="18" t="s">
        <v>1046</v>
      </c>
      <c r="C4" s="18"/>
      <c r="D4" s="18"/>
      <c r="E4" s="18"/>
      <c r="F4" s="18"/>
      <c r="H4" s="18" t="s">
        <v>1047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HYPERLINK("#Content!A108","&lt;&lt;Back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1048</v>
      </c>
      <c r="C12" s="12">
        <v>7036</v>
      </c>
      <c r="D12" s="12">
        <v>271</v>
      </c>
      <c r="E12" s="12">
        <v>155</v>
      </c>
      <c r="F12" s="12">
        <v>231</v>
      </c>
      <c r="G12" s="12">
        <v>458</v>
      </c>
      <c r="H12" s="12">
        <v>466</v>
      </c>
      <c r="I12" s="12">
        <v>539</v>
      </c>
      <c r="J12" s="12">
        <v>72</v>
      </c>
      <c r="K12" s="12">
        <v>306</v>
      </c>
      <c r="L12" s="12">
        <v>400</v>
      </c>
      <c r="M12" s="12">
        <v>138</v>
      </c>
      <c r="N12" s="12">
        <v>373</v>
      </c>
      <c r="O12" s="12">
        <v>191</v>
      </c>
      <c r="P12" s="12">
        <v>239</v>
      </c>
      <c r="Q12" s="12">
        <v>194</v>
      </c>
      <c r="R12" s="12">
        <v>124</v>
      </c>
      <c r="S12" s="12">
        <v>411</v>
      </c>
      <c r="T12" s="12">
        <v>373</v>
      </c>
      <c r="U12" s="12">
        <v>245</v>
      </c>
      <c r="V12" s="12">
        <v>237</v>
      </c>
      <c r="W12" s="12">
        <v>191</v>
      </c>
      <c r="X12" s="12">
        <v>299</v>
      </c>
      <c r="Y12" s="12">
        <v>314</v>
      </c>
      <c r="Z12" s="12">
        <v>152</v>
      </c>
      <c r="AA12" s="12">
        <v>240</v>
      </c>
      <c r="AB12" s="12">
        <v>143</v>
      </c>
      <c r="AC12" s="12">
        <v>322</v>
      </c>
      <c r="AD12" s="12">
        <v>416</v>
      </c>
      <c r="AE12" s="12">
        <v>433</v>
      </c>
      <c r="AF12" s="12">
        <v>466</v>
      </c>
    </row>
    <row r="13" spans="1:32" x14ac:dyDescent="0.35">
      <c r="A13" s="19"/>
      <c r="B13" s="13" t="s">
        <v>1049</v>
      </c>
      <c r="C13" s="15">
        <v>0.27</v>
      </c>
      <c r="D13" s="15">
        <v>0.27</v>
      </c>
      <c r="E13" s="15">
        <v>0.15</v>
      </c>
      <c r="F13" s="15">
        <v>0.21</v>
      </c>
      <c r="G13" s="15">
        <v>0.45</v>
      </c>
      <c r="H13" s="15">
        <v>0.38</v>
      </c>
      <c r="I13" s="15">
        <v>0.35</v>
      </c>
      <c r="J13" s="15">
        <v>0.25</v>
      </c>
      <c r="K13" s="15">
        <v>0.31</v>
      </c>
      <c r="L13" s="15">
        <v>0.4</v>
      </c>
      <c r="M13" s="15">
        <v>0.14000000000000001</v>
      </c>
      <c r="N13" s="15">
        <v>0.37</v>
      </c>
      <c r="O13" s="15">
        <v>0.19</v>
      </c>
      <c r="P13" s="15">
        <v>0.24</v>
      </c>
      <c r="Q13" s="15">
        <v>0.19</v>
      </c>
      <c r="R13" s="15">
        <v>0.25</v>
      </c>
      <c r="S13" s="15">
        <v>0.41</v>
      </c>
      <c r="T13" s="15">
        <v>0.37</v>
      </c>
      <c r="U13" s="15">
        <v>0.49</v>
      </c>
      <c r="V13" s="15">
        <v>0.23</v>
      </c>
      <c r="W13" s="15">
        <v>0.38</v>
      </c>
      <c r="X13" s="15">
        <v>0.3</v>
      </c>
      <c r="Y13" s="15">
        <v>0.31</v>
      </c>
      <c r="Z13" s="15">
        <v>0.15</v>
      </c>
      <c r="AA13" s="15">
        <v>0.23</v>
      </c>
      <c r="AB13" s="15">
        <v>0.14000000000000001</v>
      </c>
      <c r="AC13" s="15">
        <v>0.32</v>
      </c>
      <c r="AD13" s="15">
        <v>0.41</v>
      </c>
      <c r="AE13" s="15">
        <v>0.43</v>
      </c>
      <c r="AF13" s="15">
        <v>0.45</v>
      </c>
    </row>
    <row r="14" spans="1:32" x14ac:dyDescent="0.35">
      <c r="A14" s="19"/>
      <c r="B14" s="11" t="s">
        <v>1050</v>
      </c>
      <c r="C14" s="12">
        <v>12154</v>
      </c>
      <c r="D14" s="12">
        <v>468</v>
      </c>
      <c r="E14" s="12">
        <v>382</v>
      </c>
      <c r="F14" s="12">
        <v>462</v>
      </c>
      <c r="G14" s="12">
        <v>363</v>
      </c>
      <c r="H14" s="12">
        <v>535</v>
      </c>
      <c r="I14" s="12">
        <v>654</v>
      </c>
      <c r="J14" s="12">
        <v>119</v>
      </c>
      <c r="K14" s="12">
        <v>458</v>
      </c>
      <c r="L14" s="12">
        <v>434</v>
      </c>
      <c r="M14" s="12">
        <v>448</v>
      </c>
      <c r="N14" s="12">
        <v>446</v>
      </c>
      <c r="O14" s="12">
        <v>399</v>
      </c>
      <c r="P14" s="12">
        <v>481</v>
      </c>
      <c r="Q14" s="12">
        <v>462</v>
      </c>
      <c r="R14" s="12">
        <v>255</v>
      </c>
      <c r="S14" s="12">
        <v>418</v>
      </c>
      <c r="T14" s="12">
        <v>416</v>
      </c>
      <c r="U14" s="12">
        <v>210</v>
      </c>
      <c r="V14" s="12">
        <v>544</v>
      </c>
      <c r="W14" s="12">
        <v>259</v>
      </c>
      <c r="X14" s="12">
        <v>460</v>
      </c>
      <c r="Y14" s="12">
        <v>416</v>
      </c>
      <c r="Z14" s="12">
        <v>670</v>
      </c>
      <c r="AA14" s="12">
        <v>681</v>
      </c>
      <c r="AB14" s="12">
        <v>576</v>
      </c>
      <c r="AC14" s="12">
        <v>469</v>
      </c>
      <c r="AD14" s="12">
        <v>411</v>
      </c>
      <c r="AE14" s="12">
        <v>401</v>
      </c>
      <c r="AF14" s="12">
        <v>403</v>
      </c>
    </row>
    <row r="15" spans="1:32" x14ac:dyDescent="0.35">
      <c r="A15" s="19"/>
      <c r="B15" s="13" t="s">
        <v>1051</v>
      </c>
      <c r="C15" s="15">
        <v>0.46</v>
      </c>
      <c r="D15" s="15">
        <v>0.46</v>
      </c>
      <c r="E15" s="15">
        <v>0.37</v>
      </c>
      <c r="F15" s="15">
        <v>0.42</v>
      </c>
      <c r="G15" s="15">
        <v>0.36</v>
      </c>
      <c r="H15" s="15">
        <v>0.44</v>
      </c>
      <c r="I15" s="15">
        <v>0.43</v>
      </c>
      <c r="J15" s="15">
        <v>0.4</v>
      </c>
      <c r="K15" s="15">
        <v>0.46</v>
      </c>
      <c r="L15" s="15">
        <v>0.43</v>
      </c>
      <c r="M15" s="15">
        <v>0.44</v>
      </c>
      <c r="N15" s="15">
        <v>0.44</v>
      </c>
      <c r="O15" s="15">
        <v>0.4</v>
      </c>
      <c r="P15" s="15">
        <v>0.48</v>
      </c>
      <c r="Q15" s="15">
        <v>0.45</v>
      </c>
      <c r="R15" s="15">
        <v>0.5</v>
      </c>
      <c r="S15" s="15">
        <v>0.42</v>
      </c>
      <c r="T15" s="15">
        <v>0.42</v>
      </c>
      <c r="U15" s="15">
        <v>0.42</v>
      </c>
      <c r="V15" s="15">
        <v>0.54</v>
      </c>
      <c r="W15" s="15">
        <v>0.51</v>
      </c>
      <c r="X15" s="15">
        <v>0.46</v>
      </c>
      <c r="Y15" s="15">
        <v>0.42</v>
      </c>
      <c r="Z15" s="15">
        <v>0.65</v>
      </c>
      <c r="AA15" s="15">
        <v>0.66</v>
      </c>
      <c r="AB15" s="15">
        <v>0.55000000000000004</v>
      </c>
      <c r="AC15" s="15">
        <v>0.47</v>
      </c>
      <c r="AD15" s="15">
        <v>0.41</v>
      </c>
      <c r="AE15" s="15">
        <v>0.4</v>
      </c>
      <c r="AF15" s="15">
        <v>0.38</v>
      </c>
    </row>
    <row r="16" spans="1:32" x14ac:dyDescent="0.35">
      <c r="A16" s="19"/>
      <c r="B16" s="11" t="s">
        <v>1052</v>
      </c>
      <c r="C16" s="12">
        <v>5309</v>
      </c>
      <c r="D16" s="12">
        <v>231</v>
      </c>
      <c r="E16" s="12">
        <v>273</v>
      </c>
      <c r="F16" s="12">
        <v>230</v>
      </c>
      <c r="G16" s="12">
        <v>144</v>
      </c>
      <c r="H16" s="12">
        <v>165</v>
      </c>
      <c r="I16" s="12">
        <v>240</v>
      </c>
      <c r="J16" s="12">
        <v>75</v>
      </c>
      <c r="K16" s="12">
        <v>174</v>
      </c>
      <c r="L16" s="12">
        <v>135</v>
      </c>
      <c r="M16" s="12">
        <v>272</v>
      </c>
      <c r="N16" s="12">
        <v>120</v>
      </c>
      <c r="O16" s="12">
        <v>281</v>
      </c>
      <c r="P16" s="12">
        <v>213</v>
      </c>
      <c r="Q16" s="12">
        <v>309</v>
      </c>
      <c r="R16" s="12">
        <v>77</v>
      </c>
      <c r="S16" s="12">
        <v>127</v>
      </c>
      <c r="T16" s="12">
        <v>161</v>
      </c>
      <c r="U16" s="12">
        <v>32</v>
      </c>
      <c r="V16" s="12">
        <v>192</v>
      </c>
      <c r="W16" s="12">
        <v>46</v>
      </c>
      <c r="X16" s="12">
        <v>177</v>
      </c>
      <c r="Y16" s="12">
        <v>165</v>
      </c>
      <c r="Z16" s="12">
        <v>180</v>
      </c>
      <c r="AA16" s="12">
        <v>88</v>
      </c>
      <c r="AB16" s="12">
        <v>237</v>
      </c>
      <c r="AC16" s="12">
        <v>160</v>
      </c>
      <c r="AD16" s="12">
        <v>129</v>
      </c>
      <c r="AE16" s="12">
        <v>131</v>
      </c>
      <c r="AF16" s="12">
        <v>135</v>
      </c>
    </row>
    <row r="17" spans="1:32" x14ac:dyDescent="0.35">
      <c r="A17" s="19"/>
      <c r="B17" s="13" t="s">
        <v>1053</v>
      </c>
      <c r="C17" s="15">
        <v>0.2</v>
      </c>
      <c r="D17" s="15">
        <v>0.23</v>
      </c>
      <c r="E17" s="15">
        <v>0.26</v>
      </c>
      <c r="F17" s="15">
        <v>0.21</v>
      </c>
      <c r="G17" s="15">
        <v>0.14000000000000001</v>
      </c>
      <c r="H17" s="15">
        <v>0.13</v>
      </c>
      <c r="I17" s="15">
        <v>0.16</v>
      </c>
      <c r="J17" s="15">
        <v>0.26</v>
      </c>
      <c r="K17" s="15">
        <v>0.17</v>
      </c>
      <c r="L17" s="15">
        <v>0.14000000000000001</v>
      </c>
      <c r="M17" s="15">
        <v>0.27</v>
      </c>
      <c r="N17" s="15">
        <v>0.12</v>
      </c>
      <c r="O17" s="15">
        <v>0.28000000000000003</v>
      </c>
      <c r="P17" s="15">
        <v>0.21</v>
      </c>
      <c r="Q17" s="15">
        <v>0.3</v>
      </c>
      <c r="R17" s="15">
        <v>0.15</v>
      </c>
      <c r="S17" s="15">
        <v>0.13</v>
      </c>
      <c r="T17" s="15">
        <v>0.16</v>
      </c>
      <c r="U17" s="15">
        <v>0.06</v>
      </c>
      <c r="V17" s="15">
        <v>0.19</v>
      </c>
      <c r="W17" s="15">
        <v>0.09</v>
      </c>
      <c r="X17" s="15">
        <v>0.17</v>
      </c>
      <c r="Y17" s="15">
        <v>0.16</v>
      </c>
      <c r="Z17" s="15">
        <v>0.17</v>
      </c>
      <c r="AA17" s="15">
        <v>0.08</v>
      </c>
      <c r="AB17" s="15">
        <v>0.22</v>
      </c>
      <c r="AC17" s="15">
        <v>0.16</v>
      </c>
      <c r="AD17" s="15">
        <v>0.13</v>
      </c>
      <c r="AE17" s="15">
        <v>0.13</v>
      </c>
      <c r="AF17" s="15">
        <v>0.13</v>
      </c>
    </row>
    <row r="18" spans="1:32" x14ac:dyDescent="0.35">
      <c r="A18" s="19"/>
      <c r="B18" s="11" t="s">
        <v>1054</v>
      </c>
      <c r="C18" s="12">
        <v>1803</v>
      </c>
      <c r="D18" s="12">
        <v>41</v>
      </c>
      <c r="E18" s="12">
        <v>214</v>
      </c>
      <c r="F18" s="12">
        <v>170</v>
      </c>
      <c r="G18" s="12">
        <v>35</v>
      </c>
      <c r="H18" s="12">
        <v>47</v>
      </c>
      <c r="I18" s="12">
        <v>74</v>
      </c>
      <c r="J18" s="12">
        <v>27</v>
      </c>
      <c r="K18" s="12">
        <v>50</v>
      </c>
      <c r="L18" s="12">
        <v>31</v>
      </c>
      <c r="M18" s="12">
        <v>152</v>
      </c>
      <c r="N18" s="12">
        <v>58</v>
      </c>
      <c r="O18" s="12">
        <v>120</v>
      </c>
      <c r="P18" s="12">
        <v>66</v>
      </c>
      <c r="Q18" s="12">
        <v>59</v>
      </c>
      <c r="R18" s="12">
        <v>45</v>
      </c>
      <c r="S18" s="12">
        <v>35</v>
      </c>
      <c r="T18" s="12">
        <v>53</v>
      </c>
      <c r="U18" s="12">
        <v>15</v>
      </c>
      <c r="V18" s="12">
        <v>41</v>
      </c>
      <c r="W18" s="12">
        <v>11</v>
      </c>
      <c r="X18" s="12">
        <v>73</v>
      </c>
      <c r="Y18" s="12">
        <v>106</v>
      </c>
      <c r="Z18" s="12">
        <v>22</v>
      </c>
      <c r="AA18" s="12">
        <v>18</v>
      </c>
      <c r="AB18" s="12">
        <v>86</v>
      </c>
      <c r="AC18" s="12">
        <v>50</v>
      </c>
      <c r="AD18" s="12">
        <v>47</v>
      </c>
      <c r="AE18" s="12">
        <v>37</v>
      </c>
      <c r="AF18" s="12">
        <v>39</v>
      </c>
    </row>
    <row r="19" spans="1:32" x14ac:dyDescent="0.35">
      <c r="A19" s="19"/>
      <c r="B19" s="13" t="s">
        <v>1055</v>
      </c>
      <c r="C19" s="15">
        <v>7.0000000000000007E-2</v>
      </c>
      <c r="D19" s="15">
        <v>0.04</v>
      </c>
      <c r="E19" s="15">
        <v>0.21</v>
      </c>
      <c r="F19" s="15">
        <v>0.15</v>
      </c>
      <c r="G19" s="15">
        <v>0.04</v>
      </c>
      <c r="H19" s="15">
        <v>0.04</v>
      </c>
      <c r="I19" s="15">
        <v>0.05</v>
      </c>
      <c r="J19" s="15">
        <v>0.09</v>
      </c>
      <c r="K19" s="15">
        <v>0.05</v>
      </c>
      <c r="L19" s="15">
        <v>0.03</v>
      </c>
      <c r="M19" s="15">
        <v>0.15</v>
      </c>
      <c r="N19" s="15">
        <v>0.06</v>
      </c>
      <c r="O19" s="15">
        <v>0.12</v>
      </c>
      <c r="P19" s="15">
        <v>7.0000000000000007E-2</v>
      </c>
      <c r="Q19" s="15">
        <v>0.06</v>
      </c>
      <c r="R19" s="15">
        <v>0.09</v>
      </c>
      <c r="S19" s="15">
        <v>0.03</v>
      </c>
      <c r="T19" s="15">
        <v>0.05</v>
      </c>
      <c r="U19" s="15">
        <v>0.03</v>
      </c>
      <c r="V19" s="15">
        <v>0.04</v>
      </c>
      <c r="W19" s="15">
        <v>0.02</v>
      </c>
      <c r="X19" s="15">
        <v>7.0000000000000007E-2</v>
      </c>
      <c r="Y19" s="15">
        <v>0.11</v>
      </c>
      <c r="Z19" s="15">
        <v>0.02</v>
      </c>
      <c r="AA19" s="15">
        <v>0.02</v>
      </c>
      <c r="AB19" s="15">
        <v>0.08</v>
      </c>
      <c r="AC19" s="15">
        <v>0.05</v>
      </c>
      <c r="AD19" s="15">
        <v>0.05</v>
      </c>
      <c r="AE19" s="15">
        <v>0.03</v>
      </c>
      <c r="AF19" s="15">
        <v>0.04</v>
      </c>
    </row>
    <row r="20" spans="1:32" x14ac:dyDescent="0.35">
      <c r="A20" s="19"/>
      <c r="B20" s="11" t="s">
        <v>485</v>
      </c>
      <c r="C20" s="12">
        <v>142</v>
      </c>
      <c r="D20" s="12">
        <v>1</v>
      </c>
      <c r="E20" s="12">
        <v>7</v>
      </c>
      <c r="F20" s="12">
        <v>8</v>
      </c>
      <c r="G20" s="12">
        <v>6</v>
      </c>
      <c r="H20" s="12">
        <v>7</v>
      </c>
      <c r="I20" s="12">
        <v>9</v>
      </c>
      <c r="J20" s="12">
        <v>1</v>
      </c>
      <c r="K20" s="12">
        <v>14</v>
      </c>
      <c r="L20" s="12">
        <v>1</v>
      </c>
      <c r="M20" s="12">
        <v>0</v>
      </c>
      <c r="N20" s="12">
        <v>6</v>
      </c>
      <c r="O20" s="12">
        <v>10</v>
      </c>
      <c r="P20" s="12">
        <v>4</v>
      </c>
      <c r="Q20" s="12">
        <v>4</v>
      </c>
      <c r="R20" s="12">
        <v>3</v>
      </c>
      <c r="S20" s="12">
        <v>10</v>
      </c>
      <c r="T20" s="12">
        <v>2</v>
      </c>
      <c r="U20" s="12">
        <v>1</v>
      </c>
      <c r="V20" s="12">
        <v>0</v>
      </c>
      <c r="W20" s="12">
        <v>2</v>
      </c>
      <c r="X20" s="12">
        <v>0</v>
      </c>
      <c r="Y20" s="12">
        <v>2</v>
      </c>
      <c r="Z20" s="12">
        <v>7</v>
      </c>
      <c r="AA20" s="12">
        <v>6</v>
      </c>
      <c r="AB20" s="12">
        <v>9</v>
      </c>
      <c r="AC20" s="12">
        <v>3</v>
      </c>
      <c r="AD20" s="12">
        <v>1</v>
      </c>
      <c r="AE20" s="12">
        <v>11</v>
      </c>
      <c r="AF20" s="12">
        <v>0</v>
      </c>
    </row>
    <row r="21" spans="1:32" x14ac:dyDescent="0.35">
      <c r="A21" s="19"/>
      <c r="B21" s="13" t="s">
        <v>486</v>
      </c>
      <c r="C21" s="14" t="s">
        <v>475</v>
      </c>
      <c r="D21" s="14" t="s">
        <v>475</v>
      </c>
      <c r="E21" s="15">
        <v>0.01</v>
      </c>
      <c r="F21" s="15">
        <v>0.01</v>
      </c>
      <c r="G21" s="15">
        <v>0.01</v>
      </c>
      <c r="H21" s="15">
        <v>0.01</v>
      </c>
      <c r="I21" s="15">
        <v>0.01</v>
      </c>
      <c r="J21" s="14" t="s">
        <v>475</v>
      </c>
      <c r="K21" s="15">
        <v>0.01</v>
      </c>
      <c r="L21" s="14" t="s">
        <v>475</v>
      </c>
      <c r="M21" s="14" t="s">
        <v>475</v>
      </c>
      <c r="N21" s="15">
        <v>0.01</v>
      </c>
      <c r="O21" s="15">
        <v>0.01</v>
      </c>
      <c r="P21" s="14" t="s">
        <v>475</v>
      </c>
      <c r="Q21" s="14" t="s">
        <v>475</v>
      </c>
      <c r="R21" s="15">
        <v>0.01</v>
      </c>
      <c r="S21" s="15">
        <v>0.01</v>
      </c>
      <c r="T21" s="14" t="s">
        <v>475</v>
      </c>
      <c r="U21" s="14" t="s">
        <v>475</v>
      </c>
      <c r="V21" s="14" t="s">
        <v>475</v>
      </c>
      <c r="W21" s="14" t="s">
        <v>475</v>
      </c>
      <c r="X21" s="14" t="s">
        <v>475</v>
      </c>
      <c r="Y21" s="14" t="s">
        <v>475</v>
      </c>
      <c r="Z21" s="15">
        <v>0.01</v>
      </c>
      <c r="AA21" s="15">
        <v>0.01</v>
      </c>
      <c r="AB21" s="15">
        <v>0.01</v>
      </c>
      <c r="AC21" s="14" t="s">
        <v>475</v>
      </c>
      <c r="AD21" s="14" t="s">
        <v>475</v>
      </c>
      <c r="AE21" s="15">
        <v>0.01</v>
      </c>
      <c r="AF21" s="14" t="s">
        <v>475</v>
      </c>
    </row>
    <row r="22" spans="1:32" x14ac:dyDescent="0.35">
      <c r="A22" s="19"/>
      <c r="B22" s="11" t="s">
        <v>1056</v>
      </c>
      <c r="C22" s="12">
        <v>19190</v>
      </c>
      <c r="D22" s="12">
        <v>739</v>
      </c>
      <c r="E22" s="12">
        <v>537</v>
      </c>
      <c r="F22" s="12">
        <v>693</v>
      </c>
      <c r="G22" s="12">
        <v>821</v>
      </c>
      <c r="H22" s="12">
        <v>1001</v>
      </c>
      <c r="I22" s="12">
        <v>1193</v>
      </c>
      <c r="J22" s="12">
        <v>191</v>
      </c>
      <c r="K22" s="12">
        <v>764</v>
      </c>
      <c r="L22" s="12">
        <v>834</v>
      </c>
      <c r="M22" s="12">
        <v>586</v>
      </c>
      <c r="N22" s="12">
        <v>819</v>
      </c>
      <c r="O22" s="12">
        <v>590</v>
      </c>
      <c r="P22" s="12">
        <v>720</v>
      </c>
      <c r="Q22" s="12">
        <v>656</v>
      </c>
      <c r="R22" s="12">
        <v>379</v>
      </c>
      <c r="S22" s="12">
        <v>829</v>
      </c>
      <c r="T22" s="12">
        <v>789</v>
      </c>
      <c r="U22" s="12">
        <v>455</v>
      </c>
      <c r="V22" s="12">
        <v>781</v>
      </c>
      <c r="W22" s="12">
        <v>450</v>
      </c>
      <c r="X22" s="12">
        <v>759</v>
      </c>
      <c r="Y22" s="12">
        <v>730</v>
      </c>
      <c r="Z22" s="12">
        <v>822</v>
      </c>
      <c r="AA22" s="12">
        <v>921</v>
      </c>
      <c r="AB22" s="12">
        <v>719</v>
      </c>
      <c r="AC22" s="12">
        <v>791</v>
      </c>
      <c r="AD22" s="12">
        <v>827</v>
      </c>
      <c r="AE22" s="12">
        <v>834</v>
      </c>
      <c r="AF22" s="12">
        <v>869</v>
      </c>
    </row>
    <row r="23" spans="1:32" x14ac:dyDescent="0.35">
      <c r="A23" s="19"/>
      <c r="B23" s="13" t="s">
        <v>1057</v>
      </c>
      <c r="C23" s="15">
        <v>0.73</v>
      </c>
      <c r="D23" s="15">
        <v>0.73</v>
      </c>
      <c r="E23" s="15">
        <v>0.52</v>
      </c>
      <c r="F23" s="15">
        <v>0.63</v>
      </c>
      <c r="G23" s="15">
        <v>0.81</v>
      </c>
      <c r="H23" s="15">
        <v>0.82000000000000006</v>
      </c>
      <c r="I23" s="15">
        <v>0.78</v>
      </c>
      <c r="J23" s="15">
        <v>0.65</v>
      </c>
      <c r="K23" s="15">
        <v>0.77</v>
      </c>
      <c r="L23" s="15">
        <v>0.83000000000000007</v>
      </c>
      <c r="M23" s="15">
        <v>0.57999999999999996</v>
      </c>
      <c r="N23" s="15">
        <v>0.81</v>
      </c>
      <c r="O23" s="15">
        <v>0.59</v>
      </c>
      <c r="P23" s="15">
        <v>0.72</v>
      </c>
      <c r="Q23" s="15">
        <v>0.64</v>
      </c>
      <c r="R23" s="15">
        <v>0.75</v>
      </c>
      <c r="S23" s="15">
        <v>0.83000000000000007</v>
      </c>
      <c r="T23" s="15">
        <v>0.79</v>
      </c>
      <c r="U23" s="15">
        <v>0.91</v>
      </c>
      <c r="V23" s="15">
        <v>0.77</v>
      </c>
      <c r="W23" s="15">
        <v>0.89</v>
      </c>
      <c r="X23" s="15">
        <v>0.76</v>
      </c>
      <c r="Y23" s="15">
        <v>0.73</v>
      </c>
      <c r="Z23" s="15">
        <v>0.8</v>
      </c>
      <c r="AA23" s="15">
        <v>0.89</v>
      </c>
      <c r="AB23" s="15">
        <v>0.69000000000000006</v>
      </c>
      <c r="AC23" s="15">
        <v>0.79</v>
      </c>
      <c r="AD23" s="15">
        <v>0.82000000000000006</v>
      </c>
      <c r="AE23" s="15">
        <v>0.83000000000000007</v>
      </c>
      <c r="AF23" s="15">
        <v>0.83000000000000007</v>
      </c>
    </row>
    <row r="24" spans="1:32" x14ac:dyDescent="0.35">
      <c r="A24" s="19"/>
      <c r="B24" s="11" t="s">
        <v>1058</v>
      </c>
      <c r="C24" s="12">
        <v>7112</v>
      </c>
      <c r="D24" s="12">
        <v>272</v>
      </c>
      <c r="E24" s="12">
        <v>487</v>
      </c>
      <c r="F24" s="12">
        <v>400</v>
      </c>
      <c r="G24" s="12">
        <v>179</v>
      </c>
      <c r="H24" s="12">
        <v>212</v>
      </c>
      <c r="I24" s="12">
        <v>314</v>
      </c>
      <c r="J24" s="12">
        <v>102</v>
      </c>
      <c r="K24" s="12">
        <v>224</v>
      </c>
      <c r="L24" s="12">
        <v>166</v>
      </c>
      <c r="M24" s="12">
        <v>424</v>
      </c>
      <c r="N24" s="12">
        <v>178</v>
      </c>
      <c r="O24" s="12">
        <v>401</v>
      </c>
      <c r="P24" s="12">
        <v>279</v>
      </c>
      <c r="Q24" s="12">
        <v>368</v>
      </c>
      <c r="R24" s="12">
        <v>122</v>
      </c>
      <c r="S24" s="12">
        <v>162</v>
      </c>
      <c r="T24" s="12">
        <v>214</v>
      </c>
      <c r="U24" s="12">
        <v>47</v>
      </c>
      <c r="V24" s="12">
        <v>233</v>
      </c>
      <c r="W24" s="12">
        <v>57</v>
      </c>
      <c r="X24" s="12">
        <v>250</v>
      </c>
      <c r="Y24" s="12">
        <v>271</v>
      </c>
      <c r="Z24" s="12">
        <v>202</v>
      </c>
      <c r="AA24" s="12">
        <v>106</v>
      </c>
      <c r="AB24" s="12">
        <v>323</v>
      </c>
      <c r="AC24" s="12">
        <v>210</v>
      </c>
      <c r="AD24" s="12">
        <v>176</v>
      </c>
      <c r="AE24" s="12">
        <v>168</v>
      </c>
      <c r="AF24" s="12">
        <v>174</v>
      </c>
    </row>
    <row r="25" spans="1:32" x14ac:dyDescent="0.35">
      <c r="A25" s="19"/>
      <c r="B25" s="13" t="s">
        <v>1059</v>
      </c>
      <c r="C25" s="15">
        <v>0.27</v>
      </c>
      <c r="D25" s="15">
        <v>0.27</v>
      </c>
      <c r="E25" s="15">
        <v>0.47</v>
      </c>
      <c r="F25" s="15">
        <v>0.36</v>
      </c>
      <c r="G25" s="15">
        <v>0.18</v>
      </c>
      <c r="H25" s="15">
        <v>0.17</v>
      </c>
      <c r="I25" s="15">
        <v>0.21</v>
      </c>
      <c r="J25" s="15">
        <v>0.35</v>
      </c>
      <c r="K25" s="15">
        <v>0.22</v>
      </c>
      <c r="L25" s="15">
        <v>0.17</v>
      </c>
      <c r="M25" s="15">
        <v>0.42</v>
      </c>
      <c r="N25" s="15">
        <v>0.18</v>
      </c>
      <c r="O25" s="15">
        <v>0.4</v>
      </c>
      <c r="P25" s="15">
        <v>0.28000000000000003</v>
      </c>
      <c r="Q25" s="15">
        <v>0.36</v>
      </c>
      <c r="R25" s="15">
        <v>0.24</v>
      </c>
      <c r="S25" s="15">
        <v>0.16</v>
      </c>
      <c r="T25" s="15">
        <v>0.21</v>
      </c>
      <c r="U25" s="15">
        <v>0.09</v>
      </c>
      <c r="V25" s="15">
        <v>0.23</v>
      </c>
      <c r="W25" s="15">
        <v>0.11</v>
      </c>
      <c r="X25" s="15">
        <v>0.24</v>
      </c>
      <c r="Y25" s="15">
        <v>0.27</v>
      </c>
      <c r="Z25" s="15">
        <v>0.19</v>
      </c>
      <c r="AA25" s="15">
        <v>0.1</v>
      </c>
      <c r="AB25" s="15">
        <v>0.3</v>
      </c>
      <c r="AC25" s="15">
        <v>0.21</v>
      </c>
      <c r="AD25" s="15">
        <v>0.18</v>
      </c>
      <c r="AE25" s="15">
        <v>0.16</v>
      </c>
      <c r="AF25" s="15">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1060</v>
      </c>
      <c r="C3" s="18"/>
      <c r="D3" s="18"/>
      <c r="E3" s="18"/>
      <c r="F3" s="18"/>
      <c r="H3" s="18" t="s">
        <v>1061</v>
      </c>
      <c r="I3" s="18"/>
      <c r="J3" s="18"/>
      <c r="K3" s="18"/>
      <c r="L3" s="18"/>
    </row>
    <row r="4" spans="1:32" ht="27" customHeight="1" x14ac:dyDescent="0.35">
      <c r="B4" s="18" t="s">
        <v>1062</v>
      </c>
      <c r="C4" s="18"/>
      <c r="D4" s="18"/>
      <c r="E4" s="18"/>
      <c r="F4" s="18"/>
      <c r="H4" s="18" t="s">
        <v>1063</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HYPERLINK("#Content!A109","&lt;&lt;Back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1048</v>
      </c>
      <c r="C12" s="12">
        <v>3312</v>
      </c>
      <c r="D12" s="12">
        <v>119</v>
      </c>
      <c r="E12" s="12">
        <v>78</v>
      </c>
      <c r="F12" s="12">
        <v>120</v>
      </c>
      <c r="G12" s="12">
        <v>190</v>
      </c>
      <c r="H12" s="12">
        <v>180</v>
      </c>
      <c r="I12" s="12">
        <v>213</v>
      </c>
      <c r="J12" s="12">
        <v>33</v>
      </c>
      <c r="K12" s="12">
        <v>138</v>
      </c>
      <c r="L12" s="12">
        <v>194</v>
      </c>
      <c r="M12" s="12">
        <v>58</v>
      </c>
      <c r="N12" s="12">
        <v>160</v>
      </c>
      <c r="O12" s="12">
        <v>84</v>
      </c>
      <c r="P12" s="12">
        <v>118</v>
      </c>
      <c r="Q12" s="12">
        <v>90</v>
      </c>
      <c r="R12" s="12">
        <v>62</v>
      </c>
      <c r="S12" s="12">
        <v>217</v>
      </c>
      <c r="T12" s="12">
        <v>183</v>
      </c>
      <c r="U12" s="12">
        <v>137</v>
      </c>
      <c r="V12" s="12">
        <v>182</v>
      </c>
      <c r="W12" s="12">
        <v>81</v>
      </c>
      <c r="X12" s="12">
        <v>114</v>
      </c>
      <c r="Y12" s="12">
        <v>186</v>
      </c>
      <c r="Z12" s="12">
        <v>146</v>
      </c>
      <c r="AA12" s="12">
        <v>82</v>
      </c>
      <c r="AB12" s="12">
        <v>123</v>
      </c>
      <c r="AC12" s="12">
        <v>167</v>
      </c>
      <c r="AD12" s="12">
        <v>229</v>
      </c>
      <c r="AE12" s="12">
        <v>175</v>
      </c>
      <c r="AF12" s="12">
        <v>185</v>
      </c>
    </row>
    <row r="13" spans="1:32" x14ac:dyDescent="0.35">
      <c r="A13" s="19"/>
      <c r="B13" s="13" t="s">
        <v>1049</v>
      </c>
      <c r="C13" s="15">
        <v>0.13</v>
      </c>
      <c r="D13" s="15">
        <v>0.12</v>
      </c>
      <c r="E13" s="15">
        <v>0.08</v>
      </c>
      <c r="F13" s="15">
        <v>0.11</v>
      </c>
      <c r="G13" s="15">
        <v>0.19</v>
      </c>
      <c r="H13" s="15">
        <v>0.15</v>
      </c>
      <c r="I13" s="15">
        <v>0.14000000000000001</v>
      </c>
      <c r="J13" s="15">
        <v>0.11</v>
      </c>
      <c r="K13" s="15">
        <v>0.14000000000000001</v>
      </c>
      <c r="L13" s="15">
        <v>0.19</v>
      </c>
      <c r="M13" s="15">
        <v>0.06</v>
      </c>
      <c r="N13" s="15">
        <v>0.16</v>
      </c>
      <c r="O13" s="15">
        <v>0.08</v>
      </c>
      <c r="P13" s="15">
        <v>0.12</v>
      </c>
      <c r="Q13" s="15">
        <v>0.09</v>
      </c>
      <c r="R13" s="15">
        <v>0.12</v>
      </c>
      <c r="S13" s="15">
        <v>0.22</v>
      </c>
      <c r="T13" s="15">
        <v>0.18</v>
      </c>
      <c r="U13" s="15">
        <v>0.27</v>
      </c>
      <c r="V13" s="15">
        <v>0.18</v>
      </c>
      <c r="W13" s="15">
        <v>0.16</v>
      </c>
      <c r="X13" s="15">
        <v>0.11</v>
      </c>
      <c r="Y13" s="15">
        <v>0.18</v>
      </c>
      <c r="Z13" s="15">
        <v>0.14000000000000001</v>
      </c>
      <c r="AA13" s="15">
        <v>0.08</v>
      </c>
      <c r="AB13" s="15">
        <v>0.12</v>
      </c>
      <c r="AC13" s="15">
        <v>0.17</v>
      </c>
      <c r="AD13" s="15">
        <v>0.23</v>
      </c>
      <c r="AE13" s="15">
        <v>0.17</v>
      </c>
      <c r="AF13" s="15">
        <v>0.18</v>
      </c>
    </row>
    <row r="14" spans="1:32" x14ac:dyDescent="0.35">
      <c r="A14" s="19"/>
      <c r="B14" s="11" t="s">
        <v>1050</v>
      </c>
      <c r="C14" s="12">
        <v>12494</v>
      </c>
      <c r="D14" s="12">
        <v>478</v>
      </c>
      <c r="E14" s="12">
        <v>405</v>
      </c>
      <c r="F14" s="12">
        <v>410</v>
      </c>
      <c r="G14" s="12">
        <v>546</v>
      </c>
      <c r="H14" s="12">
        <v>746</v>
      </c>
      <c r="I14" s="12">
        <v>898</v>
      </c>
      <c r="J14" s="12">
        <v>151</v>
      </c>
      <c r="K14" s="12">
        <v>537</v>
      </c>
      <c r="L14" s="12">
        <v>510</v>
      </c>
      <c r="M14" s="12">
        <v>413</v>
      </c>
      <c r="N14" s="12">
        <v>453</v>
      </c>
      <c r="O14" s="12">
        <v>309</v>
      </c>
      <c r="P14" s="12">
        <v>431</v>
      </c>
      <c r="Q14" s="12">
        <v>370</v>
      </c>
      <c r="R14" s="12">
        <v>258</v>
      </c>
      <c r="S14" s="12">
        <v>500</v>
      </c>
      <c r="T14" s="12">
        <v>499</v>
      </c>
      <c r="U14" s="12">
        <v>271</v>
      </c>
      <c r="V14" s="12">
        <v>443</v>
      </c>
      <c r="W14" s="12">
        <v>273</v>
      </c>
      <c r="X14" s="12">
        <v>550</v>
      </c>
      <c r="Y14" s="12">
        <v>523</v>
      </c>
      <c r="Z14" s="12">
        <v>601</v>
      </c>
      <c r="AA14" s="12">
        <v>642</v>
      </c>
      <c r="AB14" s="12">
        <v>540</v>
      </c>
      <c r="AC14" s="12">
        <v>548</v>
      </c>
      <c r="AD14" s="12">
        <v>486</v>
      </c>
      <c r="AE14" s="12">
        <v>620</v>
      </c>
      <c r="AF14" s="12">
        <v>633</v>
      </c>
    </row>
    <row r="15" spans="1:32" x14ac:dyDescent="0.35">
      <c r="A15" s="19"/>
      <c r="B15" s="13" t="s">
        <v>1051</v>
      </c>
      <c r="C15" s="15">
        <v>0.47</v>
      </c>
      <c r="D15" s="15">
        <v>0.47</v>
      </c>
      <c r="E15" s="15">
        <v>0.39</v>
      </c>
      <c r="F15" s="15">
        <v>0.37</v>
      </c>
      <c r="G15" s="15">
        <v>0.54</v>
      </c>
      <c r="H15" s="15">
        <v>0.61</v>
      </c>
      <c r="I15" s="15">
        <v>0.59</v>
      </c>
      <c r="J15" s="15">
        <v>0.51</v>
      </c>
      <c r="K15" s="15">
        <v>0.53</v>
      </c>
      <c r="L15" s="15">
        <v>0.51</v>
      </c>
      <c r="M15" s="15">
        <v>0.41</v>
      </c>
      <c r="N15" s="15">
        <v>0.45</v>
      </c>
      <c r="O15" s="15">
        <v>0.31</v>
      </c>
      <c r="P15" s="15">
        <v>0.43</v>
      </c>
      <c r="Q15" s="15">
        <v>0.36</v>
      </c>
      <c r="R15" s="15">
        <v>0.51</v>
      </c>
      <c r="S15" s="15">
        <v>0.5</v>
      </c>
      <c r="T15" s="15">
        <v>0.5</v>
      </c>
      <c r="U15" s="15">
        <v>0.54</v>
      </c>
      <c r="V15" s="15">
        <v>0.44</v>
      </c>
      <c r="W15" s="15">
        <v>0.54</v>
      </c>
      <c r="X15" s="15">
        <v>0.55000000000000004</v>
      </c>
      <c r="Y15" s="15">
        <v>0.52</v>
      </c>
      <c r="Z15" s="15">
        <v>0.57999999999999996</v>
      </c>
      <c r="AA15" s="15">
        <v>0.62</v>
      </c>
      <c r="AB15" s="15">
        <v>0.51</v>
      </c>
      <c r="AC15" s="15">
        <v>0.54</v>
      </c>
      <c r="AD15" s="15">
        <v>0.48</v>
      </c>
      <c r="AE15" s="15">
        <v>0.61</v>
      </c>
      <c r="AF15" s="15">
        <v>0.61</v>
      </c>
    </row>
    <row r="16" spans="1:32" x14ac:dyDescent="0.35">
      <c r="A16" s="19"/>
      <c r="B16" s="11" t="s">
        <v>1052</v>
      </c>
      <c r="C16" s="12">
        <v>7973</v>
      </c>
      <c r="D16" s="12">
        <v>361</v>
      </c>
      <c r="E16" s="12">
        <v>355</v>
      </c>
      <c r="F16" s="12">
        <v>383</v>
      </c>
      <c r="G16" s="12">
        <v>216</v>
      </c>
      <c r="H16" s="12">
        <v>231</v>
      </c>
      <c r="I16" s="12">
        <v>316</v>
      </c>
      <c r="J16" s="12">
        <v>85</v>
      </c>
      <c r="K16" s="12">
        <v>259</v>
      </c>
      <c r="L16" s="12">
        <v>252</v>
      </c>
      <c r="M16" s="12">
        <v>384</v>
      </c>
      <c r="N16" s="12">
        <v>277</v>
      </c>
      <c r="O16" s="12">
        <v>417</v>
      </c>
      <c r="P16" s="12">
        <v>352</v>
      </c>
      <c r="Q16" s="12">
        <v>416</v>
      </c>
      <c r="R16" s="12">
        <v>139</v>
      </c>
      <c r="S16" s="12">
        <v>227</v>
      </c>
      <c r="T16" s="12">
        <v>251</v>
      </c>
      <c r="U16" s="12">
        <v>81</v>
      </c>
      <c r="V16" s="12">
        <v>302</v>
      </c>
      <c r="W16" s="12">
        <v>142</v>
      </c>
      <c r="X16" s="12">
        <v>299</v>
      </c>
      <c r="Y16" s="12">
        <v>238</v>
      </c>
      <c r="Z16" s="12">
        <v>248</v>
      </c>
      <c r="AA16" s="12">
        <v>251</v>
      </c>
      <c r="AB16" s="12">
        <v>312</v>
      </c>
      <c r="AC16" s="12">
        <v>218</v>
      </c>
      <c r="AD16" s="12">
        <v>239</v>
      </c>
      <c r="AE16" s="12">
        <v>179</v>
      </c>
      <c r="AF16" s="12">
        <v>201</v>
      </c>
    </row>
    <row r="17" spans="1:32" x14ac:dyDescent="0.35">
      <c r="A17" s="19"/>
      <c r="B17" s="13" t="s">
        <v>1053</v>
      </c>
      <c r="C17" s="15">
        <v>0.3</v>
      </c>
      <c r="D17" s="15">
        <v>0.36</v>
      </c>
      <c r="E17" s="15">
        <v>0.34</v>
      </c>
      <c r="F17" s="15">
        <v>0.35</v>
      </c>
      <c r="G17" s="15">
        <v>0.21</v>
      </c>
      <c r="H17" s="15">
        <v>0.19</v>
      </c>
      <c r="I17" s="15">
        <v>0.21</v>
      </c>
      <c r="J17" s="15">
        <v>0.28999999999999998</v>
      </c>
      <c r="K17" s="15">
        <v>0.26</v>
      </c>
      <c r="L17" s="15">
        <v>0.25</v>
      </c>
      <c r="M17" s="15">
        <v>0.38</v>
      </c>
      <c r="N17" s="15">
        <v>0.28000000000000003</v>
      </c>
      <c r="O17" s="15">
        <v>0.42</v>
      </c>
      <c r="P17" s="15">
        <v>0.35</v>
      </c>
      <c r="Q17" s="15">
        <v>0.4</v>
      </c>
      <c r="R17" s="15">
        <v>0.28000000000000003</v>
      </c>
      <c r="S17" s="15">
        <v>0.23</v>
      </c>
      <c r="T17" s="15">
        <v>0.25</v>
      </c>
      <c r="U17" s="15">
        <v>0.16</v>
      </c>
      <c r="V17" s="15">
        <v>0.3</v>
      </c>
      <c r="W17" s="15">
        <v>0.28000000000000003</v>
      </c>
      <c r="X17" s="15">
        <v>0.3</v>
      </c>
      <c r="Y17" s="15">
        <v>0.24</v>
      </c>
      <c r="Z17" s="15">
        <v>0.24</v>
      </c>
      <c r="AA17" s="15">
        <v>0.24</v>
      </c>
      <c r="AB17" s="15">
        <v>0.3</v>
      </c>
      <c r="AC17" s="15">
        <v>0.22</v>
      </c>
      <c r="AD17" s="15">
        <v>0.24</v>
      </c>
      <c r="AE17" s="15">
        <v>0.18</v>
      </c>
      <c r="AF17" s="15">
        <v>0.19</v>
      </c>
    </row>
    <row r="18" spans="1:32" x14ac:dyDescent="0.35">
      <c r="A18" s="19"/>
      <c r="B18" s="11" t="s">
        <v>1054</v>
      </c>
      <c r="C18" s="12">
        <v>2509</v>
      </c>
      <c r="D18" s="12">
        <v>51</v>
      </c>
      <c r="E18" s="12">
        <v>190</v>
      </c>
      <c r="F18" s="12">
        <v>177</v>
      </c>
      <c r="G18" s="12">
        <v>49</v>
      </c>
      <c r="H18" s="12">
        <v>59</v>
      </c>
      <c r="I18" s="12">
        <v>83</v>
      </c>
      <c r="J18" s="12">
        <v>24</v>
      </c>
      <c r="K18" s="12">
        <v>57</v>
      </c>
      <c r="L18" s="12">
        <v>45</v>
      </c>
      <c r="M18" s="12">
        <v>156</v>
      </c>
      <c r="N18" s="12">
        <v>113</v>
      </c>
      <c r="O18" s="12">
        <v>178</v>
      </c>
      <c r="P18" s="12">
        <v>97</v>
      </c>
      <c r="Q18" s="12">
        <v>146</v>
      </c>
      <c r="R18" s="12">
        <v>41</v>
      </c>
      <c r="S18" s="12">
        <v>55</v>
      </c>
      <c r="T18" s="12">
        <v>72</v>
      </c>
      <c r="U18" s="12">
        <v>14</v>
      </c>
      <c r="V18" s="12">
        <v>88</v>
      </c>
      <c r="W18" s="12">
        <v>11</v>
      </c>
      <c r="X18" s="12">
        <v>40</v>
      </c>
      <c r="Y18" s="12">
        <v>50</v>
      </c>
      <c r="Z18" s="12">
        <v>22</v>
      </c>
      <c r="AA18" s="12">
        <v>54</v>
      </c>
      <c r="AB18" s="12">
        <v>77</v>
      </c>
      <c r="AC18" s="12">
        <v>70</v>
      </c>
      <c r="AD18" s="12">
        <v>50</v>
      </c>
      <c r="AE18" s="12">
        <v>29</v>
      </c>
      <c r="AF18" s="12">
        <v>21</v>
      </c>
    </row>
    <row r="19" spans="1:32" x14ac:dyDescent="0.35">
      <c r="A19" s="19"/>
      <c r="B19" s="13" t="s">
        <v>1055</v>
      </c>
      <c r="C19" s="15">
        <v>0.09</v>
      </c>
      <c r="D19" s="15">
        <v>0.05</v>
      </c>
      <c r="E19" s="15">
        <v>0.19</v>
      </c>
      <c r="F19" s="15">
        <v>0.16</v>
      </c>
      <c r="G19" s="15">
        <v>0.05</v>
      </c>
      <c r="H19" s="15">
        <v>0.05</v>
      </c>
      <c r="I19" s="15">
        <v>0.06</v>
      </c>
      <c r="J19" s="15">
        <v>0.08</v>
      </c>
      <c r="K19" s="15">
        <v>0.06</v>
      </c>
      <c r="L19" s="15">
        <v>0.05</v>
      </c>
      <c r="M19" s="15">
        <v>0.15</v>
      </c>
      <c r="N19" s="15">
        <v>0.11</v>
      </c>
      <c r="O19" s="15">
        <v>0.18</v>
      </c>
      <c r="P19" s="15">
        <v>0.1</v>
      </c>
      <c r="Q19" s="15">
        <v>0.14000000000000001</v>
      </c>
      <c r="R19" s="15">
        <v>0.08</v>
      </c>
      <c r="S19" s="15">
        <v>0.05</v>
      </c>
      <c r="T19" s="15">
        <v>7.0000000000000007E-2</v>
      </c>
      <c r="U19" s="15">
        <v>0.03</v>
      </c>
      <c r="V19" s="15">
        <v>0.08</v>
      </c>
      <c r="W19" s="15">
        <v>0.02</v>
      </c>
      <c r="X19" s="15">
        <v>0.04</v>
      </c>
      <c r="Y19" s="15">
        <v>0.05</v>
      </c>
      <c r="Z19" s="15">
        <v>0.02</v>
      </c>
      <c r="AA19" s="15">
        <v>0.05</v>
      </c>
      <c r="AB19" s="15">
        <v>7.0000000000000007E-2</v>
      </c>
      <c r="AC19" s="15">
        <v>7.0000000000000007E-2</v>
      </c>
      <c r="AD19" s="15">
        <v>0.05</v>
      </c>
      <c r="AE19" s="15">
        <v>0.03</v>
      </c>
      <c r="AF19" s="15">
        <v>0.02</v>
      </c>
    </row>
    <row r="20" spans="1:32" x14ac:dyDescent="0.35">
      <c r="A20" s="19"/>
      <c r="B20" s="11" t="s">
        <v>485</v>
      </c>
      <c r="C20" s="12">
        <v>157</v>
      </c>
      <c r="D20" s="12">
        <v>4</v>
      </c>
      <c r="E20" s="12">
        <v>2</v>
      </c>
      <c r="F20" s="12">
        <v>12</v>
      </c>
      <c r="G20" s="12">
        <v>6</v>
      </c>
      <c r="H20" s="12">
        <v>4</v>
      </c>
      <c r="I20" s="12">
        <v>5</v>
      </c>
      <c r="J20" s="12">
        <v>1</v>
      </c>
      <c r="K20" s="12">
        <v>12</v>
      </c>
      <c r="L20" s="12">
        <v>1</v>
      </c>
      <c r="M20" s="12">
        <v>0</v>
      </c>
      <c r="N20" s="12">
        <v>0</v>
      </c>
      <c r="O20" s="12">
        <v>14</v>
      </c>
      <c r="P20" s="12">
        <v>5</v>
      </c>
      <c r="Q20" s="12">
        <v>6</v>
      </c>
      <c r="R20" s="12">
        <v>3</v>
      </c>
      <c r="S20" s="12">
        <v>4</v>
      </c>
      <c r="T20" s="12">
        <v>1</v>
      </c>
      <c r="U20" s="12">
        <v>1</v>
      </c>
      <c r="V20" s="12">
        <v>1</v>
      </c>
      <c r="W20" s="12">
        <v>1</v>
      </c>
      <c r="X20" s="12">
        <v>5</v>
      </c>
      <c r="Y20" s="12">
        <v>6</v>
      </c>
      <c r="Z20" s="12">
        <v>15</v>
      </c>
      <c r="AA20" s="12">
        <v>5</v>
      </c>
      <c r="AB20" s="12">
        <v>0</v>
      </c>
      <c r="AC20" s="12">
        <v>1</v>
      </c>
      <c r="AD20" s="12">
        <v>1</v>
      </c>
      <c r="AE20" s="12">
        <v>9</v>
      </c>
      <c r="AF20" s="12">
        <v>3</v>
      </c>
    </row>
    <row r="21" spans="1:32" x14ac:dyDescent="0.35">
      <c r="A21" s="19"/>
      <c r="B21" s="13" t="s">
        <v>486</v>
      </c>
      <c r="C21" s="15">
        <v>0.01</v>
      </c>
      <c r="D21" s="14" t="s">
        <v>475</v>
      </c>
      <c r="E21" s="14" t="s">
        <v>475</v>
      </c>
      <c r="F21" s="15">
        <v>0.01</v>
      </c>
      <c r="G21" s="15">
        <v>0.01</v>
      </c>
      <c r="H21" s="14" t="s">
        <v>475</v>
      </c>
      <c r="I21" s="14" t="s">
        <v>475</v>
      </c>
      <c r="J21" s="15">
        <v>0.01</v>
      </c>
      <c r="K21" s="15">
        <v>0.01</v>
      </c>
      <c r="L21" s="14" t="s">
        <v>475</v>
      </c>
      <c r="M21" s="14" t="s">
        <v>475</v>
      </c>
      <c r="N21" s="14" t="s">
        <v>475</v>
      </c>
      <c r="O21" s="15">
        <v>0.01</v>
      </c>
      <c r="P21" s="14" t="s">
        <v>475</v>
      </c>
      <c r="Q21" s="15">
        <v>0.01</v>
      </c>
      <c r="R21" s="15">
        <v>0.01</v>
      </c>
      <c r="S21" s="14" t="s">
        <v>475</v>
      </c>
      <c r="T21" s="14" t="s">
        <v>475</v>
      </c>
      <c r="U21" s="14" t="s">
        <v>475</v>
      </c>
      <c r="V21" s="14" t="s">
        <v>475</v>
      </c>
      <c r="W21" s="14" t="s">
        <v>475</v>
      </c>
      <c r="X21" s="14" t="s">
        <v>475</v>
      </c>
      <c r="Y21" s="15">
        <v>0.01</v>
      </c>
      <c r="Z21" s="15">
        <v>0.02</v>
      </c>
      <c r="AA21" s="15">
        <v>0.01</v>
      </c>
      <c r="AB21" s="14" t="s">
        <v>475</v>
      </c>
      <c r="AC21" s="14" t="s">
        <v>475</v>
      </c>
      <c r="AD21" s="14" t="s">
        <v>475</v>
      </c>
      <c r="AE21" s="15">
        <v>0.01</v>
      </c>
      <c r="AF21" s="14" t="s">
        <v>475</v>
      </c>
    </row>
    <row r="22" spans="1:32" x14ac:dyDescent="0.35">
      <c r="A22" s="19"/>
      <c r="B22" s="11" t="s">
        <v>1056</v>
      </c>
      <c r="C22" s="12">
        <v>15806</v>
      </c>
      <c r="D22" s="12">
        <v>597</v>
      </c>
      <c r="E22" s="12">
        <v>483</v>
      </c>
      <c r="F22" s="12">
        <v>530</v>
      </c>
      <c r="G22" s="12">
        <v>736</v>
      </c>
      <c r="H22" s="12">
        <v>926</v>
      </c>
      <c r="I22" s="12">
        <v>1111</v>
      </c>
      <c r="J22" s="12">
        <v>184</v>
      </c>
      <c r="K22" s="12">
        <v>675</v>
      </c>
      <c r="L22" s="12">
        <v>704</v>
      </c>
      <c r="M22" s="12">
        <v>471</v>
      </c>
      <c r="N22" s="12">
        <v>613</v>
      </c>
      <c r="O22" s="12">
        <v>393</v>
      </c>
      <c r="P22" s="12">
        <v>549</v>
      </c>
      <c r="Q22" s="12">
        <v>460</v>
      </c>
      <c r="R22" s="12">
        <v>320</v>
      </c>
      <c r="S22" s="12">
        <v>717</v>
      </c>
      <c r="T22" s="12">
        <v>682</v>
      </c>
      <c r="U22" s="12">
        <v>408</v>
      </c>
      <c r="V22" s="12">
        <v>625</v>
      </c>
      <c r="W22" s="12">
        <v>354</v>
      </c>
      <c r="X22" s="12">
        <v>664</v>
      </c>
      <c r="Y22" s="12">
        <v>709</v>
      </c>
      <c r="Z22" s="12">
        <v>747</v>
      </c>
      <c r="AA22" s="12">
        <v>724</v>
      </c>
      <c r="AB22" s="12">
        <v>663</v>
      </c>
      <c r="AC22" s="12">
        <v>715</v>
      </c>
      <c r="AD22" s="12">
        <v>715</v>
      </c>
      <c r="AE22" s="12">
        <v>795</v>
      </c>
      <c r="AF22" s="12">
        <v>818</v>
      </c>
    </row>
    <row r="23" spans="1:32" x14ac:dyDescent="0.35">
      <c r="A23" s="19"/>
      <c r="B23" s="13" t="s">
        <v>1057</v>
      </c>
      <c r="C23" s="15">
        <v>0.6</v>
      </c>
      <c r="D23" s="15">
        <v>0.59</v>
      </c>
      <c r="E23" s="15">
        <v>0.47</v>
      </c>
      <c r="F23" s="15">
        <v>0.48</v>
      </c>
      <c r="G23" s="15">
        <v>0.73</v>
      </c>
      <c r="H23" s="15">
        <v>0.76</v>
      </c>
      <c r="I23" s="15">
        <v>0.73</v>
      </c>
      <c r="J23" s="15">
        <v>0.62</v>
      </c>
      <c r="K23" s="15">
        <v>0.67</v>
      </c>
      <c r="L23" s="15">
        <v>0.70000000000000007</v>
      </c>
      <c r="M23" s="15">
        <v>0.47</v>
      </c>
      <c r="N23" s="15">
        <v>0.61</v>
      </c>
      <c r="O23" s="15">
        <v>0.39</v>
      </c>
      <c r="P23" s="15">
        <v>0.55000000000000004</v>
      </c>
      <c r="Q23" s="15">
        <v>0.45</v>
      </c>
      <c r="R23" s="15">
        <v>0.63</v>
      </c>
      <c r="S23" s="15">
        <v>0.72</v>
      </c>
      <c r="T23" s="15">
        <v>0.68</v>
      </c>
      <c r="U23" s="15">
        <v>0.81</v>
      </c>
      <c r="V23" s="15">
        <v>0.62</v>
      </c>
      <c r="W23" s="15">
        <v>0.70000000000000007</v>
      </c>
      <c r="X23" s="15">
        <v>0.66</v>
      </c>
      <c r="Y23" s="15">
        <v>0.70000000000000007</v>
      </c>
      <c r="Z23" s="15">
        <v>0.72</v>
      </c>
      <c r="AA23" s="15">
        <v>0.70000000000000007</v>
      </c>
      <c r="AB23" s="15">
        <v>0.63</v>
      </c>
      <c r="AC23" s="15">
        <v>0.71</v>
      </c>
      <c r="AD23" s="15">
        <v>0.71</v>
      </c>
      <c r="AE23" s="15">
        <v>0.78</v>
      </c>
      <c r="AF23" s="15">
        <v>0.79</v>
      </c>
    </row>
    <row r="24" spans="1:32" x14ac:dyDescent="0.35">
      <c r="A24" s="19"/>
      <c r="B24" s="11" t="s">
        <v>1058</v>
      </c>
      <c r="C24" s="12">
        <v>10482</v>
      </c>
      <c r="D24" s="12">
        <v>412</v>
      </c>
      <c r="E24" s="12">
        <v>545</v>
      </c>
      <c r="F24" s="12">
        <v>560</v>
      </c>
      <c r="G24" s="12">
        <v>265</v>
      </c>
      <c r="H24" s="12">
        <v>290</v>
      </c>
      <c r="I24" s="12">
        <v>399</v>
      </c>
      <c r="J24" s="12">
        <v>109</v>
      </c>
      <c r="K24" s="12">
        <v>316</v>
      </c>
      <c r="L24" s="12">
        <v>297</v>
      </c>
      <c r="M24" s="12">
        <v>540</v>
      </c>
      <c r="N24" s="12">
        <v>390</v>
      </c>
      <c r="O24" s="12">
        <v>595</v>
      </c>
      <c r="P24" s="12">
        <v>449</v>
      </c>
      <c r="Q24" s="12">
        <v>562</v>
      </c>
      <c r="R24" s="12">
        <v>180</v>
      </c>
      <c r="S24" s="12">
        <v>282</v>
      </c>
      <c r="T24" s="12">
        <v>323</v>
      </c>
      <c r="U24" s="12">
        <v>95</v>
      </c>
      <c r="V24" s="12">
        <v>390</v>
      </c>
      <c r="W24" s="12">
        <v>153</v>
      </c>
      <c r="X24" s="12">
        <v>339</v>
      </c>
      <c r="Y24" s="12">
        <v>288</v>
      </c>
      <c r="Z24" s="12">
        <v>270</v>
      </c>
      <c r="AA24" s="12">
        <v>305</v>
      </c>
      <c r="AB24" s="12">
        <v>389</v>
      </c>
      <c r="AC24" s="12">
        <v>288</v>
      </c>
      <c r="AD24" s="12">
        <v>289</v>
      </c>
      <c r="AE24" s="12">
        <v>208</v>
      </c>
      <c r="AF24" s="12">
        <v>222</v>
      </c>
    </row>
    <row r="25" spans="1:32" x14ac:dyDescent="0.35">
      <c r="A25" s="19"/>
      <c r="B25" s="13" t="s">
        <v>1059</v>
      </c>
      <c r="C25" s="15">
        <v>0.39</v>
      </c>
      <c r="D25" s="15">
        <v>0.41</v>
      </c>
      <c r="E25" s="15">
        <v>0.53</v>
      </c>
      <c r="F25" s="15">
        <v>0.51</v>
      </c>
      <c r="G25" s="15">
        <v>0.26</v>
      </c>
      <c r="H25" s="15">
        <v>0.24</v>
      </c>
      <c r="I25" s="15">
        <v>0.27</v>
      </c>
      <c r="J25" s="15">
        <v>0.37</v>
      </c>
      <c r="K25" s="15">
        <v>0.32</v>
      </c>
      <c r="L25" s="15">
        <v>0.3</v>
      </c>
      <c r="M25" s="15">
        <v>0.53</v>
      </c>
      <c r="N25" s="15">
        <v>0.39</v>
      </c>
      <c r="O25" s="15">
        <v>0.6</v>
      </c>
      <c r="P25" s="15">
        <v>0.45</v>
      </c>
      <c r="Q25" s="15">
        <v>0.54</v>
      </c>
      <c r="R25" s="15">
        <v>0.36</v>
      </c>
      <c r="S25" s="15">
        <v>0.28000000000000003</v>
      </c>
      <c r="T25" s="15">
        <v>0.32</v>
      </c>
      <c r="U25" s="15">
        <v>0.19</v>
      </c>
      <c r="V25" s="15">
        <v>0.38</v>
      </c>
      <c r="W25" s="15">
        <v>0.3</v>
      </c>
      <c r="X25" s="15">
        <v>0.34</v>
      </c>
      <c r="Y25" s="15">
        <v>0.28999999999999998</v>
      </c>
      <c r="Z25" s="15">
        <v>0.26</v>
      </c>
      <c r="AA25" s="15">
        <v>0.28999999999999998</v>
      </c>
      <c r="AB25" s="15">
        <v>0.37</v>
      </c>
      <c r="AC25" s="15">
        <v>0.28999999999999998</v>
      </c>
      <c r="AD25" s="15">
        <v>0.28999999999999998</v>
      </c>
      <c r="AE25" s="15">
        <v>0.21</v>
      </c>
      <c r="AF25" s="15">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1064</v>
      </c>
      <c r="C3" s="18"/>
      <c r="D3" s="18"/>
      <c r="E3" s="18"/>
      <c r="F3" s="18"/>
      <c r="H3" s="18" t="s">
        <v>1065</v>
      </c>
      <c r="I3" s="18"/>
      <c r="J3" s="18"/>
      <c r="K3" s="18"/>
      <c r="L3" s="18"/>
    </row>
    <row r="4" spans="1:32" ht="27" customHeight="1" x14ac:dyDescent="0.35">
      <c r="B4" s="18" t="s">
        <v>1066</v>
      </c>
      <c r="C4" s="18"/>
      <c r="D4" s="18"/>
      <c r="E4" s="18"/>
      <c r="F4" s="18"/>
      <c r="H4" s="18" t="s">
        <v>1067</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HYPERLINK("#Content!A110","&lt;&lt;Back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1048</v>
      </c>
      <c r="C12" s="12">
        <v>6184</v>
      </c>
      <c r="D12" s="12">
        <v>240</v>
      </c>
      <c r="E12" s="12">
        <v>309</v>
      </c>
      <c r="F12" s="12">
        <v>229</v>
      </c>
      <c r="G12" s="12">
        <v>279</v>
      </c>
      <c r="H12" s="12">
        <v>195</v>
      </c>
      <c r="I12" s="12">
        <v>254</v>
      </c>
      <c r="J12" s="12">
        <v>60</v>
      </c>
      <c r="K12" s="12">
        <v>169</v>
      </c>
      <c r="L12" s="12">
        <v>308</v>
      </c>
      <c r="M12" s="12">
        <v>379</v>
      </c>
      <c r="N12" s="12">
        <v>315</v>
      </c>
      <c r="O12" s="12">
        <v>241</v>
      </c>
      <c r="P12" s="12">
        <v>257</v>
      </c>
      <c r="Q12" s="12">
        <v>265</v>
      </c>
      <c r="R12" s="12">
        <v>362</v>
      </c>
      <c r="S12" s="12">
        <v>253</v>
      </c>
      <c r="T12" s="12">
        <v>252</v>
      </c>
      <c r="U12" s="12">
        <v>156</v>
      </c>
      <c r="V12" s="12">
        <v>220</v>
      </c>
      <c r="W12" s="12">
        <v>287</v>
      </c>
      <c r="X12" s="12">
        <v>232</v>
      </c>
      <c r="Y12" s="12">
        <v>268</v>
      </c>
      <c r="Z12" s="12">
        <v>140</v>
      </c>
      <c r="AA12" s="12">
        <v>214</v>
      </c>
      <c r="AB12" s="12">
        <v>195</v>
      </c>
      <c r="AC12" s="12">
        <v>194</v>
      </c>
      <c r="AD12" s="12">
        <v>372</v>
      </c>
      <c r="AE12" s="12">
        <v>164</v>
      </c>
      <c r="AF12" s="12">
        <v>347</v>
      </c>
    </row>
    <row r="13" spans="1:32" x14ac:dyDescent="0.35">
      <c r="A13" s="19"/>
      <c r="B13" s="13" t="s">
        <v>1049</v>
      </c>
      <c r="C13" s="15">
        <v>0.23</v>
      </c>
      <c r="D13" s="15">
        <v>0.24</v>
      </c>
      <c r="E13" s="15">
        <v>0.3</v>
      </c>
      <c r="F13" s="15">
        <v>0.21</v>
      </c>
      <c r="G13" s="15">
        <v>0.28000000000000003</v>
      </c>
      <c r="H13" s="15">
        <v>0.16</v>
      </c>
      <c r="I13" s="15">
        <v>0.17</v>
      </c>
      <c r="J13" s="15">
        <v>0.2</v>
      </c>
      <c r="K13" s="15">
        <v>0.17</v>
      </c>
      <c r="L13" s="15">
        <v>0.31</v>
      </c>
      <c r="M13" s="15">
        <v>0.38</v>
      </c>
      <c r="N13" s="15">
        <v>0.32</v>
      </c>
      <c r="O13" s="15">
        <v>0.24</v>
      </c>
      <c r="P13" s="15">
        <v>0.26</v>
      </c>
      <c r="Q13" s="15">
        <v>0.26</v>
      </c>
      <c r="R13" s="15">
        <v>0.72</v>
      </c>
      <c r="S13" s="15">
        <v>0.25</v>
      </c>
      <c r="T13" s="15">
        <v>0.25</v>
      </c>
      <c r="U13" s="15">
        <v>0.31</v>
      </c>
      <c r="V13" s="15">
        <v>0.22</v>
      </c>
      <c r="W13" s="15">
        <v>0.57000000000000006</v>
      </c>
      <c r="X13" s="15">
        <v>0.23</v>
      </c>
      <c r="Y13" s="15">
        <v>0.27</v>
      </c>
      <c r="Z13" s="15">
        <v>0.13</v>
      </c>
      <c r="AA13" s="15">
        <v>0.21</v>
      </c>
      <c r="AB13" s="15">
        <v>0.18</v>
      </c>
      <c r="AC13" s="15">
        <v>0.2</v>
      </c>
      <c r="AD13" s="15">
        <v>0.37</v>
      </c>
      <c r="AE13" s="15">
        <v>0.16</v>
      </c>
      <c r="AF13" s="15">
        <v>0.33</v>
      </c>
    </row>
    <row r="14" spans="1:32" x14ac:dyDescent="0.35">
      <c r="A14" s="19"/>
      <c r="B14" s="11" t="s">
        <v>1050</v>
      </c>
      <c r="C14" s="12">
        <v>12013</v>
      </c>
      <c r="D14" s="12">
        <v>487</v>
      </c>
      <c r="E14" s="12">
        <v>402</v>
      </c>
      <c r="F14" s="12">
        <v>428</v>
      </c>
      <c r="G14" s="12">
        <v>380</v>
      </c>
      <c r="H14" s="12">
        <v>566</v>
      </c>
      <c r="I14" s="12">
        <v>680</v>
      </c>
      <c r="J14" s="12">
        <v>115</v>
      </c>
      <c r="K14" s="12">
        <v>402</v>
      </c>
      <c r="L14" s="12">
        <v>377</v>
      </c>
      <c r="M14" s="12">
        <v>425</v>
      </c>
      <c r="N14" s="12">
        <v>432</v>
      </c>
      <c r="O14" s="12">
        <v>408</v>
      </c>
      <c r="P14" s="12">
        <v>424</v>
      </c>
      <c r="Q14" s="12">
        <v>550</v>
      </c>
      <c r="R14" s="12">
        <v>99</v>
      </c>
      <c r="S14" s="12">
        <v>423</v>
      </c>
      <c r="T14" s="12">
        <v>431</v>
      </c>
      <c r="U14" s="12">
        <v>236</v>
      </c>
      <c r="V14" s="12">
        <v>440</v>
      </c>
      <c r="W14" s="12">
        <v>178</v>
      </c>
      <c r="X14" s="12">
        <v>426</v>
      </c>
      <c r="Y14" s="12">
        <v>421</v>
      </c>
      <c r="Z14" s="12">
        <v>551</v>
      </c>
      <c r="AA14" s="12">
        <v>498</v>
      </c>
      <c r="AB14" s="12">
        <v>533</v>
      </c>
      <c r="AC14" s="12">
        <v>404</v>
      </c>
      <c r="AD14" s="12">
        <v>452</v>
      </c>
      <c r="AE14" s="12">
        <v>438</v>
      </c>
      <c r="AF14" s="12">
        <v>423</v>
      </c>
    </row>
    <row r="15" spans="1:32" x14ac:dyDescent="0.35">
      <c r="A15" s="19"/>
      <c r="B15" s="13" t="s">
        <v>1051</v>
      </c>
      <c r="C15" s="15">
        <v>0.46</v>
      </c>
      <c r="D15" s="15">
        <v>0.48</v>
      </c>
      <c r="E15" s="15">
        <v>0.39</v>
      </c>
      <c r="F15" s="15">
        <v>0.39</v>
      </c>
      <c r="G15" s="15">
        <v>0.38</v>
      </c>
      <c r="H15" s="15">
        <v>0.46</v>
      </c>
      <c r="I15" s="15">
        <v>0.45</v>
      </c>
      <c r="J15" s="15">
        <v>0.39</v>
      </c>
      <c r="K15" s="15">
        <v>0.4</v>
      </c>
      <c r="L15" s="15">
        <v>0.38</v>
      </c>
      <c r="M15" s="15">
        <v>0.42</v>
      </c>
      <c r="N15" s="15">
        <v>0.43</v>
      </c>
      <c r="O15" s="15">
        <v>0.41</v>
      </c>
      <c r="P15" s="15">
        <v>0.42</v>
      </c>
      <c r="Q15" s="15">
        <v>0.54</v>
      </c>
      <c r="R15" s="15">
        <v>0.2</v>
      </c>
      <c r="S15" s="15">
        <v>0.42</v>
      </c>
      <c r="T15" s="15">
        <v>0.43</v>
      </c>
      <c r="U15" s="15">
        <v>0.47</v>
      </c>
      <c r="V15" s="15">
        <v>0.43</v>
      </c>
      <c r="W15" s="15">
        <v>0.35</v>
      </c>
      <c r="X15" s="15">
        <v>0.42</v>
      </c>
      <c r="Y15" s="15">
        <v>0.42</v>
      </c>
      <c r="Z15" s="15">
        <v>0.53</v>
      </c>
      <c r="AA15" s="15">
        <v>0.48</v>
      </c>
      <c r="AB15" s="15">
        <v>0.51</v>
      </c>
      <c r="AC15" s="15">
        <v>0.4</v>
      </c>
      <c r="AD15" s="15">
        <v>0.45</v>
      </c>
      <c r="AE15" s="15">
        <v>0.43</v>
      </c>
      <c r="AF15" s="15">
        <v>0.4</v>
      </c>
    </row>
    <row r="16" spans="1:32" x14ac:dyDescent="0.35">
      <c r="A16" s="19"/>
      <c r="B16" s="11" t="s">
        <v>1052</v>
      </c>
      <c r="C16" s="12">
        <v>6047</v>
      </c>
      <c r="D16" s="12">
        <v>246</v>
      </c>
      <c r="E16" s="12">
        <v>194</v>
      </c>
      <c r="F16" s="12">
        <v>247</v>
      </c>
      <c r="G16" s="12">
        <v>280</v>
      </c>
      <c r="H16" s="12">
        <v>347</v>
      </c>
      <c r="I16" s="12">
        <v>434</v>
      </c>
      <c r="J16" s="12">
        <v>87</v>
      </c>
      <c r="K16" s="12">
        <v>302</v>
      </c>
      <c r="L16" s="12">
        <v>272</v>
      </c>
      <c r="M16" s="12">
        <v>151</v>
      </c>
      <c r="N16" s="12">
        <v>184</v>
      </c>
      <c r="O16" s="12">
        <v>197</v>
      </c>
      <c r="P16" s="12">
        <v>246</v>
      </c>
      <c r="Q16" s="12">
        <v>169</v>
      </c>
      <c r="R16" s="12">
        <v>23</v>
      </c>
      <c r="S16" s="12">
        <v>252</v>
      </c>
      <c r="T16" s="12">
        <v>237</v>
      </c>
      <c r="U16" s="12">
        <v>100</v>
      </c>
      <c r="V16" s="12">
        <v>227</v>
      </c>
      <c r="W16" s="12">
        <v>37</v>
      </c>
      <c r="X16" s="12">
        <v>322</v>
      </c>
      <c r="Y16" s="12">
        <v>241</v>
      </c>
      <c r="Z16" s="12">
        <v>295</v>
      </c>
      <c r="AA16" s="12">
        <v>276</v>
      </c>
      <c r="AB16" s="12">
        <v>221</v>
      </c>
      <c r="AC16" s="12">
        <v>302</v>
      </c>
      <c r="AD16" s="12">
        <v>134</v>
      </c>
      <c r="AE16" s="12">
        <v>339</v>
      </c>
      <c r="AF16" s="12">
        <v>225</v>
      </c>
    </row>
    <row r="17" spans="1:32" x14ac:dyDescent="0.35">
      <c r="A17" s="19"/>
      <c r="B17" s="13" t="s">
        <v>1053</v>
      </c>
      <c r="C17" s="15">
        <v>0.23</v>
      </c>
      <c r="D17" s="15">
        <v>0.24</v>
      </c>
      <c r="E17" s="15">
        <v>0.19</v>
      </c>
      <c r="F17" s="15">
        <v>0.22</v>
      </c>
      <c r="G17" s="15">
        <v>0.28000000000000003</v>
      </c>
      <c r="H17" s="15">
        <v>0.28000000000000003</v>
      </c>
      <c r="I17" s="15">
        <v>0.28000000000000003</v>
      </c>
      <c r="J17" s="15">
        <v>0.3</v>
      </c>
      <c r="K17" s="15">
        <v>0.3</v>
      </c>
      <c r="L17" s="15">
        <v>0.27</v>
      </c>
      <c r="M17" s="15">
        <v>0.15</v>
      </c>
      <c r="N17" s="15">
        <v>0.18</v>
      </c>
      <c r="O17" s="15">
        <v>0.2</v>
      </c>
      <c r="P17" s="15">
        <v>0.24</v>
      </c>
      <c r="Q17" s="15">
        <v>0.16</v>
      </c>
      <c r="R17" s="15">
        <v>0.04</v>
      </c>
      <c r="S17" s="15">
        <v>0.25</v>
      </c>
      <c r="T17" s="15">
        <v>0.23</v>
      </c>
      <c r="U17" s="15">
        <v>0.2</v>
      </c>
      <c r="V17" s="15">
        <v>0.22</v>
      </c>
      <c r="W17" s="15">
        <v>7.0000000000000007E-2</v>
      </c>
      <c r="X17" s="15">
        <v>0.32</v>
      </c>
      <c r="Y17" s="15">
        <v>0.24</v>
      </c>
      <c r="Z17" s="15">
        <v>0.28999999999999998</v>
      </c>
      <c r="AA17" s="15">
        <v>0.27</v>
      </c>
      <c r="AB17" s="15">
        <v>0.21</v>
      </c>
      <c r="AC17" s="15">
        <v>0.3</v>
      </c>
      <c r="AD17" s="15">
        <v>0.13</v>
      </c>
      <c r="AE17" s="15">
        <v>0.34</v>
      </c>
      <c r="AF17" s="15">
        <v>0.22</v>
      </c>
    </row>
    <row r="18" spans="1:32" x14ac:dyDescent="0.35">
      <c r="A18" s="19"/>
      <c r="B18" s="11" t="s">
        <v>1054</v>
      </c>
      <c r="C18" s="12">
        <v>1951</v>
      </c>
      <c r="D18" s="12">
        <v>36</v>
      </c>
      <c r="E18" s="12">
        <v>102</v>
      </c>
      <c r="F18" s="12">
        <v>181</v>
      </c>
      <c r="G18" s="12">
        <v>63</v>
      </c>
      <c r="H18" s="12">
        <v>103</v>
      </c>
      <c r="I18" s="12">
        <v>136</v>
      </c>
      <c r="J18" s="12">
        <v>33</v>
      </c>
      <c r="K18" s="12">
        <v>99</v>
      </c>
      <c r="L18" s="12">
        <v>39</v>
      </c>
      <c r="M18" s="12">
        <v>54</v>
      </c>
      <c r="N18" s="12">
        <v>68</v>
      </c>
      <c r="O18" s="12">
        <v>130</v>
      </c>
      <c r="P18" s="12">
        <v>68</v>
      </c>
      <c r="Q18" s="12">
        <v>35</v>
      </c>
      <c r="R18" s="12">
        <v>14</v>
      </c>
      <c r="S18" s="12">
        <v>66</v>
      </c>
      <c r="T18" s="12">
        <v>78</v>
      </c>
      <c r="U18" s="12">
        <v>12</v>
      </c>
      <c r="V18" s="12">
        <v>122</v>
      </c>
      <c r="W18" s="12">
        <v>6</v>
      </c>
      <c r="X18" s="12">
        <v>26</v>
      </c>
      <c r="Y18" s="12">
        <v>71</v>
      </c>
      <c r="Z18" s="12">
        <v>38</v>
      </c>
      <c r="AA18" s="12">
        <v>28</v>
      </c>
      <c r="AB18" s="12">
        <v>94</v>
      </c>
      <c r="AC18" s="12">
        <v>100</v>
      </c>
      <c r="AD18" s="12">
        <v>44</v>
      </c>
      <c r="AE18" s="12">
        <v>64</v>
      </c>
      <c r="AF18" s="12">
        <v>38</v>
      </c>
    </row>
    <row r="19" spans="1:32" x14ac:dyDescent="0.35">
      <c r="A19" s="19"/>
      <c r="B19" s="13" t="s">
        <v>1055</v>
      </c>
      <c r="C19" s="15">
        <v>7.0000000000000007E-2</v>
      </c>
      <c r="D19" s="15">
        <v>0.04</v>
      </c>
      <c r="E19" s="15">
        <v>0.1</v>
      </c>
      <c r="F19" s="15">
        <v>0.16</v>
      </c>
      <c r="G19" s="15">
        <v>0.06</v>
      </c>
      <c r="H19" s="15">
        <v>0.09</v>
      </c>
      <c r="I19" s="15">
        <v>0.09</v>
      </c>
      <c r="J19" s="15">
        <v>0.11</v>
      </c>
      <c r="K19" s="15">
        <v>0.1</v>
      </c>
      <c r="L19" s="15">
        <v>0.04</v>
      </c>
      <c r="M19" s="15">
        <v>0.05</v>
      </c>
      <c r="N19" s="15">
        <v>7.0000000000000007E-2</v>
      </c>
      <c r="O19" s="15">
        <v>0.13</v>
      </c>
      <c r="P19" s="15">
        <v>7.0000000000000007E-2</v>
      </c>
      <c r="Q19" s="15">
        <v>0.03</v>
      </c>
      <c r="R19" s="15">
        <v>0.03</v>
      </c>
      <c r="S19" s="15">
        <v>7.0000000000000007E-2</v>
      </c>
      <c r="T19" s="15">
        <v>0.08</v>
      </c>
      <c r="U19" s="15">
        <v>0.02</v>
      </c>
      <c r="V19" s="15">
        <v>0.12</v>
      </c>
      <c r="W19" s="15">
        <v>0.01</v>
      </c>
      <c r="X19" s="15">
        <v>0.03</v>
      </c>
      <c r="Y19" s="15">
        <v>7.0000000000000007E-2</v>
      </c>
      <c r="Z19" s="15">
        <v>0.04</v>
      </c>
      <c r="AA19" s="15">
        <v>0.03</v>
      </c>
      <c r="AB19" s="15">
        <v>0.09</v>
      </c>
      <c r="AC19" s="15">
        <v>0.1</v>
      </c>
      <c r="AD19" s="15">
        <v>0.04</v>
      </c>
      <c r="AE19" s="15">
        <v>0.06</v>
      </c>
      <c r="AF19" s="15">
        <v>0.04</v>
      </c>
    </row>
    <row r="20" spans="1:32" x14ac:dyDescent="0.35">
      <c r="A20" s="19"/>
      <c r="B20" s="11" t="s">
        <v>485</v>
      </c>
      <c r="C20" s="12">
        <v>250</v>
      </c>
      <c r="D20" s="12">
        <v>4</v>
      </c>
      <c r="E20" s="12">
        <v>23</v>
      </c>
      <c r="F20" s="12">
        <v>16</v>
      </c>
      <c r="G20" s="12">
        <v>5</v>
      </c>
      <c r="H20" s="12">
        <v>10</v>
      </c>
      <c r="I20" s="12">
        <v>11</v>
      </c>
      <c r="J20" s="12">
        <v>1</v>
      </c>
      <c r="K20" s="12">
        <v>29</v>
      </c>
      <c r="L20" s="12">
        <v>5</v>
      </c>
      <c r="M20" s="12">
        <v>0</v>
      </c>
      <c r="N20" s="12">
        <v>4</v>
      </c>
      <c r="O20" s="12">
        <v>25</v>
      </c>
      <c r="P20" s="12">
        <v>9</v>
      </c>
      <c r="Q20" s="12">
        <v>8</v>
      </c>
      <c r="R20" s="12">
        <v>6</v>
      </c>
      <c r="S20" s="12">
        <v>8</v>
      </c>
      <c r="T20" s="12">
        <v>8</v>
      </c>
      <c r="U20" s="12">
        <v>0</v>
      </c>
      <c r="V20" s="12">
        <v>5</v>
      </c>
      <c r="W20" s="12">
        <v>0</v>
      </c>
      <c r="X20" s="12">
        <v>3</v>
      </c>
      <c r="Y20" s="12">
        <v>2</v>
      </c>
      <c r="Z20" s="12">
        <v>6</v>
      </c>
      <c r="AA20" s="12">
        <v>16</v>
      </c>
      <c r="AB20" s="12">
        <v>8</v>
      </c>
      <c r="AC20" s="12">
        <v>2</v>
      </c>
      <c r="AD20" s="12">
        <v>4</v>
      </c>
      <c r="AE20" s="12">
        <v>7</v>
      </c>
      <c r="AF20" s="12">
        <v>10</v>
      </c>
    </row>
    <row r="21" spans="1:32" x14ac:dyDescent="0.35">
      <c r="A21" s="19"/>
      <c r="B21" s="13" t="s">
        <v>486</v>
      </c>
      <c r="C21" s="15">
        <v>0.01</v>
      </c>
      <c r="D21" s="14" t="s">
        <v>475</v>
      </c>
      <c r="E21" s="15">
        <v>0.02</v>
      </c>
      <c r="F21" s="15">
        <v>0.02</v>
      </c>
      <c r="G21" s="14" t="s">
        <v>475</v>
      </c>
      <c r="H21" s="15">
        <v>0.01</v>
      </c>
      <c r="I21" s="15">
        <v>0.01</v>
      </c>
      <c r="J21" s="14" t="s">
        <v>475</v>
      </c>
      <c r="K21" s="15">
        <v>0.03</v>
      </c>
      <c r="L21" s="14" t="s">
        <v>475</v>
      </c>
      <c r="M21" s="14" t="s">
        <v>475</v>
      </c>
      <c r="N21" s="14" t="s">
        <v>475</v>
      </c>
      <c r="O21" s="15">
        <v>0.02</v>
      </c>
      <c r="P21" s="15">
        <v>0.01</v>
      </c>
      <c r="Q21" s="15">
        <v>0.01</v>
      </c>
      <c r="R21" s="15">
        <v>0.01</v>
      </c>
      <c r="S21" s="15">
        <v>0.01</v>
      </c>
      <c r="T21" s="15">
        <v>0.01</v>
      </c>
      <c r="U21" s="14" t="s">
        <v>475</v>
      </c>
      <c r="V21" s="15">
        <v>0.01</v>
      </c>
      <c r="W21" s="14" t="s">
        <v>475</v>
      </c>
      <c r="X21" s="14" t="s">
        <v>475</v>
      </c>
      <c r="Y21" s="14" t="s">
        <v>475</v>
      </c>
      <c r="Z21" s="15">
        <v>0.01</v>
      </c>
      <c r="AA21" s="15">
        <v>0.01</v>
      </c>
      <c r="AB21" s="15">
        <v>0.01</v>
      </c>
      <c r="AC21" s="14" t="s">
        <v>475</v>
      </c>
      <c r="AD21" s="15">
        <v>0.01</v>
      </c>
      <c r="AE21" s="15">
        <v>0.01</v>
      </c>
      <c r="AF21" s="15">
        <v>0.01</v>
      </c>
    </row>
    <row r="22" spans="1:32" x14ac:dyDescent="0.35">
      <c r="A22" s="19"/>
      <c r="B22" s="11" t="s">
        <v>1056</v>
      </c>
      <c r="C22" s="12">
        <v>18197</v>
      </c>
      <c r="D22" s="12">
        <v>727</v>
      </c>
      <c r="E22" s="12">
        <v>711</v>
      </c>
      <c r="F22" s="12">
        <v>657</v>
      </c>
      <c r="G22" s="12">
        <v>659</v>
      </c>
      <c r="H22" s="12">
        <v>761</v>
      </c>
      <c r="I22" s="12">
        <v>934</v>
      </c>
      <c r="J22" s="12">
        <v>175</v>
      </c>
      <c r="K22" s="12">
        <v>571</v>
      </c>
      <c r="L22" s="12">
        <v>685</v>
      </c>
      <c r="M22" s="12">
        <v>804</v>
      </c>
      <c r="N22" s="12">
        <v>747</v>
      </c>
      <c r="O22" s="12">
        <v>649</v>
      </c>
      <c r="P22" s="12">
        <v>681</v>
      </c>
      <c r="Q22" s="12">
        <v>815</v>
      </c>
      <c r="R22" s="12">
        <v>461</v>
      </c>
      <c r="S22" s="12">
        <v>676</v>
      </c>
      <c r="T22" s="12">
        <v>683</v>
      </c>
      <c r="U22" s="12">
        <v>392</v>
      </c>
      <c r="V22" s="12">
        <v>660</v>
      </c>
      <c r="W22" s="12">
        <v>465</v>
      </c>
      <c r="X22" s="12">
        <v>658</v>
      </c>
      <c r="Y22" s="12">
        <v>689</v>
      </c>
      <c r="Z22" s="12">
        <v>691</v>
      </c>
      <c r="AA22" s="12">
        <v>712</v>
      </c>
      <c r="AB22" s="12">
        <v>728</v>
      </c>
      <c r="AC22" s="12">
        <v>598</v>
      </c>
      <c r="AD22" s="12">
        <v>824</v>
      </c>
      <c r="AE22" s="12">
        <v>602</v>
      </c>
      <c r="AF22" s="12">
        <v>770</v>
      </c>
    </row>
    <row r="23" spans="1:32" x14ac:dyDescent="0.35">
      <c r="A23" s="19"/>
      <c r="B23" s="13" t="s">
        <v>1057</v>
      </c>
      <c r="C23" s="15">
        <v>0.69000000000000006</v>
      </c>
      <c r="D23" s="15">
        <v>0.72</v>
      </c>
      <c r="E23" s="15">
        <v>0.69000000000000006</v>
      </c>
      <c r="F23" s="15">
        <v>0.6</v>
      </c>
      <c r="G23" s="15">
        <v>0.66</v>
      </c>
      <c r="H23" s="15">
        <v>0.62</v>
      </c>
      <c r="I23" s="15">
        <v>0.62</v>
      </c>
      <c r="J23" s="15">
        <v>0.59</v>
      </c>
      <c r="K23" s="15">
        <v>0.57000000000000006</v>
      </c>
      <c r="L23" s="15">
        <v>0.69000000000000006</v>
      </c>
      <c r="M23" s="15">
        <v>0.8</v>
      </c>
      <c r="N23" s="15">
        <v>0.75</v>
      </c>
      <c r="O23" s="15">
        <v>0.65</v>
      </c>
      <c r="P23" s="15">
        <v>0.68</v>
      </c>
      <c r="Q23" s="15">
        <v>0.8</v>
      </c>
      <c r="R23" s="15">
        <v>0.92</v>
      </c>
      <c r="S23" s="15">
        <v>0.67</v>
      </c>
      <c r="T23" s="15">
        <v>0.68</v>
      </c>
      <c r="U23" s="15">
        <v>0.78</v>
      </c>
      <c r="V23" s="15">
        <v>0.65</v>
      </c>
      <c r="W23" s="15">
        <v>0.92</v>
      </c>
      <c r="X23" s="15">
        <v>0.65</v>
      </c>
      <c r="Y23" s="15">
        <v>0.69000000000000006</v>
      </c>
      <c r="Z23" s="15">
        <v>0.66</v>
      </c>
      <c r="AA23" s="15">
        <v>0.69000000000000006</v>
      </c>
      <c r="AB23" s="15">
        <v>0.69000000000000006</v>
      </c>
      <c r="AC23" s="15">
        <v>0.6</v>
      </c>
      <c r="AD23" s="15">
        <v>0.82000000000000006</v>
      </c>
      <c r="AE23" s="15">
        <v>0.59</v>
      </c>
      <c r="AF23" s="15">
        <v>0.73</v>
      </c>
    </row>
    <row r="24" spans="1:32" x14ac:dyDescent="0.35">
      <c r="A24" s="19"/>
      <c r="B24" s="11" t="s">
        <v>1058</v>
      </c>
      <c r="C24" s="12">
        <v>7998</v>
      </c>
      <c r="D24" s="12">
        <v>282</v>
      </c>
      <c r="E24" s="12">
        <v>296</v>
      </c>
      <c r="F24" s="12">
        <v>428</v>
      </c>
      <c r="G24" s="12">
        <v>343</v>
      </c>
      <c r="H24" s="12">
        <v>450</v>
      </c>
      <c r="I24" s="12">
        <v>570</v>
      </c>
      <c r="J24" s="12">
        <v>120</v>
      </c>
      <c r="K24" s="12">
        <v>401</v>
      </c>
      <c r="L24" s="12">
        <v>311</v>
      </c>
      <c r="M24" s="12">
        <v>205</v>
      </c>
      <c r="N24" s="12">
        <v>252</v>
      </c>
      <c r="O24" s="12">
        <v>327</v>
      </c>
      <c r="P24" s="12">
        <v>314</v>
      </c>
      <c r="Q24" s="12">
        <v>204</v>
      </c>
      <c r="R24" s="12">
        <v>37</v>
      </c>
      <c r="S24" s="12">
        <v>318</v>
      </c>
      <c r="T24" s="12">
        <v>315</v>
      </c>
      <c r="U24" s="12">
        <v>112</v>
      </c>
      <c r="V24" s="12">
        <v>349</v>
      </c>
      <c r="W24" s="12">
        <v>43</v>
      </c>
      <c r="X24" s="12">
        <v>348</v>
      </c>
      <c r="Y24" s="12">
        <v>312</v>
      </c>
      <c r="Z24" s="12">
        <v>333</v>
      </c>
      <c r="AA24" s="12">
        <v>304</v>
      </c>
      <c r="AB24" s="12">
        <v>315</v>
      </c>
      <c r="AC24" s="12">
        <v>402</v>
      </c>
      <c r="AD24" s="12">
        <v>178</v>
      </c>
      <c r="AE24" s="12">
        <v>403</v>
      </c>
      <c r="AF24" s="12">
        <v>263</v>
      </c>
    </row>
    <row r="25" spans="1:32" x14ac:dyDescent="0.35">
      <c r="A25" s="19"/>
      <c r="B25" s="13" t="s">
        <v>1059</v>
      </c>
      <c r="C25" s="15">
        <v>0.3</v>
      </c>
      <c r="D25" s="15">
        <v>0.28000000000000003</v>
      </c>
      <c r="E25" s="15">
        <v>0.28999999999999998</v>
      </c>
      <c r="F25" s="15">
        <v>0.38</v>
      </c>
      <c r="G25" s="15">
        <v>0.34</v>
      </c>
      <c r="H25" s="15">
        <v>0.37</v>
      </c>
      <c r="I25" s="15">
        <v>0.37</v>
      </c>
      <c r="J25" s="15">
        <v>0.41</v>
      </c>
      <c r="K25" s="15">
        <v>0.4</v>
      </c>
      <c r="L25" s="15">
        <v>0.31</v>
      </c>
      <c r="M25" s="15">
        <v>0.2</v>
      </c>
      <c r="N25" s="15">
        <v>0.25</v>
      </c>
      <c r="O25" s="15">
        <v>0.33</v>
      </c>
      <c r="P25" s="15">
        <v>0.31</v>
      </c>
      <c r="Q25" s="15">
        <v>0.19</v>
      </c>
      <c r="R25" s="15">
        <v>7.0000000000000007E-2</v>
      </c>
      <c r="S25" s="15">
        <v>0.32</v>
      </c>
      <c r="T25" s="15">
        <v>0.31</v>
      </c>
      <c r="U25" s="15">
        <v>0.22</v>
      </c>
      <c r="V25" s="15">
        <v>0.34</v>
      </c>
      <c r="W25" s="15">
        <v>0.08</v>
      </c>
      <c r="X25" s="15">
        <v>0.35</v>
      </c>
      <c r="Y25" s="15">
        <v>0.31</v>
      </c>
      <c r="Z25" s="15">
        <v>0.33</v>
      </c>
      <c r="AA25" s="15">
        <v>0.3</v>
      </c>
      <c r="AB25" s="15">
        <v>0.3</v>
      </c>
      <c r="AC25" s="15">
        <v>0.4</v>
      </c>
      <c r="AD25" s="15">
        <v>0.17</v>
      </c>
      <c r="AE25" s="15">
        <v>0.4</v>
      </c>
      <c r="AF25" s="15">
        <v>0.26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3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217</v>
      </c>
      <c r="C3" s="18"/>
      <c r="D3" s="18"/>
      <c r="E3" s="18"/>
      <c r="F3" s="18"/>
      <c r="H3" s="18" t="s">
        <v>218</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HYPERLINK("#Content!A111","&lt;&lt;Back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19"/>
      <c r="B12" s="11" t="s">
        <v>1068</v>
      </c>
      <c r="C12" s="12">
        <v>6560</v>
      </c>
      <c r="D12" s="12">
        <v>257</v>
      </c>
      <c r="E12" s="12">
        <v>212</v>
      </c>
      <c r="F12" s="12">
        <v>290</v>
      </c>
      <c r="G12" s="12">
        <v>330</v>
      </c>
      <c r="H12" s="12">
        <v>396</v>
      </c>
      <c r="I12" s="12">
        <v>505</v>
      </c>
      <c r="J12" s="12">
        <v>109</v>
      </c>
      <c r="K12" s="12">
        <v>151</v>
      </c>
      <c r="L12" s="12">
        <v>184</v>
      </c>
      <c r="M12" s="12">
        <v>230</v>
      </c>
      <c r="N12" s="12">
        <v>208</v>
      </c>
      <c r="O12" s="12">
        <v>309</v>
      </c>
      <c r="P12" s="12">
        <v>212</v>
      </c>
      <c r="Q12" s="12">
        <v>206</v>
      </c>
      <c r="R12" s="12">
        <v>152</v>
      </c>
      <c r="S12" s="12">
        <v>236</v>
      </c>
      <c r="T12" s="12">
        <v>227</v>
      </c>
      <c r="U12" s="12">
        <v>169</v>
      </c>
      <c r="V12" s="12">
        <v>144</v>
      </c>
      <c r="W12" s="12">
        <v>110</v>
      </c>
      <c r="X12" s="12">
        <v>262</v>
      </c>
      <c r="Y12" s="12">
        <v>178</v>
      </c>
      <c r="Z12" s="12">
        <v>211</v>
      </c>
      <c r="AA12" s="12">
        <v>194</v>
      </c>
      <c r="AB12" s="12">
        <v>132</v>
      </c>
      <c r="AC12" s="12">
        <v>296</v>
      </c>
      <c r="AD12" s="12">
        <v>219</v>
      </c>
      <c r="AE12" s="12">
        <v>242</v>
      </c>
      <c r="AF12" s="12">
        <v>283</v>
      </c>
    </row>
    <row r="13" spans="1:32" ht="21.5" x14ac:dyDescent="0.35">
      <c r="A13" s="19"/>
      <c r="B13" s="13" t="s">
        <v>1069</v>
      </c>
      <c r="C13" s="15">
        <v>0.25</v>
      </c>
      <c r="D13" s="15">
        <v>0.25</v>
      </c>
      <c r="E13" s="15">
        <v>0.21</v>
      </c>
      <c r="F13" s="15">
        <v>0.26</v>
      </c>
      <c r="G13" s="15">
        <v>0.33</v>
      </c>
      <c r="H13" s="15">
        <v>0.32</v>
      </c>
      <c r="I13" s="15">
        <v>0.33</v>
      </c>
      <c r="J13" s="15">
        <v>0.37</v>
      </c>
      <c r="K13" s="15">
        <v>0.15</v>
      </c>
      <c r="L13" s="15">
        <v>0.18</v>
      </c>
      <c r="M13" s="15">
        <v>0.23</v>
      </c>
      <c r="N13" s="15">
        <v>0.21</v>
      </c>
      <c r="O13" s="15">
        <v>0.31</v>
      </c>
      <c r="P13" s="15">
        <v>0.21</v>
      </c>
      <c r="Q13" s="15">
        <v>0.2</v>
      </c>
      <c r="R13" s="15">
        <v>0.3</v>
      </c>
      <c r="S13" s="15">
        <v>0.24</v>
      </c>
      <c r="T13" s="15">
        <v>0.23</v>
      </c>
      <c r="U13" s="15">
        <v>0.34</v>
      </c>
      <c r="V13" s="15">
        <v>0.14000000000000001</v>
      </c>
      <c r="W13" s="15">
        <v>0.22</v>
      </c>
      <c r="X13" s="15">
        <v>0.26</v>
      </c>
      <c r="Y13" s="15">
        <v>0.18</v>
      </c>
      <c r="Z13" s="15">
        <v>0.2</v>
      </c>
      <c r="AA13" s="15">
        <v>0.19</v>
      </c>
      <c r="AB13" s="15">
        <v>0.13</v>
      </c>
      <c r="AC13" s="15">
        <v>0.3</v>
      </c>
      <c r="AD13" s="15">
        <v>0.22</v>
      </c>
      <c r="AE13" s="15">
        <v>0.24</v>
      </c>
      <c r="AF13" s="15">
        <v>0.27</v>
      </c>
    </row>
    <row r="14" spans="1:32" ht="41.5" x14ac:dyDescent="0.35">
      <c r="A14" s="19"/>
      <c r="B14" s="11" t="s">
        <v>1070</v>
      </c>
      <c r="C14" s="12">
        <v>6957</v>
      </c>
      <c r="D14" s="12">
        <v>171</v>
      </c>
      <c r="E14" s="12">
        <v>419</v>
      </c>
      <c r="F14" s="12">
        <v>394</v>
      </c>
      <c r="G14" s="12">
        <v>214</v>
      </c>
      <c r="H14" s="12">
        <v>364</v>
      </c>
      <c r="I14" s="12">
        <v>451</v>
      </c>
      <c r="J14" s="12">
        <v>88</v>
      </c>
      <c r="K14" s="12">
        <v>405</v>
      </c>
      <c r="L14" s="12">
        <v>383</v>
      </c>
      <c r="M14" s="12">
        <v>347</v>
      </c>
      <c r="N14" s="12">
        <v>321</v>
      </c>
      <c r="O14" s="12">
        <v>147</v>
      </c>
      <c r="P14" s="12">
        <v>305</v>
      </c>
      <c r="Q14" s="12">
        <v>210</v>
      </c>
      <c r="R14" s="12">
        <v>160</v>
      </c>
      <c r="S14" s="12">
        <v>376</v>
      </c>
      <c r="T14" s="12">
        <v>479</v>
      </c>
      <c r="U14" s="12">
        <v>153</v>
      </c>
      <c r="V14" s="12">
        <v>282</v>
      </c>
      <c r="W14" s="12">
        <v>95</v>
      </c>
      <c r="X14" s="12">
        <v>270</v>
      </c>
      <c r="Y14" s="12">
        <v>219</v>
      </c>
      <c r="Z14" s="12">
        <v>294</v>
      </c>
      <c r="AA14" s="12">
        <v>225</v>
      </c>
      <c r="AB14" s="12">
        <v>278</v>
      </c>
      <c r="AC14" s="12">
        <v>256</v>
      </c>
      <c r="AD14" s="12">
        <v>425</v>
      </c>
      <c r="AE14" s="12">
        <v>327</v>
      </c>
      <c r="AF14" s="12">
        <v>377</v>
      </c>
    </row>
    <row r="15" spans="1:32" ht="31.5" x14ac:dyDescent="0.35">
      <c r="A15" s="19"/>
      <c r="B15" s="13" t="s">
        <v>1071</v>
      </c>
      <c r="C15" s="15">
        <v>0.26</v>
      </c>
      <c r="D15" s="15">
        <v>0.17</v>
      </c>
      <c r="E15" s="15">
        <v>0.41</v>
      </c>
      <c r="F15" s="15">
        <v>0.36</v>
      </c>
      <c r="G15" s="15">
        <v>0.21</v>
      </c>
      <c r="H15" s="15">
        <v>0.3</v>
      </c>
      <c r="I15" s="15">
        <v>0.3</v>
      </c>
      <c r="J15" s="15">
        <v>0.3</v>
      </c>
      <c r="K15" s="15">
        <v>0.4</v>
      </c>
      <c r="L15" s="15">
        <v>0.38</v>
      </c>
      <c r="M15" s="15">
        <v>0.34</v>
      </c>
      <c r="N15" s="15">
        <v>0.32</v>
      </c>
      <c r="O15" s="15">
        <v>0.15</v>
      </c>
      <c r="P15" s="15">
        <v>0.3</v>
      </c>
      <c r="Q15" s="15">
        <v>0.21</v>
      </c>
      <c r="R15" s="15">
        <v>0.32</v>
      </c>
      <c r="S15" s="15">
        <v>0.37</v>
      </c>
      <c r="T15" s="15">
        <v>0.47</v>
      </c>
      <c r="U15" s="15">
        <v>0.31</v>
      </c>
      <c r="V15" s="15">
        <v>0.28000000000000003</v>
      </c>
      <c r="W15" s="15">
        <v>0.19</v>
      </c>
      <c r="X15" s="15">
        <v>0.27</v>
      </c>
      <c r="Y15" s="15">
        <v>0.22</v>
      </c>
      <c r="Z15" s="15">
        <v>0.28999999999999998</v>
      </c>
      <c r="AA15" s="15">
        <v>0.22</v>
      </c>
      <c r="AB15" s="15">
        <v>0.26</v>
      </c>
      <c r="AC15" s="15">
        <v>0.26</v>
      </c>
      <c r="AD15" s="15">
        <v>0.42</v>
      </c>
      <c r="AE15" s="15">
        <v>0.32</v>
      </c>
      <c r="AF15" s="15">
        <v>0.36</v>
      </c>
    </row>
    <row r="16" spans="1:32" x14ac:dyDescent="0.35">
      <c r="A16" s="19"/>
      <c r="B16" s="11" t="s">
        <v>1072</v>
      </c>
      <c r="C16" s="12">
        <v>2374</v>
      </c>
      <c r="D16" s="12">
        <v>151</v>
      </c>
      <c r="E16" s="12">
        <v>35</v>
      </c>
      <c r="F16" s="12">
        <v>33</v>
      </c>
      <c r="G16" s="12">
        <v>10</v>
      </c>
      <c r="H16" s="12">
        <v>145</v>
      </c>
      <c r="I16" s="12">
        <v>175</v>
      </c>
      <c r="J16" s="12">
        <v>29</v>
      </c>
      <c r="K16" s="12">
        <v>115</v>
      </c>
      <c r="L16" s="12">
        <v>140</v>
      </c>
      <c r="M16" s="12">
        <v>43</v>
      </c>
      <c r="N16" s="12">
        <v>68</v>
      </c>
      <c r="O16" s="12">
        <v>130</v>
      </c>
      <c r="P16" s="12">
        <v>67</v>
      </c>
      <c r="Q16" s="12">
        <v>91</v>
      </c>
      <c r="R16" s="12">
        <v>17</v>
      </c>
      <c r="S16" s="12">
        <v>73</v>
      </c>
      <c r="T16" s="12">
        <v>47</v>
      </c>
      <c r="U16" s="12">
        <v>54</v>
      </c>
      <c r="V16" s="12">
        <v>102</v>
      </c>
      <c r="W16" s="12">
        <v>67</v>
      </c>
      <c r="X16" s="12">
        <v>124</v>
      </c>
      <c r="Y16" s="12">
        <v>91</v>
      </c>
      <c r="Z16" s="12">
        <v>31</v>
      </c>
      <c r="AA16" s="12">
        <v>118</v>
      </c>
      <c r="AB16" s="12">
        <v>53</v>
      </c>
      <c r="AC16" s="12">
        <v>155</v>
      </c>
      <c r="AD16" s="12">
        <v>95</v>
      </c>
      <c r="AE16" s="12">
        <v>134</v>
      </c>
      <c r="AF16" s="12">
        <v>6</v>
      </c>
    </row>
    <row r="17" spans="1:32" x14ac:dyDescent="0.35">
      <c r="A17" s="19"/>
      <c r="B17" s="13" t="s">
        <v>1073</v>
      </c>
      <c r="C17" s="15">
        <v>0.09</v>
      </c>
      <c r="D17" s="15">
        <v>0.15</v>
      </c>
      <c r="E17" s="15">
        <v>0.03</v>
      </c>
      <c r="F17" s="15">
        <v>0.03</v>
      </c>
      <c r="G17" s="15">
        <v>0.01</v>
      </c>
      <c r="H17" s="15">
        <v>0.12</v>
      </c>
      <c r="I17" s="15">
        <v>0.12</v>
      </c>
      <c r="J17" s="15">
        <v>0.1</v>
      </c>
      <c r="K17" s="15">
        <v>0.12</v>
      </c>
      <c r="L17" s="15">
        <v>0.14000000000000001</v>
      </c>
      <c r="M17" s="15">
        <v>0.04</v>
      </c>
      <c r="N17" s="15">
        <v>7.0000000000000007E-2</v>
      </c>
      <c r="O17" s="15">
        <v>0.13</v>
      </c>
      <c r="P17" s="15">
        <v>7.0000000000000007E-2</v>
      </c>
      <c r="Q17" s="15">
        <v>0.09</v>
      </c>
      <c r="R17" s="15">
        <v>0.03</v>
      </c>
      <c r="S17" s="15">
        <v>7.0000000000000007E-2</v>
      </c>
      <c r="T17" s="15">
        <v>0.05</v>
      </c>
      <c r="U17" s="15">
        <v>0.11</v>
      </c>
      <c r="V17" s="15">
        <v>0.1</v>
      </c>
      <c r="W17" s="15">
        <v>0.13</v>
      </c>
      <c r="X17" s="15">
        <v>0.12</v>
      </c>
      <c r="Y17" s="15">
        <v>0.09</v>
      </c>
      <c r="Z17" s="15">
        <v>0.03</v>
      </c>
      <c r="AA17" s="15">
        <v>0.11</v>
      </c>
      <c r="AB17" s="15">
        <v>0.05</v>
      </c>
      <c r="AC17" s="15">
        <v>0.15</v>
      </c>
      <c r="AD17" s="15">
        <v>0.09</v>
      </c>
      <c r="AE17" s="15">
        <v>0.13</v>
      </c>
      <c r="AF17" s="15">
        <v>0.01</v>
      </c>
    </row>
    <row r="18" spans="1:32" ht="21.5" x14ac:dyDescent="0.35">
      <c r="A18" s="19"/>
      <c r="B18" s="11" t="s">
        <v>1074</v>
      </c>
      <c r="C18" s="12">
        <v>1964</v>
      </c>
      <c r="D18" s="12">
        <v>74</v>
      </c>
      <c r="E18" s="12">
        <v>66</v>
      </c>
      <c r="F18" s="12">
        <v>87</v>
      </c>
      <c r="G18" s="12">
        <v>87</v>
      </c>
      <c r="H18" s="12">
        <v>82</v>
      </c>
      <c r="I18" s="12">
        <v>98</v>
      </c>
      <c r="J18" s="12">
        <v>16</v>
      </c>
      <c r="K18" s="12">
        <v>39</v>
      </c>
      <c r="L18" s="12">
        <v>50</v>
      </c>
      <c r="M18" s="12">
        <v>104</v>
      </c>
      <c r="N18" s="12">
        <v>64</v>
      </c>
      <c r="O18" s="12">
        <v>51</v>
      </c>
      <c r="P18" s="12">
        <v>63</v>
      </c>
      <c r="Q18" s="12">
        <v>117</v>
      </c>
      <c r="R18" s="12">
        <v>23</v>
      </c>
      <c r="S18" s="12">
        <v>45</v>
      </c>
      <c r="T18" s="12">
        <v>50</v>
      </c>
      <c r="U18" s="12">
        <v>31</v>
      </c>
      <c r="V18" s="12">
        <v>73</v>
      </c>
      <c r="W18" s="12">
        <v>24</v>
      </c>
      <c r="X18" s="12">
        <v>54</v>
      </c>
      <c r="Y18" s="12">
        <v>66</v>
      </c>
      <c r="Z18" s="12">
        <v>115</v>
      </c>
      <c r="AA18" s="12">
        <v>67</v>
      </c>
      <c r="AB18" s="12">
        <v>85</v>
      </c>
      <c r="AC18" s="12">
        <v>55</v>
      </c>
      <c r="AD18" s="12">
        <v>76</v>
      </c>
      <c r="AE18" s="12">
        <v>32</v>
      </c>
      <c r="AF18" s="12">
        <v>63</v>
      </c>
    </row>
    <row r="19" spans="1:32" ht="21.5" x14ac:dyDescent="0.35">
      <c r="A19" s="19"/>
      <c r="B19" s="13" t="s">
        <v>1075</v>
      </c>
      <c r="C19" s="15">
        <v>7.0000000000000007E-2</v>
      </c>
      <c r="D19" s="15">
        <v>7.0000000000000007E-2</v>
      </c>
      <c r="E19" s="15">
        <v>0.06</v>
      </c>
      <c r="F19" s="15">
        <v>0.08</v>
      </c>
      <c r="G19" s="15">
        <v>0.09</v>
      </c>
      <c r="H19" s="15">
        <v>7.0000000000000007E-2</v>
      </c>
      <c r="I19" s="15">
        <v>7.0000000000000007E-2</v>
      </c>
      <c r="J19" s="15">
        <v>0.05</v>
      </c>
      <c r="K19" s="15">
        <v>0.04</v>
      </c>
      <c r="L19" s="15">
        <v>0.05</v>
      </c>
      <c r="M19" s="15">
        <v>0.1</v>
      </c>
      <c r="N19" s="15">
        <v>7.0000000000000007E-2</v>
      </c>
      <c r="O19" s="15">
        <v>0.05</v>
      </c>
      <c r="P19" s="15">
        <v>0.06</v>
      </c>
      <c r="Q19" s="15">
        <v>0.11</v>
      </c>
      <c r="R19" s="15">
        <v>0.05</v>
      </c>
      <c r="S19" s="15">
        <v>0.05</v>
      </c>
      <c r="T19" s="15">
        <v>0.05</v>
      </c>
      <c r="U19" s="15">
        <v>0.06</v>
      </c>
      <c r="V19" s="15">
        <v>7.0000000000000007E-2</v>
      </c>
      <c r="W19" s="15">
        <v>0.05</v>
      </c>
      <c r="X19" s="15">
        <v>0.05</v>
      </c>
      <c r="Y19" s="15">
        <v>7.0000000000000007E-2</v>
      </c>
      <c r="Z19" s="15">
        <v>0.11</v>
      </c>
      <c r="AA19" s="15">
        <v>0.06</v>
      </c>
      <c r="AB19" s="15">
        <v>0.08</v>
      </c>
      <c r="AC19" s="15">
        <v>0.05</v>
      </c>
      <c r="AD19" s="15">
        <v>0.08</v>
      </c>
      <c r="AE19" s="15">
        <v>0.03</v>
      </c>
      <c r="AF19" s="15">
        <v>0.06</v>
      </c>
    </row>
    <row r="20" spans="1:32" ht="31.5" x14ac:dyDescent="0.35">
      <c r="A20" s="19"/>
      <c r="B20" s="11" t="s">
        <v>1076</v>
      </c>
      <c r="C20" s="12">
        <v>1333</v>
      </c>
      <c r="D20" s="12">
        <v>51</v>
      </c>
      <c r="E20" s="12">
        <v>37</v>
      </c>
      <c r="F20" s="12">
        <v>41</v>
      </c>
      <c r="G20" s="12">
        <v>16</v>
      </c>
      <c r="H20" s="12">
        <v>43</v>
      </c>
      <c r="I20" s="12">
        <v>48</v>
      </c>
      <c r="J20" s="12">
        <v>5</v>
      </c>
      <c r="K20" s="12">
        <v>85</v>
      </c>
      <c r="L20" s="12">
        <v>20</v>
      </c>
      <c r="M20" s="12">
        <v>73</v>
      </c>
      <c r="N20" s="12">
        <v>32</v>
      </c>
      <c r="O20" s="12">
        <v>71</v>
      </c>
      <c r="P20" s="12">
        <v>89</v>
      </c>
      <c r="Q20" s="12">
        <v>82</v>
      </c>
      <c r="R20" s="12">
        <v>24</v>
      </c>
      <c r="S20" s="12">
        <v>86</v>
      </c>
      <c r="T20" s="12">
        <v>37</v>
      </c>
      <c r="U20" s="12">
        <v>15</v>
      </c>
      <c r="V20" s="12">
        <v>90</v>
      </c>
      <c r="W20" s="12">
        <v>60</v>
      </c>
      <c r="X20" s="12">
        <v>24</v>
      </c>
      <c r="Y20" s="12">
        <v>38</v>
      </c>
      <c r="Z20" s="12">
        <v>56</v>
      </c>
      <c r="AA20" s="12">
        <v>47</v>
      </c>
      <c r="AB20" s="12">
        <v>57</v>
      </c>
      <c r="AC20" s="12">
        <v>57</v>
      </c>
      <c r="AD20" s="12">
        <v>14</v>
      </c>
      <c r="AE20" s="12">
        <v>13</v>
      </c>
      <c r="AF20" s="12">
        <v>44</v>
      </c>
    </row>
    <row r="21" spans="1:32" ht="31.5" x14ac:dyDescent="0.35">
      <c r="A21" s="19"/>
      <c r="B21" s="13" t="s">
        <v>1077</v>
      </c>
      <c r="C21" s="15">
        <v>0.05</v>
      </c>
      <c r="D21" s="15">
        <v>0.05</v>
      </c>
      <c r="E21" s="15">
        <v>0.04</v>
      </c>
      <c r="F21" s="15">
        <v>0.04</v>
      </c>
      <c r="G21" s="15">
        <v>0.02</v>
      </c>
      <c r="H21" s="15">
        <v>0.04</v>
      </c>
      <c r="I21" s="15">
        <v>0.03</v>
      </c>
      <c r="J21" s="15">
        <v>0.02</v>
      </c>
      <c r="K21" s="15">
        <v>0.09</v>
      </c>
      <c r="L21" s="15">
        <v>0.02</v>
      </c>
      <c r="M21" s="15">
        <v>7.0000000000000007E-2</v>
      </c>
      <c r="N21" s="15">
        <v>0.03</v>
      </c>
      <c r="O21" s="15">
        <v>7.0000000000000007E-2</v>
      </c>
      <c r="P21" s="15">
        <v>0.09</v>
      </c>
      <c r="Q21" s="15">
        <v>0.08</v>
      </c>
      <c r="R21" s="15">
        <v>0.05</v>
      </c>
      <c r="S21" s="15">
        <v>0.09</v>
      </c>
      <c r="T21" s="15">
        <v>0.04</v>
      </c>
      <c r="U21" s="15">
        <v>0.03</v>
      </c>
      <c r="V21" s="15">
        <v>0.09</v>
      </c>
      <c r="W21" s="15">
        <v>0.12</v>
      </c>
      <c r="X21" s="15">
        <v>0.03</v>
      </c>
      <c r="Y21" s="15">
        <v>0.04</v>
      </c>
      <c r="Z21" s="15">
        <v>0.05</v>
      </c>
      <c r="AA21" s="15">
        <v>0.05</v>
      </c>
      <c r="AB21" s="15">
        <v>0.05</v>
      </c>
      <c r="AC21" s="15">
        <v>0.06</v>
      </c>
      <c r="AD21" s="15">
        <v>0.01</v>
      </c>
      <c r="AE21" s="15">
        <v>0.01</v>
      </c>
      <c r="AF21" s="15">
        <v>0.04</v>
      </c>
    </row>
    <row r="22" spans="1:32" ht="21.5" x14ac:dyDescent="0.35">
      <c r="A22" s="19"/>
      <c r="B22" s="11" t="s">
        <v>1078</v>
      </c>
      <c r="C22" s="12">
        <v>653</v>
      </c>
      <c r="D22" s="12">
        <v>39</v>
      </c>
      <c r="E22" s="12">
        <v>20</v>
      </c>
      <c r="F22" s="12">
        <v>22</v>
      </c>
      <c r="G22" s="12">
        <v>21</v>
      </c>
      <c r="H22" s="12">
        <v>13</v>
      </c>
      <c r="I22" s="12">
        <v>15</v>
      </c>
      <c r="J22" s="12">
        <v>2</v>
      </c>
      <c r="K22" s="12">
        <v>10</v>
      </c>
      <c r="L22" s="12">
        <v>35</v>
      </c>
      <c r="M22" s="12">
        <v>5</v>
      </c>
      <c r="N22" s="12">
        <v>22</v>
      </c>
      <c r="O22" s="12">
        <v>30</v>
      </c>
      <c r="P22" s="12">
        <v>26</v>
      </c>
      <c r="Q22" s="12">
        <v>24</v>
      </c>
      <c r="R22" s="12">
        <v>4</v>
      </c>
      <c r="S22" s="12">
        <v>17</v>
      </c>
      <c r="T22" s="12">
        <v>15</v>
      </c>
      <c r="U22" s="12">
        <v>5</v>
      </c>
      <c r="V22" s="12">
        <v>37</v>
      </c>
      <c r="W22" s="12">
        <v>2</v>
      </c>
      <c r="X22" s="12">
        <v>18</v>
      </c>
      <c r="Y22" s="12">
        <v>33</v>
      </c>
      <c r="Z22" s="12">
        <v>57</v>
      </c>
      <c r="AA22" s="12">
        <v>20</v>
      </c>
      <c r="AB22" s="12">
        <v>53</v>
      </c>
      <c r="AC22" s="12">
        <v>21</v>
      </c>
      <c r="AD22" s="12">
        <v>15</v>
      </c>
      <c r="AE22" s="12">
        <v>18</v>
      </c>
      <c r="AF22" s="12">
        <v>9</v>
      </c>
    </row>
    <row r="23" spans="1:32" ht="21.5" x14ac:dyDescent="0.35">
      <c r="A23" s="19"/>
      <c r="B23" s="13" t="s">
        <v>1079</v>
      </c>
      <c r="C23" s="15">
        <v>0.03</v>
      </c>
      <c r="D23" s="15">
        <v>0.04</v>
      </c>
      <c r="E23" s="15">
        <v>0.02</v>
      </c>
      <c r="F23" s="15">
        <v>0.02</v>
      </c>
      <c r="G23" s="15">
        <v>0.02</v>
      </c>
      <c r="H23" s="15">
        <v>0.01</v>
      </c>
      <c r="I23" s="15">
        <v>0.01</v>
      </c>
      <c r="J23" s="14" t="s">
        <v>475</v>
      </c>
      <c r="K23" s="15">
        <v>0.01</v>
      </c>
      <c r="L23" s="15">
        <v>0.04</v>
      </c>
      <c r="M23" s="15">
        <v>0.01</v>
      </c>
      <c r="N23" s="15">
        <v>0.02</v>
      </c>
      <c r="O23" s="15">
        <v>0.03</v>
      </c>
      <c r="P23" s="15">
        <v>0.03</v>
      </c>
      <c r="Q23" s="15">
        <v>0.02</v>
      </c>
      <c r="R23" s="15">
        <v>0.01</v>
      </c>
      <c r="S23" s="15">
        <v>0.02</v>
      </c>
      <c r="T23" s="15">
        <v>0.01</v>
      </c>
      <c r="U23" s="15">
        <v>0.01</v>
      </c>
      <c r="V23" s="15">
        <v>0.04</v>
      </c>
      <c r="W23" s="14" t="s">
        <v>475</v>
      </c>
      <c r="X23" s="15">
        <v>0.02</v>
      </c>
      <c r="Y23" s="15">
        <v>0.03</v>
      </c>
      <c r="Z23" s="15">
        <v>0.06</v>
      </c>
      <c r="AA23" s="15">
        <v>0.02</v>
      </c>
      <c r="AB23" s="15">
        <v>0.05</v>
      </c>
      <c r="AC23" s="15">
        <v>0.02</v>
      </c>
      <c r="AD23" s="15">
        <v>0.02</v>
      </c>
      <c r="AE23" s="15">
        <v>0.02</v>
      </c>
      <c r="AF23" s="15">
        <v>0.01</v>
      </c>
    </row>
    <row r="24" spans="1:32" ht="31.5" x14ac:dyDescent="0.35">
      <c r="A24" s="19"/>
      <c r="B24" s="11" t="s">
        <v>1080</v>
      </c>
      <c r="C24" s="12">
        <v>1711</v>
      </c>
      <c r="D24" s="12">
        <v>61</v>
      </c>
      <c r="E24" s="12">
        <v>50</v>
      </c>
      <c r="F24" s="12">
        <v>67</v>
      </c>
      <c r="G24" s="12">
        <v>72</v>
      </c>
      <c r="H24" s="12">
        <v>34</v>
      </c>
      <c r="I24" s="12">
        <v>42</v>
      </c>
      <c r="J24" s="12">
        <v>8</v>
      </c>
      <c r="K24" s="12">
        <v>38</v>
      </c>
      <c r="L24" s="12">
        <v>83</v>
      </c>
      <c r="M24" s="12">
        <v>55</v>
      </c>
      <c r="N24" s="12">
        <v>81</v>
      </c>
      <c r="O24" s="12">
        <v>42</v>
      </c>
      <c r="P24" s="12">
        <v>63</v>
      </c>
      <c r="Q24" s="12">
        <v>73</v>
      </c>
      <c r="R24" s="12">
        <v>29</v>
      </c>
      <c r="S24" s="12">
        <v>44</v>
      </c>
      <c r="T24" s="12">
        <v>48</v>
      </c>
      <c r="U24" s="12">
        <v>22</v>
      </c>
      <c r="V24" s="12">
        <v>93</v>
      </c>
      <c r="W24" s="12">
        <v>29</v>
      </c>
      <c r="X24" s="12">
        <v>71</v>
      </c>
      <c r="Y24" s="12">
        <v>81</v>
      </c>
      <c r="Z24" s="12">
        <v>105</v>
      </c>
      <c r="AA24" s="12">
        <v>225</v>
      </c>
      <c r="AB24" s="12">
        <v>123</v>
      </c>
      <c r="AC24" s="12">
        <v>83</v>
      </c>
      <c r="AD24" s="12">
        <v>53</v>
      </c>
      <c r="AE24" s="12">
        <v>18</v>
      </c>
      <c r="AF24" s="12">
        <v>24</v>
      </c>
    </row>
    <row r="25" spans="1:32" ht="21.5" x14ac:dyDescent="0.35">
      <c r="A25" s="19"/>
      <c r="B25" s="13" t="s">
        <v>1081</v>
      </c>
      <c r="C25" s="15">
        <v>7.0000000000000007E-2</v>
      </c>
      <c r="D25" s="15">
        <v>0.06</v>
      </c>
      <c r="E25" s="15">
        <v>0.05</v>
      </c>
      <c r="F25" s="15">
        <v>0.06</v>
      </c>
      <c r="G25" s="15">
        <v>7.0000000000000007E-2</v>
      </c>
      <c r="H25" s="15">
        <v>0.03</v>
      </c>
      <c r="I25" s="15">
        <v>0.03</v>
      </c>
      <c r="J25" s="15">
        <v>0.03</v>
      </c>
      <c r="K25" s="15">
        <v>0.04</v>
      </c>
      <c r="L25" s="15">
        <v>0.08</v>
      </c>
      <c r="M25" s="15">
        <v>0.06</v>
      </c>
      <c r="N25" s="15">
        <v>0.08</v>
      </c>
      <c r="O25" s="15">
        <v>0.04</v>
      </c>
      <c r="P25" s="15">
        <v>0.06</v>
      </c>
      <c r="Q25" s="15">
        <v>7.0000000000000007E-2</v>
      </c>
      <c r="R25" s="15">
        <v>0.06</v>
      </c>
      <c r="S25" s="15">
        <v>0.04</v>
      </c>
      <c r="T25" s="15">
        <v>0.05</v>
      </c>
      <c r="U25" s="15">
        <v>0.04</v>
      </c>
      <c r="V25" s="15">
        <v>0.09</v>
      </c>
      <c r="W25" s="15">
        <v>0.06</v>
      </c>
      <c r="X25" s="15">
        <v>7.0000000000000007E-2</v>
      </c>
      <c r="Y25" s="15">
        <v>0.08</v>
      </c>
      <c r="Z25" s="15">
        <v>0.1</v>
      </c>
      <c r="AA25" s="15">
        <v>0.22</v>
      </c>
      <c r="AB25" s="15">
        <v>0.12</v>
      </c>
      <c r="AC25" s="15">
        <v>0.08</v>
      </c>
      <c r="AD25" s="15">
        <v>0.05</v>
      </c>
      <c r="AE25" s="15">
        <v>0.02</v>
      </c>
      <c r="AF25" s="15">
        <v>0.02</v>
      </c>
    </row>
    <row r="26" spans="1:32" ht="41.5" x14ac:dyDescent="0.35">
      <c r="A26" s="19"/>
      <c r="B26" s="11" t="s">
        <v>1082</v>
      </c>
      <c r="C26" s="12">
        <v>1390</v>
      </c>
      <c r="D26" s="12">
        <v>59</v>
      </c>
      <c r="E26" s="12">
        <v>39</v>
      </c>
      <c r="F26" s="12">
        <v>36</v>
      </c>
      <c r="G26" s="12">
        <v>82</v>
      </c>
      <c r="H26" s="12">
        <v>43</v>
      </c>
      <c r="I26" s="12">
        <v>51</v>
      </c>
      <c r="J26" s="12">
        <v>8</v>
      </c>
      <c r="K26" s="12">
        <v>43</v>
      </c>
      <c r="L26" s="12">
        <v>19</v>
      </c>
      <c r="M26" s="12">
        <v>95</v>
      </c>
      <c r="N26" s="12">
        <v>69</v>
      </c>
      <c r="O26" s="12">
        <v>43</v>
      </c>
      <c r="P26" s="12">
        <v>57</v>
      </c>
      <c r="Q26" s="12">
        <v>67</v>
      </c>
      <c r="R26" s="12">
        <v>7</v>
      </c>
      <c r="S26" s="12">
        <v>17</v>
      </c>
      <c r="T26" s="12">
        <v>13</v>
      </c>
      <c r="U26" s="12">
        <v>16</v>
      </c>
      <c r="V26" s="12">
        <v>74</v>
      </c>
      <c r="W26" s="12">
        <v>33</v>
      </c>
      <c r="X26" s="12">
        <v>58</v>
      </c>
      <c r="Y26" s="12">
        <v>58</v>
      </c>
      <c r="Z26" s="12">
        <v>46</v>
      </c>
      <c r="AA26" s="12">
        <v>40</v>
      </c>
      <c r="AB26" s="12">
        <v>103</v>
      </c>
      <c r="AC26" s="12">
        <v>15</v>
      </c>
      <c r="AD26" s="12">
        <v>22</v>
      </c>
      <c r="AE26" s="12">
        <v>69</v>
      </c>
      <c r="AF26" s="12">
        <v>71</v>
      </c>
    </row>
    <row r="27" spans="1:32" ht="31.5" x14ac:dyDescent="0.35">
      <c r="A27" s="19"/>
      <c r="B27" s="13" t="s">
        <v>1083</v>
      </c>
      <c r="C27" s="15">
        <v>0.05</v>
      </c>
      <c r="D27" s="15">
        <v>0.06</v>
      </c>
      <c r="E27" s="15">
        <v>0.04</v>
      </c>
      <c r="F27" s="15">
        <v>0.03</v>
      </c>
      <c r="G27" s="15">
        <v>0.08</v>
      </c>
      <c r="H27" s="15">
        <v>0.03</v>
      </c>
      <c r="I27" s="15">
        <v>0.03</v>
      </c>
      <c r="J27" s="15">
        <v>0.03</v>
      </c>
      <c r="K27" s="15">
        <v>0.04</v>
      </c>
      <c r="L27" s="15">
        <v>0.02</v>
      </c>
      <c r="M27" s="15">
        <v>0.09</v>
      </c>
      <c r="N27" s="15">
        <v>7.0000000000000007E-2</v>
      </c>
      <c r="O27" s="15">
        <v>0.04</v>
      </c>
      <c r="P27" s="15">
        <v>0.06</v>
      </c>
      <c r="Q27" s="15">
        <v>7.0000000000000007E-2</v>
      </c>
      <c r="R27" s="15">
        <v>0.01</v>
      </c>
      <c r="S27" s="15">
        <v>0.02</v>
      </c>
      <c r="T27" s="15">
        <v>0.01</v>
      </c>
      <c r="U27" s="15">
        <v>0.03</v>
      </c>
      <c r="V27" s="15">
        <v>7.0000000000000007E-2</v>
      </c>
      <c r="W27" s="15">
        <v>0.06</v>
      </c>
      <c r="X27" s="15">
        <v>0.06</v>
      </c>
      <c r="Y27" s="15">
        <v>0.06</v>
      </c>
      <c r="Z27" s="15">
        <v>0.04</v>
      </c>
      <c r="AA27" s="15">
        <v>0.04</v>
      </c>
      <c r="AB27" s="15">
        <v>0.1</v>
      </c>
      <c r="AC27" s="15">
        <v>0.02</v>
      </c>
      <c r="AD27" s="15">
        <v>0.02</v>
      </c>
      <c r="AE27" s="15">
        <v>7.0000000000000007E-2</v>
      </c>
      <c r="AF27" s="15">
        <v>7.0000000000000007E-2</v>
      </c>
    </row>
    <row r="28" spans="1:32" ht="41.5" x14ac:dyDescent="0.35">
      <c r="A28" s="19"/>
      <c r="B28" s="11" t="s">
        <v>1084</v>
      </c>
      <c r="C28" s="12">
        <v>947</v>
      </c>
      <c r="D28" s="12">
        <v>50</v>
      </c>
      <c r="E28" s="12">
        <v>54</v>
      </c>
      <c r="F28" s="12">
        <v>29</v>
      </c>
      <c r="G28" s="12">
        <v>35</v>
      </c>
      <c r="H28" s="12">
        <v>7</v>
      </c>
      <c r="I28" s="12">
        <v>17</v>
      </c>
      <c r="J28" s="12">
        <v>10</v>
      </c>
      <c r="K28" s="12">
        <v>41</v>
      </c>
      <c r="L28" s="12">
        <v>21</v>
      </c>
      <c r="M28" s="12">
        <v>12</v>
      </c>
      <c r="N28" s="12">
        <v>38</v>
      </c>
      <c r="O28" s="12">
        <v>39</v>
      </c>
      <c r="P28" s="12">
        <v>61</v>
      </c>
      <c r="Q28" s="12">
        <v>44</v>
      </c>
      <c r="R28" s="12">
        <v>12</v>
      </c>
      <c r="S28" s="12">
        <v>39</v>
      </c>
      <c r="T28" s="12">
        <v>36</v>
      </c>
      <c r="U28" s="12">
        <v>17</v>
      </c>
      <c r="V28" s="12">
        <v>42</v>
      </c>
      <c r="W28" s="12">
        <v>39</v>
      </c>
      <c r="X28" s="12">
        <v>40</v>
      </c>
      <c r="Y28" s="12">
        <v>95</v>
      </c>
      <c r="Z28" s="12">
        <v>48</v>
      </c>
      <c r="AA28" s="12">
        <v>17</v>
      </c>
      <c r="AB28" s="12">
        <v>87</v>
      </c>
      <c r="AC28" s="12">
        <v>21</v>
      </c>
      <c r="AD28" s="12">
        <v>36</v>
      </c>
      <c r="AE28" s="12">
        <v>29</v>
      </c>
      <c r="AF28" s="12">
        <v>12</v>
      </c>
    </row>
    <row r="29" spans="1:32" ht="31.5" x14ac:dyDescent="0.35">
      <c r="A29" s="19"/>
      <c r="B29" s="13" t="s">
        <v>1085</v>
      </c>
      <c r="C29" s="15">
        <v>0.04</v>
      </c>
      <c r="D29" s="15">
        <v>0.05</v>
      </c>
      <c r="E29" s="15">
        <v>0.05</v>
      </c>
      <c r="F29" s="15">
        <v>0.03</v>
      </c>
      <c r="G29" s="15">
        <v>0.03</v>
      </c>
      <c r="H29" s="15">
        <v>0.01</v>
      </c>
      <c r="I29" s="15">
        <v>0.01</v>
      </c>
      <c r="J29" s="15">
        <v>0.03</v>
      </c>
      <c r="K29" s="15">
        <v>0.04</v>
      </c>
      <c r="L29" s="15">
        <v>0.02</v>
      </c>
      <c r="M29" s="15">
        <v>0.01</v>
      </c>
      <c r="N29" s="15">
        <v>0.04</v>
      </c>
      <c r="O29" s="15">
        <v>0.04</v>
      </c>
      <c r="P29" s="15">
        <v>0.06</v>
      </c>
      <c r="Q29" s="15">
        <v>0.04</v>
      </c>
      <c r="R29" s="15">
        <v>0.02</v>
      </c>
      <c r="S29" s="15">
        <v>0.04</v>
      </c>
      <c r="T29" s="15">
        <v>0.03</v>
      </c>
      <c r="U29" s="15">
        <v>0.03</v>
      </c>
      <c r="V29" s="15">
        <v>0.04</v>
      </c>
      <c r="W29" s="15">
        <v>0.08</v>
      </c>
      <c r="X29" s="15">
        <v>0.04</v>
      </c>
      <c r="Y29" s="15">
        <v>0.09</v>
      </c>
      <c r="Z29" s="15">
        <v>0.05</v>
      </c>
      <c r="AA29" s="15">
        <v>0.02</v>
      </c>
      <c r="AB29" s="15">
        <v>0.08</v>
      </c>
      <c r="AC29" s="15">
        <v>0.02</v>
      </c>
      <c r="AD29" s="15">
        <v>0.04</v>
      </c>
      <c r="AE29" s="15">
        <v>0.03</v>
      </c>
      <c r="AF29" s="15">
        <v>0.01</v>
      </c>
    </row>
    <row r="30" spans="1:32" ht="21.5" x14ac:dyDescent="0.35">
      <c r="A30" s="19"/>
      <c r="B30" s="11" t="s">
        <v>1086</v>
      </c>
      <c r="C30" s="12">
        <v>588</v>
      </c>
      <c r="D30" s="12">
        <v>26</v>
      </c>
      <c r="E30" s="12">
        <v>12</v>
      </c>
      <c r="F30" s="12">
        <v>23</v>
      </c>
      <c r="G30" s="12">
        <v>31</v>
      </c>
      <c r="H30" s="12">
        <v>21</v>
      </c>
      <c r="I30" s="12">
        <v>24</v>
      </c>
      <c r="J30" s="12">
        <v>3</v>
      </c>
      <c r="K30" s="12">
        <v>8</v>
      </c>
      <c r="L30" s="12">
        <v>16</v>
      </c>
      <c r="M30" s="12">
        <v>6</v>
      </c>
      <c r="N30" s="12">
        <v>11</v>
      </c>
      <c r="O30" s="12">
        <v>40</v>
      </c>
      <c r="P30" s="12">
        <v>26</v>
      </c>
      <c r="Q30" s="12">
        <v>25</v>
      </c>
      <c r="R30" s="12">
        <v>12</v>
      </c>
      <c r="S30" s="12">
        <v>18</v>
      </c>
      <c r="T30" s="12">
        <v>7</v>
      </c>
      <c r="U30" s="12">
        <v>1</v>
      </c>
      <c r="V30" s="12">
        <v>20</v>
      </c>
      <c r="W30" s="12">
        <v>21</v>
      </c>
      <c r="X30" s="12">
        <v>23</v>
      </c>
      <c r="Y30" s="12">
        <v>14</v>
      </c>
      <c r="Z30" s="12">
        <v>27</v>
      </c>
      <c r="AA30" s="12">
        <v>12</v>
      </c>
      <c r="AB30" s="12">
        <v>29</v>
      </c>
      <c r="AC30" s="12">
        <v>9</v>
      </c>
      <c r="AD30" s="12">
        <v>15</v>
      </c>
      <c r="AE30" s="12">
        <v>17</v>
      </c>
      <c r="AF30" s="12">
        <v>36</v>
      </c>
    </row>
    <row r="31" spans="1:32" ht="21.5" x14ac:dyDescent="0.35">
      <c r="A31" s="19"/>
      <c r="B31" s="13" t="s">
        <v>1087</v>
      </c>
      <c r="C31" s="15">
        <v>0.02</v>
      </c>
      <c r="D31" s="15">
        <v>0.03</v>
      </c>
      <c r="E31" s="15">
        <v>0.01</v>
      </c>
      <c r="F31" s="15">
        <v>0.02</v>
      </c>
      <c r="G31" s="15">
        <v>0.03</v>
      </c>
      <c r="H31" s="15">
        <v>0.02</v>
      </c>
      <c r="I31" s="15">
        <v>0.02</v>
      </c>
      <c r="J31" s="15">
        <v>0.01</v>
      </c>
      <c r="K31" s="15">
        <v>0.01</v>
      </c>
      <c r="L31" s="15">
        <v>0.02</v>
      </c>
      <c r="M31" s="15">
        <v>0.01</v>
      </c>
      <c r="N31" s="15">
        <v>0.01</v>
      </c>
      <c r="O31" s="15">
        <v>0.04</v>
      </c>
      <c r="P31" s="15">
        <v>0.03</v>
      </c>
      <c r="Q31" s="15">
        <v>0.02</v>
      </c>
      <c r="R31" s="15">
        <v>0.02</v>
      </c>
      <c r="S31" s="15">
        <v>0.02</v>
      </c>
      <c r="T31" s="15">
        <v>0.01</v>
      </c>
      <c r="U31" s="14" t="s">
        <v>475</v>
      </c>
      <c r="V31" s="15">
        <v>0.02</v>
      </c>
      <c r="W31" s="15">
        <v>0.04</v>
      </c>
      <c r="X31" s="15">
        <v>0.02</v>
      </c>
      <c r="Y31" s="15">
        <v>0.01</v>
      </c>
      <c r="Z31" s="15">
        <v>0.03</v>
      </c>
      <c r="AA31" s="15">
        <v>0.01</v>
      </c>
      <c r="AB31" s="15">
        <v>0.03</v>
      </c>
      <c r="AC31" s="15">
        <v>0.01</v>
      </c>
      <c r="AD31" s="15">
        <v>0.02</v>
      </c>
      <c r="AE31" s="15">
        <v>0.02</v>
      </c>
      <c r="AF31" s="15">
        <v>0.04</v>
      </c>
    </row>
    <row r="32" spans="1:32" ht="31.5" x14ac:dyDescent="0.35">
      <c r="A32" s="19"/>
      <c r="B32" s="11" t="s">
        <v>1088</v>
      </c>
      <c r="C32" s="12">
        <v>966</v>
      </c>
      <c r="D32" s="12">
        <v>64</v>
      </c>
      <c r="E32" s="12">
        <v>19</v>
      </c>
      <c r="F32" s="12">
        <v>28</v>
      </c>
      <c r="G32" s="12">
        <v>71</v>
      </c>
      <c r="H32" s="12">
        <v>53</v>
      </c>
      <c r="I32" s="12">
        <v>65</v>
      </c>
      <c r="J32" s="12">
        <v>12</v>
      </c>
      <c r="K32" s="12">
        <v>28</v>
      </c>
      <c r="L32" s="12">
        <v>27</v>
      </c>
      <c r="M32" s="12">
        <v>15</v>
      </c>
      <c r="N32" s="12">
        <v>29</v>
      </c>
      <c r="O32" s="12">
        <v>34</v>
      </c>
      <c r="P32" s="12">
        <v>29</v>
      </c>
      <c r="Q32" s="12">
        <v>33</v>
      </c>
      <c r="R32" s="12">
        <v>26</v>
      </c>
      <c r="S32" s="12">
        <v>14</v>
      </c>
      <c r="T32" s="12">
        <v>17</v>
      </c>
      <c r="U32" s="12">
        <v>12</v>
      </c>
      <c r="V32" s="12">
        <v>38</v>
      </c>
      <c r="W32" s="12">
        <v>24</v>
      </c>
      <c r="X32" s="12">
        <v>40</v>
      </c>
      <c r="Y32" s="12">
        <v>62</v>
      </c>
      <c r="Z32" s="12">
        <v>30</v>
      </c>
      <c r="AA32" s="12">
        <v>25</v>
      </c>
      <c r="AB32" s="12">
        <v>18</v>
      </c>
      <c r="AC32" s="12">
        <v>18</v>
      </c>
      <c r="AD32" s="12">
        <v>25</v>
      </c>
      <c r="AE32" s="12">
        <v>100</v>
      </c>
      <c r="AF32" s="12">
        <v>102</v>
      </c>
    </row>
    <row r="33" spans="1:32" ht="31.5" x14ac:dyDescent="0.35">
      <c r="A33" s="19"/>
      <c r="B33" s="13" t="s">
        <v>1089</v>
      </c>
      <c r="C33" s="15">
        <v>0.04</v>
      </c>
      <c r="D33" s="15">
        <v>0.06</v>
      </c>
      <c r="E33" s="15">
        <v>0.02</v>
      </c>
      <c r="F33" s="15">
        <v>0.02</v>
      </c>
      <c r="G33" s="15">
        <v>7.0000000000000007E-2</v>
      </c>
      <c r="H33" s="15">
        <v>0.04</v>
      </c>
      <c r="I33" s="15">
        <v>0.04</v>
      </c>
      <c r="J33" s="15">
        <v>0.04</v>
      </c>
      <c r="K33" s="15">
        <v>0.03</v>
      </c>
      <c r="L33" s="15">
        <v>0.03</v>
      </c>
      <c r="M33" s="15">
        <v>0.02</v>
      </c>
      <c r="N33" s="15">
        <v>0.03</v>
      </c>
      <c r="O33" s="15">
        <v>0.03</v>
      </c>
      <c r="P33" s="15">
        <v>0.03</v>
      </c>
      <c r="Q33" s="15">
        <v>0.03</v>
      </c>
      <c r="R33" s="15">
        <v>0.05</v>
      </c>
      <c r="S33" s="15">
        <v>0.01</v>
      </c>
      <c r="T33" s="15">
        <v>0.02</v>
      </c>
      <c r="U33" s="15">
        <v>0.02</v>
      </c>
      <c r="V33" s="15">
        <v>0.04</v>
      </c>
      <c r="W33" s="15">
        <v>0.05</v>
      </c>
      <c r="X33" s="15">
        <v>0.04</v>
      </c>
      <c r="Y33" s="15">
        <v>0.06</v>
      </c>
      <c r="Z33" s="15">
        <v>0.03</v>
      </c>
      <c r="AA33" s="15">
        <v>0.02</v>
      </c>
      <c r="AB33" s="15">
        <v>0.02</v>
      </c>
      <c r="AC33" s="15">
        <v>0.02</v>
      </c>
      <c r="AD33" s="15">
        <v>0.02</v>
      </c>
      <c r="AE33" s="15">
        <v>0.1</v>
      </c>
      <c r="AF33" s="15">
        <v>0.1</v>
      </c>
    </row>
    <row r="34" spans="1:32" x14ac:dyDescent="0.35">
      <c r="A34" s="19"/>
      <c r="B34" s="11" t="s">
        <v>611</v>
      </c>
      <c r="C34" s="12">
        <v>57</v>
      </c>
      <c r="D34" s="12">
        <v>0</v>
      </c>
      <c r="E34" s="12">
        <v>3</v>
      </c>
      <c r="F34" s="12">
        <v>1</v>
      </c>
      <c r="G34" s="12">
        <v>0</v>
      </c>
      <c r="H34" s="12">
        <v>4</v>
      </c>
      <c r="I34" s="12">
        <v>4</v>
      </c>
      <c r="J34" s="12">
        <v>0</v>
      </c>
      <c r="K34" s="12">
        <v>12</v>
      </c>
      <c r="L34" s="12">
        <v>0</v>
      </c>
      <c r="M34" s="12">
        <v>1</v>
      </c>
      <c r="N34" s="12">
        <v>3</v>
      </c>
      <c r="O34" s="12">
        <v>0</v>
      </c>
      <c r="P34" s="12">
        <v>0</v>
      </c>
      <c r="Q34" s="12">
        <v>4</v>
      </c>
      <c r="R34" s="12">
        <v>0</v>
      </c>
      <c r="S34" s="12">
        <v>5</v>
      </c>
      <c r="T34" s="12">
        <v>1</v>
      </c>
      <c r="U34" s="12">
        <v>0</v>
      </c>
      <c r="V34" s="12">
        <v>0</v>
      </c>
      <c r="W34" s="12">
        <v>0</v>
      </c>
      <c r="X34" s="12">
        <v>3</v>
      </c>
      <c r="Y34" s="12">
        <v>5</v>
      </c>
      <c r="Z34" s="12">
        <v>3</v>
      </c>
      <c r="AA34" s="12">
        <v>2</v>
      </c>
      <c r="AB34" s="12">
        <v>1</v>
      </c>
      <c r="AC34" s="12">
        <v>1</v>
      </c>
      <c r="AD34" s="12">
        <v>1</v>
      </c>
      <c r="AE34" s="12">
        <v>1</v>
      </c>
      <c r="AF34" s="12">
        <v>0</v>
      </c>
    </row>
    <row r="35" spans="1:32" x14ac:dyDescent="0.35">
      <c r="A35" s="19"/>
      <c r="B35" s="13" t="s">
        <v>612</v>
      </c>
      <c r="C35" s="14" t="s">
        <v>475</v>
      </c>
      <c r="D35" s="14" t="s">
        <v>475</v>
      </c>
      <c r="E35" s="14" t="s">
        <v>475</v>
      </c>
      <c r="F35" s="14" t="s">
        <v>475</v>
      </c>
      <c r="G35" s="14" t="s">
        <v>475</v>
      </c>
      <c r="H35" s="14" t="s">
        <v>475</v>
      </c>
      <c r="I35" s="14" t="s">
        <v>475</v>
      </c>
      <c r="J35" s="14" t="s">
        <v>475</v>
      </c>
      <c r="K35" s="15">
        <v>0.01</v>
      </c>
      <c r="L35" s="14" t="s">
        <v>475</v>
      </c>
      <c r="M35" s="14" t="s">
        <v>475</v>
      </c>
      <c r="N35" s="14" t="s">
        <v>475</v>
      </c>
      <c r="O35" s="14" t="s">
        <v>475</v>
      </c>
      <c r="P35" s="14" t="s">
        <v>475</v>
      </c>
      <c r="Q35" s="15">
        <v>0.01</v>
      </c>
      <c r="R35" s="14" t="s">
        <v>475</v>
      </c>
      <c r="S35" s="14" t="s">
        <v>475</v>
      </c>
      <c r="T35" s="14" t="s">
        <v>475</v>
      </c>
      <c r="U35" s="14" t="s">
        <v>475</v>
      </c>
      <c r="V35" s="14" t="s">
        <v>475</v>
      </c>
      <c r="W35" s="14" t="s">
        <v>475</v>
      </c>
      <c r="X35" s="14" t="s">
        <v>475</v>
      </c>
      <c r="Y35" s="15">
        <v>0.01</v>
      </c>
      <c r="Z35" s="14" t="s">
        <v>475</v>
      </c>
      <c r="AA35" s="14" t="s">
        <v>475</v>
      </c>
      <c r="AB35" s="14" t="s">
        <v>475</v>
      </c>
      <c r="AC35" s="14" t="s">
        <v>475</v>
      </c>
      <c r="AD35" s="14" t="s">
        <v>475</v>
      </c>
      <c r="AE35" s="14" t="s">
        <v>475</v>
      </c>
      <c r="AF35" s="14" t="s">
        <v>475</v>
      </c>
    </row>
    <row r="36" spans="1:32" x14ac:dyDescent="0.35">
      <c r="A36" s="19"/>
      <c r="B36" s="11" t="s">
        <v>613</v>
      </c>
      <c r="C36" s="12">
        <v>557</v>
      </c>
      <c r="D36" s="12">
        <v>7</v>
      </c>
      <c r="E36" s="12">
        <v>42</v>
      </c>
      <c r="F36" s="12">
        <v>8</v>
      </c>
      <c r="G36" s="12">
        <v>15</v>
      </c>
      <c r="H36" s="12">
        <v>12</v>
      </c>
      <c r="I36" s="12">
        <v>18</v>
      </c>
      <c r="J36" s="12">
        <v>6</v>
      </c>
      <c r="K36" s="12">
        <v>14</v>
      </c>
      <c r="L36" s="12">
        <v>11</v>
      </c>
      <c r="M36" s="12">
        <v>20</v>
      </c>
      <c r="N36" s="12">
        <v>24</v>
      </c>
      <c r="O36" s="12">
        <v>39</v>
      </c>
      <c r="P36" s="12">
        <v>4</v>
      </c>
      <c r="Q36" s="12">
        <v>38</v>
      </c>
      <c r="R36" s="12">
        <v>9</v>
      </c>
      <c r="S36" s="12">
        <v>12</v>
      </c>
      <c r="T36" s="12">
        <v>10</v>
      </c>
      <c r="U36" s="12">
        <v>5</v>
      </c>
      <c r="V36" s="12">
        <v>10</v>
      </c>
      <c r="W36" s="12">
        <v>1</v>
      </c>
      <c r="X36" s="12">
        <v>13</v>
      </c>
      <c r="Y36" s="12">
        <v>53</v>
      </c>
      <c r="Z36" s="12">
        <v>4</v>
      </c>
      <c r="AA36" s="12">
        <v>6</v>
      </c>
      <c r="AB36" s="12">
        <v>14</v>
      </c>
      <c r="AC36" s="12">
        <v>13</v>
      </c>
      <c r="AD36" s="12">
        <v>8</v>
      </c>
      <c r="AE36" s="12">
        <v>6</v>
      </c>
      <c r="AF36" s="12">
        <v>13</v>
      </c>
    </row>
    <row r="37" spans="1:32" x14ac:dyDescent="0.35">
      <c r="A37" s="19"/>
      <c r="B37" s="13" t="s">
        <v>614</v>
      </c>
      <c r="C37" s="15">
        <v>0.02</v>
      </c>
      <c r="D37" s="15">
        <v>0.01</v>
      </c>
      <c r="E37" s="15">
        <v>0.04</v>
      </c>
      <c r="F37" s="15">
        <v>0.01</v>
      </c>
      <c r="G37" s="15">
        <v>0.02</v>
      </c>
      <c r="H37" s="15">
        <v>0.01</v>
      </c>
      <c r="I37" s="15">
        <v>0.01</v>
      </c>
      <c r="J37" s="15">
        <v>0.02</v>
      </c>
      <c r="K37" s="15">
        <v>0.01</v>
      </c>
      <c r="L37" s="15">
        <v>0.01</v>
      </c>
      <c r="M37" s="15">
        <v>0.02</v>
      </c>
      <c r="N37" s="15">
        <v>0.02</v>
      </c>
      <c r="O37" s="15">
        <v>0.04</v>
      </c>
      <c r="P37" s="14" t="s">
        <v>475</v>
      </c>
      <c r="Q37" s="15">
        <v>0.04</v>
      </c>
      <c r="R37" s="15">
        <v>0.02</v>
      </c>
      <c r="S37" s="15">
        <v>0.01</v>
      </c>
      <c r="T37" s="15">
        <v>0.01</v>
      </c>
      <c r="U37" s="15">
        <v>0.01</v>
      </c>
      <c r="V37" s="15">
        <v>0.01</v>
      </c>
      <c r="W37" s="14" t="s">
        <v>475</v>
      </c>
      <c r="X37" s="15">
        <v>0.01</v>
      </c>
      <c r="Y37" s="15">
        <v>0.05</v>
      </c>
      <c r="Z37" s="14" t="s">
        <v>475</v>
      </c>
      <c r="AA37" s="15">
        <v>0.01</v>
      </c>
      <c r="AB37" s="15">
        <v>0.01</v>
      </c>
      <c r="AC37" s="15">
        <v>0.01</v>
      </c>
      <c r="AD37" s="15">
        <v>0.01</v>
      </c>
      <c r="AE37" s="14" t="s">
        <v>475</v>
      </c>
      <c r="AF37" s="15">
        <v>0.01</v>
      </c>
    </row>
    <row r="38" spans="1:32" x14ac:dyDescent="0.35">
      <c r="A38" s="19"/>
      <c r="B38" s="11" t="s">
        <v>485</v>
      </c>
      <c r="C38" s="12">
        <v>388</v>
      </c>
      <c r="D38" s="12">
        <v>4</v>
      </c>
      <c r="E38" s="12">
        <v>20</v>
      </c>
      <c r="F38" s="12">
        <v>42</v>
      </c>
      <c r="G38" s="12">
        <v>21</v>
      </c>
      <c r="H38" s="12">
        <v>4</v>
      </c>
      <c r="I38" s="12">
        <v>4</v>
      </c>
      <c r="J38" s="12">
        <v>0</v>
      </c>
      <c r="K38" s="12">
        <v>14</v>
      </c>
      <c r="L38" s="12">
        <v>14</v>
      </c>
      <c r="M38" s="12">
        <v>3</v>
      </c>
      <c r="N38" s="12">
        <v>33</v>
      </c>
      <c r="O38" s="12">
        <v>27</v>
      </c>
      <c r="P38" s="12">
        <v>1</v>
      </c>
      <c r="Q38" s="12">
        <v>12</v>
      </c>
      <c r="R38" s="12">
        <v>29</v>
      </c>
      <c r="S38" s="12">
        <v>21</v>
      </c>
      <c r="T38" s="12">
        <v>20</v>
      </c>
      <c r="U38" s="12">
        <v>5</v>
      </c>
      <c r="V38" s="12">
        <v>8</v>
      </c>
      <c r="W38" s="12">
        <v>3</v>
      </c>
      <c r="X38" s="12">
        <v>11</v>
      </c>
      <c r="Y38" s="12">
        <v>9</v>
      </c>
      <c r="Z38" s="12">
        <v>5</v>
      </c>
      <c r="AA38" s="12">
        <v>34</v>
      </c>
      <c r="AB38" s="12">
        <v>18</v>
      </c>
      <c r="AC38" s="12">
        <v>0</v>
      </c>
      <c r="AD38" s="12">
        <v>2</v>
      </c>
      <c r="AE38" s="12">
        <v>6</v>
      </c>
      <c r="AF38" s="12">
        <v>3</v>
      </c>
    </row>
    <row r="39" spans="1:32" x14ac:dyDescent="0.35">
      <c r="A39" s="19"/>
      <c r="B39" s="13" t="s">
        <v>486</v>
      </c>
      <c r="C39" s="15">
        <v>0.01</v>
      </c>
      <c r="D39" s="14" t="s">
        <v>475</v>
      </c>
      <c r="E39" s="15">
        <v>0.02</v>
      </c>
      <c r="F39" s="15">
        <v>0.04</v>
      </c>
      <c r="G39" s="15">
        <v>0.02</v>
      </c>
      <c r="H39" s="14" t="s">
        <v>475</v>
      </c>
      <c r="I39" s="14" t="s">
        <v>475</v>
      </c>
      <c r="J39" s="14" t="s">
        <v>475</v>
      </c>
      <c r="K39" s="15">
        <v>0.01</v>
      </c>
      <c r="L39" s="15">
        <v>0.01</v>
      </c>
      <c r="M39" s="14" t="s">
        <v>475</v>
      </c>
      <c r="N39" s="15">
        <v>0.03</v>
      </c>
      <c r="O39" s="15">
        <v>0.03</v>
      </c>
      <c r="P39" s="14" t="s">
        <v>475</v>
      </c>
      <c r="Q39" s="15">
        <v>0.01</v>
      </c>
      <c r="R39" s="15">
        <v>0.06</v>
      </c>
      <c r="S39" s="15">
        <v>0.02</v>
      </c>
      <c r="T39" s="15">
        <v>0.02</v>
      </c>
      <c r="U39" s="15">
        <v>0.01</v>
      </c>
      <c r="V39" s="15">
        <v>0.01</v>
      </c>
      <c r="W39" s="14" t="s">
        <v>475</v>
      </c>
      <c r="X39" s="15">
        <v>0.01</v>
      </c>
      <c r="Y39" s="15">
        <v>0.01</v>
      </c>
      <c r="Z39" s="15">
        <v>0.01</v>
      </c>
      <c r="AA39" s="15">
        <v>0.03</v>
      </c>
      <c r="AB39" s="15">
        <v>0.02</v>
      </c>
      <c r="AC39" s="14" t="s">
        <v>475</v>
      </c>
      <c r="AD39" s="14" t="s">
        <v>475</v>
      </c>
      <c r="AE39" s="15">
        <v>0.01</v>
      </c>
      <c r="AF39" s="14" t="s">
        <v>475</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3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219</v>
      </c>
      <c r="C3" s="18"/>
      <c r="D3" s="18"/>
      <c r="E3" s="18"/>
      <c r="F3" s="18"/>
      <c r="H3" s="18" t="s">
        <v>220</v>
      </c>
      <c r="I3" s="18"/>
      <c r="J3" s="18"/>
      <c r="K3" s="18"/>
      <c r="L3" s="18"/>
    </row>
    <row r="4" spans="1:32" ht="27" customHeight="1" x14ac:dyDescent="0.35">
      <c r="B4" s="18"/>
      <c r="C4" s="18"/>
      <c r="D4" s="18"/>
      <c r="E4" s="18"/>
      <c r="F4" s="18"/>
      <c r="H4" s="18"/>
      <c r="I4" s="18"/>
      <c r="J4" s="18"/>
      <c r="K4" s="18"/>
      <c r="L4" s="18"/>
    </row>
    <row r="5" spans="1:32" ht="24" customHeight="1" x14ac:dyDescent="0.35">
      <c r="B5" s="18" t="s">
        <v>1090</v>
      </c>
      <c r="C5" s="18"/>
      <c r="D5" s="18"/>
      <c r="E5" s="18"/>
      <c r="F5" s="18"/>
      <c r="H5" s="18" t="s">
        <v>1091</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HYPERLINK("#Content!A112","&lt;&lt;Back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25500</v>
      </c>
      <c r="D10" s="10">
        <v>1002</v>
      </c>
      <c r="E10" s="10">
        <v>968</v>
      </c>
      <c r="F10" s="10">
        <v>1052</v>
      </c>
      <c r="G10" s="10">
        <v>970</v>
      </c>
      <c r="H10" s="10">
        <v>1205</v>
      </c>
      <c r="I10" s="10">
        <v>1494</v>
      </c>
      <c r="J10" s="10">
        <v>289</v>
      </c>
      <c r="K10" s="10">
        <v>974</v>
      </c>
      <c r="L10" s="10">
        <v>977</v>
      </c>
      <c r="M10" s="10">
        <v>987</v>
      </c>
      <c r="N10" s="10">
        <v>947</v>
      </c>
      <c r="O10" s="10">
        <v>935</v>
      </c>
      <c r="P10" s="10">
        <v>999</v>
      </c>
      <c r="Q10" s="10">
        <v>976</v>
      </c>
      <c r="R10" s="10">
        <v>466</v>
      </c>
      <c r="S10" s="10">
        <v>969</v>
      </c>
      <c r="T10" s="10">
        <v>975</v>
      </c>
      <c r="U10" s="10">
        <v>494</v>
      </c>
      <c r="V10" s="10">
        <v>997</v>
      </c>
      <c r="W10" s="10">
        <v>504</v>
      </c>
      <c r="X10" s="10">
        <v>986</v>
      </c>
      <c r="Y10" s="10">
        <v>941</v>
      </c>
      <c r="Z10" s="10">
        <v>1022</v>
      </c>
      <c r="AA10" s="10">
        <v>992</v>
      </c>
      <c r="AB10" s="10">
        <v>1019</v>
      </c>
      <c r="AC10" s="10">
        <v>990</v>
      </c>
      <c r="AD10" s="10">
        <v>995</v>
      </c>
      <c r="AE10" s="10">
        <v>1000</v>
      </c>
      <c r="AF10" s="10">
        <v>1026</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19"/>
      <c r="B12" s="11" t="s">
        <v>1068</v>
      </c>
      <c r="C12" s="12">
        <v>5266</v>
      </c>
      <c r="D12" s="12">
        <v>206</v>
      </c>
      <c r="E12" s="12">
        <v>242</v>
      </c>
      <c r="F12" s="12">
        <v>221</v>
      </c>
      <c r="G12" s="12">
        <v>178</v>
      </c>
      <c r="H12" s="12">
        <v>366</v>
      </c>
      <c r="I12" s="12">
        <v>430</v>
      </c>
      <c r="J12" s="12">
        <v>64</v>
      </c>
      <c r="K12" s="12">
        <v>228</v>
      </c>
      <c r="L12" s="12">
        <v>179</v>
      </c>
      <c r="M12" s="12">
        <v>333</v>
      </c>
      <c r="N12" s="12">
        <v>169</v>
      </c>
      <c r="O12" s="12">
        <v>171</v>
      </c>
      <c r="P12" s="12">
        <v>226</v>
      </c>
      <c r="Q12" s="12">
        <v>153</v>
      </c>
      <c r="R12" s="12">
        <v>96</v>
      </c>
      <c r="S12" s="12">
        <v>170</v>
      </c>
      <c r="T12" s="12">
        <v>239</v>
      </c>
      <c r="U12" s="12">
        <v>106</v>
      </c>
      <c r="V12" s="12">
        <v>135</v>
      </c>
      <c r="W12" s="12">
        <v>68</v>
      </c>
      <c r="X12" s="12">
        <v>194</v>
      </c>
      <c r="Y12" s="12">
        <v>218</v>
      </c>
      <c r="Z12" s="12">
        <v>207</v>
      </c>
      <c r="AA12" s="12">
        <v>140</v>
      </c>
      <c r="AB12" s="12">
        <v>139</v>
      </c>
      <c r="AC12" s="12">
        <v>169</v>
      </c>
      <c r="AD12" s="12">
        <v>202</v>
      </c>
      <c r="AE12" s="12">
        <v>217</v>
      </c>
      <c r="AF12" s="12">
        <v>226</v>
      </c>
    </row>
    <row r="13" spans="1:32" ht="21.5" x14ac:dyDescent="0.35">
      <c r="A13" s="19"/>
      <c r="B13" s="13" t="s">
        <v>1069</v>
      </c>
      <c r="C13" s="15">
        <v>0.28000000000000003</v>
      </c>
      <c r="D13" s="15">
        <v>0.28000000000000003</v>
      </c>
      <c r="E13" s="15">
        <v>0.32</v>
      </c>
      <c r="F13" s="15">
        <v>0.28999999999999998</v>
      </c>
      <c r="G13" s="15">
        <v>0.28000000000000003</v>
      </c>
      <c r="H13" s="15">
        <v>0.45</v>
      </c>
      <c r="I13" s="15">
        <v>0.43</v>
      </c>
      <c r="J13" s="15">
        <v>0.35</v>
      </c>
      <c r="K13" s="15">
        <v>0.28000000000000003</v>
      </c>
      <c r="L13" s="15">
        <v>0.23</v>
      </c>
      <c r="M13" s="15">
        <v>0.44</v>
      </c>
      <c r="N13" s="15">
        <v>0.23</v>
      </c>
      <c r="O13" s="15">
        <v>0.27</v>
      </c>
      <c r="P13" s="15">
        <v>0.28999999999999998</v>
      </c>
      <c r="Q13" s="15">
        <v>0.2</v>
      </c>
      <c r="R13" s="15">
        <v>0.31</v>
      </c>
      <c r="S13" s="15">
        <v>0.23</v>
      </c>
      <c r="T13" s="15">
        <v>0.32</v>
      </c>
      <c r="U13" s="15">
        <v>0.32</v>
      </c>
      <c r="V13" s="15">
        <v>0.16</v>
      </c>
      <c r="W13" s="15">
        <v>0.17</v>
      </c>
      <c r="X13" s="15">
        <v>0.27</v>
      </c>
      <c r="Y13" s="15">
        <v>0.28999999999999998</v>
      </c>
      <c r="Z13" s="15">
        <v>0.25</v>
      </c>
      <c r="AA13" s="15">
        <v>0.17</v>
      </c>
      <c r="AB13" s="15">
        <v>0.16</v>
      </c>
      <c r="AC13" s="15">
        <v>0.24</v>
      </c>
      <c r="AD13" s="15">
        <v>0.26</v>
      </c>
      <c r="AE13" s="15">
        <v>0.28999999999999998</v>
      </c>
      <c r="AF13" s="15">
        <v>0.3</v>
      </c>
    </row>
    <row r="14" spans="1:32" ht="41.5" x14ac:dyDescent="0.35">
      <c r="A14" s="19"/>
      <c r="B14" s="11" t="s">
        <v>1070</v>
      </c>
      <c r="C14" s="12">
        <v>6750</v>
      </c>
      <c r="D14" s="12">
        <v>245</v>
      </c>
      <c r="E14" s="12">
        <v>268</v>
      </c>
      <c r="F14" s="12">
        <v>246</v>
      </c>
      <c r="G14" s="12">
        <v>263</v>
      </c>
      <c r="H14" s="12">
        <v>418</v>
      </c>
      <c r="I14" s="12">
        <v>512</v>
      </c>
      <c r="J14" s="12">
        <v>94</v>
      </c>
      <c r="K14" s="12">
        <v>229</v>
      </c>
      <c r="L14" s="12">
        <v>268</v>
      </c>
      <c r="M14" s="12">
        <v>339</v>
      </c>
      <c r="N14" s="12">
        <v>213</v>
      </c>
      <c r="O14" s="12">
        <v>222</v>
      </c>
      <c r="P14" s="12">
        <v>280</v>
      </c>
      <c r="Q14" s="12">
        <v>253</v>
      </c>
      <c r="R14" s="12">
        <v>115</v>
      </c>
      <c r="S14" s="12">
        <v>290</v>
      </c>
      <c r="T14" s="12">
        <v>246</v>
      </c>
      <c r="U14" s="12">
        <v>165</v>
      </c>
      <c r="V14" s="12">
        <v>205</v>
      </c>
      <c r="W14" s="12">
        <v>94</v>
      </c>
      <c r="X14" s="12">
        <v>249</v>
      </c>
      <c r="Y14" s="12">
        <v>235</v>
      </c>
      <c r="Z14" s="12">
        <v>247</v>
      </c>
      <c r="AA14" s="12">
        <v>259</v>
      </c>
      <c r="AB14" s="12">
        <v>182</v>
      </c>
      <c r="AC14" s="12">
        <v>294</v>
      </c>
      <c r="AD14" s="12">
        <v>305</v>
      </c>
      <c r="AE14" s="12">
        <v>269</v>
      </c>
      <c r="AF14" s="12">
        <v>268</v>
      </c>
    </row>
    <row r="15" spans="1:32" ht="31.5" x14ac:dyDescent="0.35">
      <c r="A15" s="19"/>
      <c r="B15" s="13" t="s">
        <v>1071</v>
      </c>
      <c r="C15" s="15">
        <v>0.36</v>
      </c>
      <c r="D15" s="15">
        <v>0.28999999999999998</v>
      </c>
      <c r="E15" s="15">
        <v>0.49</v>
      </c>
      <c r="F15" s="15">
        <v>0.37</v>
      </c>
      <c r="G15" s="15">
        <v>0.35</v>
      </c>
      <c r="H15" s="15">
        <v>0.5</v>
      </c>
      <c r="I15" s="15">
        <v>0.49</v>
      </c>
      <c r="J15" s="15">
        <v>0.47</v>
      </c>
      <c r="K15" s="15">
        <v>0.4</v>
      </c>
      <c r="L15" s="15">
        <v>0.45</v>
      </c>
      <c r="M15" s="15">
        <v>0.53</v>
      </c>
      <c r="N15" s="15">
        <v>0.34</v>
      </c>
      <c r="O15" s="15">
        <v>0.28000000000000003</v>
      </c>
      <c r="P15" s="15">
        <v>0.4</v>
      </c>
      <c r="Q15" s="15">
        <v>0.33</v>
      </c>
      <c r="R15" s="15">
        <v>0.37</v>
      </c>
      <c r="S15" s="15">
        <v>0.49</v>
      </c>
      <c r="T15" s="15">
        <v>0.5</v>
      </c>
      <c r="U15" s="15">
        <v>0.48</v>
      </c>
      <c r="V15" s="15">
        <v>0.28999999999999998</v>
      </c>
      <c r="W15" s="15">
        <v>0.23</v>
      </c>
      <c r="X15" s="15">
        <v>0.35</v>
      </c>
      <c r="Y15" s="15">
        <v>0.33</v>
      </c>
      <c r="Z15" s="15">
        <v>0.34</v>
      </c>
      <c r="AA15" s="15">
        <v>0.34</v>
      </c>
      <c r="AB15" s="15">
        <v>0.25</v>
      </c>
      <c r="AC15" s="15">
        <v>0.4</v>
      </c>
      <c r="AD15" s="15">
        <v>0.53</v>
      </c>
      <c r="AE15" s="15">
        <v>0.4</v>
      </c>
      <c r="AF15" s="15">
        <v>0.41</v>
      </c>
    </row>
    <row r="16" spans="1:32" x14ac:dyDescent="0.35">
      <c r="A16" s="19"/>
      <c r="B16" s="11" t="s">
        <v>1072</v>
      </c>
      <c r="C16" s="12">
        <v>3870</v>
      </c>
      <c r="D16" s="12">
        <v>241</v>
      </c>
      <c r="E16" s="12">
        <v>86</v>
      </c>
      <c r="F16" s="12">
        <v>45</v>
      </c>
      <c r="G16" s="12">
        <v>41</v>
      </c>
      <c r="H16" s="12">
        <v>260</v>
      </c>
      <c r="I16" s="12">
        <v>324</v>
      </c>
      <c r="J16" s="12">
        <v>64</v>
      </c>
      <c r="K16" s="12">
        <v>272</v>
      </c>
      <c r="L16" s="12">
        <v>314</v>
      </c>
      <c r="M16" s="12">
        <v>107</v>
      </c>
      <c r="N16" s="12">
        <v>112</v>
      </c>
      <c r="O16" s="12">
        <v>183</v>
      </c>
      <c r="P16" s="12">
        <v>92</v>
      </c>
      <c r="Q16" s="12">
        <v>116</v>
      </c>
      <c r="R16" s="12">
        <v>32</v>
      </c>
      <c r="S16" s="12">
        <v>241</v>
      </c>
      <c r="T16" s="12">
        <v>114</v>
      </c>
      <c r="U16" s="12">
        <v>119</v>
      </c>
      <c r="V16" s="12">
        <v>113</v>
      </c>
      <c r="W16" s="12">
        <v>88</v>
      </c>
      <c r="X16" s="12">
        <v>237</v>
      </c>
      <c r="Y16" s="12">
        <v>181</v>
      </c>
      <c r="Z16" s="12">
        <v>28</v>
      </c>
      <c r="AA16" s="12">
        <v>145</v>
      </c>
      <c r="AB16" s="12">
        <v>92</v>
      </c>
      <c r="AC16" s="12">
        <v>262</v>
      </c>
      <c r="AD16" s="12">
        <v>242</v>
      </c>
      <c r="AE16" s="12">
        <v>248</v>
      </c>
      <c r="AF16" s="12">
        <v>47</v>
      </c>
    </row>
    <row r="17" spans="1:32" x14ac:dyDescent="0.35">
      <c r="A17" s="19"/>
      <c r="B17" s="13" t="s">
        <v>1073</v>
      </c>
      <c r="C17" s="15">
        <v>0.17</v>
      </c>
      <c r="D17" s="15">
        <v>0.28000000000000003</v>
      </c>
      <c r="E17" s="15">
        <v>0.09</v>
      </c>
      <c r="F17" s="15">
        <v>0.04</v>
      </c>
      <c r="G17" s="15">
        <v>0.04</v>
      </c>
      <c r="H17" s="15">
        <v>0.24</v>
      </c>
      <c r="I17" s="15">
        <v>0.25</v>
      </c>
      <c r="J17" s="15">
        <v>0.25</v>
      </c>
      <c r="K17" s="15">
        <v>0.32</v>
      </c>
      <c r="L17" s="15">
        <v>0.38</v>
      </c>
      <c r="M17" s="15">
        <v>0.11</v>
      </c>
      <c r="N17" s="15">
        <v>0.13</v>
      </c>
      <c r="O17" s="15">
        <v>0.23</v>
      </c>
      <c r="P17" s="15">
        <v>0.1</v>
      </c>
      <c r="Q17" s="15">
        <v>0.13</v>
      </c>
      <c r="R17" s="15">
        <v>7.0000000000000007E-2</v>
      </c>
      <c r="S17" s="15">
        <v>0.27</v>
      </c>
      <c r="T17" s="15">
        <v>0.12</v>
      </c>
      <c r="U17" s="15">
        <v>0.27</v>
      </c>
      <c r="V17" s="15">
        <v>0.13</v>
      </c>
      <c r="W17" s="15">
        <v>0.2</v>
      </c>
      <c r="X17" s="15">
        <v>0.28000000000000003</v>
      </c>
      <c r="Y17" s="15">
        <v>0.21</v>
      </c>
      <c r="Z17" s="15">
        <v>0.03</v>
      </c>
      <c r="AA17" s="15">
        <v>0.17</v>
      </c>
      <c r="AB17" s="15">
        <v>0.1</v>
      </c>
      <c r="AC17" s="15">
        <v>0.31</v>
      </c>
      <c r="AD17" s="15">
        <v>0.27</v>
      </c>
      <c r="AE17" s="15">
        <v>0.28999999999999998</v>
      </c>
      <c r="AF17" s="15">
        <v>0.05</v>
      </c>
    </row>
    <row r="18" spans="1:32" ht="21.5" x14ac:dyDescent="0.35">
      <c r="A18" s="19"/>
      <c r="B18" s="11" t="s">
        <v>1074</v>
      </c>
      <c r="C18" s="12">
        <v>4446</v>
      </c>
      <c r="D18" s="12">
        <v>178</v>
      </c>
      <c r="E18" s="12">
        <v>209</v>
      </c>
      <c r="F18" s="12">
        <v>172</v>
      </c>
      <c r="G18" s="12">
        <v>205</v>
      </c>
      <c r="H18" s="12">
        <v>211</v>
      </c>
      <c r="I18" s="12">
        <v>258</v>
      </c>
      <c r="J18" s="12">
        <v>47</v>
      </c>
      <c r="K18" s="12">
        <v>75</v>
      </c>
      <c r="L18" s="12">
        <v>109</v>
      </c>
      <c r="M18" s="12">
        <v>216</v>
      </c>
      <c r="N18" s="12">
        <v>172</v>
      </c>
      <c r="O18" s="12">
        <v>143</v>
      </c>
      <c r="P18" s="12">
        <v>184</v>
      </c>
      <c r="Q18" s="12">
        <v>188</v>
      </c>
      <c r="R18" s="12">
        <v>109</v>
      </c>
      <c r="S18" s="12">
        <v>95</v>
      </c>
      <c r="T18" s="12">
        <v>121</v>
      </c>
      <c r="U18" s="12">
        <v>84</v>
      </c>
      <c r="V18" s="12">
        <v>139</v>
      </c>
      <c r="W18" s="12">
        <v>54</v>
      </c>
      <c r="X18" s="12">
        <v>157</v>
      </c>
      <c r="Y18" s="12">
        <v>139</v>
      </c>
      <c r="Z18" s="12">
        <v>202</v>
      </c>
      <c r="AA18" s="12">
        <v>197</v>
      </c>
      <c r="AB18" s="12">
        <v>183</v>
      </c>
      <c r="AC18" s="12">
        <v>166</v>
      </c>
      <c r="AD18" s="12">
        <v>191</v>
      </c>
      <c r="AE18" s="12">
        <v>105</v>
      </c>
      <c r="AF18" s="12">
        <v>163</v>
      </c>
    </row>
    <row r="19" spans="1:32" ht="21.5" x14ac:dyDescent="0.35">
      <c r="A19" s="19"/>
      <c r="B19" s="13" t="s">
        <v>1075</v>
      </c>
      <c r="C19" s="15">
        <v>0.19</v>
      </c>
      <c r="D19" s="15">
        <v>0.19</v>
      </c>
      <c r="E19" s="15">
        <v>0.23</v>
      </c>
      <c r="F19" s="15">
        <v>0.18</v>
      </c>
      <c r="G19" s="15">
        <v>0.23</v>
      </c>
      <c r="H19" s="15">
        <v>0.19</v>
      </c>
      <c r="I19" s="15">
        <v>0.18</v>
      </c>
      <c r="J19" s="15">
        <v>0.17</v>
      </c>
      <c r="K19" s="15">
        <v>0.08</v>
      </c>
      <c r="L19" s="15">
        <v>0.12</v>
      </c>
      <c r="M19" s="15">
        <v>0.24</v>
      </c>
      <c r="N19" s="15">
        <v>0.19</v>
      </c>
      <c r="O19" s="15">
        <v>0.16</v>
      </c>
      <c r="P19" s="15">
        <v>0.2</v>
      </c>
      <c r="Q19" s="15">
        <v>0.22</v>
      </c>
      <c r="R19" s="15">
        <v>0.25</v>
      </c>
      <c r="S19" s="15">
        <v>0.1</v>
      </c>
      <c r="T19" s="15">
        <v>0.13</v>
      </c>
      <c r="U19" s="15">
        <v>0.18</v>
      </c>
      <c r="V19" s="15">
        <v>0.15</v>
      </c>
      <c r="W19" s="15">
        <v>0.11</v>
      </c>
      <c r="X19" s="15">
        <v>0.17</v>
      </c>
      <c r="Y19" s="15">
        <v>0.16</v>
      </c>
      <c r="Z19" s="15">
        <v>0.22</v>
      </c>
      <c r="AA19" s="15">
        <v>0.21</v>
      </c>
      <c r="AB19" s="15">
        <v>0.2</v>
      </c>
      <c r="AC19" s="15">
        <v>0.18</v>
      </c>
      <c r="AD19" s="15">
        <v>0.21</v>
      </c>
      <c r="AE19" s="15">
        <v>0.11</v>
      </c>
      <c r="AF19" s="15">
        <v>0.17</v>
      </c>
    </row>
    <row r="20" spans="1:32" ht="31.5" x14ac:dyDescent="0.35">
      <c r="A20" s="19"/>
      <c r="B20" s="11" t="s">
        <v>1076</v>
      </c>
      <c r="C20" s="12">
        <v>3475</v>
      </c>
      <c r="D20" s="12">
        <v>129</v>
      </c>
      <c r="E20" s="12">
        <v>126</v>
      </c>
      <c r="F20" s="12">
        <v>253</v>
      </c>
      <c r="G20" s="12">
        <v>108</v>
      </c>
      <c r="H20" s="12">
        <v>122</v>
      </c>
      <c r="I20" s="12">
        <v>164</v>
      </c>
      <c r="J20" s="12">
        <v>42</v>
      </c>
      <c r="K20" s="12">
        <v>150</v>
      </c>
      <c r="L20" s="12">
        <v>123</v>
      </c>
      <c r="M20" s="12">
        <v>139</v>
      </c>
      <c r="N20" s="12">
        <v>90</v>
      </c>
      <c r="O20" s="12">
        <v>129</v>
      </c>
      <c r="P20" s="12">
        <v>209</v>
      </c>
      <c r="Q20" s="12">
        <v>179</v>
      </c>
      <c r="R20" s="12">
        <v>102</v>
      </c>
      <c r="S20" s="12">
        <v>206</v>
      </c>
      <c r="T20" s="12">
        <v>120</v>
      </c>
      <c r="U20" s="12">
        <v>75</v>
      </c>
      <c r="V20" s="12">
        <v>207</v>
      </c>
      <c r="W20" s="12">
        <v>91</v>
      </c>
      <c r="X20" s="12">
        <v>77</v>
      </c>
      <c r="Y20" s="12">
        <v>114</v>
      </c>
      <c r="Z20" s="12">
        <v>132</v>
      </c>
      <c r="AA20" s="12">
        <v>179</v>
      </c>
      <c r="AB20" s="12">
        <v>145</v>
      </c>
      <c r="AC20" s="12">
        <v>148</v>
      </c>
      <c r="AD20" s="12">
        <v>160</v>
      </c>
      <c r="AE20" s="12">
        <v>68</v>
      </c>
      <c r="AF20" s="12">
        <v>181</v>
      </c>
    </row>
    <row r="21" spans="1:32" ht="31.5" x14ac:dyDescent="0.35">
      <c r="A21" s="19"/>
      <c r="B21" s="13" t="s">
        <v>1092</v>
      </c>
      <c r="C21" s="15">
        <v>0.14000000000000001</v>
      </c>
      <c r="D21" s="15">
        <v>0.14000000000000001</v>
      </c>
      <c r="E21" s="15">
        <v>0.14000000000000001</v>
      </c>
      <c r="F21" s="15">
        <v>0.25</v>
      </c>
      <c r="G21" s="15">
        <v>0.11</v>
      </c>
      <c r="H21" s="15">
        <v>0.11</v>
      </c>
      <c r="I21" s="15">
        <v>0.11</v>
      </c>
      <c r="J21" s="15">
        <v>0.15</v>
      </c>
      <c r="K21" s="15">
        <v>0.17</v>
      </c>
      <c r="L21" s="15">
        <v>0.13</v>
      </c>
      <c r="M21" s="15">
        <v>0.15</v>
      </c>
      <c r="N21" s="15">
        <v>0.1</v>
      </c>
      <c r="O21" s="15">
        <v>0.15</v>
      </c>
      <c r="P21" s="15">
        <v>0.23</v>
      </c>
      <c r="Q21" s="15">
        <v>0.2</v>
      </c>
      <c r="R21" s="15">
        <v>0.23</v>
      </c>
      <c r="S21" s="15">
        <v>0.23</v>
      </c>
      <c r="T21" s="15">
        <v>0.13</v>
      </c>
      <c r="U21" s="15">
        <v>0.16</v>
      </c>
      <c r="V21" s="15">
        <v>0.23</v>
      </c>
      <c r="W21" s="15">
        <v>0.2</v>
      </c>
      <c r="X21" s="15">
        <v>0.08</v>
      </c>
      <c r="Y21" s="15">
        <v>0.13</v>
      </c>
      <c r="Z21" s="15">
        <v>0.14000000000000001</v>
      </c>
      <c r="AA21" s="15">
        <v>0.19</v>
      </c>
      <c r="AB21" s="15">
        <v>0.15</v>
      </c>
      <c r="AC21" s="15">
        <v>0.16</v>
      </c>
      <c r="AD21" s="15">
        <v>0.16</v>
      </c>
      <c r="AE21" s="15">
        <v>7.0000000000000007E-2</v>
      </c>
      <c r="AF21" s="15">
        <v>0.18</v>
      </c>
    </row>
    <row r="22" spans="1:32" ht="21.5" x14ac:dyDescent="0.35">
      <c r="A22" s="19"/>
      <c r="B22" s="11" t="s">
        <v>1078</v>
      </c>
      <c r="C22" s="12">
        <v>2014</v>
      </c>
      <c r="D22" s="12">
        <v>68</v>
      </c>
      <c r="E22" s="12">
        <v>66</v>
      </c>
      <c r="F22" s="12">
        <v>66</v>
      </c>
      <c r="G22" s="12">
        <v>65</v>
      </c>
      <c r="H22" s="12">
        <v>66</v>
      </c>
      <c r="I22" s="12">
        <v>83</v>
      </c>
      <c r="J22" s="12">
        <v>17</v>
      </c>
      <c r="K22" s="12">
        <v>46</v>
      </c>
      <c r="L22" s="12">
        <v>105</v>
      </c>
      <c r="M22" s="12">
        <v>79</v>
      </c>
      <c r="N22" s="12">
        <v>57</v>
      </c>
      <c r="O22" s="12">
        <v>78</v>
      </c>
      <c r="P22" s="12">
        <v>101</v>
      </c>
      <c r="Q22" s="12">
        <v>94</v>
      </c>
      <c r="R22" s="12">
        <v>18</v>
      </c>
      <c r="S22" s="12">
        <v>67</v>
      </c>
      <c r="T22" s="12">
        <v>83</v>
      </c>
      <c r="U22" s="12">
        <v>25</v>
      </c>
      <c r="V22" s="12">
        <v>157</v>
      </c>
      <c r="W22" s="12">
        <v>39</v>
      </c>
      <c r="X22" s="12">
        <v>44</v>
      </c>
      <c r="Y22" s="12">
        <v>79</v>
      </c>
      <c r="Z22" s="12">
        <v>121</v>
      </c>
      <c r="AA22" s="12">
        <v>51</v>
      </c>
      <c r="AB22" s="12">
        <v>142</v>
      </c>
      <c r="AC22" s="12">
        <v>62</v>
      </c>
      <c r="AD22" s="12">
        <v>82</v>
      </c>
      <c r="AE22" s="12">
        <v>31</v>
      </c>
      <c r="AF22" s="12">
        <v>46</v>
      </c>
    </row>
    <row r="23" spans="1:32" ht="21.5" x14ac:dyDescent="0.35">
      <c r="A23" s="19"/>
      <c r="B23" s="13" t="s">
        <v>1079</v>
      </c>
      <c r="C23" s="15">
        <v>0.08</v>
      </c>
      <c r="D23" s="15">
        <v>7.0000000000000007E-2</v>
      </c>
      <c r="E23" s="15">
        <v>7.0000000000000007E-2</v>
      </c>
      <c r="F23" s="15">
        <v>0.06</v>
      </c>
      <c r="G23" s="15">
        <v>7.0000000000000007E-2</v>
      </c>
      <c r="H23" s="15">
        <v>0.06</v>
      </c>
      <c r="I23" s="15">
        <v>0.06</v>
      </c>
      <c r="J23" s="15">
        <v>0.06</v>
      </c>
      <c r="K23" s="15">
        <v>0.05</v>
      </c>
      <c r="L23" s="15">
        <v>0.11</v>
      </c>
      <c r="M23" s="15">
        <v>0.08</v>
      </c>
      <c r="N23" s="15">
        <v>0.06</v>
      </c>
      <c r="O23" s="15">
        <v>0.09</v>
      </c>
      <c r="P23" s="15">
        <v>0.1</v>
      </c>
      <c r="Q23" s="15">
        <v>0.1</v>
      </c>
      <c r="R23" s="15">
        <v>0.04</v>
      </c>
      <c r="S23" s="15">
        <v>7.0000000000000007E-2</v>
      </c>
      <c r="T23" s="15">
        <v>0.09</v>
      </c>
      <c r="U23" s="15">
        <v>0.05</v>
      </c>
      <c r="V23" s="15">
        <v>0.16</v>
      </c>
      <c r="W23" s="15">
        <v>0.08</v>
      </c>
      <c r="X23" s="15">
        <v>0.05</v>
      </c>
      <c r="Y23" s="15">
        <v>0.09</v>
      </c>
      <c r="Z23" s="15">
        <v>0.13</v>
      </c>
      <c r="AA23" s="15">
        <v>0.05</v>
      </c>
      <c r="AB23" s="15">
        <v>0.15</v>
      </c>
      <c r="AC23" s="15">
        <v>0.06</v>
      </c>
      <c r="AD23" s="15">
        <v>0.08</v>
      </c>
      <c r="AE23" s="15">
        <v>0.03</v>
      </c>
      <c r="AF23" s="15">
        <v>0.05</v>
      </c>
    </row>
    <row r="24" spans="1:32" ht="31.5" x14ac:dyDescent="0.35">
      <c r="A24" s="19"/>
      <c r="B24" s="11" t="s">
        <v>1080</v>
      </c>
      <c r="C24" s="12">
        <v>4056</v>
      </c>
      <c r="D24" s="12">
        <v>147</v>
      </c>
      <c r="E24" s="12">
        <v>152</v>
      </c>
      <c r="F24" s="12">
        <v>156</v>
      </c>
      <c r="G24" s="12">
        <v>198</v>
      </c>
      <c r="H24" s="12">
        <v>145</v>
      </c>
      <c r="I24" s="12">
        <v>182</v>
      </c>
      <c r="J24" s="12">
        <v>37</v>
      </c>
      <c r="K24" s="12">
        <v>109</v>
      </c>
      <c r="L24" s="12">
        <v>225</v>
      </c>
      <c r="M24" s="12">
        <v>208</v>
      </c>
      <c r="N24" s="12">
        <v>195</v>
      </c>
      <c r="O24" s="12">
        <v>99</v>
      </c>
      <c r="P24" s="12">
        <v>204</v>
      </c>
      <c r="Q24" s="12">
        <v>177</v>
      </c>
      <c r="R24" s="12">
        <v>50</v>
      </c>
      <c r="S24" s="12">
        <v>110</v>
      </c>
      <c r="T24" s="12">
        <v>245</v>
      </c>
      <c r="U24" s="12">
        <v>41</v>
      </c>
      <c r="V24" s="12">
        <v>188</v>
      </c>
      <c r="W24" s="12">
        <v>81</v>
      </c>
      <c r="X24" s="12">
        <v>158</v>
      </c>
      <c r="Y24" s="12">
        <v>167</v>
      </c>
      <c r="Z24" s="12">
        <v>199</v>
      </c>
      <c r="AA24" s="12">
        <v>178</v>
      </c>
      <c r="AB24" s="12">
        <v>182</v>
      </c>
      <c r="AC24" s="12">
        <v>180</v>
      </c>
      <c r="AD24" s="12">
        <v>192</v>
      </c>
      <c r="AE24" s="12">
        <v>84</v>
      </c>
      <c r="AF24" s="12">
        <v>137</v>
      </c>
    </row>
    <row r="25" spans="1:32" ht="21.5" x14ac:dyDescent="0.35">
      <c r="A25" s="19"/>
      <c r="B25" s="13" t="s">
        <v>1081</v>
      </c>
      <c r="C25" s="15">
        <v>0.17</v>
      </c>
      <c r="D25" s="15">
        <v>0.16</v>
      </c>
      <c r="E25" s="15">
        <v>0.17</v>
      </c>
      <c r="F25" s="15">
        <v>0.16</v>
      </c>
      <c r="G25" s="15">
        <v>0.22</v>
      </c>
      <c r="H25" s="15">
        <v>0.12</v>
      </c>
      <c r="I25" s="15">
        <v>0.13</v>
      </c>
      <c r="J25" s="15">
        <v>0.13</v>
      </c>
      <c r="K25" s="15">
        <v>0.12</v>
      </c>
      <c r="L25" s="15">
        <v>0.25</v>
      </c>
      <c r="M25" s="15">
        <v>0.22</v>
      </c>
      <c r="N25" s="15">
        <v>0.22</v>
      </c>
      <c r="O25" s="15">
        <v>0.11</v>
      </c>
      <c r="P25" s="15">
        <v>0.22</v>
      </c>
      <c r="Q25" s="15">
        <v>0.2</v>
      </c>
      <c r="R25" s="15">
        <v>0.11</v>
      </c>
      <c r="S25" s="15">
        <v>0.12</v>
      </c>
      <c r="T25" s="15">
        <v>0.26</v>
      </c>
      <c r="U25" s="15">
        <v>0.09</v>
      </c>
      <c r="V25" s="15">
        <v>0.21</v>
      </c>
      <c r="W25" s="15">
        <v>0.17</v>
      </c>
      <c r="X25" s="15">
        <v>0.17</v>
      </c>
      <c r="Y25" s="15">
        <v>0.19</v>
      </c>
      <c r="Z25" s="15">
        <v>0.22</v>
      </c>
      <c r="AA25" s="15">
        <v>0.23</v>
      </c>
      <c r="AB25" s="15">
        <v>0.2</v>
      </c>
      <c r="AC25" s="15">
        <v>0.2</v>
      </c>
      <c r="AD25" s="15">
        <v>0.2</v>
      </c>
      <c r="AE25" s="15">
        <v>0.09</v>
      </c>
      <c r="AF25" s="15">
        <v>0.14000000000000001</v>
      </c>
    </row>
    <row r="26" spans="1:32" ht="41.5" x14ac:dyDescent="0.35">
      <c r="A26" s="19"/>
      <c r="B26" s="11" t="s">
        <v>1082</v>
      </c>
      <c r="C26" s="12">
        <v>3553</v>
      </c>
      <c r="D26" s="12">
        <v>126</v>
      </c>
      <c r="E26" s="12">
        <v>155</v>
      </c>
      <c r="F26" s="12">
        <v>116</v>
      </c>
      <c r="G26" s="12">
        <v>207</v>
      </c>
      <c r="H26" s="12">
        <v>135</v>
      </c>
      <c r="I26" s="12">
        <v>174</v>
      </c>
      <c r="J26" s="12">
        <v>39</v>
      </c>
      <c r="K26" s="12">
        <v>103</v>
      </c>
      <c r="L26" s="12">
        <v>78</v>
      </c>
      <c r="M26" s="12">
        <v>213</v>
      </c>
      <c r="N26" s="12">
        <v>167</v>
      </c>
      <c r="O26" s="12">
        <v>92</v>
      </c>
      <c r="P26" s="12">
        <v>158</v>
      </c>
      <c r="Q26" s="12">
        <v>142</v>
      </c>
      <c r="R26" s="12">
        <v>42</v>
      </c>
      <c r="S26" s="12">
        <v>63</v>
      </c>
      <c r="T26" s="12">
        <v>111</v>
      </c>
      <c r="U26" s="12">
        <v>36</v>
      </c>
      <c r="V26" s="12">
        <v>137</v>
      </c>
      <c r="W26" s="12">
        <v>59</v>
      </c>
      <c r="X26" s="12">
        <v>179</v>
      </c>
      <c r="Y26" s="12">
        <v>146</v>
      </c>
      <c r="Z26" s="12">
        <v>114</v>
      </c>
      <c r="AA26" s="12">
        <v>177</v>
      </c>
      <c r="AB26" s="12">
        <v>195</v>
      </c>
      <c r="AC26" s="12">
        <v>65</v>
      </c>
      <c r="AD26" s="12">
        <v>102</v>
      </c>
      <c r="AE26" s="12">
        <v>170</v>
      </c>
      <c r="AF26" s="12">
        <v>246</v>
      </c>
    </row>
    <row r="27" spans="1:32" ht="31.5" x14ac:dyDescent="0.35">
      <c r="A27" s="19"/>
      <c r="B27" s="13" t="s">
        <v>1083</v>
      </c>
      <c r="C27" s="15">
        <v>0.15</v>
      </c>
      <c r="D27" s="15">
        <v>0.13</v>
      </c>
      <c r="E27" s="15">
        <v>0.17</v>
      </c>
      <c r="F27" s="15">
        <v>0.11</v>
      </c>
      <c r="G27" s="15">
        <v>0.23</v>
      </c>
      <c r="H27" s="15">
        <v>0.12</v>
      </c>
      <c r="I27" s="15">
        <v>0.12</v>
      </c>
      <c r="J27" s="15">
        <v>0.14000000000000001</v>
      </c>
      <c r="K27" s="15">
        <v>0.11</v>
      </c>
      <c r="L27" s="15">
        <v>0.08</v>
      </c>
      <c r="M27" s="15">
        <v>0.24</v>
      </c>
      <c r="N27" s="15">
        <v>0.19</v>
      </c>
      <c r="O27" s="15">
        <v>0.1</v>
      </c>
      <c r="P27" s="15">
        <v>0.17</v>
      </c>
      <c r="Q27" s="15">
        <v>0.16</v>
      </c>
      <c r="R27" s="15">
        <v>0.09</v>
      </c>
      <c r="S27" s="15">
        <v>7.0000000000000007E-2</v>
      </c>
      <c r="T27" s="15">
        <v>0.11</v>
      </c>
      <c r="U27" s="15">
        <v>7.0000000000000007E-2</v>
      </c>
      <c r="V27" s="15">
        <v>0.15</v>
      </c>
      <c r="W27" s="15">
        <v>0.12</v>
      </c>
      <c r="X27" s="15">
        <v>0.19</v>
      </c>
      <c r="Y27" s="15">
        <v>0.17</v>
      </c>
      <c r="Z27" s="15">
        <v>0.12</v>
      </c>
      <c r="AA27" s="15">
        <v>0.19</v>
      </c>
      <c r="AB27" s="15">
        <v>0.21</v>
      </c>
      <c r="AC27" s="15">
        <v>7.0000000000000007E-2</v>
      </c>
      <c r="AD27" s="15">
        <v>0.1</v>
      </c>
      <c r="AE27" s="15">
        <v>0.18</v>
      </c>
      <c r="AF27" s="15">
        <v>0.26</v>
      </c>
    </row>
    <row r="28" spans="1:32" ht="41.5" x14ac:dyDescent="0.35">
      <c r="A28" s="19"/>
      <c r="B28" s="11" t="s">
        <v>1084</v>
      </c>
      <c r="C28" s="12">
        <v>2984</v>
      </c>
      <c r="D28" s="12">
        <v>131</v>
      </c>
      <c r="E28" s="12">
        <v>100</v>
      </c>
      <c r="F28" s="12">
        <v>161</v>
      </c>
      <c r="G28" s="12">
        <v>145</v>
      </c>
      <c r="H28" s="12">
        <v>87</v>
      </c>
      <c r="I28" s="12">
        <v>108</v>
      </c>
      <c r="J28" s="12">
        <v>21</v>
      </c>
      <c r="K28" s="12">
        <v>146</v>
      </c>
      <c r="L28" s="12">
        <v>96</v>
      </c>
      <c r="M28" s="12">
        <v>50</v>
      </c>
      <c r="N28" s="12">
        <v>133</v>
      </c>
      <c r="O28" s="12">
        <v>105</v>
      </c>
      <c r="P28" s="12">
        <v>166</v>
      </c>
      <c r="Q28" s="12">
        <v>124</v>
      </c>
      <c r="R28" s="12">
        <v>87</v>
      </c>
      <c r="S28" s="12">
        <v>87</v>
      </c>
      <c r="T28" s="12">
        <v>166</v>
      </c>
      <c r="U28" s="12">
        <v>70</v>
      </c>
      <c r="V28" s="12">
        <v>167</v>
      </c>
      <c r="W28" s="12">
        <v>112</v>
      </c>
      <c r="X28" s="12">
        <v>96</v>
      </c>
      <c r="Y28" s="12">
        <v>155</v>
      </c>
      <c r="Z28" s="12">
        <v>144</v>
      </c>
      <c r="AA28" s="12">
        <v>123</v>
      </c>
      <c r="AB28" s="12">
        <v>178</v>
      </c>
      <c r="AC28" s="12">
        <v>108</v>
      </c>
      <c r="AD28" s="12">
        <v>107</v>
      </c>
      <c r="AE28" s="12">
        <v>93</v>
      </c>
      <c r="AF28" s="12">
        <v>86</v>
      </c>
    </row>
    <row r="29" spans="1:32" ht="31.5" x14ac:dyDescent="0.35">
      <c r="A29" s="19"/>
      <c r="B29" s="13" t="s">
        <v>1085</v>
      </c>
      <c r="C29" s="15">
        <v>0.12</v>
      </c>
      <c r="D29" s="15">
        <v>0.14000000000000001</v>
      </c>
      <c r="E29" s="15">
        <v>0.11</v>
      </c>
      <c r="F29" s="15">
        <v>0.16</v>
      </c>
      <c r="G29" s="15">
        <v>0.16</v>
      </c>
      <c r="H29" s="15">
        <v>7.0000000000000007E-2</v>
      </c>
      <c r="I29" s="15">
        <v>7.0000000000000007E-2</v>
      </c>
      <c r="J29" s="15">
        <v>7.0000000000000007E-2</v>
      </c>
      <c r="K29" s="15">
        <v>0.16</v>
      </c>
      <c r="L29" s="15">
        <v>0.1</v>
      </c>
      <c r="M29" s="15">
        <v>0.05</v>
      </c>
      <c r="N29" s="15">
        <v>0.15</v>
      </c>
      <c r="O29" s="15">
        <v>0.12</v>
      </c>
      <c r="P29" s="15">
        <v>0.18</v>
      </c>
      <c r="Q29" s="15">
        <v>0.13</v>
      </c>
      <c r="R29" s="15">
        <v>0.19</v>
      </c>
      <c r="S29" s="15">
        <v>0.09</v>
      </c>
      <c r="T29" s="15">
        <v>0.18</v>
      </c>
      <c r="U29" s="15">
        <v>0.15</v>
      </c>
      <c r="V29" s="15">
        <v>0.18</v>
      </c>
      <c r="W29" s="15">
        <v>0.24</v>
      </c>
      <c r="X29" s="15">
        <v>0.1</v>
      </c>
      <c r="Y29" s="15">
        <v>0.18</v>
      </c>
      <c r="Z29" s="15">
        <v>0.15</v>
      </c>
      <c r="AA29" s="15">
        <v>0.13</v>
      </c>
      <c r="AB29" s="15">
        <v>0.19</v>
      </c>
      <c r="AC29" s="15">
        <v>0.11</v>
      </c>
      <c r="AD29" s="15">
        <v>0.11</v>
      </c>
      <c r="AE29" s="15">
        <v>0.1</v>
      </c>
      <c r="AF29" s="15">
        <v>0.08</v>
      </c>
    </row>
    <row r="30" spans="1:32" ht="21.5" x14ac:dyDescent="0.35">
      <c r="A30" s="19"/>
      <c r="B30" s="11" t="s">
        <v>1086</v>
      </c>
      <c r="C30" s="12">
        <v>2080</v>
      </c>
      <c r="D30" s="12">
        <v>71</v>
      </c>
      <c r="E30" s="12">
        <v>64</v>
      </c>
      <c r="F30" s="12">
        <v>91</v>
      </c>
      <c r="G30" s="12">
        <v>126</v>
      </c>
      <c r="H30" s="12">
        <v>69</v>
      </c>
      <c r="I30" s="12">
        <v>83</v>
      </c>
      <c r="J30" s="12">
        <v>15</v>
      </c>
      <c r="K30" s="12">
        <v>51</v>
      </c>
      <c r="L30" s="12">
        <v>67</v>
      </c>
      <c r="M30" s="12">
        <v>39</v>
      </c>
      <c r="N30" s="12">
        <v>49</v>
      </c>
      <c r="O30" s="12">
        <v>113</v>
      </c>
      <c r="P30" s="12">
        <v>46</v>
      </c>
      <c r="Q30" s="12">
        <v>92</v>
      </c>
      <c r="R30" s="12">
        <v>39</v>
      </c>
      <c r="S30" s="12">
        <v>64</v>
      </c>
      <c r="T30" s="12">
        <v>46</v>
      </c>
      <c r="U30" s="12">
        <v>22</v>
      </c>
      <c r="V30" s="12">
        <v>123</v>
      </c>
      <c r="W30" s="12">
        <v>67</v>
      </c>
      <c r="X30" s="12">
        <v>93</v>
      </c>
      <c r="Y30" s="12">
        <v>120</v>
      </c>
      <c r="Z30" s="12">
        <v>58</v>
      </c>
      <c r="AA30" s="12">
        <v>72</v>
      </c>
      <c r="AB30" s="12">
        <v>112</v>
      </c>
      <c r="AC30" s="12">
        <v>83</v>
      </c>
      <c r="AD30" s="12">
        <v>42</v>
      </c>
      <c r="AE30" s="12">
        <v>103</v>
      </c>
      <c r="AF30" s="12">
        <v>143</v>
      </c>
    </row>
    <row r="31" spans="1:32" ht="21.5" x14ac:dyDescent="0.35">
      <c r="A31" s="19"/>
      <c r="B31" s="13" t="s">
        <v>1087</v>
      </c>
      <c r="C31" s="15">
        <v>0.08</v>
      </c>
      <c r="D31" s="15">
        <v>7.0000000000000007E-2</v>
      </c>
      <c r="E31" s="15">
        <v>7.0000000000000007E-2</v>
      </c>
      <c r="F31" s="15">
        <v>0.09</v>
      </c>
      <c r="G31" s="15">
        <v>0.13</v>
      </c>
      <c r="H31" s="15">
        <v>0.06</v>
      </c>
      <c r="I31" s="15">
        <v>0.06</v>
      </c>
      <c r="J31" s="15">
        <v>0.05</v>
      </c>
      <c r="K31" s="15">
        <v>0.05</v>
      </c>
      <c r="L31" s="15">
        <v>7.0000000000000007E-2</v>
      </c>
      <c r="M31" s="15">
        <v>0.04</v>
      </c>
      <c r="N31" s="15">
        <v>0.05</v>
      </c>
      <c r="O31" s="15">
        <v>0.13</v>
      </c>
      <c r="P31" s="15">
        <v>0.05</v>
      </c>
      <c r="Q31" s="15">
        <v>0.1</v>
      </c>
      <c r="R31" s="15">
        <v>0.09</v>
      </c>
      <c r="S31" s="15">
        <v>7.0000000000000007E-2</v>
      </c>
      <c r="T31" s="15">
        <v>0.05</v>
      </c>
      <c r="U31" s="15">
        <v>0.04</v>
      </c>
      <c r="V31" s="15">
        <v>0.13</v>
      </c>
      <c r="W31" s="15">
        <v>0.14000000000000001</v>
      </c>
      <c r="X31" s="15">
        <v>0.1</v>
      </c>
      <c r="Y31" s="15">
        <v>0.13</v>
      </c>
      <c r="Z31" s="15">
        <v>0.06</v>
      </c>
      <c r="AA31" s="15">
        <v>7.0000000000000007E-2</v>
      </c>
      <c r="AB31" s="15">
        <v>0.11</v>
      </c>
      <c r="AC31" s="15">
        <v>0.08</v>
      </c>
      <c r="AD31" s="15">
        <v>0.04</v>
      </c>
      <c r="AE31" s="15">
        <v>0.1</v>
      </c>
      <c r="AF31" s="15">
        <v>0.14000000000000001</v>
      </c>
    </row>
    <row r="32" spans="1:32" ht="31.5" x14ac:dyDescent="0.35">
      <c r="A32" s="19"/>
      <c r="B32" s="11" t="s">
        <v>1088</v>
      </c>
      <c r="C32" s="12">
        <v>3343</v>
      </c>
      <c r="D32" s="12">
        <v>123</v>
      </c>
      <c r="E32" s="12">
        <v>92</v>
      </c>
      <c r="F32" s="12">
        <v>117</v>
      </c>
      <c r="G32" s="12">
        <v>197</v>
      </c>
      <c r="H32" s="12">
        <v>155</v>
      </c>
      <c r="I32" s="12">
        <v>206</v>
      </c>
      <c r="J32" s="12">
        <v>51</v>
      </c>
      <c r="K32" s="12">
        <v>88</v>
      </c>
      <c r="L32" s="12">
        <v>96</v>
      </c>
      <c r="M32" s="12">
        <v>63</v>
      </c>
      <c r="N32" s="12">
        <v>124</v>
      </c>
      <c r="O32" s="12">
        <v>140</v>
      </c>
      <c r="P32" s="12">
        <v>101</v>
      </c>
      <c r="Q32" s="12">
        <v>129</v>
      </c>
      <c r="R32" s="12">
        <v>74</v>
      </c>
      <c r="S32" s="12">
        <v>76</v>
      </c>
      <c r="T32" s="12">
        <v>105</v>
      </c>
      <c r="U32" s="12">
        <v>69</v>
      </c>
      <c r="V32" s="12">
        <v>90</v>
      </c>
      <c r="W32" s="12">
        <v>96</v>
      </c>
      <c r="X32" s="12">
        <v>155</v>
      </c>
      <c r="Y32" s="12">
        <v>161</v>
      </c>
      <c r="Z32" s="12">
        <v>77</v>
      </c>
      <c r="AA32" s="12">
        <v>120</v>
      </c>
      <c r="AB32" s="12">
        <v>101</v>
      </c>
      <c r="AC32" s="12">
        <v>95</v>
      </c>
      <c r="AD32" s="12">
        <v>72</v>
      </c>
      <c r="AE32" s="12">
        <v>235</v>
      </c>
      <c r="AF32" s="12">
        <v>296</v>
      </c>
    </row>
    <row r="33" spans="1:32" ht="31.5" x14ac:dyDescent="0.35">
      <c r="A33" s="19"/>
      <c r="B33" s="13" t="s">
        <v>1089</v>
      </c>
      <c r="C33" s="15">
        <v>0.14000000000000001</v>
      </c>
      <c r="D33" s="15">
        <v>0.13</v>
      </c>
      <c r="E33" s="15">
        <v>0.1</v>
      </c>
      <c r="F33" s="15">
        <v>0.11</v>
      </c>
      <c r="G33" s="15">
        <v>0.22</v>
      </c>
      <c r="H33" s="15">
        <v>0.13</v>
      </c>
      <c r="I33" s="15">
        <v>0.14000000000000001</v>
      </c>
      <c r="J33" s="15">
        <v>0.18</v>
      </c>
      <c r="K33" s="15">
        <v>0.09</v>
      </c>
      <c r="L33" s="15">
        <v>0.1</v>
      </c>
      <c r="M33" s="15">
        <v>7.0000000000000007E-2</v>
      </c>
      <c r="N33" s="15">
        <v>0.14000000000000001</v>
      </c>
      <c r="O33" s="15">
        <v>0.16</v>
      </c>
      <c r="P33" s="15">
        <v>0.1</v>
      </c>
      <c r="Q33" s="15">
        <v>0.14000000000000001</v>
      </c>
      <c r="R33" s="15">
        <v>0.17</v>
      </c>
      <c r="S33" s="15">
        <v>0.08</v>
      </c>
      <c r="T33" s="15">
        <v>0.11</v>
      </c>
      <c r="U33" s="15">
        <v>0.14000000000000001</v>
      </c>
      <c r="V33" s="15">
        <v>0.09</v>
      </c>
      <c r="W33" s="15">
        <v>0.2</v>
      </c>
      <c r="X33" s="15">
        <v>0.16</v>
      </c>
      <c r="Y33" s="15">
        <v>0.18</v>
      </c>
      <c r="Z33" s="15">
        <v>0.08</v>
      </c>
      <c r="AA33" s="15">
        <v>0.12</v>
      </c>
      <c r="AB33" s="15">
        <v>0.1</v>
      </c>
      <c r="AC33" s="15">
        <v>0.1</v>
      </c>
      <c r="AD33" s="15">
        <v>7.0000000000000007E-2</v>
      </c>
      <c r="AE33" s="15">
        <v>0.26</v>
      </c>
      <c r="AF33" s="15">
        <v>0.32</v>
      </c>
    </row>
    <row r="34" spans="1:32" x14ac:dyDescent="0.35">
      <c r="A34" s="19"/>
      <c r="B34" s="11" t="s">
        <v>611</v>
      </c>
      <c r="C34" s="12">
        <v>63</v>
      </c>
      <c r="D34" s="12">
        <v>1</v>
      </c>
      <c r="E34" s="12">
        <v>3</v>
      </c>
      <c r="F34" s="12">
        <v>3</v>
      </c>
      <c r="G34" s="12">
        <v>1</v>
      </c>
      <c r="H34" s="12">
        <v>8</v>
      </c>
      <c r="I34" s="12">
        <v>8</v>
      </c>
      <c r="J34" s="12">
        <v>0</v>
      </c>
      <c r="K34" s="12">
        <v>15</v>
      </c>
      <c r="L34" s="12">
        <v>0</v>
      </c>
      <c r="M34" s="12">
        <v>2</v>
      </c>
      <c r="N34" s="12">
        <v>2</v>
      </c>
      <c r="O34" s="12">
        <v>0</v>
      </c>
      <c r="P34" s="12">
        <v>0</v>
      </c>
      <c r="Q34" s="12">
        <v>3</v>
      </c>
      <c r="R34" s="12">
        <v>0</v>
      </c>
      <c r="S34" s="12">
        <v>8</v>
      </c>
      <c r="T34" s="12">
        <v>5</v>
      </c>
      <c r="U34" s="12">
        <v>1</v>
      </c>
      <c r="V34" s="12">
        <v>0</v>
      </c>
      <c r="W34" s="12">
        <v>0</v>
      </c>
      <c r="X34" s="12">
        <v>3</v>
      </c>
      <c r="Y34" s="12">
        <v>13</v>
      </c>
      <c r="Z34" s="12">
        <v>0</v>
      </c>
      <c r="AA34" s="12">
        <v>3</v>
      </c>
      <c r="AB34" s="12">
        <v>0</v>
      </c>
      <c r="AC34" s="12">
        <v>1</v>
      </c>
      <c r="AD34" s="12">
        <v>2</v>
      </c>
      <c r="AE34" s="12">
        <v>2</v>
      </c>
      <c r="AF34" s="12">
        <v>0</v>
      </c>
    </row>
    <row r="35" spans="1:32" x14ac:dyDescent="0.35">
      <c r="A35" s="19"/>
      <c r="B35" s="13" t="s">
        <v>612</v>
      </c>
      <c r="C35" s="14" t="s">
        <v>475</v>
      </c>
      <c r="D35" s="14" t="s">
        <v>475</v>
      </c>
      <c r="E35" s="14" t="s">
        <v>475</v>
      </c>
      <c r="F35" s="14" t="s">
        <v>475</v>
      </c>
      <c r="G35" s="14" t="s">
        <v>475</v>
      </c>
      <c r="H35" s="15">
        <v>0.01</v>
      </c>
      <c r="I35" s="15">
        <v>0.01</v>
      </c>
      <c r="J35" s="14" t="s">
        <v>475</v>
      </c>
      <c r="K35" s="15">
        <v>0.02</v>
      </c>
      <c r="L35" s="14" t="s">
        <v>475</v>
      </c>
      <c r="M35" s="14" t="s">
        <v>475</v>
      </c>
      <c r="N35" s="14" t="s">
        <v>475</v>
      </c>
      <c r="O35" s="14" t="s">
        <v>475</v>
      </c>
      <c r="P35" s="14" t="s">
        <v>475</v>
      </c>
      <c r="Q35" s="14" t="s">
        <v>475</v>
      </c>
      <c r="R35" s="14" t="s">
        <v>475</v>
      </c>
      <c r="S35" s="15">
        <v>0.01</v>
      </c>
      <c r="T35" s="15">
        <v>0.01</v>
      </c>
      <c r="U35" s="14" t="s">
        <v>475</v>
      </c>
      <c r="V35" s="14" t="s">
        <v>475</v>
      </c>
      <c r="W35" s="14" t="s">
        <v>475</v>
      </c>
      <c r="X35" s="14" t="s">
        <v>475</v>
      </c>
      <c r="Y35" s="15">
        <v>0.01</v>
      </c>
      <c r="Z35" s="14" t="s">
        <v>475</v>
      </c>
      <c r="AA35" s="14" t="s">
        <v>475</v>
      </c>
      <c r="AB35" s="14" t="s">
        <v>475</v>
      </c>
      <c r="AC35" s="14" t="s">
        <v>475</v>
      </c>
      <c r="AD35" s="14" t="s">
        <v>475</v>
      </c>
      <c r="AE35" s="14" t="s">
        <v>475</v>
      </c>
      <c r="AF35" s="14" t="s">
        <v>475</v>
      </c>
    </row>
    <row r="36" spans="1:32" x14ac:dyDescent="0.35">
      <c r="A36" s="19"/>
      <c r="B36" s="11" t="s">
        <v>613</v>
      </c>
      <c r="C36" s="12">
        <v>524</v>
      </c>
      <c r="D36" s="12">
        <v>8</v>
      </c>
      <c r="E36" s="12">
        <v>23</v>
      </c>
      <c r="F36" s="12">
        <v>9</v>
      </c>
      <c r="G36" s="12">
        <v>17</v>
      </c>
      <c r="H36" s="12">
        <v>20</v>
      </c>
      <c r="I36" s="12">
        <v>28</v>
      </c>
      <c r="J36" s="12">
        <v>8</v>
      </c>
      <c r="K36" s="12">
        <v>10</v>
      </c>
      <c r="L36" s="12">
        <v>11</v>
      </c>
      <c r="M36" s="12">
        <v>22</v>
      </c>
      <c r="N36" s="12">
        <v>32</v>
      </c>
      <c r="O36" s="12">
        <v>42</v>
      </c>
      <c r="P36" s="12">
        <v>4</v>
      </c>
      <c r="Q36" s="12">
        <v>11</v>
      </c>
      <c r="R36" s="12">
        <v>8</v>
      </c>
      <c r="S36" s="12">
        <v>18</v>
      </c>
      <c r="T36" s="12">
        <v>16</v>
      </c>
      <c r="U36" s="12">
        <v>10</v>
      </c>
      <c r="V36" s="12">
        <v>8</v>
      </c>
      <c r="W36" s="12">
        <v>9</v>
      </c>
      <c r="X36" s="12">
        <v>15</v>
      </c>
      <c r="Y36" s="12">
        <v>20</v>
      </c>
      <c r="Z36" s="12">
        <v>4</v>
      </c>
      <c r="AA36" s="12">
        <v>2</v>
      </c>
      <c r="AB36" s="12">
        <v>16</v>
      </c>
      <c r="AC36" s="12">
        <v>12</v>
      </c>
      <c r="AD36" s="12">
        <v>9</v>
      </c>
      <c r="AE36" s="12">
        <v>11</v>
      </c>
      <c r="AF36" s="12">
        <v>42</v>
      </c>
    </row>
    <row r="37" spans="1:32" x14ac:dyDescent="0.35">
      <c r="A37" s="19"/>
      <c r="B37" s="13" t="s">
        <v>614</v>
      </c>
      <c r="C37" s="15">
        <v>0.02</v>
      </c>
      <c r="D37" s="15">
        <v>0.01</v>
      </c>
      <c r="E37" s="15">
        <v>0.02</v>
      </c>
      <c r="F37" s="15">
        <v>0.01</v>
      </c>
      <c r="G37" s="15">
        <v>0.02</v>
      </c>
      <c r="H37" s="15">
        <v>0.02</v>
      </c>
      <c r="I37" s="15">
        <v>0.02</v>
      </c>
      <c r="J37" s="15">
        <v>0.03</v>
      </c>
      <c r="K37" s="15">
        <v>0.01</v>
      </c>
      <c r="L37" s="15">
        <v>0.01</v>
      </c>
      <c r="M37" s="15">
        <v>0.02</v>
      </c>
      <c r="N37" s="15">
        <v>0.03</v>
      </c>
      <c r="O37" s="15">
        <v>0.04</v>
      </c>
      <c r="P37" s="14" t="s">
        <v>475</v>
      </c>
      <c r="Q37" s="15">
        <v>0.01</v>
      </c>
      <c r="R37" s="15">
        <v>0.02</v>
      </c>
      <c r="S37" s="15">
        <v>0.02</v>
      </c>
      <c r="T37" s="15">
        <v>0.02</v>
      </c>
      <c r="U37" s="15">
        <v>0.02</v>
      </c>
      <c r="V37" s="15">
        <v>0.01</v>
      </c>
      <c r="W37" s="15">
        <v>0.02</v>
      </c>
      <c r="X37" s="15">
        <v>0.01</v>
      </c>
      <c r="Y37" s="15">
        <v>0.02</v>
      </c>
      <c r="Z37" s="14" t="s">
        <v>475</v>
      </c>
      <c r="AA37" s="14" t="s">
        <v>475</v>
      </c>
      <c r="AB37" s="15">
        <v>0.02</v>
      </c>
      <c r="AC37" s="15">
        <v>0.01</v>
      </c>
      <c r="AD37" s="15">
        <v>0.01</v>
      </c>
      <c r="AE37" s="15">
        <v>0.01</v>
      </c>
      <c r="AF37" s="15">
        <v>0.04</v>
      </c>
    </row>
    <row r="38" spans="1:32" x14ac:dyDescent="0.35">
      <c r="A38" s="19"/>
      <c r="B38" s="11" t="s">
        <v>485</v>
      </c>
      <c r="C38" s="12">
        <v>323</v>
      </c>
      <c r="D38" s="12">
        <v>4</v>
      </c>
      <c r="E38" s="12">
        <v>30</v>
      </c>
      <c r="F38" s="12">
        <v>23</v>
      </c>
      <c r="G38" s="12">
        <v>9</v>
      </c>
      <c r="H38" s="12">
        <v>6</v>
      </c>
      <c r="I38" s="12">
        <v>8</v>
      </c>
      <c r="J38" s="12">
        <v>2</v>
      </c>
      <c r="K38" s="12">
        <v>22</v>
      </c>
      <c r="L38" s="12">
        <v>10</v>
      </c>
      <c r="M38" s="12">
        <v>14</v>
      </c>
      <c r="N38" s="12">
        <v>17</v>
      </c>
      <c r="O38" s="12">
        <v>25</v>
      </c>
      <c r="P38" s="12">
        <v>2</v>
      </c>
      <c r="Q38" s="12">
        <v>10</v>
      </c>
      <c r="R38" s="12">
        <v>3</v>
      </c>
      <c r="S38" s="12">
        <v>31</v>
      </c>
      <c r="T38" s="12">
        <v>5</v>
      </c>
      <c r="U38" s="12">
        <v>5</v>
      </c>
      <c r="V38" s="12">
        <v>9</v>
      </c>
      <c r="W38" s="12">
        <v>6</v>
      </c>
      <c r="X38" s="12">
        <v>10</v>
      </c>
      <c r="Y38" s="12">
        <v>5</v>
      </c>
      <c r="Z38" s="12">
        <v>7</v>
      </c>
      <c r="AA38" s="12">
        <v>11</v>
      </c>
      <c r="AB38" s="12">
        <v>7</v>
      </c>
      <c r="AC38" s="12">
        <v>4</v>
      </c>
      <c r="AD38" s="12">
        <v>8</v>
      </c>
      <c r="AE38" s="12">
        <v>39</v>
      </c>
      <c r="AF38" s="12">
        <v>2</v>
      </c>
    </row>
    <row r="39" spans="1:32" x14ac:dyDescent="0.35">
      <c r="A39" s="19"/>
      <c r="B39" s="13" t="s">
        <v>486</v>
      </c>
      <c r="C39" s="15">
        <v>0.01</v>
      </c>
      <c r="D39" s="14" t="s">
        <v>475</v>
      </c>
      <c r="E39" s="15">
        <v>0.03</v>
      </c>
      <c r="F39" s="15">
        <v>0.02</v>
      </c>
      <c r="G39" s="15">
        <v>0.01</v>
      </c>
      <c r="H39" s="15">
        <v>0.01</v>
      </c>
      <c r="I39" s="15">
        <v>0.01</v>
      </c>
      <c r="J39" s="15">
        <v>0.01</v>
      </c>
      <c r="K39" s="15">
        <v>0.02</v>
      </c>
      <c r="L39" s="15">
        <v>0.01</v>
      </c>
      <c r="M39" s="15">
        <v>0.01</v>
      </c>
      <c r="N39" s="15">
        <v>0.02</v>
      </c>
      <c r="O39" s="15">
        <v>0.03</v>
      </c>
      <c r="P39" s="14" t="s">
        <v>475</v>
      </c>
      <c r="Q39" s="15">
        <v>0.01</v>
      </c>
      <c r="R39" s="15">
        <v>0.01</v>
      </c>
      <c r="S39" s="15">
        <v>0.03</v>
      </c>
      <c r="T39" s="15">
        <v>0.01</v>
      </c>
      <c r="U39" s="15">
        <v>0.01</v>
      </c>
      <c r="V39" s="15">
        <v>0.01</v>
      </c>
      <c r="W39" s="15">
        <v>0.01</v>
      </c>
      <c r="X39" s="15">
        <v>0.01</v>
      </c>
      <c r="Y39" s="15">
        <v>0.01</v>
      </c>
      <c r="Z39" s="15">
        <v>0.01</v>
      </c>
      <c r="AA39" s="15">
        <v>0.01</v>
      </c>
      <c r="AB39" s="15">
        <v>0.01</v>
      </c>
      <c r="AC39" s="14" t="s">
        <v>475</v>
      </c>
      <c r="AD39" s="15">
        <v>0.01</v>
      </c>
      <c r="AE39" s="15">
        <v>0.04</v>
      </c>
      <c r="AF39" s="14" t="s">
        <v>475</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3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221</v>
      </c>
      <c r="C3" s="18"/>
      <c r="D3" s="18"/>
      <c r="E3" s="18"/>
      <c r="F3" s="18"/>
      <c r="H3" s="18" t="s">
        <v>222</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HYPERLINK("#Content!A113","&lt;&lt;Back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19"/>
      <c r="B12" s="11" t="s">
        <v>1068</v>
      </c>
      <c r="C12" s="12">
        <v>11825</v>
      </c>
      <c r="D12" s="12">
        <v>463</v>
      </c>
      <c r="E12" s="12">
        <v>455</v>
      </c>
      <c r="F12" s="12">
        <v>511</v>
      </c>
      <c r="G12" s="12">
        <v>508</v>
      </c>
      <c r="H12" s="12">
        <v>762</v>
      </c>
      <c r="I12" s="12">
        <v>935</v>
      </c>
      <c r="J12" s="12">
        <v>173</v>
      </c>
      <c r="K12" s="12">
        <v>378</v>
      </c>
      <c r="L12" s="12">
        <v>363</v>
      </c>
      <c r="M12" s="12">
        <v>563</v>
      </c>
      <c r="N12" s="12">
        <v>378</v>
      </c>
      <c r="O12" s="12">
        <v>479</v>
      </c>
      <c r="P12" s="12">
        <v>438</v>
      </c>
      <c r="Q12" s="12">
        <v>359</v>
      </c>
      <c r="R12" s="12">
        <v>248</v>
      </c>
      <c r="S12" s="12">
        <v>406</v>
      </c>
      <c r="T12" s="12">
        <v>467</v>
      </c>
      <c r="U12" s="12">
        <v>275</v>
      </c>
      <c r="V12" s="12">
        <v>279</v>
      </c>
      <c r="W12" s="12">
        <v>178</v>
      </c>
      <c r="X12" s="12">
        <v>456</v>
      </c>
      <c r="Y12" s="12">
        <v>396</v>
      </c>
      <c r="Z12" s="12">
        <v>417</v>
      </c>
      <c r="AA12" s="12">
        <v>334</v>
      </c>
      <c r="AB12" s="12">
        <v>271</v>
      </c>
      <c r="AC12" s="12">
        <v>465</v>
      </c>
      <c r="AD12" s="12">
        <v>420</v>
      </c>
      <c r="AE12" s="12">
        <v>459</v>
      </c>
      <c r="AF12" s="12">
        <v>509</v>
      </c>
    </row>
    <row r="13" spans="1:32" ht="21.5" x14ac:dyDescent="0.35">
      <c r="A13" s="19"/>
      <c r="B13" s="13" t="s">
        <v>1069</v>
      </c>
      <c r="C13" s="15">
        <v>0.45</v>
      </c>
      <c r="D13" s="15">
        <v>0.46</v>
      </c>
      <c r="E13" s="15">
        <v>0.44</v>
      </c>
      <c r="F13" s="15">
        <v>0.46</v>
      </c>
      <c r="G13" s="15">
        <v>0.5</v>
      </c>
      <c r="H13" s="15">
        <v>0.62</v>
      </c>
      <c r="I13" s="15">
        <v>0.62</v>
      </c>
      <c r="J13" s="15">
        <v>0.59</v>
      </c>
      <c r="K13" s="15">
        <v>0.38</v>
      </c>
      <c r="L13" s="15">
        <v>0.36</v>
      </c>
      <c r="M13" s="15">
        <v>0.56000000000000005</v>
      </c>
      <c r="N13" s="15">
        <v>0.38</v>
      </c>
      <c r="O13" s="15">
        <v>0.48</v>
      </c>
      <c r="P13" s="15">
        <v>0.44</v>
      </c>
      <c r="Q13" s="15">
        <v>0.35</v>
      </c>
      <c r="R13" s="15">
        <v>0.49</v>
      </c>
      <c r="S13" s="15">
        <v>0.41</v>
      </c>
      <c r="T13" s="15">
        <v>0.46</v>
      </c>
      <c r="U13" s="15">
        <v>0.54</v>
      </c>
      <c r="V13" s="15">
        <v>0.27</v>
      </c>
      <c r="W13" s="15">
        <v>0.35</v>
      </c>
      <c r="X13" s="15">
        <v>0.45</v>
      </c>
      <c r="Y13" s="15">
        <v>0.39</v>
      </c>
      <c r="Z13" s="15">
        <v>0.4</v>
      </c>
      <c r="AA13" s="15">
        <v>0.32</v>
      </c>
      <c r="AB13" s="15">
        <v>0.26</v>
      </c>
      <c r="AC13" s="15">
        <v>0.46</v>
      </c>
      <c r="AD13" s="15">
        <v>0.42</v>
      </c>
      <c r="AE13" s="15">
        <v>0.45</v>
      </c>
      <c r="AF13" s="15">
        <v>0.49</v>
      </c>
    </row>
    <row r="14" spans="1:32" ht="41.5" x14ac:dyDescent="0.35">
      <c r="A14" s="19"/>
      <c r="B14" s="11" t="s">
        <v>1070</v>
      </c>
      <c r="C14" s="12">
        <v>13707</v>
      </c>
      <c r="D14" s="12">
        <v>416</v>
      </c>
      <c r="E14" s="12">
        <v>687</v>
      </c>
      <c r="F14" s="12">
        <v>640</v>
      </c>
      <c r="G14" s="12">
        <v>478</v>
      </c>
      <c r="H14" s="12">
        <v>781</v>
      </c>
      <c r="I14" s="12">
        <v>963</v>
      </c>
      <c r="J14" s="12">
        <v>182</v>
      </c>
      <c r="K14" s="12">
        <v>634</v>
      </c>
      <c r="L14" s="12">
        <v>651</v>
      </c>
      <c r="M14" s="12">
        <v>686</v>
      </c>
      <c r="N14" s="12">
        <v>535</v>
      </c>
      <c r="O14" s="12">
        <v>369</v>
      </c>
      <c r="P14" s="12">
        <v>585</v>
      </c>
      <c r="Q14" s="12">
        <v>463</v>
      </c>
      <c r="R14" s="12">
        <v>275</v>
      </c>
      <c r="S14" s="12">
        <v>665</v>
      </c>
      <c r="T14" s="12">
        <v>725</v>
      </c>
      <c r="U14" s="12">
        <v>318</v>
      </c>
      <c r="V14" s="12">
        <v>487</v>
      </c>
      <c r="W14" s="12">
        <v>189</v>
      </c>
      <c r="X14" s="12">
        <v>519</v>
      </c>
      <c r="Y14" s="12">
        <v>454</v>
      </c>
      <c r="Z14" s="12">
        <v>540</v>
      </c>
      <c r="AA14" s="12">
        <v>484</v>
      </c>
      <c r="AB14" s="12">
        <v>460</v>
      </c>
      <c r="AC14" s="12">
        <v>550</v>
      </c>
      <c r="AD14" s="12">
        <v>729</v>
      </c>
      <c r="AE14" s="12">
        <v>595</v>
      </c>
      <c r="AF14" s="12">
        <v>645</v>
      </c>
    </row>
    <row r="15" spans="1:32" ht="31.5" x14ac:dyDescent="0.35">
      <c r="A15" s="19"/>
      <c r="B15" s="13" t="s">
        <v>1071</v>
      </c>
      <c r="C15" s="15">
        <v>0.52</v>
      </c>
      <c r="D15" s="15">
        <v>0.41</v>
      </c>
      <c r="E15" s="15">
        <v>0.67</v>
      </c>
      <c r="F15" s="15">
        <v>0.57999999999999996</v>
      </c>
      <c r="G15" s="15">
        <v>0.47</v>
      </c>
      <c r="H15" s="15">
        <v>0.64</v>
      </c>
      <c r="I15" s="15">
        <v>0.64</v>
      </c>
      <c r="J15" s="15">
        <v>0.62</v>
      </c>
      <c r="K15" s="15">
        <v>0.63</v>
      </c>
      <c r="L15" s="15">
        <v>0.65</v>
      </c>
      <c r="M15" s="15">
        <v>0.68</v>
      </c>
      <c r="N15" s="15">
        <v>0.53</v>
      </c>
      <c r="O15" s="15">
        <v>0.37</v>
      </c>
      <c r="P15" s="15">
        <v>0.57999999999999996</v>
      </c>
      <c r="Q15" s="15">
        <v>0.45</v>
      </c>
      <c r="R15" s="15">
        <v>0.55000000000000004</v>
      </c>
      <c r="S15" s="15">
        <v>0.66</v>
      </c>
      <c r="T15" s="15">
        <v>0.72</v>
      </c>
      <c r="U15" s="15">
        <v>0.63</v>
      </c>
      <c r="V15" s="15">
        <v>0.48</v>
      </c>
      <c r="W15" s="15">
        <v>0.37</v>
      </c>
      <c r="X15" s="15">
        <v>0.51</v>
      </c>
      <c r="Y15" s="15">
        <v>0.45</v>
      </c>
      <c r="Z15" s="15">
        <v>0.52</v>
      </c>
      <c r="AA15" s="15">
        <v>0.47</v>
      </c>
      <c r="AB15" s="15">
        <v>0.44</v>
      </c>
      <c r="AC15" s="15">
        <v>0.55000000000000004</v>
      </c>
      <c r="AD15" s="15">
        <v>0.73</v>
      </c>
      <c r="AE15" s="15">
        <v>0.59</v>
      </c>
      <c r="AF15" s="15">
        <v>0.62</v>
      </c>
    </row>
    <row r="16" spans="1:32" x14ac:dyDescent="0.35">
      <c r="A16" s="19"/>
      <c r="B16" s="11" t="s">
        <v>1072</v>
      </c>
      <c r="C16" s="12">
        <v>6244</v>
      </c>
      <c r="D16" s="12">
        <v>391</v>
      </c>
      <c r="E16" s="12">
        <v>121</v>
      </c>
      <c r="F16" s="12">
        <v>78</v>
      </c>
      <c r="G16" s="12">
        <v>52</v>
      </c>
      <c r="H16" s="12">
        <v>405</v>
      </c>
      <c r="I16" s="12">
        <v>499</v>
      </c>
      <c r="J16" s="12">
        <v>94</v>
      </c>
      <c r="K16" s="12">
        <v>387</v>
      </c>
      <c r="L16" s="12">
        <v>454</v>
      </c>
      <c r="M16" s="12">
        <v>151</v>
      </c>
      <c r="N16" s="12">
        <v>180</v>
      </c>
      <c r="O16" s="12">
        <v>314</v>
      </c>
      <c r="P16" s="12">
        <v>160</v>
      </c>
      <c r="Q16" s="12">
        <v>206</v>
      </c>
      <c r="R16" s="12">
        <v>48</v>
      </c>
      <c r="S16" s="12">
        <v>314</v>
      </c>
      <c r="T16" s="12">
        <v>161</v>
      </c>
      <c r="U16" s="12">
        <v>173</v>
      </c>
      <c r="V16" s="12">
        <v>214</v>
      </c>
      <c r="W16" s="12">
        <v>155</v>
      </c>
      <c r="X16" s="12">
        <v>361</v>
      </c>
      <c r="Y16" s="12">
        <v>272</v>
      </c>
      <c r="Z16" s="12">
        <v>59</v>
      </c>
      <c r="AA16" s="12">
        <v>263</v>
      </c>
      <c r="AB16" s="12">
        <v>146</v>
      </c>
      <c r="AC16" s="12">
        <v>417</v>
      </c>
      <c r="AD16" s="12">
        <v>337</v>
      </c>
      <c r="AE16" s="12">
        <v>382</v>
      </c>
      <c r="AF16" s="12">
        <v>53</v>
      </c>
    </row>
    <row r="17" spans="1:32" x14ac:dyDescent="0.35">
      <c r="A17" s="19"/>
      <c r="B17" s="13" t="s">
        <v>1073</v>
      </c>
      <c r="C17" s="15">
        <v>0.24</v>
      </c>
      <c r="D17" s="15">
        <v>0.39</v>
      </c>
      <c r="E17" s="15">
        <v>0.12</v>
      </c>
      <c r="F17" s="15">
        <v>7.0000000000000007E-2</v>
      </c>
      <c r="G17" s="15">
        <v>0.05</v>
      </c>
      <c r="H17" s="15">
        <v>0.33</v>
      </c>
      <c r="I17" s="15">
        <v>0.33</v>
      </c>
      <c r="J17" s="15">
        <v>0.32</v>
      </c>
      <c r="K17" s="15">
        <v>0.39</v>
      </c>
      <c r="L17" s="15">
        <v>0.45</v>
      </c>
      <c r="M17" s="15">
        <v>0.15</v>
      </c>
      <c r="N17" s="15">
        <v>0.18</v>
      </c>
      <c r="O17" s="15">
        <v>0.31</v>
      </c>
      <c r="P17" s="15">
        <v>0.16</v>
      </c>
      <c r="Q17" s="15">
        <v>0.2</v>
      </c>
      <c r="R17" s="15">
        <v>0.1</v>
      </c>
      <c r="S17" s="15">
        <v>0.31</v>
      </c>
      <c r="T17" s="15">
        <v>0.16</v>
      </c>
      <c r="U17" s="15">
        <v>0.34</v>
      </c>
      <c r="V17" s="15">
        <v>0.21</v>
      </c>
      <c r="W17" s="15">
        <v>0.31</v>
      </c>
      <c r="X17" s="15">
        <v>0.36</v>
      </c>
      <c r="Y17" s="15">
        <v>0.27</v>
      </c>
      <c r="Z17" s="15">
        <v>0.06</v>
      </c>
      <c r="AA17" s="15">
        <v>0.25</v>
      </c>
      <c r="AB17" s="15">
        <v>0.14000000000000001</v>
      </c>
      <c r="AC17" s="15">
        <v>0.42</v>
      </c>
      <c r="AD17" s="15">
        <v>0.34</v>
      </c>
      <c r="AE17" s="15">
        <v>0.38</v>
      </c>
      <c r="AF17" s="15">
        <v>0.05</v>
      </c>
    </row>
    <row r="18" spans="1:32" ht="21.5" x14ac:dyDescent="0.35">
      <c r="A18" s="19"/>
      <c r="B18" s="11" t="s">
        <v>1074</v>
      </c>
      <c r="C18" s="12">
        <v>6410</v>
      </c>
      <c r="D18" s="12">
        <v>252</v>
      </c>
      <c r="E18" s="12">
        <v>276</v>
      </c>
      <c r="F18" s="12">
        <v>260</v>
      </c>
      <c r="G18" s="12">
        <v>292</v>
      </c>
      <c r="H18" s="12">
        <v>293</v>
      </c>
      <c r="I18" s="12">
        <v>356</v>
      </c>
      <c r="J18" s="12">
        <v>63</v>
      </c>
      <c r="K18" s="12">
        <v>114</v>
      </c>
      <c r="L18" s="12">
        <v>158</v>
      </c>
      <c r="M18" s="12">
        <v>320</v>
      </c>
      <c r="N18" s="12">
        <v>236</v>
      </c>
      <c r="O18" s="12">
        <v>194</v>
      </c>
      <c r="P18" s="12">
        <v>247</v>
      </c>
      <c r="Q18" s="12">
        <v>305</v>
      </c>
      <c r="R18" s="12">
        <v>132</v>
      </c>
      <c r="S18" s="12">
        <v>140</v>
      </c>
      <c r="T18" s="12">
        <v>170</v>
      </c>
      <c r="U18" s="12">
        <v>115</v>
      </c>
      <c r="V18" s="12">
        <v>212</v>
      </c>
      <c r="W18" s="12">
        <v>78</v>
      </c>
      <c r="X18" s="12">
        <v>211</v>
      </c>
      <c r="Y18" s="12">
        <v>205</v>
      </c>
      <c r="Z18" s="12">
        <v>317</v>
      </c>
      <c r="AA18" s="12">
        <v>264</v>
      </c>
      <c r="AB18" s="12">
        <v>268</v>
      </c>
      <c r="AC18" s="12">
        <v>222</v>
      </c>
      <c r="AD18" s="12">
        <v>267</v>
      </c>
      <c r="AE18" s="12">
        <v>137</v>
      </c>
      <c r="AF18" s="12">
        <v>226</v>
      </c>
    </row>
    <row r="19" spans="1:32" ht="21.5" x14ac:dyDescent="0.35">
      <c r="A19" s="19"/>
      <c r="B19" s="13" t="s">
        <v>1075</v>
      </c>
      <c r="C19" s="15">
        <v>0.24</v>
      </c>
      <c r="D19" s="15">
        <v>0.25</v>
      </c>
      <c r="E19" s="15">
        <v>0.27</v>
      </c>
      <c r="F19" s="15">
        <v>0.24</v>
      </c>
      <c r="G19" s="15">
        <v>0.28999999999999998</v>
      </c>
      <c r="H19" s="15">
        <v>0.24</v>
      </c>
      <c r="I19" s="15">
        <v>0.23</v>
      </c>
      <c r="J19" s="15">
        <v>0.21</v>
      </c>
      <c r="K19" s="15">
        <v>0.11</v>
      </c>
      <c r="L19" s="15">
        <v>0.16</v>
      </c>
      <c r="M19" s="15">
        <v>0.32</v>
      </c>
      <c r="N19" s="15">
        <v>0.24</v>
      </c>
      <c r="O19" s="15">
        <v>0.19</v>
      </c>
      <c r="P19" s="15">
        <v>0.25</v>
      </c>
      <c r="Q19" s="15">
        <v>0.3</v>
      </c>
      <c r="R19" s="15">
        <v>0.26</v>
      </c>
      <c r="S19" s="15">
        <v>0.14000000000000001</v>
      </c>
      <c r="T19" s="15">
        <v>0.17</v>
      </c>
      <c r="U19" s="15">
        <v>0.23</v>
      </c>
      <c r="V19" s="15">
        <v>0.21</v>
      </c>
      <c r="W19" s="15">
        <v>0.15</v>
      </c>
      <c r="X19" s="15">
        <v>0.21</v>
      </c>
      <c r="Y19" s="15">
        <v>0.2</v>
      </c>
      <c r="Z19" s="15">
        <v>0.31</v>
      </c>
      <c r="AA19" s="15">
        <v>0.26</v>
      </c>
      <c r="AB19" s="15">
        <v>0.25</v>
      </c>
      <c r="AC19" s="15">
        <v>0.22</v>
      </c>
      <c r="AD19" s="15">
        <v>0.27</v>
      </c>
      <c r="AE19" s="15">
        <v>0.14000000000000001</v>
      </c>
      <c r="AF19" s="15">
        <v>0.22</v>
      </c>
    </row>
    <row r="20" spans="1:32" ht="31.5" x14ac:dyDescent="0.35">
      <c r="A20" s="19"/>
      <c r="B20" s="11" t="s">
        <v>1076</v>
      </c>
      <c r="C20" s="12">
        <v>4808</v>
      </c>
      <c r="D20" s="12">
        <v>181</v>
      </c>
      <c r="E20" s="12">
        <v>163</v>
      </c>
      <c r="F20" s="12">
        <v>295</v>
      </c>
      <c r="G20" s="12">
        <v>124</v>
      </c>
      <c r="H20" s="12">
        <v>165</v>
      </c>
      <c r="I20" s="12">
        <v>212</v>
      </c>
      <c r="J20" s="12">
        <v>47</v>
      </c>
      <c r="K20" s="12">
        <v>234</v>
      </c>
      <c r="L20" s="12">
        <v>143</v>
      </c>
      <c r="M20" s="12">
        <v>212</v>
      </c>
      <c r="N20" s="12">
        <v>121</v>
      </c>
      <c r="O20" s="12">
        <v>201</v>
      </c>
      <c r="P20" s="12">
        <v>297</v>
      </c>
      <c r="Q20" s="12">
        <v>260</v>
      </c>
      <c r="R20" s="12">
        <v>126</v>
      </c>
      <c r="S20" s="12">
        <v>292</v>
      </c>
      <c r="T20" s="12">
        <v>157</v>
      </c>
      <c r="U20" s="12">
        <v>90</v>
      </c>
      <c r="V20" s="12">
        <v>297</v>
      </c>
      <c r="W20" s="12">
        <v>151</v>
      </c>
      <c r="X20" s="12">
        <v>101</v>
      </c>
      <c r="Y20" s="12">
        <v>151</v>
      </c>
      <c r="Z20" s="12">
        <v>188</v>
      </c>
      <c r="AA20" s="12">
        <v>226</v>
      </c>
      <c r="AB20" s="12">
        <v>202</v>
      </c>
      <c r="AC20" s="12">
        <v>205</v>
      </c>
      <c r="AD20" s="12">
        <v>174</v>
      </c>
      <c r="AE20" s="12">
        <v>81</v>
      </c>
      <c r="AF20" s="12">
        <v>225</v>
      </c>
    </row>
    <row r="21" spans="1:32" ht="31.5" x14ac:dyDescent="0.35">
      <c r="A21" s="19"/>
      <c r="B21" s="13" t="s">
        <v>1077</v>
      </c>
      <c r="C21" s="15">
        <v>0.18</v>
      </c>
      <c r="D21" s="15">
        <v>0.18</v>
      </c>
      <c r="E21" s="15">
        <v>0.16</v>
      </c>
      <c r="F21" s="15">
        <v>0.27</v>
      </c>
      <c r="G21" s="15">
        <v>0.12</v>
      </c>
      <c r="H21" s="15">
        <v>0.13</v>
      </c>
      <c r="I21" s="15">
        <v>0.14000000000000001</v>
      </c>
      <c r="J21" s="15">
        <v>0.16</v>
      </c>
      <c r="K21" s="15">
        <v>0.23</v>
      </c>
      <c r="L21" s="15">
        <v>0.14000000000000001</v>
      </c>
      <c r="M21" s="15">
        <v>0.21</v>
      </c>
      <c r="N21" s="15">
        <v>0.12</v>
      </c>
      <c r="O21" s="15">
        <v>0.2</v>
      </c>
      <c r="P21" s="15">
        <v>0.3</v>
      </c>
      <c r="Q21" s="15">
        <v>0.25</v>
      </c>
      <c r="R21" s="15">
        <v>0.25</v>
      </c>
      <c r="S21" s="15">
        <v>0.28999999999999998</v>
      </c>
      <c r="T21" s="15">
        <v>0.16</v>
      </c>
      <c r="U21" s="15">
        <v>0.18</v>
      </c>
      <c r="V21" s="15">
        <v>0.28999999999999998</v>
      </c>
      <c r="W21" s="15">
        <v>0.3</v>
      </c>
      <c r="X21" s="15">
        <v>0.1</v>
      </c>
      <c r="Y21" s="15">
        <v>0.15</v>
      </c>
      <c r="Z21" s="15">
        <v>0.18</v>
      </c>
      <c r="AA21" s="15">
        <v>0.22</v>
      </c>
      <c r="AB21" s="15">
        <v>0.19</v>
      </c>
      <c r="AC21" s="15">
        <v>0.2</v>
      </c>
      <c r="AD21" s="15">
        <v>0.17</v>
      </c>
      <c r="AE21" s="15">
        <v>0.08</v>
      </c>
      <c r="AF21" s="15">
        <v>0.22</v>
      </c>
    </row>
    <row r="22" spans="1:32" ht="21.5" x14ac:dyDescent="0.35">
      <c r="A22" s="19"/>
      <c r="B22" s="11" t="s">
        <v>1078</v>
      </c>
      <c r="C22" s="12">
        <v>2667</v>
      </c>
      <c r="D22" s="12">
        <v>106</v>
      </c>
      <c r="E22" s="12">
        <v>86</v>
      </c>
      <c r="F22" s="12">
        <v>88</v>
      </c>
      <c r="G22" s="12">
        <v>86</v>
      </c>
      <c r="H22" s="12">
        <v>79</v>
      </c>
      <c r="I22" s="12">
        <v>98</v>
      </c>
      <c r="J22" s="12">
        <v>19</v>
      </c>
      <c r="K22" s="12">
        <v>56</v>
      </c>
      <c r="L22" s="12">
        <v>140</v>
      </c>
      <c r="M22" s="12">
        <v>84</v>
      </c>
      <c r="N22" s="12">
        <v>79</v>
      </c>
      <c r="O22" s="12">
        <v>108</v>
      </c>
      <c r="P22" s="12">
        <v>128</v>
      </c>
      <c r="Q22" s="12">
        <v>118</v>
      </c>
      <c r="R22" s="12">
        <v>22</v>
      </c>
      <c r="S22" s="12">
        <v>84</v>
      </c>
      <c r="T22" s="12">
        <v>97</v>
      </c>
      <c r="U22" s="12">
        <v>30</v>
      </c>
      <c r="V22" s="12">
        <v>194</v>
      </c>
      <c r="W22" s="12">
        <v>41</v>
      </c>
      <c r="X22" s="12">
        <v>62</v>
      </c>
      <c r="Y22" s="12">
        <v>113</v>
      </c>
      <c r="Z22" s="12">
        <v>179</v>
      </c>
      <c r="AA22" s="12">
        <v>71</v>
      </c>
      <c r="AB22" s="12">
        <v>195</v>
      </c>
      <c r="AC22" s="12">
        <v>83</v>
      </c>
      <c r="AD22" s="12">
        <v>97</v>
      </c>
      <c r="AE22" s="12">
        <v>49</v>
      </c>
      <c r="AF22" s="12">
        <v>55</v>
      </c>
    </row>
    <row r="23" spans="1:32" ht="21.5" x14ac:dyDescent="0.35">
      <c r="A23" s="19"/>
      <c r="B23" s="13" t="s">
        <v>1079</v>
      </c>
      <c r="C23" s="15">
        <v>0.1</v>
      </c>
      <c r="D23" s="15">
        <v>0.1</v>
      </c>
      <c r="E23" s="15">
        <v>0.08</v>
      </c>
      <c r="F23" s="15">
        <v>0.08</v>
      </c>
      <c r="G23" s="15">
        <v>0.09</v>
      </c>
      <c r="H23" s="15">
        <v>0.06</v>
      </c>
      <c r="I23" s="15">
        <v>0.06</v>
      </c>
      <c r="J23" s="15">
        <v>0.06</v>
      </c>
      <c r="K23" s="15">
        <v>0.06</v>
      </c>
      <c r="L23" s="15">
        <v>0.14000000000000001</v>
      </c>
      <c r="M23" s="15">
        <v>0.08</v>
      </c>
      <c r="N23" s="15">
        <v>0.08</v>
      </c>
      <c r="O23" s="15">
        <v>0.11</v>
      </c>
      <c r="P23" s="15">
        <v>0.13</v>
      </c>
      <c r="Q23" s="15">
        <v>0.12</v>
      </c>
      <c r="R23" s="15">
        <v>0.04</v>
      </c>
      <c r="S23" s="15">
        <v>0.08</v>
      </c>
      <c r="T23" s="15">
        <v>0.1</v>
      </c>
      <c r="U23" s="15">
        <v>0.06</v>
      </c>
      <c r="V23" s="15">
        <v>0.19</v>
      </c>
      <c r="W23" s="15">
        <v>0.08</v>
      </c>
      <c r="X23" s="15">
        <v>0.06</v>
      </c>
      <c r="Y23" s="15">
        <v>0.11</v>
      </c>
      <c r="Z23" s="15">
        <v>0.17</v>
      </c>
      <c r="AA23" s="15">
        <v>7.0000000000000007E-2</v>
      </c>
      <c r="AB23" s="15">
        <v>0.19</v>
      </c>
      <c r="AC23" s="15">
        <v>0.08</v>
      </c>
      <c r="AD23" s="15">
        <v>0.1</v>
      </c>
      <c r="AE23" s="15">
        <v>0.05</v>
      </c>
      <c r="AF23" s="15">
        <v>0.05</v>
      </c>
    </row>
    <row r="24" spans="1:32" ht="31.5" x14ac:dyDescent="0.35">
      <c r="A24" s="19"/>
      <c r="B24" s="11" t="s">
        <v>1080</v>
      </c>
      <c r="C24" s="12">
        <v>5767</v>
      </c>
      <c r="D24" s="12">
        <v>208</v>
      </c>
      <c r="E24" s="12">
        <v>202</v>
      </c>
      <c r="F24" s="12">
        <v>223</v>
      </c>
      <c r="G24" s="12">
        <v>270</v>
      </c>
      <c r="H24" s="12">
        <v>178</v>
      </c>
      <c r="I24" s="12">
        <v>224</v>
      </c>
      <c r="J24" s="12">
        <v>46</v>
      </c>
      <c r="K24" s="12">
        <v>146</v>
      </c>
      <c r="L24" s="12">
        <v>307</v>
      </c>
      <c r="M24" s="12">
        <v>264</v>
      </c>
      <c r="N24" s="12">
        <v>276</v>
      </c>
      <c r="O24" s="12">
        <v>141</v>
      </c>
      <c r="P24" s="12">
        <v>267</v>
      </c>
      <c r="Q24" s="12">
        <v>250</v>
      </c>
      <c r="R24" s="12">
        <v>79</v>
      </c>
      <c r="S24" s="12">
        <v>154</v>
      </c>
      <c r="T24" s="12">
        <v>293</v>
      </c>
      <c r="U24" s="12">
        <v>63</v>
      </c>
      <c r="V24" s="12">
        <v>281</v>
      </c>
      <c r="W24" s="12">
        <v>110</v>
      </c>
      <c r="X24" s="12">
        <v>229</v>
      </c>
      <c r="Y24" s="12">
        <v>248</v>
      </c>
      <c r="Z24" s="12">
        <v>304</v>
      </c>
      <c r="AA24" s="12">
        <v>403</v>
      </c>
      <c r="AB24" s="12">
        <v>306</v>
      </c>
      <c r="AC24" s="12">
        <v>262</v>
      </c>
      <c r="AD24" s="12">
        <v>245</v>
      </c>
      <c r="AE24" s="12">
        <v>102</v>
      </c>
      <c r="AF24" s="12">
        <v>161</v>
      </c>
    </row>
    <row r="25" spans="1:32" ht="21.5" x14ac:dyDescent="0.35">
      <c r="A25" s="19"/>
      <c r="B25" s="13" t="s">
        <v>1081</v>
      </c>
      <c r="C25" s="15">
        <v>0.22</v>
      </c>
      <c r="D25" s="15">
        <v>0.21</v>
      </c>
      <c r="E25" s="15">
        <v>0.2</v>
      </c>
      <c r="F25" s="15">
        <v>0.2</v>
      </c>
      <c r="G25" s="15">
        <v>0.27</v>
      </c>
      <c r="H25" s="15">
        <v>0.15</v>
      </c>
      <c r="I25" s="15">
        <v>0.15</v>
      </c>
      <c r="J25" s="15">
        <v>0.15</v>
      </c>
      <c r="K25" s="15">
        <v>0.15</v>
      </c>
      <c r="L25" s="15">
        <v>0.31</v>
      </c>
      <c r="M25" s="15">
        <v>0.26</v>
      </c>
      <c r="N25" s="15">
        <v>0.27</v>
      </c>
      <c r="O25" s="15">
        <v>0.14000000000000001</v>
      </c>
      <c r="P25" s="15">
        <v>0.27</v>
      </c>
      <c r="Q25" s="15">
        <v>0.24</v>
      </c>
      <c r="R25" s="15">
        <v>0.16</v>
      </c>
      <c r="S25" s="15">
        <v>0.15</v>
      </c>
      <c r="T25" s="15">
        <v>0.28999999999999998</v>
      </c>
      <c r="U25" s="15">
        <v>0.13</v>
      </c>
      <c r="V25" s="15">
        <v>0.28000000000000003</v>
      </c>
      <c r="W25" s="15">
        <v>0.22</v>
      </c>
      <c r="X25" s="15">
        <v>0.23</v>
      </c>
      <c r="Y25" s="15">
        <v>0.25</v>
      </c>
      <c r="Z25" s="15">
        <v>0.28999999999999998</v>
      </c>
      <c r="AA25" s="15">
        <v>0.39</v>
      </c>
      <c r="AB25" s="15">
        <v>0.28999999999999998</v>
      </c>
      <c r="AC25" s="15">
        <v>0.26</v>
      </c>
      <c r="AD25" s="15">
        <v>0.24</v>
      </c>
      <c r="AE25" s="15">
        <v>0.1</v>
      </c>
      <c r="AF25" s="15">
        <v>0.15</v>
      </c>
    </row>
    <row r="26" spans="1:32" ht="41.5" x14ac:dyDescent="0.35">
      <c r="A26" s="19"/>
      <c r="B26" s="11" t="s">
        <v>1082</v>
      </c>
      <c r="C26" s="12">
        <v>4943</v>
      </c>
      <c r="D26" s="12">
        <v>185</v>
      </c>
      <c r="E26" s="12">
        <v>194</v>
      </c>
      <c r="F26" s="12">
        <v>151</v>
      </c>
      <c r="G26" s="12">
        <v>289</v>
      </c>
      <c r="H26" s="12">
        <v>178</v>
      </c>
      <c r="I26" s="12">
        <v>224</v>
      </c>
      <c r="J26" s="12">
        <v>47</v>
      </c>
      <c r="K26" s="12">
        <v>146</v>
      </c>
      <c r="L26" s="12">
        <v>97</v>
      </c>
      <c r="M26" s="12">
        <v>309</v>
      </c>
      <c r="N26" s="12">
        <v>235</v>
      </c>
      <c r="O26" s="12">
        <v>134</v>
      </c>
      <c r="P26" s="12">
        <v>215</v>
      </c>
      <c r="Q26" s="12">
        <v>209</v>
      </c>
      <c r="R26" s="12">
        <v>49</v>
      </c>
      <c r="S26" s="12">
        <v>80</v>
      </c>
      <c r="T26" s="12">
        <v>123</v>
      </c>
      <c r="U26" s="12">
        <v>52</v>
      </c>
      <c r="V26" s="12">
        <v>211</v>
      </c>
      <c r="W26" s="12">
        <v>92</v>
      </c>
      <c r="X26" s="12">
        <v>237</v>
      </c>
      <c r="Y26" s="12">
        <v>204</v>
      </c>
      <c r="Z26" s="12">
        <v>159</v>
      </c>
      <c r="AA26" s="12">
        <v>217</v>
      </c>
      <c r="AB26" s="12">
        <v>299</v>
      </c>
      <c r="AC26" s="12">
        <v>81</v>
      </c>
      <c r="AD26" s="12">
        <v>124</v>
      </c>
      <c r="AE26" s="12">
        <v>239</v>
      </c>
      <c r="AF26" s="12">
        <v>317</v>
      </c>
    </row>
    <row r="27" spans="1:32" ht="31.5" x14ac:dyDescent="0.35">
      <c r="A27" s="19"/>
      <c r="B27" s="13" t="s">
        <v>1083</v>
      </c>
      <c r="C27" s="15">
        <v>0.19</v>
      </c>
      <c r="D27" s="15">
        <v>0.18</v>
      </c>
      <c r="E27" s="15">
        <v>0.19</v>
      </c>
      <c r="F27" s="15">
        <v>0.14000000000000001</v>
      </c>
      <c r="G27" s="15">
        <v>0.28999999999999998</v>
      </c>
      <c r="H27" s="15">
        <v>0.15</v>
      </c>
      <c r="I27" s="15">
        <v>0.15</v>
      </c>
      <c r="J27" s="15">
        <v>0.16</v>
      </c>
      <c r="K27" s="15">
        <v>0.15</v>
      </c>
      <c r="L27" s="15">
        <v>0.1</v>
      </c>
      <c r="M27" s="15">
        <v>0.31</v>
      </c>
      <c r="N27" s="15">
        <v>0.23</v>
      </c>
      <c r="O27" s="15">
        <v>0.13</v>
      </c>
      <c r="P27" s="15">
        <v>0.21</v>
      </c>
      <c r="Q27" s="15">
        <v>0.2</v>
      </c>
      <c r="R27" s="15">
        <v>0.1</v>
      </c>
      <c r="S27" s="15">
        <v>0.08</v>
      </c>
      <c r="T27" s="15">
        <v>0.12</v>
      </c>
      <c r="U27" s="15">
        <v>0.1</v>
      </c>
      <c r="V27" s="15">
        <v>0.21</v>
      </c>
      <c r="W27" s="15">
        <v>0.18</v>
      </c>
      <c r="X27" s="15">
        <v>0.24</v>
      </c>
      <c r="Y27" s="15">
        <v>0.2</v>
      </c>
      <c r="Z27" s="15">
        <v>0.15</v>
      </c>
      <c r="AA27" s="15">
        <v>0.21</v>
      </c>
      <c r="AB27" s="15">
        <v>0.28000000000000003</v>
      </c>
      <c r="AC27" s="15">
        <v>0.08</v>
      </c>
      <c r="AD27" s="15">
        <v>0.12</v>
      </c>
      <c r="AE27" s="15">
        <v>0.24</v>
      </c>
      <c r="AF27" s="15">
        <v>0.3</v>
      </c>
    </row>
    <row r="28" spans="1:32" ht="41.5" x14ac:dyDescent="0.35">
      <c r="A28" s="19"/>
      <c r="B28" s="11" t="s">
        <v>1084</v>
      </c>
      <c r="C28" s="12">
        <v>3931</v>
      </c>
      <c r="D28" s="12">
        <v>181</v>
      </c>
      <c r="E28" s="12">
        <v>154</v>
      </c>
      <c r="F28" s="12">
        <v>191</v>
      </c>
      <c r="G28" s="12">
        <v>180</v>
      </c>
      <c r="H28" s="12">
        <v>94</v>
      </c>
      <c r="I28" s="12">
        <v>125</v>
      </c>
      <c r="J28" s="12">
        <v>30</v>
      </c>
      <c r="K28" s="12">
        <v>186</v>
      </c>
      <c r="L28" s="12">
        <v>116</v>
      </c>
      <c r="M28" s="12">
        <v>62</v>
      </c>
      <c r="N28" s="12">
        <v>171</v>
      </c>
      <c r="O28" s="12">
        <v>144</v>
      </c>
      <c r="P28" s="12">
        <v>227</v>
      </c>
      <c r="Q28" s="12">
        <v>168</v>
      </c>
      <c r="R28" s="12">
        <v>99</v>
      </c>
      <c r="S28" s="12">
        <v>125</v>
      </c>
      <c r="T28" s="12">
        <v>202</v>
      </c>
      <c r="U28" s="12">
        <v>86</v>
      </c>
      <c r="V28" s="12">
        <v>210</v>
      </c>
      <c r="W28" s="12">
        <v>152</v>
      </c>
      <c r="X28" s="12">
        <v>136</v>
      </c>
      <c r="Y28" s="12">
        <v>251</v>
      </c>
      <c r="Z28" s="12">
        <v>192</v>
      </c>
      <c r="AA28" s="12">
        <v>140</v>
      </c>
      <c r="AB28" s="12">
        <v>265</v>
      </c>
      <c r="AC28" s="12">
        <v>129</v>
      </c>
      <c r="AD28" s="12">
        <v>144</v>
      </c>
      <c r="AE28" s="12">
        <v>122</v>
      </c>
      <c r="AF28" s="12">
        <v>98</v>
      </c>
    </row>
    <row r="29" spans="1:32" ht="31.5" x14ac:dyDescent="0.35">
      <c r="A29" s="19"/>
      <c r="B29" s="13" t="s">
        <v>1085</v>
      </c>
      <c r="C29" s="15">
        <v>0.15</v>
      </c>
      <c r="D29" s="15">
        <v>0.18</v>
      </c>
      <c r="E29" s="15">
        <v>0.15</v>
      </c>
      <c r="F29" s="15">
        <v>0.17</v>
      </c>
      <c r="G29" s="15">
        <v>0.18</v>
      </c>
      <c r="H29" s="15">
        <v>0.08</v>
      </c>
      <c r="I29" s="15">
        <v>0.08</v>
      </c>
      <c r="J29" s="15">
        <v>0.1</v>
      </c>
      <c r="K29" s="15">
        <v>0.19</v>
      </c>
      <c r="L29" s="15">
        <v>0.12</v>
      </c>
      <c r="M29" s="15">
        <v>0.06</v>
      </c>
      <c r="N29" s="15">
        <v>0.17</v>
      </c>
      <c r="O29" s="15">
        <v>0.14000000000000001</v>
      </c>
      <c r="P29" s="15">
        <v>0.23</v>
      </c>
      <c r="Q29" s="15">
        <v>0.16</v>
      </c>
      <c r="R29" s="15">
        <v>0.2</v>
      </c>
      <c r="S29" s="15">
        <v>0.13</v>
      </c>
      <c r="T29" s="15">
        <v>0.2</v>
      </c>
      <c r="U29" s="15">
        <v>0.17</v>
      </c>
      <c r="V29" s="15">
        <v>0.21</v>
      </c>
      <c r="W29" s="15">
        <v>0.3</v>
      </c>
      <c r="X29" s="15">
        <v>0.13</v>
      </c>
      <c r="Y29" s="15">
        <v>0.25</v>
      </c>
      <c r="Z29" s="15">
        <v>0.19</v>
      </c>
      <c r="AA29" s="15">
        <v>0.14000000000000001</v>
      </c>
      <c r="AB29" s="15">
        <v>0.25</v>
      </c>
      <c r="AC29" s="15">
        <v>0.13</v>
      </c>
      <c r="AD29" s="15">
        <v>0.14000000000000001</v>
      </c>
      <c r="AE29" s="15">
        <v>0.12</v>
      </c>
      <c r="AF29" s="15">
        <v>0.09</v>
      </c>
    </row>
    <row r="30" spans="1:32" ht="21.5" x14ac:dyDescent="0.35">
      <c r="A30" s="19"/>
      <c r="B30" s="11" t="s">
        <v>1086</v>
      </c>
      <c r="C30" s="12">
        <v>2668</v>
      </c>
      <c r="D30" s="12">
        <v>98</v>
      </c>
      <c r="E30" s="12">
        <v>75</v>
      </c>
      <c r="F30" s="12">
        <v>114</v>
      </c>
      <c r="G30" s="12">
        <v>157</v>
      </c>
      <c r="H30" s="12">
        <v>90</v>
      </c>
      <c r="I30" s="12">
        <v>107</v>
      </c>
      <c r="J30" s="12">
        <v>17</v>
      </c>
      <c r="K30" s="12">
        <v>60</v>
      </c>
      <c r="L30" s="12">
        <v>84</v>
      </c>
      <c r="M30" s="12">
        <v>45</v>
      </c>
      <c r="N30" s="12">
        <v>60</v>
      </c>
      <c r="O30" s="12">
        <v>152</v>
      </c>
      <c r="P30" s="12">
        <v>72</v>
      </c>
      <c r="Q30" s="12">
        <v>117</v>
      </c>
      <c r="R30" s="12">
        <v>51</v>
      </c>
      <c r="S30" s="12">
        <v>82</v>
      </c>
      <c r="T30" s="12">
        <v>52</v>
      </c>
      <c r="U30" s="12">
        <v>23</v>
      </c>
      <c r="V30" s="12">
        <v>144</v>
      </c>
      <c r="W30" s="12">
        <v>87</v>
      </c>
      <c r="X30" s="12">
        <v>116</v>
      </c>
      <c r="Y30" s="12">
        <v>134</v>
      </c>
      <c r="Z30" s="12">
        <v>85</v>
      </c>
      <c r="AA30" s="12">
        <v>85</v>
      </c>
      <c r="AB30" s="12">
        <v>141</v>
      </c>
      <c r="AC30" s="12">
        <v>92</v>
      </c>
      <c r="AD30" s="12">
        <v>57</v>
      </c>
      <c r="AE30" s="12">
        <v>119</v>
      </c>
      <c r="AF30" s="12">
        <v>178</v>
      </c>
    </row>
    <row r="31" spans="1:32" ht="21.5" x14ac:dyDescent="0.35">
      <c r="A31" s="19"/>
      <c r="B31" s="13" t="s">
        <v>1087</v>
      </c>
      <c r="C31" s="15">
        <v>0.1</v>
      </c>
      <c r="D31" s="15">
        <v>0.1</v>
      </c>
      <c r="E31" s="15">
        <v>7.0000000000000007E-2</v>
      </c>
      <c r="F31" s="15">
        <v>0.1</v>
      </c>
      <c r="G31" s="15">
        <v>0.16</v>
      </c>
      <c r="H31" s="15">
        <v>7.0000000000000007E-2</v>
      </c>
      <c r="I31" s="15">
        <v>7.0000000000000007E-2</v>
      </c>
      <c r="J31" s="15">
        <v>0.06</v>
      </c>
      <c r="K31" s="15">
        <v>0.06</v>
      </c>
      <c r="L31" s="15">
        <v>0.08</v>
      </c>
      <c r="M31" s="15">
        <v>0.04</v>
      </c>
      <c r="N31" s="15">
        <v>0.06</v>
      </c>
      <c r="O31" s="15">
        <v>0.15</v>
      </c>
      <c r="P31" s="15">
        <v>7.0000000000000007E-2</v>
      </c>
      <c r="Q31" s="15">
        <v>0.11</v>
      </c>
      <c r="R31" s="15">
        <v>0.1</v>
      </c>
      <c r="S31" s="15">
        <v>0.08</v>
      </c>
      <c r="T31" s="15">
        <v>0.05</v>
      </c>
      <c r="U31" s="15">
        <v>0.05</v>
      </c>
      <c r="V31" s="15">
        <v>0.14000000000000001</v>
      </c>
      <c r="W31" s="15">
        <v>0.17</v>
      </c>
      <c r="X31" s="15">
        <v>0.11</v>
      </c>
      <c r="Y31" s="15">
        <v>0.13</v>
      </c>
      <c r="Z31" s="15">
        <v>0.08</v>
      </c>
      <c r="AA31" s="15">
        <v>0.08</v>
      </c>
      <c r="AB31" s="15">
        <v>0.13</v>
      </c>
      <c r="AC31" s="15">
        <v>0.09</v>
      </c>
      <c r="AD31" s="15">
        <v>0.06</v>
      </c>
      <c r="AE31" s="15">
        <v>0.12</v>
      </c>
      <c r="AF31" s="15">
        <v>0.17</v>
      </c>
    </row>
    <row r="32" spans="1:32" ht="31.5" x14ac:dyDescent="0.35">
      <c r="A32" s="19"/>
      <c r="B32" s="11" t="s">
        <v>1088</v>
      </c>
      <c r="C32" s="12">
        <v>4310</v>
      </c>
      <c r="D32" s="12">
        <v>187</v>
      </c>
      <c r="E32" s="12">
        <v>112</v>
      </c>
      <c r="F32" s="12">
        <v>145</v>
      </c>
      <c r="G32" s="12">
        <v>268</v>
      </c>
      <c r="H32" s="12">
        <v>208</v>
      </c>
      <c r="I32" s="12">
        <v>271</v>
      </c>
      <c r="J32" s="12">
        <v>63</v>
      </c>
      <c r="K32" s="12">
        <v>116</v>
      </c>
      <c r="L32" s="12">
        <v>123</v>
      </c>
      <c r="M32" s="12">
        <v>78</v>
      </c>
      <c r="N32" s="12">
        <v>154</v>
      </c>
      <c r="O32" s="12">
        <v>174</v>
      </c>
      <c r="P32" s="12">
        <v>130</v>
      </c>
      <c r="Q32" s="12">
        <v>162</v>
      </c>
      <c r="R32" s="12">
        <v>99</v>
      </c>
      <c r="S32" s="12">
        <v>89</v>
      </c>
      <c r="T32" s="12">
        <v>122</v>
      </c>
      <c r="U32" s="12">
        <v>81</v>
      </c>
      <c r="V32" s="12">
        <v>128</v>
      </c>
      <c r="W32" s="12">
        <v>121</v>
      </c>
      <c r="X32" s="12">
        <v>195</v>
      </c>
      <c r="Y32" s="12">
        <v>224</v>
      </c>
      <c r="Z32" s="12">
        <v>107</v>
      </c>
      <c r="AA32" s="12">
        <v>144</v>
      </c>
      <c r="AB32" s="12">
        <v>119</v>
      </c>
      <c r="AC32" s="12">
        <v>113</v>
      </c>
      <c r="AD32" s="12">
        <v>96</v>
      </c>
      <c r="AE32" s="12">
        <v>335</v>
      </c>
      <c r="AF32" s="12">
        <v>398</v>
      </c>
    </row>
    <row r="33" spans="1:32" ht="31.5" x14ac:dyDescent="0.35">
      <c r="A33" s="19"/>
      <c r="B33" s="13" t="s">
        <v>1089</v>
      </c>
      <c r="C33" s="15">
        <v>0.16</v>
      </c>
      <c r="D33" s="15">
        <v>0.18</v>
      </c>
      <c r="E33" s="15">
        <v>0.11</v>
      </c>
      <c r="F33" s="15">
        <v>0.13</v>
      </c>
      <c r="G33" s="15">
        <v>0.27</v>
      </c>
      <c r="H33" s="15">
        <v>0.17</v>
      </c>
      <c r="I33" s="15">
        <v>0.18</v>
      </c>
      <c r="J33" s="15">
        <v>0.21</v>
      </c>
      <c r="K33" s="15">
        <v>0.12</v>
      </c>
      <c r="L33" s="15">
        <v>0.12</v>
      </c>
      <c r="M33" s="15">
        <v>0.08</v>
      </c>
      <c r="N33" s="15">
        <v>0.15</v>
      </c>
      <c r="O33" s="15">
        <v>0.17</v>
      </c>
      <c r="P33" s="15">
        <v>0.13</v>
      </c>
      <c r="Q33" s="15">
        <v>0.16</v>
      </c>
      <c r="R33" s="15">
        <v>0.2</v>
      </c>
      <c r="S33" s="15">
        <v>0.09</v>
      </c>
      <c r="T33" s="15">
        <v>0.12</v>
      </c>
      <c r="U33" s="15">
        <v>0.16</v>
      </c>
      <c r="V33" s="15">
        <v>0.13</v>
      </c>
      <c r="W33" s="15">
        <v>0.24</v>
      </c>
      <c r="X33" s="15">
        <v>0.19</v>
      </c>
      <c r="Y33" s="15">
        <v>0.22</v>
      </c>
      <c r="Z33" s="15">
        <v>0.1</v>
      </c>
      <c r="AA33" s="15">
        <v>0.14000000000000001</v>
      </c>
      <c r="AB33" s="15">
        <v>0.11</v>
      </c>
      <c r="AC33" s="15">
        <v>0.11</v>
      </c>
      <c r="AD33" s="15">
        <v>0.1</v>
      </c>
      <c r="AE33" s="15">
        <v>0.33</v>
      </c>
      <c r="AF33" s="15">
        <v>0.38</v>
      </c>
    </row>
    <row r="34" spans="1:32" x14ac:dyDescent="0.35">
      <c r="A34" s="19"/>
      <c r="B34" s="11" t="s">
        <v>611</v>
      </c>
      <c r="C34" s="12">
        <v>110</v>
      </c>
      <c r="D34" s="12">
        <v>1</v>
      </c>
      <c r="E34" s="12">
        <v>4</v>
      </c>
      <c r="F34" s="12">
        <v>4</v>
      </c>
      <c r="G34" s="12">
        <v>1</v>
      </c>
      <c r="H34" s="12">
        <v>11</v>
      </c>
      <c r="I34" s="12">
        <v>11</v>
      </c>
      <c r="J34" s="12">
        <v>0</v>
      </c>
      <c r="K34" s="12">
        <v>26</v>
      </c>
      <c r="L34" s="12">
        <v>0</v>
      </c>
      <c r="M34" s="12">
        <v>3</v>
      </c>
      <c r="N34" s="12">
        <v>5</v>
      </c>
      <c r="O34" s="12">
        <v>0</v>
      </c>
      <c r="P34" s="12">
        <v>0</v>
      </c>
      <c r="Q34" s="12">
        <v>7</v>
      </c>
      <c r="R34" s="12">
        <v>0</v>
      </c>
      <c r="S34" s="12">
        <v>10</v>
      </c>
      <c r="T34" s="12">
        <v>6</v>
      </c>
      <c r="U34" s="12">
        <v>1</v>
      </c>
      <c r="V34" s="12">
        <v>0</v>
      </c>
      <c r="W34" s="12">
        <v>0</v>
      </c>
      <c r="X34" s="12">
        <v>5</v>
      </c>
      <c r="Y34" s="12">
        <v>17</v>
      </c>
      <c r="Z34" s="12">
        <v>3</v>
      </c>
      <c r="AA34" s="12">
        <v>4</v>
      </c>
      <c r="AB34" s="12">
        <v>1</v>
      </c>
      <c r="AC34" s="12">
        <v>1</v>
      </c>
      <c r="AD34" s="12">
        <v>3</v>
      </c>
      <c r="AE34" s="12">
        <v>3</v>
      </c>
      <c r="AF34" s="12">
        <v>0</v>
      </c>
    </row>
    <row r="35" spans="1:32" x14ac:dyDescent="0.35">
      <c r="A35" s="19"/>
      <c r="B35" s="13" t="s">
        <v>612</v>
      </c>
      <c r="C35" s="14" t="s">
        <v>475</v>
      </c>
      <c r="D35" s="14" t="s">
        <v>475</v>
      </c>
      <c r="E35" s="14" t="s">
        <v>475</v>
      </c>
      <c r="F35" s="14" t="s">
        <v>475</v>
      </c>
      <c r="G35" s="14" t="s">
        <v>475</v>
      </c>
      <c r="H35" s="15">
        <v>0.01</v>
      </c>
      <c r="I35" s="15">
        <v>0.01</v>
      </c>
      <c r="J35" s="14" t="s">
        <v>475</v>
      </c>
      <c r="K35" s="15">
        <v>0.03</v>
      </c>
      <c r="L35" s="14" t="s">
        <v>475</v>
      </c>
      <c r="M35" s="14" t="s">
        <v>475</v>
      </c>
      <c r="N35" s="15">
        <v>0.01</v>
      </c>
      <c r="O35" s="14" t="s">
        <v>475</v>
      </c>
      <c r="P35" s="14" t="s">
        <v>475</v>
      </c>
      <c r="Q35" s="15">
        <v>0.01</v>
      </c>
      <c r="R35" s="14" t="s">
        <v>475</v>
      </c>
      <c r="S35" s="15">
        <v>0.01</v>
      </c>
      <c r="T35" s="15">
        <v>0.01</v>
      </c>
      <c r="U35" s="14" t="s">
        <v>475</v>
      </c>
      <c r="V35" s="14" t="s">
        <v>475</v>
      </c>
      <c r="W35" s="14" t="s">
        <v>475</v>
      </c>
      <c r="X35" s="14" t="s">
        <v>475</v>
      </c>
      <c r="Y35" s="15">
        <v>0.02</v>
      </c>
      <c r="Z35" s="14" t="s">
        <v>475</v>
      </c>
      <c r="AA35" s="14" t="s">
        <v>475</v>
      </c>
      <c r="AB35" s="14" t="s">
        <v>475</v>
      </c>
      <c r="AC35" s="14" t="s">
        <v>475</v>
      </c>
      <c r="AD35" s="14" t="s">
        <v>475</v>
      </c>
      <c r="AE35" s="14" t="s">
        <v>475</v>
      </c>
      <c r="AF35" s="14" t="s">
        <v>475</v>
      </c>
    </row>
    <row r="36" spans="1:32" x14ac:dyDescent="0.35">
      <c r="A36" s="19"/>
      <c r="B36" s="11" t="s">
        <v>613</v>
      </c>
      <c r="C36" s="12">
        <v>557</v>
      </c>
      <c r="D36" s="12">
        <v>7</v>
      </c>
      <c r="E36" s="12">
        <v>42</v>
      </c>
      <c r="F36" s="12">
        <v>8</v>
      </c>
      <c r="G36" s="12">
        <v>15</v>
      </c>
      <c r="H36" s="12">
        <v>12</v>
      </c>
      <c r="I36" s="12">
        <v>18</v>
      </c>
      <c r="J36" s="12">
        <v>6</v>
      </c>
      <c r="K36" s="12">
        <v>14</v>
      </c>
      <c r="L36" s="12">
        <v>11</v>
      </c>
      <c r="M36" s="12">
        <v>20</v>
      </c>
      <c r="N36" s="12">
        <v>24</v>
      </c>
      <c r="O36" s="12">
        <v>39</v>
      </c>
      <c r="P36" s="12">
        <v>4</v>
      </c>
      <c r="Q36" s="12">
        <v>38</v>
      </c>
      <c r="R36" s="12">
        <v>9</v>
      </c>
      <c r="S36" s="12">
        <v>12</v>
      </c>
      <c r="T36" s="12">
        <v>10</v>
      </c>
      <c r="U36" s="12">
        <v>5</v>
      </c>
      <c r="V36" s="12">
        <v>10</v>
      </c>
      <c r="W36" s="12">
        <v>1</v>
      </c>
      <c r="X36" s="12">
        <v>13</v>
      </c>
      <c r="Y36" s="12">
        <v>53</v>
      </c>
      <c r="Z36" s="12">
        <v>4</v>
      </c>
      <c r="AA36" s="12">
        <v>6</v>
      </c>
      <c r="AB36" s="12">
        <v>14</v>
      </c>
      <c r="AC36" s="12">
        <v>13</v>
      </c>
      <c r="AD36" s="12">
        <v>8</v>
      </c>
      <c r="AE36" s="12">
        <v>6</v>
      </c>
      <c r="AF36" s="12">
        <v>13</v>
      </c>
    </row>
    <row r="37" spans="1:32" x14ac:dyDescent="0.35">
      <c r="A37" s="19"/>
      <c r="B37" s="13" t="s">
        <v>614</v>
      </c>
      <c r="C37" s="15">
        <v>0.02</v>
      </c>
      <c r="D37" s="15">
        <v>0.01</v>
      </c>
      <c r="E37" s="15">
        <v>0.04</v>
      </c>
      <c r="F37" s="15">
        <v>0.01</v>
      </c>
      <c r="G37" s="15">
        <v>0.02</v>
      </c>
      <c r="H37" s="15">
        <v>0.01</v>
      </c>
      <c r="I37" s="15">
        <v>0.01</v>
      </c>
      <c r="J37" s="15">
        <v>0.02</v>
      </c>
      <c r="K37" s="15">
        <v>0.01</v>
      </c>
      <c r="L37" s="15">
        <v>0.01</v>
      </c>
      <c r="M37" s="15">
        <v>0.02</v>
      </c>
      <c r="N37" s="15">
        <v>0.02</v>
      </c>
      <c r="O37" s="15">
        <v>0.04</v>
      </c>
      <c r="P37" s="14" t="s">
        <v>475</v>
      </c>
      <c r="Q37" s="15">
        <v>0.04</v>
      </c>
      <c r="R37" s="15">
        <v>0.02</v>
      </c>
      <c r="S37" s="15">
        <v>0.01</v>
      </c>
      <c r="T37" s="15">
        <v>0.01</v>
      </c>
      <c r="U37" s="15">
        <v>0.01</v>
      </c>
      <c r="V37" s="15">
        <v>0.01</v>
      </c>
      <c r="W37" s="14" t="s">
        <v>475</v>
      </c>
      <c r="X37" s="15">
        <v>0.01</v>
      </c>
      <c r="Y37" s="15">
        <v>0.05</v>
      </c>
      <c r="Z37" s="14" t="s">
        <v>475</v>
      </c>
      <c r="AA37" s="15">
        <v>0.01</v>
      </c>
      <c r="AB37" s="15">
        <v>0.01</v>
      </c>
      <c r="AC37" s="15">
        <v>0.01</v>
      </c>
      <c r="AD37" s="15">
        <v>0.01</v>
      </c>
      <c r="AE37" s="15">
        <v>0.01</v>
      </c>
      <c r="AF37" s="15">
        <v>0.01</v>
      </c>
    </row>
    <row r="38" spans="1:32" x14ac:dyDescent="0.35">
      <c r="A38" s="19"/>
      <c r="B38" s="11" t="s">
        <v>485</v>
      </c>
      <c r="C38" s="12">
        <v>388</v>
      </c>
      <c r="D38" s="12">
        <v>4</v>
      </c>
      <c r="E38" s="12">
        <v>20</v>
      </c>
      <c r="F38" s="12">
        <v>42</v>
      </c>
      <c r="G38" s="12">
        <v>21</v>
      </c>
      <c r="H38" s="12">
        <v>4</v>
      </c>
      <c r="I38" s="12">
        <v>4</v>
      </c>
      <c r="J38" s="12">
        <v>0</v>
      </c>
      <c r="K38" s="12">
        <v>14</v>
      </c>
      <c r="L38" s="12">
        <v>14</v>
      </c>
      <c r="M38" s="12">
        <v>3</v>
      </c>
      <c r="N38" s="12">
        <v>33</v>
      </c>
      <c r="O38" s="12">
        <v>27</v>
      </c>
      <c r="P38" s="12">
        <v>1</v>
      </c>
      <c r="Q38" s="12">
        <v>12</v>
      </c>
      <c r="R38" s="12">
        <v>29</v>
      </c>
      <c r="S38" s="12">
        <v>21</v>
      </c>
      <c r="T38" s="12">
        <v>20</v>
      </c>
      <c r="U38" s="12">
        <v>5</v>
      </c>
      <c r="V38" s="12">
        <v>8</v>
      </c>
      <c r="W38" s="12">
        <v>3</v>
      </c>
      <c r="X38" s="12">
        <v>11</v>
      </c>
      <c r="Y38" s="12">
        <v>9</v>
      </c>
      <c r="Z38" s="12">
        <v>5</v>
      </c>
      <c r="AA38" s="12">
        <v>34</v>
      </c>
      <c r="AB38" s="12">
        <v>18</v>
      </c>
      <c r="AC38" s="12">
        <v>0</v>
      </c>
      <c r="AD38" s="12">
        <v>2</v>
      </c>
      <c r="AE38" s="12">
        <v>6</v>
      </c>
      <c r="AF38" s="12">
        <v>3</v>
      </c>
    </row>
    <row r="39" spans="1:32" x14ac:dyDescent="0.35">
      <c r="A39" s="19"/>
      <c r="B39" s="13" t="s">
        <v>486</v>
      </c>
      <c r="C39" s="15">
        <v>0.01</v>
      </c>
      <c r="D39" s="14" t="s">
        <v>475</v>
      </c>
      <c r="E39" s="15">
        <v>0.02</v>
      </c>
      <c r="F39" s="15">
        <v>0.04</v>
      </c>
      <c r="G39" s="15">
        <v>0.02</v>
      </c>
      <c r="H39" s="14" t="s">
        <v>475</v>
      </c>
      <c r="I39" s="14" t="s">
        <v>475</v>
      </c>
      <c r="J39" s="14" t="s">
        <v>475</v>
      </c>
      <c r="K39" s="15">
        <v>0.01</v>
      </c>
      <c r="L39" s="15">
        <v>0.01</v>
      </c>
      <c r="M39" s="14" t="s">
        <v>475</v>
      </c>
      <c r="N39" s="15">
        <v>0.03</v>
      </c>
      <c r="O39" s="15">
        <v>0.03</v>
      </c>
      <c r="P39" s="14" t="s">
        <v>475</v>
      </c>
      <c r="Q39" s="15">
        <v>0.01</v>
      </c>
      <c r="R39" s="15">
        <v>0.06</v>
      </c>
      <c r="S39" s="15">
        <v>0.02</v>
      </c>
      <c r="T39" s="15">
        <v>0.02</v>
      </c>
      <c r="U39" s="15">
        <v>0.01</v>
      </c>
      <c r="V39" s="15">
        <v>0.01</v>
      </c>
      <c r="W39" s="15">
        <v>0.01</v>
      </c>
      <c r="X39" s="15">
        <v>0.01</v>
      </c>
      <c r="Y39" s="15">
        <v>0.01</v>
      </c>
      <c r="Z39" s="14" t="s">
        <v>475</v>
      </c>
      <c r="AA39" s="15">
        <v>0.03</v>
      </c>
      <c r="AB39" s="15">
        <v>0.02</v>
      </c>
      <c r="AC39" s="14" t="s">
        <v>475</v>
      </c>
      <c r="AD39" s="14" t="s">
        <v>475</v>
      </c>
      <c r="AE39" s="15">
        <v>0.01</v>
      </c>
      <c r="AF39" s="14" t="s">
        <v>475</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223</v>
      </c>
      <c r="C3" s="18"/>
      <c r="D3" s="18"/>
      <c r="E3" s="18"/>
      <c r="F3" s="18"/>
      <c r="H3" s="18" t="s">
        <v>224</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HYPERLINK("#Content!A114","&lt;&lt;Back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1093</v>
      </c>
      <c r="C12" s="12">
        <v>5432</v>
      </c>
      <c r="D12" s="12">
        <v>210</v>
      </c>
      <c r="E12" s="12">
        <v>209</v>
      </c>
      <c r="F12" s="12">
        <v>300</v>
      </c>
      <c r="G12" s="12">
        <v>255</v>
      </c>
      <c r="H12" s="12">
        <v>163</v>
      </c>
      <c r="I12" s="12">
        <v>222</v>
      </c>
      <c r="J12" s="12">
        <v>59</v>
      </c>
      <c r="K12" s="12">
        <v>164</v>
      </c>
      <c r="L12" s="12">
        <v>214</v>
      </c>
      <c r="M12" s="12">
        <v>256</v>
      </c>
      <c r="N12" s="12">
        <v>240</v>
      </c>
      <c r="O12" s="12">
        <v>256</v>
      </c>
      <c r="P12" s="12">
        <v>223</v>
      </c>
      <c r="Q12" s="12">
        <v>200</v>
      </c>
      <c r="R12" s="12">
        <v>73</v>
      </c>
      <c r="S12" s="12">
        <v>165</v>
      </c>
      <c r="T12" s="12">
        <v>206</v>
      </c>
      <c r="U12" s="12">
        <v>165</v>
      </c>
      <c r="V12" s="12">
        <v>274</v>
      </c>
      <c r="W12" s="12">
        <v>92</v>
      </c>
      <c r="X12" s="12">
        <v>237</v>
      </c>
      <c r="Y12" s="12">
        <v>258</v>
      </c>
      <c r="Z12" s="12">
        <v>162</v>
      </c>
      <c r="AA12" s="12">
        <v>160</v>
      </c>
      <c r="AB12" s="12">
        <v>136</v>
      </c>
      <c r="AC12" s="12">
        <v>170</v>
      </c>
      <c r="AD12" s="12">
        <v>242</v>
      </c>
      <c r="AE12" s="12">
        <v>261</v>
      </c>
      <c r="AF12" s="12">
        <v>297</v>
      </c>
    </row>
    <row r="13" spans="1:32" x14ac:dyDescent="0.35">
      <c r="A13" s="19"/>
      <c r="B13" s="13" t="s">
        <v>1094</v>
      </c>
      <c r="C13" s="15">
        <v>0.21</v>
      </c>
      <c r="D13" s="15">
        <v>0.21</v>
      </c>
      <c r="E13" s="15">
        <v>0.2</v>
      </c>
      <c r="F13" s="15">
        <v>0.27</v>
      </c>
      <c r="G13" s="15">
        <v>0.25</v>
      </c>
      <c r="H13" s="15">
        <v>0.13</v>
      </c>
      <c r="I13" s="15">
        <v>0.15</v>
      </c>
      <c r="J13" s="15">
        <v>0.2</v>
      </c>
      <c r="K13" s="15">
        <v>0.16</v>
      </c>
      <c r="L13" s="15">
        <v>0.21</v>
      </c>
      <c r="M13" s="15">
        <v>0.25</v>
      </c>
      <c r="N13" s="15">
        <v>0.24</v>
      </c>
      <c r="O13" s="15">
        <v>0.26</v>
      </c>
      <c r="P13" s="15">
        <v>0.22</v>
      </c>
      <c r="Q13" s="15">
        <v>0.19</v>
      </c>
      <c r="R13" s="15">
        <v>0.14000000000000001</v>
      </c>
      <c r="S13" s="15">
        <v>0.17</v>
      </c>
      <c r="T13" s="15">
        <v>0.2</v>
      </c>
      <c r="U13" s="15">
        <v>0.33</v>
      </c>
      <c r="V13" s="15">
        <v>0.27</v>
      </c>
      <c r="W13" s="15">
        <v>0.18</v>
      </c>
      <c r="X13" s="15">
        <v>0.23</v>
      </c>
      <c r="Y13" s="15">
        <v>0.26</v>
      </c>
      <c r="Z13" s="15">
        <v>0.16</v>
      </c>
      <c r="AA13" s="15">
        <v>0.15</v>
      </c>
      <c r="AB13" s="15">
        <v>0.13</v>
      </c>
      <c r="AC13" s="15">
        <v>0.17</v>
      </c>
      <c r="AD13" s="15">
        <v>0.24</v>
      </c>
      <c r="AE13" s="15">
        <v>0.26</v>
      </c>
      <c r="AF13" s="15">
        <v>0.28000000000000003</v>
      </c>
    </row>
    <row r="14" spans="1:32" x14ac:dyDescent="0.35">
      <c r="A14" s="19"/>
      <c r="B14" s="11" t="s">
        <v>1095</v>
      </c>
      <c r="C14" s="12">
        <v>2328</v>
      </c>
      <c r="D14" s="12">
        <v>85</v>
      </c>
      <c r="E14" s="12">
        <v>113</v>
      </c>
      <c r="F14" s="12">
        <v>70</v>
      </c>
      <c r="G14" s="12">
        <v>41</v>
      </c>
      <c r="H14" s="12">
        <v>88</v>
      </c>
      <c r="I14" s="12">
        <v>103</v>
      </c>
      <c r="J14" s="12">
        <v>14</v>
      </c>
      <c r="K14" s="12">
        <v>58</v>
      </c>
      <c r="L14" s="12">
        <v>74</v>
      </c>
      <c r="M14" s="12">
        <v>121</v>
      </c>
      <c r="N14" s="12">
        <v>61</v>
      </c>
      <c r="O14" s="12">
        <v>107</v>
      </c>
      <c r="P14" s="12">
        <v>138</v>
      </c>
      <c r="Q14" s="12">
        <v>125</v>
      </c>
      <c r="R14" s="12">
        <v>107</v>
      </c>
      <c r="S14" s="12">
        <v>69</v>
      </c>
      <c r="T14" s="12">
        <v>65</v>
      </c>
      <c r="U14" s="12">
        <v>53</v>
      </c>
      <c r="V14" s="12">
        <v>103</v>
      </c>
      <c r="W14" s="12">
        <v>63</v>
      </c>
      <c r="X14" s="12">
        <v>47</v>
      </c>
      <c r="Y14" s="12">
        <v>140</v>
      </c>
      <c r="Z14" s="12">
        <v>93</v>
      </c>
      <c r="AA14" s="12">
        <v>70</v>
      </c>
      <c r="AB14" s="12">
        <v>127</v>
      </c>
      <c r="AC14" s="12">
        <v>77</v>
      </c>
      <c r="AD14" s="12">
        <v>137</v>
      </c>
      <c r="AE14" s="12">
        <v>62</v>
      </c>
      <c r="AF14" s="12">
        <v>24</v>
      </c>
    </row>
    <row r="15" spans="1:32" x14ac:dyDescent="0.35">
      <c r="A15" s="19"/>
      <c r="B15" s="13" t="s">
        <v>1096</v>
      </c>
      <c r="C15" s="15">
        <v>0.09</v>
      </c>
      <c r="D15" s="15">
        <v>0.08</v>
      </c>
      <c r="E15" s="15">
        <v>0.11</v>
      </c>
      <c r="F15" s="15">
        <v>0.06</v>
      </c>
      <c r="G15" s="15">
        <v>0.04</v>
      </c>
      <c r="H15" s="15">
        <v>7.0000000000000007E-2</v>
      </c>
      <c r="I15" s="15">
        <v>7.0000000000000007E-2</v>
      </c>
      <c r="J15" s="15">
        <v>0.05</v>
      </c>
      <c r="K15" s="15">
        <v>0.06</v>
      </c>
      <c r="L15" s="15">
        <v>7.0000000000000007E-2</v>
      </c>
      <c r="M15" s="15">
        <v>0.12</v>
      </c>
      <c r="N15" s="15">
        <v>0.06</v>
      </c>
      <c r="O15" s="15">
        <v>0.11</v>
      </c>
      <c r="P15" s="15">
        <v>0.14000000000000001</v>
      </c>
      <c r="Q15" s="15">
        <v>0.12</v>
      </c>
      <c r="R15" s="15">
        <v>0.21</v>
      </c>
      <c r="S15" s="15">
        <v>7.0000000000000007E-2</v>
      </c>
      <c r="T15" s="15">
        <v>7.0000000000000007E-2</v>
      </c>
      <c r="U15" s="15">
        <v>0.11</v>
      </c>
      <c r="V15" s="15">
        <v>0.1</v>
      </c>
      <c r="W15" s="15">
        <v>0.12</v>
      </c>
      <c r="X15" s="15">
        <v>0.05</v>
      </c>
      <c r="Y15" s="15">
        <v>0.14000000000000001</v>
      </c>
      <c r="Z15" s="15">
        <v>0.09</v>
      </c>
      <c r="AA15" s="15">
        <v>7.0000000000000007E-2</v>
      </c>
      <c r="AB15" s="15">
        <v>0.12</v>
      </c>
      <c r="AC15" s="15">
        <v>0.08</v>
      </c>
      <c r="AD15" s="15">
        <v>0.14000000000000001</v>
      </c>
      <c r="AE15" s="15">
        <v>0.06</v>
      </c>
      <c r="AF15" s="15">
        <v>0.02</v>
      </c>
    </row>
    <row r="16" spans="1:32" x14ac:dyDescent="0.35">
      <c r="A16" s="19"/>
      <c r="B16" s="11" t="s">
        <v>1097</v>
      </c>
      <c r="C16" s="12">
        <v>5887</v>
      </c>
      <c r="D16" s="12">
        <v>273</v>
      </c>
      <c r="E16" s="12">
        <v>240</v>
      </c>
      <c r="F16" s="12">
        <v>202</v>
      </c>
      <c r="G16" s="12">
        <v>254</v>
      </c>
      <c r="H16" s="12">
        <v>289</v>
      </c>
      <c r="I16" s="12">
        <v>355</v>
      </c>
      <c r="J16" s="12">
        <v>66</v>
      </c>
      <c r="K16" s="12">
        <v>210</v>
      </c>
      <c r="L16" s="12">
        <v>247</v>
      </c>
      <c r="M16" s="12">
        <v>222</v>
      </c>
      <c r="N16" s="12">
        <v>229</v>
      </c>
      <c r="O16" s="12">
        <v>212</v>
      </c>
      <c r="P16" s="12">
        <v>187</v>
      </c>
      <c r="Q16" s="12">
        <v>218</v>
      </c>
      <c r="R16" s="12">
        <v>121</v>
      </c>
      <c r="S16" s="12">
        <v>181</v>
      </c>
      <c r="T16" s="12">
        <v>191</v>
      </c>
      <c r="U16" s="12">
        <v>150</v>
      </c>
      <c r="V16" s="12">
        <v>200</v>
      </c>
      <c r="W16" s="12">
        <v>157</v>
      </c>
      <c r="X16" s="12">
        <v>218</v>
      </c>
      <c r="Y16" s="12">
        <v>345</v>
      </c>
      <c r="Z16" s="12">
        <v>187</v>
      </c>
      <c r="AA16" s="12">
        <v>283</v>
      </c>
      <c r="AB16" s="12">
        <v>130</v>
      </c>
      <c r="AC16" s="12">
        <v>212</v>
      </c>
      <c r="AD16" s="12">
        <v>198</v>
      </c>
      <c r="AE16" s="12">
        <v>355</v>
      </c>
      <c r="AF16" s="12">
        <v>374</v>
      </c>
    </row>
    <row r="17" spans="1:32" x14ac:dyDescent="0.35">
      <c r="A17" s="19"/>
      <c r="B17" s="13" t="s">
        <v>1098</v>
      </c>
      <c r="C17" s="15">
        <v>0.22</v>
      </c>
      <c r="D17" s="15">
        <v>0.27</v>
      </c>
      <c r="E17" s="15">
        <v>0.23</v>
      </c>
      <c r="F17" s="15">
        <v>0.18</v>
      </c>
      <c r="G17" s="15">
        <v>0.25</v>
      </c>
      <c r="H17" s="15">
        <v>0.24</v>
      </c>
      <c r="I17" s="15">
        <v>0.23</v>
      </c>
      <c r="J17" s="15">
        <v>0.22</v>
      </c>
      <c r="K17" s="15">
        <v>0.21</v>
      </c>
      <c r="L17" s="15">
        <v>0.25</v>
      </c>
      <c r="M17" s="15">
        <v>0.22</v>
      </c>
      <c r="N17" s="15">
        <v>0.23</v>
      </c>
      <c r="O17" s="15">
        <v>0.21</v>
      </c>
      <c r="P17" s="15">
        <v>0.19</v>
      </c>
      <c r="Q17" s="15">
        <v>0.21</v>
      </c>
      <c r="R17" s="15">
        <v>0.24</v>
      </c>
      <c r="S17" s="15">
        <v>0.18</v>
      </c>
      <c r="T17" s="15">
        <v>0.19</v>
      </c>
      <c r="U17" s="15">
        <v>0.3</v>
      </c>
      <c r="V17" s="15">
        <v>0.2</v>
      </c>
      <c r="W17" s="15">
        <v>0.31</v>
      </c>
      <c r="X17" s="15">
        <v>0.22</v>
      </c>
      <c r="Y17" s="15">
        <v>0.34</v>
      </c>
      <c r="Z17" s="15">
        <v>0.18</v>
      </c>
      <c r="AA17" s="15">
        <v>0.27</v>
      </c>
      <c r="AB17" s="15">
        <v>0.12</v>
      </c>
      <c r="AC17" s="15">
        <v>0.21</v>
      </c>
      <c r="AD17" s="15">
        <v>0.2</v>
      </c>
      <c r="AE17" s="15">
        <v>0.35</v>
      </c>
      <c r="AF17" s="15">
        <v>0.36</v>
      </c>
    </row>
    <row r="18" spans="1:32" x14ac:dyDescent="0.35">
      <c r="A18" s="19"/>
      <c r="B18" s="11" t="s">
        <v>1099</v>
      </c>
      <c r="C18" s="12">
        <v>4693</v>
      </c>
      <c r="D18" s="12">
        <v>117</v>
      </c>
      <c r="E18" s="12">
        <v>283</v>
      </c>
      <c r="F18" s="12">
        <v>167</v>
      </c>
      <c r="G18" s="12">
        <v>184</v>
      </c>
      <c r="H18" s="12">
        <v>138</v>
      </c>
      <c r="I18" s="12">
        <v>187</v>
      </c>
      <c r="J18" s="12">
        <v>49</v>
      </c>
      <c r="K18" s="12">
        <v>170</v>
      </c>
      <c r="L18" s="12">
        <v>112</v>
      </c>
      <c r="M18" s="12">
        <v>250</v>
      </c>
      <c r="N18" s="12">
        <v>156</v>
      </c>
      <c r="O18" s="12">
        <v>264</v>
      </c>
      <c r="P18" s="12">
        <v>206</v>
      </c>
      <c r="Q18" s="12">
        <v>150</v>
      </c>
      <c r="R18" s="12">
        <v>27</v>
      </c>
      <c r="S18" s="12">
        <v>258</v>
      </c>
      <c r="T18" s="12">
        <v>213</v>
      </c>
      <c r="U18" s="12">
        <v>104</v>
      </c>
      <c r="V18" s="12">
        <v>180</v>
      </c>
      <c r="W18" s="12">
        <v>57</v>
      </c>
      <c r="X18" s="12">
        <v>309</v>
      </c>
      <c r="Y18" s="12">
        <v>194</v>
      </c>
      <c r="Z18" s="12">
        <v>121</v>
      </c>
      <c r="AA18" s="12">
        <v>135</v>
      </c>
      <c r="AB18" s="12">
        <v>180</v>
      </c>
      <c r="AC18" s="12">
        <v>163</v>
      </c>
      <c r="AD18" s="12">
        <v>278</v>
      </c>
      <c r="AE18" s="12">
        <v>247</v>
      </c>
      <c r="AF18" s="12">
        <v>281</v>
      </c>
    </row>
    <row r="19" spans="1:32" x14ac:dyDescent="0.35">
      <c r="A19" s="19"/>
      <c r="B19" s="13" t="s">
        <v>1100</v>
      </c>
      <c r="C19" s="15">
        <v>0.18</v>
      </c>
      <c r="D19" s="15">
        <v>0.12</v>
      </c>
      <c r="E19" s="15">
        <v>0.27</v>
      </c>
      <c r="F19" s="15">
        <v>0.15</v>
      </c>
      <c r="G19" s="15">
        <v>0.18</v>
      </c>
      <c r="H19" s="15">
        <v>0.11</v>
      </c>
      <c r="I19" s="15">
        <v>0.12</v>
      </c>
      <c r="J19" s="15">
        <v>0.17</v>
      </c>
      <c r="K19" s="15">
        <v>0.17</v>
      </c>
      <c r="L19" s="15">
        <v>0.11</v>
      </c>
      <c r="M19" s="15">
        <v>0.25</v>
      </c>
      <c r="N19" s="15">
        <v>0.16</v>
      </c>
      <c r="O19" s="15">
        <v>0.26</v>
      </c>
      <c r="P19" s="15">
        <v>0.21</v>
      </c>
      <c r="Q19" s="15">
        <v>0.15</v>
      </c>
      <c r="R19" s="15">
        <v>0.05</v>
      </c>
      <c r="S19" s="15">
        <v>0.26</v>
      </c>
      <c r="T19" s="15">
        <v>0.21</v>
      </c>
      <c r="U19" s="15">
        <v>0.21</v>
      </c>
      <c r="V19" s="15">
        <v>0.18</v>
      </c>
      <c r="W19" s="15">
        <v>0.11</v>
      </c>
      <c r="X19" s="15">
        <v>0.31</v>
      </c>
      <c r="Y19" s="15">
        <v>0.19</v>
      </c>
      <c r="Z19" s="15">
        <v>0.12</v>
      </c>
      <c r="AA19" s="15">
        <v>0.13</v>
      </c>
      <c r="AB19" s="15">
        <v>0.17</v>
      </c>
      <c r="AC19" s="15">
        <v>0.16</v>
      </c>
      <c r="AD19" s="15">
        <v>0.28000000000000003</v>
      </c>
      <c r="AE19" s="15">
        <v>0.24</v>
      </c>
      <c r="AF19" s="15">
        <v>0.27</v>
      </c>
    </row>
    <row r="20" spans="1:32" x14ac:dyDescent="0.35">
      <c r="A20" s="19"/>
      <c r="B20" s="11" t="s">
        <v>1101</v>
      </c>
      <c r="C20" s="12">
        <v>1993</v>
      </c>
      <c r="D20" s="12">
        <v>123</v>
      </c>
      <c r="E20" s="12">
        <v>88</v>
      </c>
      <c r="F20" s="12">
        <v>132</v>
      </c>
      <c r="G20" s="12">
        <v>58</v>
      </c>
      <c r="H20" s="12">
        <v>88</v>
      </c>
      <c r="I20" s="12">
        <v>112</v>
      </c>
      <c r="J20" s="12">
        <v>24</v>
      </c>
      <c r="K20" s="12">
        <v>108</v>
      </c>
      <c r="L20" s="12">
        <v>126</v>
      </c>
      <c r="M20" s="12">
        <v>75</v>
      </c>
      <c r="N20" s="12">
        <v>69</v>
      </c>
      <c r="O20" s="12">
        <v>79</v>
      </c>
      <c r="P20" s="12">
        <v>90</v>
      </c>
      <c r="Q20" s="12">
        <v>72</v>
      </c>
      <c r="R20" s="12">
        <v>62</v>
      </c>
      <c r="S20" s="12">
        <v>141</v>
      </c>
      <c r="T20" s="12">
        <v>137</v>
      </c>
      <c r="U20" s="12">
        <v>82</v>
      </c>
      <c r="V20" s="12">
        <v>97</v>
      </c>
      <c r="W20" s="12">
        <v>56</v>
      </c>
      <c r="X20" s="12">
        <v>60</v>
      </c>
      <c r="Y20" s="12">
        <v>156</v>
      </c>
      <c r="Z20" s="12">
        <v>56</v>
      </c>
      <c r="AA20" s="12">
        <v>38</v>
      </c>
      <c r="AB20" s="12">
        <v>74</v>
      </c>
      <c r="AC20" s="12">
        <v>66</v>
      </c>
      <c r="AD20" s="12">
        <v>95</v>
      </c>
      <c r="AE20" s="12">
        <v>41</v>
      </c>
      <c r="AF20" s="12">
        <v>35</v>
      </c>
    </row>
    <row r="21" spans="1:32" x14ac:dyDescent="0.35">
      <c r="A21" s="19"/>
      <c r="B21" s="13" t="s">
        <v>1102</v>
      </c>
      <c r="C21" s="15">
        <v>0.08</v>
      </c>
      <c r="D21" s="15">
        <v>0.12</v>
      </c>
      <c r="E21" s="15">
        <v>0.09</v>
      </c>
      <c r="F21" s="15">
        <v>0.12</v>
      </c>
      <c r="G21" s="15">
        <v>0.06</v>
      </c>
      <c r="H21" s="15">
        <v>7.0000000000000007E-2</v>
      </c>
      <c r="I21" s="15">
        <v>7.0000000000000007E-2</v>
      </c>
      <c r="J21" s="15">
        <v>0.08</v>
      </c>
      <c r="K21" s="15">
        <v>0.11</v>
      </c>
      <c r="L21" s="15">
        <v>0.13</v>
      </c>
      <c r="M21" s="15">
        <v>7.0000000000000007E-2</v>
      </c>
      <c r="N21" s="15">
        <v>7.0000000000000007E-2</v>
      </c>
      <c r="O21" s="15">
        <v>0.08</v>
      </c>
      <c r="P21" s="15">
        <v>0.09</v>
      </c>
      <c r="Q21" s="15">
        <v>7.0000000000000007E-2</v>
      </c>
      <c r="R21" s="15">
        <v>0.12</v>
      </c>
      <c r="S21" s="15">
        <v>0.14000000000000001</v>
      </c>
      <c r="T21" s="15">
        <v>0.14000000000000001</v>
      </c>
      <c r="U21" s="15">
        <v>0.16</v>
      </c>
      <c r="V21" s="15">
        <v>0.1</v>
      </c>
      <c r="W21" s="15">
        <v>0.11</v>
      </c>
      <c r="X21" s="15">
        <v>0.06</v>
      </c>
      <c r="Y21" s="15">
        <v>0.16</v>
      </c>
      <c r="Z21" s="15">
        <v>0.05</v>
      </c>
      <c r="AA21" s="15">
        <v>0.04</v>
      </c>
      <c r="AB21" s="15">
        <v>7.0000000000000007E-2</v>
      </c>
      <c r="AC21" s="15">
        <v>7.0000000000000007E-2</v>
      </c>
      <c r="AD21" s="15">
        <v>0.09</v>
      </c>
      <c r="AE21" s="15">
        <v>0.04</v>
      </c>
      <c r="AF21" s="15">
        <v>0.03</v>
      </c>
    </row>
    <row r="22" spans="1:32" ht="21.5" x14ac:dyDescent="0.35">
      <c r="A22" s="19"/>
      <c r="B22" s="11" t="s">
        <v>1103</v>
      </c>
      <c r="C22" s="12">
        <v>6970</v>
      </c>
      <c r="D22" s="12">
        <v>289</v>
      </c>
      <c r="E22" s="12">
        <v>197</v>
      </c>
      <c r="F22" s="12">
        <v>233</v>
      </c>
      <c r="G22" s="12">
        <v>426</v>
      </c>
      <c r="H22" s="12">
        <v>421</v>
      </c>
      <c r="I22" s="12">
        <v>526</v>
      </c>
      <c r="J22" s="12">
        <v>105</v>
      </c>
      <c r="K22" s="12">
        <v>157</v>
      </c>
      <c r="L22" s="12">
        <v>231</v>
      </c>
      <c r="M22" s="12">
        <v>178</v>
      </c>
      <c r="N22" s="12">
        <v>189</v>
      </c>
      <c r="O22" s="12">
        <v>211</v>
      </c>
      <c r="P22" s="12">
        <v>243</v>
      </c>
      <c r="Q22" s="12">
        <v>280</v>
      </c>
      <c r="R22" s="12">
        <v>99</v>
      </c>
      <c r="S22" s="12">
        <v>143</v>
      </c>
      <c r="T22" s="12">
        <v>156</v>
      </c>
      <c r="U22" s="12">
        <v>143</v>
      </c>
      <c r="V22" s="12">
        <v>196</v>
      </c>
      <c r="W22" s="12">
        <v>147</v>
      </c>
      <c r="X22" s="12">
        <v>354</v>
      </c>
      <c r="Y22" s="12">
        <v>199</v>
      </c>
      <c r="Z22" s="12">
        <v>253</v>
      </c>
      <c r="AA22" s="12">
        <v>232</v>
      </c>
      <c r="AB22" s="12">
        <v>209</v>
      </c>
      <c r="AC22" s="12">
        <v>147</v>
      </c>
      <c r="AD22" s="12">
        <v>219</v>
      </c>
      <c r="AE22" s="12">
        <v>498</v>
      </c>
      <c r="AF22" s="12">
        <v>537</v>
      </c>
    </row>
    <row r="23" spans="1:32" ht="21.5" x14ac:dyDescent="0.35">
      <c r="A23" s="19"/>
      <c r="B23" s="13" t="s">
        <v>1104</v>
      </c>
      <c r="C23" s="15">
        <v>0.26</v>
      </c>
      <c r="D23" s="15">
        <v>0.28000000000000003</v>
      </c>
      <c r="E23" s="15">
        <v>0.19</v>
      </c>
      <c r="F23" s="15">
        <v>0.21</v>
      </c>
      <c r="G23" s="15">
        <v>0.42</v>
      </c>
      <c r="H23" s="15">
        <v>0.34</v>
      </c>
      <c r="I23" s="15">
        <v>0.35</v>
      </c>
      <c r="J23" s="15">
        <v>0.36</v>
      </c>
      <c r="K23" s="15">
        <v>0.16</v>
      </c>
      <c r="L23" s="15">
        <v>0.23</v>
      </c>
      <c r="M23" s="15">
        <v>0.18</v>
      </c>
      <c r="N23" s="15">
        <v>0.19</v>
      </c>
      <c r="O23" s="15">
        <v>0.21</v>
      </c>
      <c r="P23" s="15">
        <v>0.24</v>
      </c>
      <c r="Q23" s="15">
        <v>0.27</v>
      </c>
      <c r="R23" s="15">
        <v>0.2</v>
      </c>
      <c r="S23" s="15">
        <v>0.14000000000000001</v>
      </c>
      <c r="T23" s="15">
        <v>0.16</v>
      </c>
      <c r="U23" s="15">
        <v>0.28000000000000003</v>
      </c>
      <c r="V23" s="15">
        <v>0.19</v>
      </c>
      <c r="W23" s="15">
        <v>0.28999999999999998</v>
      </c>
      <c r="X23" s="15">
        <v>0.35</v>
      </c>
      <c r="Y23" s="15">
        <v>0.2</v>
      </c>
      <c r="Z23" s="15">
        <v>0.25</v>
      </c>
      <c r="AA23" s="15">
        <v>0.22</v>
      </c>
      <c r="AB23" s="15">
        <v>0.2</v>
      </c>
      <c r="AC23" s="15">
        <v>0.15</v>
      </c>
      <c r="AD23" s="15">
        <v>0.22</v>
      </c>
      <c r="AE23" s="15">
        <v>0.49</v>
      </c>
      <c r="AF23" s="15">
        <v>0.51</v>
      </c>
    </row>
    <row r="24" spans="1:32" x14ac:dyDescent="0.35">
      <c r="A24" s="19"/>
      <c r="B24" s="11" t="s">
        <v>1105</v>
      </c>
      <c r="C24" s="12">
        <v>4172</v>
      </c>
      <c r="D24" s="12">
        <v>152</v>
      </c>
      <c r="E24" s="12">
        <v>129</v>
      </c>
      <c r="F24" s="12">
        <v>197</v>
      </c>
      <c r="G24" s="12">
        <v>175</v>
      </c>
      <c r="H24" s="12">
        <v>201</v>
      </c>
      <c r="I24" s="12">
        <v>250</v>
      </c>
      <c r="J24" s="12">
        <v>49</v>
      </c>
      <c r="K24" s="12">
        <v>197</v>
      </c>
      <c r="L24" s="12">
        <v>340</v>
      </c>
      <c r="M24" s="12">
        <v>165</v>
      </c>
      <c r="N24" s="12">
        <v>149</v>
      </c>
      <c r="O24" s="12">
        <v>202</v>
      </c>
      <c r="P24" s="12">
        <v>262</v>
      </c>
      <c r="Q24" s="12">
        <v>159</v>
      </c>
      <c r="R24" s="12">
        <v>98</v>
      </c>
      <c r="S24" s="12">
        <v>200</v>
      </c>
      <c r="T24" s="12">
        <v>241</v>
      </c>
      <c r="U24" s="12">
        <v>67</v>
      </c>
      <c r="V24" s="12">
        <v>144</v>
      </c>
      <c r="W24" s="12">
        <v>90</v>
      </c>
      <c r="X24" s="12">
        <v>157</v>
      </c>
      <c r="Y24" s="12">
        <v>116</v>
      </c>
      <c r="Z24" s="12">
        <v>79</v>
      </c>
      <c r="AA24" s="12">
        <v>97</v>
      </c>
      <c r="AB24" s="12">
        <v>105</v>
      </c>
      <c r="AC24" s="12">
        <v>371</v>
      </c>
      <c r="AD24" s="12">
        <v>224</v>
      </c>
      <c r="AE24" s="12">
        <v>130</v>
      </c>
      <c r="AF24" s="12">
        <v>162</v>
      </c>
    </row>
    <row r="25" spans="1:32" x14ac:dyDescent="0.35">
      <c r="A25" s="19"/>
      <c r="B25" s="13" t="s">
        <v>1106</v>
      </c>
      <c r="C25" s="15">
        <v>0.16</v>
      </c>
      <c r="D25" s="15">
        <v>0.15</v>
      </c>
      <c r="E25" s="15">
        <v>0.13</v>
      </c>
      <c r="F25" s="15">
        <v>0.18</v>
      </c>
      <c r="G25" s="15">
        <v>0.17</v>
      </c>
      <c r="H25" s="15">
        <v>0.16</v>
      </c>
      <c r="I25" s="15">
        <v>0.17</v>
      </c>
      <c r="J25" s="15">
        <v>0.17</v>
      </c>
      <c r="K25" s="15">
        <v>0.2</v>
      </c>
      <c r="L25" s="15">
        <v>0.34</v>
      </c>
      <c r="M25" s="15">
        <v>0.16</v>
      </c>
      <c r="N25" s="15">
        <v>0.15</v>
      </c>
      <c r="O25" s="15">
        <v>0.2</v>
      </c>
      <c r="P25" s="15">
        <v>0.26</v>
      </c>
      <c r="Q25" s="15">
        <v>0.15</v>
      </c>
      <c r="R25" s="15">
        <v>0.2</v>
      </c>
      <c r="S25" s="15">
        <v>0.2</v>
      </c>
      <c r="T25" s="15">
        <v>0.24</v>
      </c>
      <c r="U25" s="15">
        <v>0.13</v>
      </c>
      <c r="V25" s="15">
        <v>0.14000000000000001</v>
      </c>
      <c r="W25" s="15">
        <v>0.18</v>
      </c>
      <c r="X25" s="15">
        <v>0.16</v>
      </c>
      <c r="Y25" s="15">
        <v>0.12</v>
      </c>
      <c r="Z25" s="15">
        <v>0.08</v>
      </c>
      <c r="AA25" s="15">
        <v>0.09</v>
      </c>
      <c r="AB25" s="15">
        <v>0.1</v>
      </c>
      <c r="AC25" s="15">
        <v>0.37</v>
      </c>
      <c r="AD25" s="15">
        <v>0.22</v>
      </c>
      <c r="AE25" s="15">
        <v>0.13</v>
      </c>
      <c r="AF25" s="15">
        <v>0.16</v>
      </c>
    </row>
    <row r="26" spans="1:32" ht="21.5" x14ac:dyDescent="0.35">
      <c r="A26" s="19"/>
      <c r="B26" s="11" t="s">
        <v>1107</v>
      </c>
      <c r="C26" s="12">
        <v>2856</v>
      </c>
      <c r="D26" s="12">
        <v>113</v>
      </c>
      <c r="E26" s="12">
        <v>138</v>
      </c>
      <c r="F26" s="12">
        <v>158</v>
      </c>
      <c r="G26" s="12">
        <v>122</v>
      </c>
      <c r="H26" s="12">
        <v>119</v>
      </c>
      <c r="I26" s="12">
        <v>158</v>
      </c>
      <c r="J26" s="12">
        <v>39</v>
      </c>
      <c r="K26" s="12">
        <v>96</v>
      </c>
      <c r="L26" s="12">
        <v>93</v>
      </c>
      <c r="M26" s="12">
        <v>127</v>
      </c>
      <c r="N26" s="12">
        <v>62</v>
      </c>
      <c r="O26" s="12">
        <v>88</v>
      </c>
      <c r="P26" s="12">
        <v>125</v>
      </c>
      <c r="Q26" s="12">
        <v>129</v>
      </c>
      <c r="R26" s="12">
        <v>40</v>
      </c>
      <c r="S26" s="12">
        <v>104</v>
      </c>
      <c r="T26" s="12">
        <v>151</v>
      </c>
      <c r="U26" s="12">
        <v>25</v>
      </c>
      <c r="V26" s="12">
        <v>133</v>
      </c>
      <c r="W26" s="12">
        <v>72</v>
      </c>
      <c r="X26" s="12">
        <v>116</v>
      </c>
      <c r="Y26" s="12">
        <v>139</v>
      </c>
      <c r="Z26" s="12">
        <v>131</v>
      </c>
      <c r="AA26" s="12">
        <v>93</v>
      </c>
      <c r="AB26" s="12">
        <v>187</v>
      </c>
      <c r="AC26" s="12">
        <v>103</v>
      </c>
      <c r="AD26" s="12">
        <v>66</v>
      </c>
      <c r="AE26" s="12">
        <v>73</v>
      </c>
      <c r="AF26" s="12">
        <v>107</v>
      </c>
    </row>
    <row r="27" spans="1:32" ht="21.5" x14ac:dyDescent="0.35">
      <c r="A27" s="19"/>
      <c r="B27" s="13" t="s">
        <v>1108</v>
      </c>
      <c r="C27" s="15">
        <v>0.11</v>
      </c>
      <c r="D27" s="15">
        <v>0.11</v>
      </c>
      <c r="E27" s="15">
        <v>0.13</v>
      </c>
      <c r="F27" s="15">
        <v>0.14000000000000001</v>
      </c>
      <c r="G27" s="15">
        <v>0.12</v>
      </c>
      <c r="H27" s="15">
        <v>0.1</v>
      </c>
      <c r="I27" s="15">
        <v>0.1</v>
      </c>
      <c r="J27" s="15">
        <v>0.13</v>
      </c>
      <c r="K27" s="15">
        <v>0.1</v>
      </c>
      <c r="L27" s="15">
        <v>0.09</v>
      </c>
      <c r="M27" s="15">
        <v>0.13</v>
      </c>
      <c r="N27" s="15">
        <v>0.06</v>
      </c>
      <c r="O27" s="15">
        <v>0.09</v>
      </c>
      <c r="P27" s="15">
        <v>0.12</v>
      </c>
      <c r="Q27" s="15">
        <v>0.13</v>
      </c>
      <c r="R27" s="15">
        <v>0.08</v>
      </c>
      <c r="S27" s="15">
        <v>0.1</v>
      </c>
      <c r="T27" s="15">
        <v>0.15</v>
      </c>
      <c r="U27" s="15">
        <v>0.05</v>
      </c>
      <c r="V27" s="15">
        <v>0.13</v>
      </c>
      <c r="W27" s="15">
        <v>0.14000000000000001</v>
      </c>
      <c r="X27" s="15">
        <v>0.11</v>
      </c>
      <c r="Y27" s="15">
        <v>0.14000000000000001</v>
      </c>
      <c r="Z27" s="15">
        <v>0.13</v>
      </c>
      <c r="AA27" s="15">
        <v>0.09</v>
      </c>
      <c r="AB27" s="15">
        <v>0.18</v>
      </c>
      <c r="AC27" s="15">
        <v>0.1</v>
      </c>
      <c r="AD27" s="15">
        <v>7.0000000000000007E-2</v>
      </c>
      <c r="AE27" s="15">
        <v>7.0000000000000007E-2</v>
      </c>
      <c r="AF27" s="15">
        <v>0.1</v>
      </c>
    </row>
    <row r="28" spans="1:32" x14ac:dyDescent="0.35">
      <c r="A28" s="19"/>
      <c r="B28" s="11" t="s">
        <v>1109</v>
      </c>
      <c r="C28" s="12">
        <v>5451</v>
      </c>
      <c r="D28" s="12">
        <v>236</v>
      </c>
      <c r="E28" s="12">
        <v>160</v>
      </c>
      <c r="F28" s="12">
        <v>147</v>
      </c>
      <c r="G28" s="12">
        <v>191</v>
      </c>
      <c r="H28" s="12">
        <v>260</v>
      </c>
      <c r="I28" s="12">
        <v>324</v>
      </c>
      <c r="J28" s="12">
        <v>64</v>
      </c>
      <c r="K28" s="12">
        <v>189</v>
      </c>
      <c r="L28" s="12">
        <v>253</v>
      </c>
      <c r="M28" s="12">
        <v>358</v>
      </c>
      <c r="N28" s="12">
        <v>228</v>
      </c>
      <c r="O28" s="12">
        <v>153</v>
      </c>
      <c r="P28" s="12">
        <v>210</v>
      </c>
      <c r="Q28" s="12">
        <v>203</v>
      </c>
      <c r="R28" s="12">
        <v>127</v>
      </c>
      <c r="S28" s="12">
        <v>202</v>
      </c>
      <c r="T28" s="12">
        <v>234</v>
      </c>
      <c r="U28" s="12">
        <v>107</v>
      </c>
      <c r="V28" s="12">
        <v>261</v>
      </c>
      <c r="W28" s="12">
        <v>103</v>
      </c>
      <c r="X28" s="12">
        <v>260</v>
      </c>
      <c r="Y28" s="12">
        <v>194</v>
      </c>
      <c r="Z28" s="12">
        <v>244</v>
      </c>
      <c r="AA28" s="12">
        <v>188</v>
      </c>
      <c r="AB28" s="12">
        <v>176</v>
      </c>
      <c r="AC28" s="12">
        <v>340</v>
      </c>
      <c r="AD28" s="12">
        <v>189</v>
      </c>
      <c r="AE28" s="12">
        <v>217</v>
      </c>
      <c r="AF28" s="12">
        <v>188</v>
      </c>
    </row>
    <row r="29" spans="1:32" x14ac:dyDescent="0.35">
      <c r="A29" s="19"/>
      <c r="B29" s="13" t="s">
        <v>1110</v>
      </c>
      <c r="C29" s="15">
        <v>0.21</v>
      </c>
      <c r="D29" s="15">
        <v>0.23</v>
      </c>
      <c r="E29" s="15">
        <v>0.16</v>
      </c>
      <c r="F29" s="15">
        <v>0.13</v>
      </c>
      <c r="G29" s="15">
        <v>0.19</v>
      </c>
      <c r="H29" s="15">
        <v>0.21</v>
      </c>
      <c r="I29" s="15">
        <v>0.21</v>
      </c>
      <c r="J29" s="15">
        <v>0.22</v>
      </c>
      <c r="K29" s="15">
        <v>0.19</v>
      </c>
      <c r="L29" s="15">
        <v>0.25</v>
      </c>
      <c r="M29" s="15">
        <v>0.35</v>
      </c>
      <c r="N29" s="15">
        <v>0.23</v>
      </c>
      <c r="O29" s="15">
        <v>0.15</v>
      </c>
      <c r="P29" s="15">
        <v>0.21</v>
      </c>
      <c r="Q29" s="15">
        <v>0.2</v>
      </c>
      <c r="R29" s="15">
        <v>0.25</v>
      </c>
      <c r="S29" s="15">
        <v>0.2</v>
      </c>
      <c r="T29" s="15">
        <v>0.23</v>
      </c>
      <c r="U29" s="15">
        <v>0.21</v>
      </c>
      <c r="V29" s="15">
        <v>0.26</v>
      </c>
      <c r="W29" s="15">
        <v>0.2</v>
      </c>
      <c r="X29" s="15">
        <v>0.26</v>
      </c>
      <c r="Y29" s="15">
        <v>0.19</v>
      </c>
      <c r="Z29" s="15">
        <v>0.24</v>
      </c>
      <c r="AA29" s="15">
        <v>0.18</v>
      </c>
      <c r="AB29" s="15">
        <v>0.17</v>
      </c>
      <c r="AC29" s="15">
        <v>0.34</v>
      </c>
      <c r="AD29" s="15">
        <v>0.19</v>
      </c>
      <c r="AE29" s="15">
        <v>0.21</v>
      </c>
      <c r="AF29" s="15">
        <v>0.18</v>
      </c>
    </row>
    <row r="30" spans="1:32" ht="21.5" x14ac:dyDescent="0.35">
      <c r="A30" s="19"/>
      <c r="B30" s="11" t="s">
        <v>1111</v>
      </c>
      <c r="C30" s="12">
        <v>2590</v>
      </c>
      <c r="D30" s="12">
        <v>131</v>
      </c>
      <c r="E30" s="12">
        <v>83</v>
      </c>
      <c r="F30" s="12">
        <v>123</v>
      </c>
      <c r="G30" s="12">
        <v>67</v>
      </c>
      <c r="H30" s="12">
        <v>67</v>
      </c>
      <c r="I30" s="12">
        <v>91</v>
      </c>
      <c r="J30" s="12">
        <v>24</v>
      </c>
      <c r="K30" s="12">
        <v>74</v>
      </c>
      <c r="L30" s="12">
        <v>77</v>
      </c>
      <c r="M30" s="12">
        <v>68</v>
      </c>
      <c r="N30" s="12">
        <v>108</v>
      </c>
      <c r="O30" s="12">
        <v>93</v>
      </c>
      <c r="P30" s="12">
        <v>154</v>
      </c>
      <c r="Q30" s="12">
        <v>98</v>
      </c>
      <c r="R30" s="12">
        <v>40</v>
      </c>
      <c r="S30" s="12">
        <v>73</v>
      </c>
      <c r="T30" s="12">
        <v>92</v>
      </c>
      <c r="U30" s="12">
        <v>33</v>
      </c>
      <c r="V30" s="12">
        <v>188</v>
      </c>
      <c r="W30" s="12">
        <v>88</v>
      </c>
      <c r="X30" s="12">
        <v>66</v>
      </c>
      <c r="Y30" s="12">
        <v>113</v>
      </c>
      <c r="Z30" s="12">
        <v>158</v>
      </c>
      <c r="AA30" s="12">
        <v>94</v>
      </c>
      <c r="AB30" s="12">
        <v>193</v>
      </c>
      <c r="AC30" s="12">
        <v>64</v>
      </c>
      <c r="AD30" s="12">
        <v>84</v>
      </c>
      <c r="AE30" s="12">
        <v>63</v>
      </c>
      <c r="AF30" s="12">
        <v>64</v>
      </c>
    </row>
    <row r="31" spans="1:32" x14ac:dyDescent="0.35">
      <c r="A31" s="19"/>
      <c r="B31" s="13" t="s">
        <v>1112</v>
      </c>
      <c r="C31" s="15">
        <v>0.1</v>
      </c>
      <c r="D31" s="15">
        <v>0.13</v>
      </c>
      <c r="E31" s="15">
        <v>0.08</v>
      </c>
      <c r="F31" s="15">
        <v>0.11</v>
      </c>
      <c r="G31" s="15">
        <v>7.0000000000000007E-2</v>
      </c>
      <c r="H31" s="15">
        <v>0.05</v>
      </c>
      <c r="I31" s="15">
        <v>0.06</v>
      </c>
      <c r="J31" s="15">
        <v>0.08</v>
      </c>
      <c r="K31" s="15">
        <v>7.0000000000000007E-2</v>
      </c>
      <c r="L31" s="15">
        <v>0.08</v>
      </c>
      <c r="M31" s="15">
        <v>7.0000000000000007E-2</v>
      </c>
      <c r="N31" s="15">
        <v>0.11</v>
      </c>
      <c r="O31" s="15">
        <v>0.09</v>
      </c>
      <c r="P31" s="15">
        <v>0.15</v>
      </c>
      <c r="Q31" s="15">
        <v>0.1</v>
      </c>
      <c r="R31" s="15">
        <v>0.08</v>
      </c>
      <c r="S31" s="15">
        <v>7.0000000000000007E-2</v>
      </c>
      <c r="T31" s="15">
        <v>0.09</v>
      </c>
      <c r="U31" s="15">
        <v>7.0000000000000007E-2</v>
      </c>
      <c r="V31" s="15">
        <v>0.19</v>
      </c>
      <c r="W31" s="15">
        <v>0.17</v>
      </c>
      <c r="X31" s="15">
        <v>7.0000000000000007E-2</v>
      </c>
      <c r="Y31" s="15">
        <v>0.11</v>
      </c>
      <c r="Z31" s="15">
        <v>0.15</v>
      </c>
      <c r="AA31" s="15">
        <v>0.09</v>
      </c>
      <c r="AB31" s="15">
        <v>0.18</v>
      </c>
      <c r="AC31" s="15">
        <v>0.06</v>
      </c>
      <c r="AD31" s="15">
        <v>0.08</v>
      </c>
      <c r="AE31" s="15">
        <v>0.06</v>
      </c>
      <c r="AF31" s="15">
        <v>0.06</v>
      </c>
    </row>
    <row r="32" spans="1:32" x14ac:dyDescent="0.35">
      <c r="A32" s="19"/>
      <c r="B32" s="11" t="s">
        <v>1113</v>
      </c>
      <c r="C32" s="12">
        <v>5386</v>
      </c>
      <c r="D32" s="12">
        <v>234</v>
      </c>
      <c r="E32" s="12">
        <v>191</v>
      </c>
      <c r="F32" s="12">
        <v>201</v>
      </c>
      <c r="G32" s="12">
        <v>271</v>
      </c>
      <c r="H32" s="12">
        <v>337</v>
      </c>
      <c r="I32" s="12">
        <v>392</v>
      </c>
      <c r="J32" s="12">
        <v>56</v>
      </c>
      <c r="K32" s="12">
        <v>115</v>
      </c>
      <c r="L32" s="12">
        <v>160</v>
      </c>
      <c r="M32" s="12">
        <v>216</v>
      </c>
      <c r="N32" s="12">
        <v>193</v>
      </c>
      <c r="O32" s="12">
        <v>182</v>
      </c>
      <c r="P32" s="12">
        <v>170</v>
      </c>
      <c r="Q32" s="12">
        <v>204</v>
      </c>
      <c r="R32" s="12">
        <v>65</v>
      </c>
      <c r="S32" s="12">
        <v>110</v>
      </c>
      <c r="T32" s="12">
        <v>143</v>
      </c>
      <c r="U32" s="12">
        <v>112</v>
      </c>
      <c r="V32" s="12">
        <v>103</v>
      </c>
      <c r="W32" s="12">
        <v>93</v>
      </c>
      <c r="X32" s="12">
        <v>231</v>
      </c>
      <c r="Y32" s="12">
        <v>161</v>
      </c>
      <c r="Z32" s="12">
        <v>190</v>
      </c>
      <c r="AA32" s="12">
        <v>223</v>
      </c>
      <c r="AB32" s="12">
        <v>227</v>
      </c>
      <c r="AC32" s="12">
        <v>169</v>
      </c>
      <c r="AD32" s="12">
        <v>177</v>
      </c>
      <c r="AE32" s="12">
        <v>125</v>
      </c>
      <c r="AF32" s="12">
        <v>217</v>
      </c>
    </row>
    <row r="33" spans="1:32" x14ac:dyDescent="0.35">
      <c r="A33" s="19"/>
      <c r="B33" s="13" t="s">
        <v>1114</v>
      </c>
      <c r="C33" s="15">
        <v>0.2</v>
      </c>
      <c r="D33" s="15">
        <v>0.23</v>
      </c>
      <c r="E33" s="15">
        <v>0.19</v>
      </c>
      <c r="F33" s="15">
        <v>0.18</v>
      </c>
      <c r="G33" s="15">
        <v>0.27</v>
      </c>
      <c r="H33" s="15">
        <v>0.28000000000000003</v>
      </c>
      <c r="I33" s="15">
        <v>0.26</v>
      </c>
      <c r="J33" s="15">
        <v>0.19</v>
      </c>
      <c r="K33" s="15">
        <v>0.11</v>
      </c>
      <c r="L33" s="15">
        <v>0.16</v>
      </c>
      <c r="M33" s="15">
        <v>0.21</v>
      </c>
      <c r="N33" s="15">
        <v>0.19</v>
      </c>
      <c r="O33" s="15">
        <v>0.18</v>
      </c>
      <c r="P33" s="15">
        <v>0.17</v>
      </c>
      <c r="Q33" s="15">
        <v>0.2</v>
      </c>
      <c r="R33" s="15">
        <v>0.13</v>
      </c>
      <c r="S33" s="15">
        <v>0.11</v>
      </c>
      <c r="T33" s="15">
        <v>0.14000000000000001</v>
      </c>
      <c r="U33" s="15">
        <v>0.22</v>
      </c>
      <c r="V33" s="15">
        <v>0.1</v>
      </c>
      <c r="W33" s="15">
        <v>0.18</v>
      </c>
      <c r="X33" s="15">
        <v>0.23</v>
      </c>
      <c r="Y33" s="15">
        <v>0.16</v>
      </c>
      <c r="Z33" s="15">
        <v>0.18</v>
      </c>
      <c r="AA33" s="15">
        <v>0.22</v>
      </c>
      <c r="AB33" s="15">
        <v>0.22</v>
      </c>
      <c r="AC33" s="15">
        <v>0.17</v>
      </c>
      <c r="AD33" s="15">
        <v>0.18</v>
      </c>
      <c r="AE33" s="15">
        <v>0.12</v>
      </c>
      <c r="AF33" s="15">
        <v>0.21</v>
      </c>
    </row>
    <row r="34" spans="1:32" x14ac:dyDescent="0.35">
      <c r="A34" s="19"/>
      <c r="B34" s="11" t="s">
        <v>1115</v>
      </c>
      <c r="C34" s="12">
        <v>6217</v>
      </c>
      <c r="D34" s="12">
        <v>219</v>
      </c>
      <c r="E34" s="12">
        <v>203</v>
      </c>
      <c r="F34" s="12">
        <v>313</v>
      </c>
      <c r="G34" s="12">
        <v>274</v>
      </c>
      <c r="H34" s="12">
        <v>300</v>
      </c>
      <c r="I34" s="12">
        <v>366</v>
      </c>
      <c r="J34" s="12">
        <v>66</v>
      </c>
      <c r="K34" s="12">
        <v>229</v>
      </c>
      <c r="L34" s="12">
        <v>268</v>
      </c>
      <c r="M34" s="12">
        <v>371</v>
      </c>
      <c r="N34" s="12">
        <v>297</v>
      </c>
      <c r="O34" s="12">
        <v>263</v>
      </c>
      <c r="P34" s="12">
        <v>233</v>
      </c>
      <c r="Q34" s="12">
        <v>208</v>
      </c>
      <c r="R34" s="12">
        <v>188</v>
      </c>
      <c r="S34" s="12">
        <v>275</v>
      </c>
      <c r="T34" s="12">
        <v>257</v>
      </c>
      <c r="U34" s="12">
        <v>138</v>
      </c>
      <c r="V34" s="12">
        <v>254</v>
      </c>
      <c r="W34" s="12">
        <v>142</v>
      </c>
      <c r="X34" s="12">
        <v>200</v>
      </c>
      <c r="Y34" s="12">
        <v>232</v>
      </c>
      <c r="Z34" s="12">
        <v>174</v>
      </c>
      <c r="AA34" s="12">
        <v>188</v>
      </c>
      <c r="AB34" s="12">
        <v>133</v>
      </c>
      <c r="AC34" s="12">
        <v>185</v>
      </c>
      <c r="AD34" s="12">
        <v>247</v>
      </c>
      <c r="AE34" s="12">
        <v>225</v>
      </c>
      <c r="AF34" s="12">
        <v>256</v>
      </c>
    </row>
    <row r="35" spans="1:32" x14ac:dyDescent="0.35">
      <c r="A35" s="19"/>
      <c r="B35" s="13" t="s">
        <v>1116</v>
      </c>
      <c r="C35" s="15">
        <v>0.24</v>
      </c>
      <c r="D35" s="15">
        <v>0.22</v>
      </c>
      <c r="E35" s="15">
        <v>0.2</v>
      </c>
      <c r="F35" s="15">
        <v>0.28000000000000003</v>
      </c>
      <c r="G35" s="15">
        <v>0.27</v>
      </c>
      <c r="H35" s="15">
        <v>0.25</v>
      </c>
      <c r="I35" s="15">
        <v>0.24</v>
      </c>
      <c r="J35" s="15">
        <v>0.22</v>
      </c>
      <c r="K35" s="15">
        <v>0.23</v>
      </c>
      <c r="L35" s="15">
        <v>0.27</v>
      </c>
      <c r="M35" s="15">
        <v>0.37</v>
      </c>
      <c r="N35" s="15">
        <v>0.3</v>
      </c>
      <c r="O35" s="15">
        <v>0.26</v>
      </c>
      <c r="P35" s="15">
        <v>0.23</v>
      </c>
      <c r="Q35" s="15">
        <v>0.2</v>
      </c>
      <c r="R35" s="15">
        <v>0.37</v>
      </c>
      <c r="S35" s="15">
        <v>0.27</v>
      </c>
      <c r="T35" s="15">
        <v>0.26</v>
      </c>
      <c r="U35" s="15">
        <v>0.27</v>
      </c>
      <c r="V35" s="15">
        <v>0.25</v>
      </c>
      <c r="W35" s="15">
        <v>0.28000000000000003</v>
      </c>
      <c r="X35" s="15">
        <v>0.2</v>
      </c>
      <c r="Y35" s="15">
        <v>0.23</v>
      </c>
      <c r="Z35" s="15">
        <v>0.17</v>
      </c>
      <c r="AA35" s="15">
        <v>0.18</v>
      </c>
      <c r="AB35" s="15">
        <v>0.13</v>
      </c>
      <c r="AC35" s="15">
        <v>0.18</v>
      </c>
      <c r="AD35" s="15">
        <v>0.25</v>
      </c>
      <c r="AE35" s="15">
        <v>0.22</v>
      </c>
      <c r="AF35" s="15">
        <v>0.24</v>
      </c>
    </row>
    <row r="36" spans="1:32" x14ac:dyDescent="0.35">
      <c r="A36" s="19"/>
      <c r="B36" s="11" t="s">
        <v>1117</v>
      </c>
      <c r="C36" s="12">
        <v>3170</v>
      </c>
      <c r="D36" s="12">
        <v>134</v>
      </c>
      <c r="E36" s="12">
        <v>104</v>
      </c>
      <c r="F36" s="12">
        <v>66</v>
      </c>
      <c r="G36" s="12">
        <v>124</v>
      </c>
      <c r="H36" s="12">
        <v>140</v>
      </c>
      <c r="I36" s="12">
        <v>170</v>
      </c>
      <c r="J36" s="12">
        <v>29</v>
      </c>
      <c r="K36" s="12">
        <v>153</v>
      </c>
      <c r="L36" s="12">
        <v>191</v>
      </c>
      <c r="M36" s="12">
        <v>161</v>
      </c>
      <c r="N36" s="12">
        <v>188</v>
      </c>
      <c r="O36" s="12">
        <v>130</v>
      </c>
      <c r="P36" s="12">
        <v>167</v>
      </c>
      <c r="Q36" s="12">
        <v>90</v>
      </c>
      <c r="R36" s="12">
        <v>110</v>
      </c>
      <c r="S36" s="12">
        <v>148</v>
      </c>
      <c r="T36" s="12">
        <v>124</v>
      </c>
      <c r="U36" s="12">
        <v>60</v>
      </c>
      <c r="V36" s="12">
        <v>108</v>
      </c>
      <c r="W36" s="12">
        <v>105</v>
      </c>
      <c r="X36" s="12">
        <v>73</v>
      </c>
      <c r="Y36" s="12">
        <v>129</v>
      </c>
      <c r="Z36" s="12">
        <v>90</v>
      </c>
      <c r="AA36" s="12">
        <v>121</v>
      </c>
      <c r="AB36" s="12">
        <v>137</v>
      </c>
      <c r="AC36" s="12">
        <v>119</v>
      </c>
      <c r="AD36" s="12">
        <v>132</v>
      </c>
      <c r="AE36" s="12">
        <v>112</v>
      </c>
      <c r="AF36" s="12">
        <v>113</v>
      </c>
    </row>
    <row r="37" spans="1:32" x14ac:dyDescent="0.35">
      <c r="A37" s="19"/>
      <c r="B37" s="13" t="s">
        <v>1118</v>
      </c>
      <c r="C37" s="15">
        <v>0.12</v>
      </c>
      <c r="D37" s="15">
        <v>0.13</v>
      </c>
      <c r="E37" s="15">
        <v>0.1</v>
      </c>
      <c r="F37" s="15">
        <v>0.06</v>
      </c>
      <c r="G37" s="15">
        <v>0.12</v>
      </c>
      <c r="H37" s="15">
        <v>0.12</v>
      </c>
      <c r="I37" s="15">
        <v>0.11</v>
      </c>
      <c r="J37" s="15">
        <v>0.1</v>
      </c>
      <c r="K37" s="15">
        <v>0.15</v>
      </c>
      <c r="L37" s="15">
        <v>0.19</v>
      </c>
      <c r="M37" s="15">
        <v>0.16</v>
      </c>
      <c r="N37" s="15">
        <v>0.19</v>
      </c>
      <c r="O37" s="15">
        <v>0.13</v>
      </c>
      <c r="P37" s="15">
        <v>0.17</v>
      </c>
      <c r="Q37" s="15">
        <v>0.09</v>
      </c>
      <c r="R37" s="15">
        <v>0.22</v>
      </c>
      <c r="S37" s="15">
        <v>0.15</v>
      </c>
      <c r="T37" s="15">
        <v>0.12</v>
      </c>
      <c r="U37" s="15">
        <v>0.12</v>
      </c>
      <c r="V37" s="15">
        <v>0.11</v>
      </c>
      <c r="W37" s="15">
        <v>0.21</v>
      </c>
      <c r="X37" s="15">
        <v>7.0000000000000007E-2</v>
      </c>
      <c r="Y37" s="15">
        <v>0.13</v>
      </c>
      <c r="Z37" s="15">
        <v>0.09</v>
      </c>
      <c r="AA37" s="15">
        <v>0.12</v>
      </c>
      <c r="AB37" s="15">
        <v>0.13</v>
      </c>
      <c r="AC37" s="15">
        <v>0.12</v>
      </c>
      <c r="AD37" s="15">
        <v>0.13</v>
      </c>
      <c r="AE37" s="15">
        <v>0.11</v>
      </c>
      <c r="AF37" s="15">
        <v>0.11</v>
      </c>
    </row>
    <row r="38" spans="1:32" ht="21.5" x14ac:dyDescent="0.35">
      <c r="A38" s="19"/>
      <c r="B38" s="11" t="s">
        <v>1119</v>
      </c>
      <c r="C38" s="12">
        <v>3319</v>
      </c>
      <c r="D38" s="12">
        <v>123</v>
      </c>
      <c r="E38" s="12">
        <v>97</v>
      </c>
      <c r="F38" s="12">
        <v>124</v>
      </c>
      <c r="G38" s="12">
        <v>180</v>
      </c>
      <c r="H38" s="12">
        <v>167</v>
      </c>
      <c r="I38" s="12">
        <v>224</v>
      </c>
      <c r="J38" s="12">
        <v>57</v>
      </c>
      <c r="K38" s="12">
        <v>95</v>
      </c>
      <c r="L38" s="12">
        <v>128</v>
      </c>
      <c r="M38" s="12">
        <v>92</v>
      </c>
      <c r="N38" s="12">
        <v>64</v>
      </c>
      <c r="O38" s="12">
        <v>129</v>
      </c>
      <c r="P38" s="12">
        <v>125</v>
      </c>
      <c r="Q38" s="12">
        <v>165</v>
      </c>
      <c r="R38" s="12">
        <v>29</v>
      </c>
      <c r="S38" s="12">
        <v>86</v>
      </c>
      <c r="T38" s="12">
        <v>87</v>
      </c>
      <c r="U38" s="12">
        <v>32</v>
      </c>
      <c r="V38" s="12">
        <v>160</v>
      </c>
      <c r="W38" s="12">
        <v>82</v>
      </c>
      <c r="X38" s="12">
        <v>129</v>
      </c>
      <c r="Y38" s="12">
        <v>158</v>
      </c>
      <c r="Z38" s="12">
        <v>119</v>
      </c>
      <c r="AA38" s="12">
        <v>90</v>
      </c>
      <c r="AB38" s="12">
        <v>121</v>
      </c>
      <c r="AC38" s="12">
        <v>127</v>
      </c>
      <c r="AD38" s="12">
        <v>98</v>
      </c>
      <c r="AE38" s="12">
        <v>122</v>
      </c>
      <c r="AF38" s="12">
        <v>137</v>
      </c>
    </row>
    <row r="39" spans="1:32" x14ac:dyDescent="0.35">
      <c r="A39" s="19"/>
      <c r="B39" s="13" t="s">
        <v>1120</v>
      </c>
      <c r="C39" s="15">
        <v>0.13</v>
      </c>
      <c r="D39" s="15">
        <v>0.12</v>
      </c>
      <c r="E39" s="15">
        <v>0.09</v>
      </c>
      <c r="F39" s="15">
        <v>0.11</v>
      </c>
      <c r="G39" s="15">
        <v>0.18</v>
      </c>
      <c r="H39" s="15">
        <v>0.14000000000000001</v>
      </c>
      <c r="I39" s="15">
        <v>0.15</v>
      </c>
      <c r="J39" s="15">
        <v>0.19</v>
      </c>
      <c r="K39" s="15">
        <v>0.1</v>
      </c>
      <c r="L39" s="15">
        <v>0.13</v>
      </c>
      <c r="M39" s="15">
        <v>0.09</v>
      </c>
      <c r="N39" s="15">
        <v>0.06</v>
      </c>
      <c r="O39" s="15">
        <v>0.13</v>
      </c>
      <c r="P39" s="15">
        <v>0.12</v>
      </c>
      <c r="Q39" s="15">
        <v>0.16</v>
      </c>
      <c r="R39" s="15">
        <v>0.06</v>
      </c>
      <c r="S39" s="15">
        <v>0.09</v>
      </c>
      <c r="T39" s="15">
        <v>0.09</v>
      </c>
      <c r="U39" s="15">
        <v>0.06</v>
      </c>
      <c r="V39" s="15">
        <v>0.16</v>
      </c>
      <c r="W39" s="15">
        <v>0.16</v>
      </c>
      <c r="X39" s="15">
        <v>0.13</v>
      </c>
      <c r="Y39" s="15">
        <v>0.16</v>
      </c>
      <c r="Z39" s="15">
        <v>0.12</v>
      </c>
      <c r="AA39" s="15">
        <v>0.09</v>
      </c>
      <c r="AB39" s="15">
        <v>0.11</v>
      </c>
      <c r="AC39" s="15">
        <v>0.13</v>
      </c>
      <c r="AD39" s="15">
        <v>0.1</v>
      </c>
      <c r="AE39" s="15">
        <v>0.12</v>
      </c>
      <c r="AF39" s="15">
        <v>0.13</v>
      </c>
    </row>
    <row r="40" spans="1:32" x14ac:dyDescent="0.35">
      <c r="A40" s="19"/>
      <c r="B40" s="11" t="s">
        <v>611</v>
      </c>
      <c r="C40" s="12">
        <v>71</v>
      </c>
      <c r="D40" s="12">
        <v>1</v>
      </c>
      <c r="E40" s="12">
        <v>2</v>
      </c>
      <c r="F40" s="12">
        <v>0</v>
      </c>
      <c r="G40" s="12">
        <v>2</v>
      </c>
      <c r="H40" s="12">
        <v>10</v>
      </c>
      <c r="I40" s="12">
        <v>10</v>
      </c>
      <c r="J40" s="12">
        <v>0</v>
      </c>
      <c r="K40" s="12">
        <v>15</v>
      </c>
      <c r="L40" s="12">
        <v>0</v>
      </c>
      <c r="M40" s="12">
        <v>3</v>
      </c>
      <c r="N40" s="12">
        <v>2</v>
      </c>
      <c r="O40" s="12">
        <v>0</v>
      </c>
      <c r="P40" s="12">
        <v>0</v>
      </c>
      <c r="Q40" s="12">
        <v>3</v>
      </c>
      <c r="R40" s="12">
        <v>0</v>
      </c>
      <c r="S40" s="12">
        <v>4</v>
      </c>
      <c r="T40" s="12">
        <v>0</v>
      </c>
      <c r="U40" s="12">
        <v>1</v>
      </c>
      <c r="V40" s="12">
        <v>0</v>
      </c>
      <c r="W40" s="12">
        <v>1</v>
      </c>
      <c r="X40" s="12">
        <v>0</v>
      </c>
      <c r="Y40" s="12">
        <v>17</v>
      </c>
      <c r="Z40" s="12">
        <v>0</v>
      </c>
      <c r="AA40" s="12">
        <v>3</v>
      </c>
      <c r="AB40" s="12">
        <v>2</v>
      </c>
      <c r="AC40" s="12">
        <v>1</v>
      </c>
      <c r="AD40" s="12">
        <v>0</v>
      </c>
      <c r="AE40" s="12">
        <v>1</v>
      </c>
      <c r="AF40" s="12">
        <v>1</v>
      </c>
    </row>
    <row r="41" spans="1:32" x14ac:dyDescent="0.35">
      <c r="A41" s="19"/>
      <c r="B41" s="13" t="s">
        <v>612</v>
      </c>
      <c r="C41" s="14" t="s">
        <v>475</v>
      </c>
      <c r="D41" s="14" t="s">
        <v>475</v>
      </c>
      <c r="E41" s="14" t="s">
        <v>475</v>
      </c>
      <c r="F41" s="14" t="s">
        <v>475</v>
      </c>
      <c r="G41" s="14" t="s">
        <v>475</v>
      </c>
      <c r="H41" s="15">
        <v>0.01</v>
      </c>
      <c r="I41" s="15">
        <v>0.01</v>
      </c>
      <c r="J41" s="14" t="s">
        <v>475</v>
      </c>
      <c r="K41" s="15">
        <v>0.02</v>
      </c>
      <c r="L41" s="14" t="s">
        <v>475</v>
      </c>
      <c r="M41" s="14" t="s">
        <v>475</v>
      </c>
      <c r="N41" s="14" t="s">
        <v>475</v>
      </c>
      <c r="O41" s="14" t="s">
        <v>475</v>
      </c>
      <c r="P41" s="14" t="s">
        <v>475</v>
      </c>
      <c r="Q41" s="14" t="s">
        <v>475</v>
      </c>
      <c r="R41" s="14" t="s">
        <v>475</v>
      </c>
      <c r="S41" s="14" t="s">
        <v>475</v>
      </c>
      <c r="T41" s="14" t="s">
        <v>475</v>
      </c>
      <c r="U41" s="14" t="s">
        <v>475</v>
      </c>
      <c r="V41" s="14" t="s">
        <v>475</v>
      </c>
      <c r="W41" s="14" t="s">
        <v>475</v>
      </c>
      <c r="X41" s="14" t="s">
        <v>475</v>
      </c>
      <c r="Y41" s="15">
        <v>0.02</v>
      </c>
      <c r="Z41" s="14" t="s">
        <v>475</v>
      </c>
      <c r="AA41" s="14" t="s">
        <v>475</v>
      </c>
      <c r="AB41" s="14" t="s">
        <v>475</v>
      </c>
      <c r="AC41" s="14" t="s">
        <v>475</v>
      </c>
      <c r="AD41" s="14" t="s">
        <v>475</v>
      </c>
      <c r="AE41" s="14" t="s">
        <v>475</v>
      </c>
      <c r="AF41" s="14" t="s">
        <v>475</v>
      </c>
    </row>
    <row r="42" spans="1:32" ht="21.5" x14ac:dyDescent="0.35">
      <c r="A42" s="19"/>
      <c r="B42" s="11" t="s">
        <v>1121</v>
      </c>
      <c r="C42" s="12">
        <v>481</v>
      </c>
      <c r="D42" s="12">
        <v>9</v>
      </c>
      <c r="E42" s="12">
        <v>46</v>
      </c>
      <c r="F42" s="12">
        <v>9</v>
      </c>
      <c r="G42" s="12">
        <v>8</v>
      </c>
      <c r="H42" s="12">
        <v>35</v>
      </c>
      <c r="I42" s="12">
        <v>44</v>
      </c>
      <c r="J42" s="12">
        <v>9</v>
      </c>
      <c r="K42" s="12">
        <v>31</v>
      </c>
      <c r="L42" s="12">
        <v>9</v>
      </c>
      <c r="M42" s="12">
        <v>41</v>
      </c>
      <c r="N42" s="12">
        <v>16</v>
      </c>
      <c r="O42" s="12">
        <v>12</v>
      </c>
      <c r="P42" s="12">
        <v>3</v>
      </c>
      <c r="Q42" s="12">
        <v>19</v>
      </c>
      <c r="R42" s="12">
        <v>12</v>
      </c>
      <c r="S42" s="12">
        <v>15</v>
      </c>
      <c r="T42" s="12">
        <v>38</v>
      </c>
      <c r="U42" s="12">
        <v>9</v>
      </c>
      <c r="V42" s="12">
        <v>10</v>
      </c>
      <c r="W42" s="12">
        <v>0</v>
      </c>
      <c r="X42" s="12">
        <v>4</v>
      </c>
      <c r="Y42" s="12">
        <v>53</v>
      </c>
      <c r="Z42" s="12">
        <v>2</v>
      </c>
      <c r="AA42" s="12">
        <v>67</v>
      </c>
      <c r="AB42" s="12">
        <v>16</v>
      </c>
      <c r="AC42" s="12">
        <v>9</v>
      </c>
      <c r="AD42" s="12">
        <v>2</v>
      </c>
      <c r="AE42" s="12">
        <v>5</v>
      </c>
      <c r="AF42" s="12">
        <v>5</v>
      </c>
    </row>
    <row r="43" spans="1:32" ht="21.5" x14ac:dyDescent="0.35">
      <c r="A43" s="19"/>
      <c r="B43" s="13" t="s">
        <v>1122</v>
      </c>
      <c r="C43" s="15">
        <v>0.02</v>
      </c>
      <c r="D43" s="15">
        <v>0.01</v>
      </c>
      <c r="E43" s="15">
        <v>0.04</v>
      </c>
      <c r="F43" s="15">
        <v>0.01</v>
      </c>
      <c r="G43" s="15">
        <v>0.01</v>
      </c>
      <c r="H43" s="15">
        <v>0.03</v>
      </c>
      <c r="I43" s="15">
        <v>0.03</v>
      </c>
      <c r="J43" s="15">
        <v>0.03</v>
      </c>
      <c r="K43" s="15">
        <v>0.03</v>
      </c>
      <c r="L43" s="15">
        <v>0.01</v>
      </c>
      <c r="M43" s="15">
        <v>0.04</v>
      </c>
      <c r="N43" s="15">
        <v>0.02</v>
      </c>
      <c r="O43" s="15">
        <v>0.01</v>
      </c>
      <c r="P43" s="14" t="s">
        <v>475</v>
      </c>
      <c r="Q43" s="15">
        <v>0.02</v>
      </c>
      <c r="R43" s="15">
        <v>0.02</v>
      </c>
      <c r="S43" s="15">
        <v>0.02</v>
      </c>
      <c r="T43" s="15">
        <v>0.04</v>
      </c>
      <c r="U43" s="15">
        <v>0.02</v>
      </c>
      <c r="V43" s="15">
        <v>0.01</v>
      </c>
      <c r="W43" s="14" t="s">
        <v>475</v>
      </c>
      <c r="X43" s="14" t="s">
        <v>475</v>
      </c>
      <c r="Y43" s="15">
        <v>0.05</v>
      </c>
      <c r="Z43" s="14" t="s">
        <v>475</v>
      </c>
      <c r="AA43" s="15">
        <v>0.06</v>
      </c>
      <c r="AB43" s="15">
        <v>0.02</v>
      </c>
      <c r="AC43" s="15">
        <v>0.01</v>
      </c>
      <c r="AD43" s="14" t="s">
        <v>475</v>
      </c>
      <c r="AE43" s="14" t="s">
        <v>475</v>
      </c>
      <c r="AF43" s="15">
        <v>0.01</v>
      </c>
    </row>
    <row r="44" spans="1:32" x14ac:dyDescent="0.35">
      <c r="A44" s="19"/>
      <c r="B44" s="11" t="s">
        <v>613</v>
      </c>
      <c r="C44" s="12">
        <v>379</v>
      </c>
      <c r="D44" s="12">
        <v>4</v>
      </c>
      <c r="E44" s="12">
        <v>18</v>
      </c>
      <c r="F44" s="12">
        <v>6</v>
      </c>
      <c r="G44" s="12">
        <v>5</v>
      </c>
      <c r="H44" s="12">
        <v>12</v>
      </c>
      <c r="I44" s="12">
        <v>17</v>
      </c>
      <c r="J44" s="12">
        <v>6</v>
      </c>
      <c r="K44" s="12">
        <v>9</v>
      </c>
      <c r="L44" s="12">
        <v>2</v>
      </c>
      <c r="M44" s="12">
        <v>12</v>
      </c>
      <c r="N44" s="12">
        <v>18</v>
      </c>
      <c r="O44" s="12">
        <v>13</v>
      </c>
      <c r="P44" s="12">
        <v>3</v>
      </c>
      <c r="Q44" s="12">
        <v>24</v>
      </c>
      <c r="R44" s="12">
        <v>15</v>
      </c>
      <c r="S44" s="12">
        <v>4</v>
      </c>
      <c r="T44" s="12">
        <v>8</v>
      </c>
      <c r="U44" s="12">
        <v>1</v>
      </c>
      <c r="V44" s="12">
        <v>3</v>
      </c>
      <c r="W44" s="12">
        <v>3</v>
      </c>
      <c r="X44" s="12">
        <v>6</v>
      </c>
      <c r="Y44" s="12">
        <v>4</v>
      </c>
      <c r="Z44" s="12">
        <v>1</v>
      </c>
      <c r="AA44" s="12">
        <v>120</v>
      </c>
      <c r="AB44" s="12">
        <v>11</v>
      </c>
      <c r="AC44" s="12">
        <v>9</v>
      </c>
      <c r="AD44" s="12">
        <v>2</v>
      </c>
      <c r="AE44" s="12">
        <v>5</v>
      </c>
      <c r="AF44" s="12">
        <v>6</v>
      </c>
    </row>
    <row r="45" spans="1:32" x14ac:dyDescent="0.35">
      <c r="A45" s="19"/>
      <c r="B45" s="13" t="s">
        <v>614</v>
      </c>
      <c r="C45" s="15">
        <v>0.01</v>
      </c>
      <c r="D45" s="14" t="s">
        <v>475</v>
      </c>
      <c r="E45" s="15">
        <v>0.02</v>
      </c>
      <c r="F45" s="15">
        <v>0.01</v>
      </c>
      <c r="G45" s="14" t="s">
        <v>475</v>
      </c>
      <c r="H45" s="15">
        <v>0.01</v>
      </c>
      <c r="I45" s="15">
        <v>0.01</v>
      </c>
      <c r="J45" s="15">
        <v>0.02</v>
      </c>
      <c r="K45" s="15">
        <v>0.01</v>
      </c>
      <c r="L45" s="14" t="s">
        <v>475</v>
      </c>
      <c r="M45" s="15">
        <v>0.01</v>
      </c>
      <c r="N45" s="15">
        <v>0.02</v>
      </c>
      <c r="O45" s="15">
        <v>0.01</v>
      </c>
      <c r="P45" s="14" t="s">
        <v>475</v>
      </c>
      <c r="Q45" s="15">
        <v>0.02</v>
      </c>
      <c r="R45" s="15">
        <v>0.03</v>
      </c>
      <c r="S45" s="14" t="s">
        <v>475</v>
      </c>
      <c r="T45" s="15">
        <v>0.01</v>
      </c>
      <c r="U45" s="14" t="s">
        <v>475</v>
      </c>
      <c r="V45" s="14" t="s">
        <v>475</v>
      </c>
      <c r="W45" s="15">
        <v>0.01</v>
      </c>
      <c r="X45" s="15">
        <v>0.01</v>
      </c>
      <c r="Y45" s="14" t="s">
        <v>475</v>
      </c>
      <c r="Z45" s="14" t="s">
        <v>475</v>
      </c>
      <c r="AA45" s="15">
        <v>0.12</v>
      </c>
      <c r="AB45" s="15">
        <v>0.01</v>
      </c>
      <c r="AC45" s="15">
        <v>0.01</v>
      </c>
      <c r="AD45" s="14" t="s">
        <v>475</v>
      </c>
      <c r="AE45" s="14" t="s">
        <v>475</v>
      </c>
      <c r="AF45" s="15">
        <v>0.01</v>
      </c>
    </row>
    <row r="46" spans="1:32" x14ac:dyDescent="0.35">
      <c r="A46" s="19"/>
      <c r="B46" s="11" t="s">
        <v>485</v>
      </c>
      <c r="C46" s="12">
        <v>443</v>
      </c>
      <c r="D46" s="12">
        <v>4</v>
      </c>
      <c r="E46" s="12">
        <v>29</v>
      </c>
      <c r="F46" s="12">
        <v>47</v>
      </c>
      <c r="G46" s="12">
        <v>22</v>
      </c>
      <c r="H46" s="12">
        <v>8</v>
      </c>
      <c r="I46" s="12">
        <v>9</v>
      </c>
      <c r="J46" s="12">
        <v>1</v>
      </c>
      <c r="K46" s="12">
        <v>36</v>
      </c>
      <c r="L46" s="12">
        <v>15</v>
      </c>
      <c r="M46" s="12">
        <v>5</v>
      </c>
      <c r="N46" s="12">
        <v>32</v>
      </c>
      <c r="O46" s="12">
        <v>19</v>
      </c>
      <c r="P46" s="12">
        <v>0</v>
      </c>
      <c r="Q46" s="12">
        <v>25</v>
      </c>
      <c r="R46" s="12">
        <v>16</v>
      </c>
      <c r="S46" s="12">
        <v>20</v>
      </c>
      <c r="T46" s="12">
        <v>23</v>
      </c>
      <c r="U46" s="12">
        <v>2</v>
      </c>
      <c r="V46" s="12">
        <v>9</v>
      </c>
      <c r="W46" s="12">
        <v>2</v>
      </c>
      <c r="X46" s="12">
        <v>7</v>
      </c>
      <c r="Y46" s="12">
        <v>6</v>
      </c>
      <c r="Z46" s="12">
        <v>6</v>
      </c>
      <c r="AA46" s="12">
        <v>39</v>
      </c>
      <c r="AB46" s="12">
        <v>25</v>
      </c>
      <c r="AC46" s="12">
        <v>7</v>
      </c>
      <c r="AD46" s="12">
        <v>7</v>
      </c>
      <c r="AE46" s="12">
        <v>18</v>
      </c>
      <c r="AF46" s="12">
        <v>8</v>
      </c>
    </row>
    <row r="47" spans="1:32" x14ac:dyDescent="0.35">
      <c r="A47" s="19"/>
      <c r="B47" s="13" t="s">
        <v>486</v>
      </c>
      <c r="C47" s="15">
        <v>0.02</v>
      </c>
      <c r="D47" s="14" t="s">
        <v>475</v>
      </c>
      <c r="E47" s="15">
        <v>0.03</v>
      </c>
      <c r="F47" s="15">
        <v>0.04</v>
      </c>
      <c r="G47" s="15">
        <v>0.02</v>
      </c>
      <c r="H47" s="15">
        <v>0.01</v>
      </c>
      <c r="I47" s="15">
        <v>0.01</v>
      </c>
      <c r="J47" s="14" t="s">
        <v>475</v>
      </c>
      <c r="K47" s="15">
        <v>0.04</v>
      </c>
      <c r="L47" s="15">
        <v>0.02</v>
      </c>
      <c r="M47" s="15">
        <v>0.01</v>
      </c>
      <c r="N47" s="15">
        <v>0.03</v>
      </c>
      <c r="O47" s="15">
        <v>0.02</v>
      </c>
      <c r="P47" s="14" t="s">
        <v>475</v>
      </c>
      <c r="Q47" s="15">
        <v>0.02</v>
      </c>
      <c r="R47" s="15">
        <v>0.03</v>
      </c>
      <c r="S47" s="15">
        <v>0.02</v>
      </c>
      <c r="T47" s="15">
        <v>0.02</v>
      </c>
      <c r="U47" s="14" t="s">
        <v>475</v>
      </c>
      <c r="V47" s="15">
        <v>0.01</v>
      </c>
      <c r="W47" s="14" t="s">
        <v>475</v>
      </c>
      <c r="X47" s="15">
        <v>0.01</v>
      </c>
      <c r="Y47" s="15">
        <v>0.01</v>
      </c>
      <c r="Z47" s="15">
        <v>0.01</v>
      </c>
      <c r="AA47" s="15">
        <v>0.04</v>
      </c>
      <c r="AB47" s="15">
        <v>0.02</v>
      </c>
      <c r="AC47" s="15">
        <v>0.01</v>
      </c>
      <c r="AD47" s="15">
        <v>0.01</v>
      </c>
      <c r="AE47" s="15">
        <v>0.02</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1123</v>
      </c>
      <c r="C3" s="18"/>
      <c r="D3" s="18"/>
      <c r="E3" s="18"/>
      <c r="F3" s="18"/>
      <c r="H3" s="18" t="s">
        <v>1124</v>
      </c>
      <c r="I3" s="18"/>
      <c r="J3" s="18"/>
      <c r="K3" s="18"/>
      <c r="L3" s="18"/>
    </row>
    <row r="4" spans="1:43" ht="27" customHeight="1" x14ac:dyDescent="0.35">
      <c r="B4" s="18" t="s">
        <v>1125</v>
      </c>
      <c r="C4" s="18"/>
      <c r="D4" s="18"/>
      <c r="E4" s="18"/>
      <c r="F4" s="18"/>
      <c r="H4" s="18" t="s">
        <v>1126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HYPERLINK("#Content!A115","&lt;&lt;Back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6488</v>
      </c>
      <c r="D12" s="12">
        <v>96</v>
      </c>
      <c r="E12" s="12">
        <v>424</v>
      </c>
      <c r="F12" s="12">
        <v>358</v>
      </c>
      <c r="G12" s="12">
        <v>471</v>
      </c>
      <c r="H12" s="12">
        <v>215</v>
      </c>
      <c r="I12" s="12">
        <v>294</v>
      </c>
      <c r="J12" s="12">
        <v>79</v>
      </c>
      <c r="K12" s="12">
        <v>159</v>
      </c>
      <c r="L12" s="12">
        <v>569</v>
      </c>
      <c r="M12" s="12">
        <v>560</v>
      </c>
      <c r="N12" s="12">
        <v>261</v>
      </c>
      <c r="O12" s="12">
        <v>155</v>
      </c>
      <c r="P12" s="12">
        <v>374</v>
      </c>
      <c r="Q12" s="12">
        <v>233</v>
      </c>
      <c r="R12" s="12">
        <v>230</v>
      </c>
      <c r="S12" s="12">
        <v>251</v>
      </c>
      <c r="T12" s="12">
        <v>292</v>
      </c>
      <c r="U12" s="12">
        <v>58</v>
      </c>
      <c r="V12" s="12">
        <v>228</v>
      </c>
      <c r="W12" s="12">
        <v>115</v>
      </c>
      <c r="X12" s="12">
        <v>199</v>
      </c>
      <c r="Y12" s="12">
        <v>346</v>
      </c>
      <c r="Z12" s="12">
        <v>257</v>
      </c>
      <c r="AA12" s="12">
        <v>212</v>
      </c>
      <c r="AB12" s="12">
        <v>294</v>
      </c>
      <c r="AC12" s="12">
        <v>240</v>
      </c>
      <c r="AD12" s="12">
        <v>384</v>
      </c>
      <c r="AE12" s="12">
        <v>316</v>
      </c>
      <c r="AF12" s="12">
        <v>499</v>
      </c>
      <c r="AG12" s="12">
        <v>260</v>
      </c>
      <c r="AH12" s="12">
        <v>278</v>
      </c>
      <c r="AI12" s="12">
        <v>141</v>
      </c>
      <c r="AJ12" s="12">
        <v>454</v>
      </c>
      <c r="AK12" s="12">
        <v>303</v>
      </c>
      <c r="AL12" s="12">
        <v>392</v>
      </c>
      <c r="AM12" s="12">
        <v>136</v>
      </c>
      <c r="AN12" s="12">
        <v>390</v>
      </c>
      <c r="AO12" s="12">
        <v>574</v>
      </c>
      <c r="AP12" s="12">
        <v>305</v>
      </c>
      <c r="AQ12" s="12">
        <v>508</v>
      </c>
    </row>
    <row r="13" spans="1:43" x14ac:dyDescent="0.35">
      <c r="A13" s="19"/>
      <c r="B13" s="13" t="s">
        <v>761</v>
      </c>
      <c r="C13" s="15">
        <v>0.24</v>
      </c>
      <c r="D13" s="15">
        <v>0.09</v>
      </c>
      <c r="E13" s="15">
        <v>0.41</v>
      </c>
      <c r="F13" s="15">
        <v>0.33</v>
      </c>
      <c r="G13" s="15">
        <v>0.47</v>
      </c>
      <c r="H13" s="15">
        <v>0.18</v>
      </c>
      <c r="I13" s="15">
        <v>0.2</v>
      </c>
      <c r="J13" s="15">
        <v>0.27</v>
      </c>
      <c r="K13" s="15">
        <v>0.16</v>
      </c>
      <c r="L13" s="15">
        <v>0.57000000000000006</v>
      </c>
      <c r="M13" s="15">
        <v>0.56000000000000005</v>
      </c>
      <c r="N13" s="15">
        <v>0.26</v>
      </c>
      <c r="O13" s="15">
        <v>0.15</v>
      </c>
      <c r="P13" s="15">
        <v>0.37</v>
      </c>
      <c r="Q13" s="15">
        <v>0.23</v>
      </c>
      <c r="R13" s="15">
        <v>0.46</v>
      </c>
      <c r="S13" s="15">
        <v>0.25</v>
      </c>
      <c r="T13" s="15">
        <v>0.28999999999999998</v>
      </c>
      <c r="U13" s="15">
        <v>0.11</v>
      </c>
      <c r="V13" s="15">
        <v>0.22</v>
      </c>
      <c r="W13" s="15">
        <v>0.23</v>
      </c>
      <c r="X13" s="15">
        <v>0.2</v>
      </c>
      <c r="Y13" s="15">
        <v>0.35</v>
      </c>
      <c r="Z13" s="15">
        <v>0.25</v>
      </c>
      <c r="AA13" s="15">
        <v>0.21</v>
      </c>
      <c r="AB13" s="15">
        <v>0.28000000000000003</v>
      </c>
      <c r="AC13" s="15">
        <v>0.24</v>
      </c>
      <c r="AD13" s="15">
        <v>0.38</v>
      </c>
      <c r="AE13" s="15">
        <v>0.31</v>
      </c>
      <c r="AF13" s="15">
        <v>0.48</v>
      </c>
      <c r="AG13" s="15">
        <v>0.25</v>
      </c>
      <c r="AH13" s="15">
        <v>0.27</v>
      </c>
      <c r="AI13" s="15">
        <v>0.27</v>
      </c>
      <c r="AJ13" s="15">
        <v>0.44</v>
      </c>
      <c r="AK13" s="15">
        <v>0.3</v>
      </c>
      <c r="AL13" s="15">
        <v>0.39</v>
      </c>
      <c r="AM13" s="15">
        <v>0.13</v>
      </c>
      <c r="AN13" s="15">
        <v>0.39</v>
      </c>
      <c r="AO13" s="15">
        <v>0.57000000000000006</v>
      </c>
      <c r="AP13" s="15">
        <v>0.57999999999999996</v>
      </c>
      <c r="AQ13" s="15">
        <v>0.51</v>
      </c>
    </row>
    <row r="14" spans="1:43" x14ac:dyDescent="0.35">
      <c r="A14" s="19"/>
      <c r="B14" s="11" t="s">
        <v>762</v>
      </c>
      <c r="C14" s="12">
        <v>15228</v>
      </c>
      <c r="D14" s="12">
        <v>638</v>
      </c>
      <c r="E14" s="12">
        <v>477</v>
      </c>
      <c r="F14" s="12">
        <v>539</v>
      </c>
      <c r="G14" s="12">
        <v>479</v>
      </c>
      <c r="H14" s="12">
        <v>804</v>
      </c>
      <c r="I14" s="12">
        <v>943</v>
      </c>
      <c r="J14" s="12">
        <v>139</v>
      </c>
      <c r="K14" s="12">
        <v>591</v>
      </c>
      <c r="L14" s="12">
        <v>381</v>
      </c>
      <c r="M14" s="12">
        <v>407</v>
      </c>
      <c r="N14" s="12">
        <v>565</v>
      </c>
      <c r="O14" s="12">
        <v>561</v>
      </c>
      <c r="P14" s="12">
        <v>488</v>
      </c>
      <c r="Q14" s="12">
        <v>602</v>
      </c>
      <c r="R14" s="12">
        <v>235</v>
      </c>
      <c r="S14" s="12">
        <v>536</v>
      </c>
      <c r="T14" s="12">
        <v>620</v>
      </c>
      <c r="U14" s="12">
        <v>281</v>
      </c>
      <c r="V14" s="12">
        <v>636</v>
      </c>
      <c r="W14" s="12">
        <v>342</v>
      </c>
      <c r="X14" s="12">
        <v>602</v>
      </c>
      <c r="Y14" s="12">
        <v>534</v>
      </c>
      <c r="Z14" s="12">
        <v>638</v>
      </c>
      <c r="AA14" s="12">
        <v>768</v>
      </c>
      <c r="AB14" s="12">
        <v>568</v>
      </c>
      <c r="AC14" s="12">
        <v>534</v>
      </c>
      <c r="AD14" s="12">
        <v>506</v>
      </c>
      <c r="AE14" s="12">
        <v>609</v>
      </c>
      <c r="AF14" s="12">
        <v>502</v>
      </c>
      <c r="AG14" s="12">
        <v>447</v>
      </c>
      <c r="AH14" s="12">
        <v>519</v>
      </c>
      <c r="AI14" s="12">
        <v>221</v>
      </c>
      <c r="AJ14" s="12">
        <v>449</v>
      </c>
      <c r="AK14" s="12">
        <v>614</v>
      </c>
      <c r="AL14" s="12">
        <v>414</v>
      </c>
      <c r="AM14" s="12">
        <v>620</v>
      </c>
      <c r="AN14" s="12">
        <v>430</v>
      </c>
      <c r="AO14" s="12">
        <v>338</v>
      </c>
      <c r="AP14" s="12">
        <v>162</v>
      </c>
      <c r="AQ14" s="12">
        <v>381</v>
      </c>
    </row>
    <row r="15" spans="1:43" x14ac:dyDescent="0.35">
      <c r="A15" s="19"/>
      <c r="B15" s="13" t="s">
        <v>763</v>
      </c>
      <c r="C15" s="15">
        <v>0.57999999999999996</v>
      </c>
      <c r="D15" s="15">
        <v>0.63</v>
      </c>
      <c r="E15" s="15">
        <v>0.46</v>
      </c>
      <c r="F15" s="15">
        <v>0.49</v>
      </c>
      <c r="G15" s="15">
        <v>0.47</v>
      </c>
      <c r="H15" s="15">
        <v>0.66</v>
      </c>
      <c r="I15" s="15">
        <v>0.62</v>
      </c>
      <c r="J15" s="15">
        <v>0.47</v>
      </c>
      <c r="K15" s="15">
        <v>0.59</v>
      </c>
      <c r="L15" s="15">
        <v>0.38</v>
      </c>
      <c r="M15" s="15">
        <v>0.4</v>
      </c>
      <c r="N15" s="15">
        <v>0.56000000000000005</v>
      </c>
      <c r="O15" s="15">
        <v>0.56000000000000005</v>
      </c>
      <c r="P15" s="15">
        <v>0.49</v>
      </c>
      <c r="Q15" s="15">
        <v>0.57999999999999996</v>
      </c>
      <c r="R15" s="15">
        <v>0.46</v>
      </c>
      <c r="S15" s="15">
        <v>0.53</v>
      </c>
      <c r="T15" s="15">
        <v>0.61</v>
      </c>
      <c r="U15" s="15">
        <v>0.56000000000000005</v>
      </c>
      <c r="V15" s="15">
        <v>0.63</v>
      </c>
      <c r="W15" s="15">
        <v>0.67</v>
      </c>
      <c r="X15" s="15">
        <v>0.6</v>
      </c>
      <c r="Y15" s="15">
        <v>0.53</v>
      </c>
      <c r="Z15" s="15">
        <v>0.62</v>
      </c>
      <c r="AA15" s="15">
        <v>0.74</v>
      </c>
      <c r="AB15" s="15">
        <v>0.54</v>
      </c>
      <c r="AC15" s="15">
        <v>0.53</v>
      </c>
      <c r="AD15" s="15">
        <v>0.5</v>
      </c>
      <c r="AE15" s="15">
        <v>0.6</v>
      </c>
      <c r="AF15" s="15">
        <v>0.48</v>
      </c>
      <c r="AG15" s="15">
        <v>0.43</v>
      </c>
      <c r="AH15" s="15">
        <v>0.51</v>
      </c>
      <c r="AI15" s="15">
        <v>0.42</v>
      </c>
      <c r="AJ15" s="15">
        <v>0.43</v>
      </c>
      <c r="AK15" s="15">
        <v>0.61</v>
      </c>
      <c r="AL15" s="15">
        <v>0.41</v>
      </c>
      <c r="AM15" s="15">
        <v>0.6</v>
      </c>
      <c r="AN15" s="15">
        <v>0.43</v>
      </c>
      <c r="AO15" s="15">
        <v>0.34</v>
      </c>
      <c r="AP15" s="15">
        <v>0.31</v>
      </c>
      <c r="AQ15" s="15">
        <v>0.38</v>
      </c>
    </row>
    <row r="16" spans="1:43" x14ac:dyDescent="0.35">
      <c r="A16" s="19"/>
      <c r="B16" s="11" t="s">
        <v>764</v>
      </c>
      <c r="C16" s="12">
        <v>3918</v>
      </c>
      <c r="D16" s="12">
        <v>229</v>
      </c>
      <c r="E16" s="12">
        <v>107</v>
      </c>
      <c r="F16" s="12">
        <v>145</v>
      </c>
      <c r="G16" s="12">
        <v>47</v>
      </c>
      <c r="H16" s="12">
        <v>174</v>
      </c>
      <c r="I16" s="12">
        <v>246</v>
      </c>
      <c r="J16" s="12">
        <v>72</v>
      </c>
      <c r="K16" s="12">
        <v>210</v>
      </c>
      <c r="L16" s="12">
        <v>37</v>
      </c>
      <c r="M16" s="12">
        <v>30</v>
      </c>
      <c r="N16" s="12">
        <v>136</v>
      </c>
      <c r="O16" s="12">
        <v>221</v>
      </c>
      <c r="P16" s="12">
        <v>110</v>
      </c>
      <c r="Q16" s="12">
        <v>172</v>
      </c>
      <c r="R16" s="12">
        <v>28</v>
      </c>
      <c r="S16" s="12">
        <v>175</v>
      </c>
      <c r="T16" s="12">
        <v>70</v>
      </c>
      <c r="U16" s="12">
        <v>120</v>
      </c>
      <c r="V16" s="12">
        <v>128</v>
      </c>
      <c r="W16" s="12">
        <v>41</v>
      </c>
      <c r="X16" s="12">
        <v>173</v>
      </c>
      <c r="Y16" s="12">
        <v>85</v>
      </c>
      <c r="Z16" s="12">
        <v>123</v>
      </c>
      <c r="AA16" s="12">
        <v>43</v>
      </c>
      <c r="AB16" s="12">
        <v>160</v>
      </c>
      <c r="AC16" s="12">
        <v>202</v>
      </c>
      <c r="AD16" s="12">
        <v>98</v>
      </c>
      <c r="AE16" s="12">
        <v>69</v>
      </c>
      <c r="AF16" s="12">
        <v>37</v>
      </c>
      <c r="AG16" s="12">
        <v>239</v>
      </c>
      <c r="AH16" s="12">
        <v>160</v>
      </c>
      <c r="AI16" s="12">
        <v>91</v>
      </c>
      <c r="AJ16" s="12">
        <v>115</v>
      </c>
      <c r="AK16" s="12">
        <v>81</v>
      </c>
      <c r="AL16" s="12">
        <v>101</v>
      </c>
      <c r="AM16" s="12">
        <v>205</v>
      </c>
      <c r="AN16" s="12">
        <v>159</v>
      </c>
      <c r="AO16" s="12">
        <v>64</v>
      </c>
      <c r="AP16" s="12">
        <v>45</v>
      </c>
      <c r="AQ16" s="12">
        <v>57</v>
      </c>
    </row>
    <row r="17" spans="1:43" x14ac:dyDescent="0.35">
      <c r="A17" s="19"/>
      <c r="B17" s="13" t="s">
        <v>765</v>
      </c>
      <c r="C17" s="15">
        <v>0.15</v>
      </c>
      <c r="D17" s="15">
        <v>0.23</v>
      </c>
      <c r="E17" s="15">
        <v>0.1</v>
      </c>
      <c r="F17" s="15">
        <v>0.13</v>
      </c>
      <c r="G17" s="15">
        <v>0.05</v>
      </c>
      <c r="H17" s="15">
        <v>0.14000000000000001</v>
      </c>
      <c r="I17" s="15">
        <v>0.16</v>
      </c>
      <c r="J17" s="15">
        <v>0.24</v>
      </c>
      <c r="K17" s="15">
        <v>0.21</v>
      </c>
      <c r="L17" s="15">
        <v>0.03</v>
      </c>
      <c r="M17" s="15">
        <v>0.03</v>
      </c>
      <c r="N17" s="15">
        <v>0.14000000000000001</v>
      </c>
      <c r="O17" s="15">
        <v>0.22</v>
      </c>
      <c r="P17" s="15">
        <v>0.11</v>
      </c>
      <c r="Q17" s="15">
        <v>0.17</v>
      </c>
      <c r="R17" s="15">
        <v>0.06</v>
      </c>
      <c r="S17" s="15">
        <v>0.18</v>
      </c>
      <c r="T17" s="15">
        <v>7.0000000000000007E-2</v>
      </c>
      <c r="U17" s="15">
        <v>0.24</v>
      </c>
      <c r="V17" s="15">
        <v>0.13</v>
      </c>
      <c r="W17" s="15">
        <v>0.08</v>
      </c>
      <c r="X17" s="15">
        <v>0.17</v>
      </c>
      <c r="Y17" s="15">
        <v>0.09</v>
      </c>
      <c r="Z17" s="15">
        <v>0.12</v>
      </c>
      <c r="AA17" s="15">
        <v>0.04</v>
      </c>
      <c r="AB17" s="15">
        <v>0.15</v>
      </c>
      <c r="AC17" s="15">
        <v>0.2</v>
      </c>
      <c r="AD17" s="15">
        <v>0.1</v>
      </c>
      <c r="AE17" s="15">
        <v>7.0000000000000007E-2</v>
      </c>
      <c r="AF17" s="15">
        <v>0.04</v>
      </c>
      <c r="AG17" s="15">
        <v>0.23</v>
      </c>
      <c r="AH17" s="15">
        <v>0.16</v>
      </c>
      <c r="AI17" s="15">
        <v>0.17</v>
      </c>
      <c r="AJ17" s="15">
        <v>0.11</v>
      </c>
      <c r="AK17" s="15">
        <v>0.08</v>
      </c>
      <c r="AL17" s="15">
        <v>0.1</v>
      </c>
      <c r="AM17" s="15">
        <v>0.2</v>
      </c>
      <c r="AN17" s="15">
        <v>0.16</v>
      </c>
      <c r="AO17" s="15">
        <v>0.06</v>
      </c>
      <c r="AP17" s="15">
        <v>0.09</v>
      </c>
      <c r="AQ17" s="15">
        <v>0.05</v>
      </c>
    </row>
    <row r="18" spans="1:43" x14ac:dyDescent="0.35">
      <c r="A18" s="19"/>
      <c r="B18" s="11" t="s">
        <v>766</v>
      </c>
      <c r="C18" s="12">
        <v>588</v>
      </c>
      <c r="D18" s="12">
        <v>42</v>
      </c>
      <c r="E18" s="12">
        <v>16</v>
      </c>
      <c r="F18" s="12">
        <v>46</v>
      </c>
      <c r="G18" s="12">
        <v>0</v>
      </c>
      <c r="H18" s="12">
        <v>23</v>
      </c>
      <c r="I18" s="12">
        <v>28</v>
      </c>
      <c r="J18" s="12">
        <v>5</v>
      </c>
      <c r="K18" s="12">
        <v>33</v>
      </c>
      <c r="L18" s="12">
        <v>7</v>
      </c>
      <c r="M18" s="12">
        <v>12</v>
      </c>
      <c r="N18" s="12">
        <v>21</v>
      </c>
      <c r="O18" s="12">
        <v>47</v>
      </c>
      <c r="P18" s="12">
        <v>31</v>
      </c>
      <c r="Q18" s="12">
        <v>19</v>
      </c>
      <c r="R18" s="12">
        <v>7</v>
      </c>
      <c r="S18" s="12">
        <v>26</v>
      </c>
      <c r="T18" s="12">
        <v>6</v>
      </c>
      <c r="U18" s="12">
        <v>34</v>
      </c>
      <c r="V18" s="12">
        <v>20</v>
      </c>
      <c r="W18" s="12">
        <v>8</v>
      </c>
      <c r="X18" s="12">
        <v>30</v>
      </c>
      <c r="Y18" s="12">
        <v>24</v>
      </c>
      <c r="Z18" s="12">
        <v>5</v>
      </c>
      <c r="AA18" s="12">
        <v>6</v>
      </c>
      <c r="AB18" s="12">
        <v>18</v>
      </c>
      <c r="AC18" s="12">
        <v>22</v>
      </c>
      <c r="AD18" s="12">
        <v>3</v>
      </c>
      <c r="AE18" s="12">
        <v>9</v>
      </c>
      <c r="AF18" s="12">
        <v>5</v>
      </c>
      <c r="AG18" s="12">
        <v>81</v>
      </c>
      <c r="AH18" s="12">
        <v>56</v>
      </c>
      <c r="AI18" s="12">
        <v>66</v>
      </c>
      <c r="AJ18" s="12">
        <v>18</v>
      </c>
      <c r="AK18" s="12">
        <v>8</v>
      </c>
      <c r="AL18" s="12">
        <v>55</v>
      </c>
      <c r="AM18" s="12">
        <v>41</v>
      </c>
      <c r="AN18" s="12">
        <v>24</v>
      </c>
      <c r="AO18" s="12">
        <v>21</v>
      </c>
      <c r="AP18" s="12">
        <v>12</v>
      </c>
      <c r="AQ18" s="12">
        <v>38</v>
      </c>
    </row>
    <row r="19" spans="1:43" x14ac:dyDescent="0.35">
      <c r="A19" s="19"/>
      <c r="B19" s="13" t="s">
        <v>767</v>
      </c>
      <c r="C19" s="15">
        <v>0.02</v>
      </c>
      <c r="D19" s="15">
        <v>0.04</v>
      </c>
      <c r="E19" s="15">
        <v>0.02</v>
      </c>
      <c r="F19" s="15">
        <v>0.04</v>
      </c>
      <c r="G19" s="14" t="s">
        <v>475</v>
      </c>
      <c r="H19" s="15">
        <v>0.02</v>
      </c>
      <c r="I19" s="15">
        <v>0.02</v>
      </c>
      <c r="J19" s="15">
        <v>0.02</v>
      </c>
      <c r="K19" s="15">
        <v>0.03</v>
      </c>
      <c r="L19" s="15">
        <v>0.01</v>
      </c>
      <c r="M19" s="15">
        <v>0.01</v>
      </c>
      <c r="N19" s="15">
        <v>0.02</v>
      </c>
      <c r="O19" s="15">
        <v>0.05</v>
      </c>
      <c r="P19" s="15">
        <v>0.03</v>
      </c>
      <c r="Q19" s="15">
        <v>0.02</v>
      </c>
      <c r="R19" s="15">
        <v>0.01</v>
      </c>
      <c r="S19" s="15">
        <v>0.03</v>
      </c>
      <c r="T19" s="15">
        <v>0.01</v>
      </c>
      <c r="U19" s="15">
        <v>7.0000000000000007E-2</v>
      </c>
      <c r="V19" s="15">
        <v>0.02</v>
      </c>
      <c r="W19" s="15">
        <v>0.02</v>
      </c>
      <c r="X19" s="15">
        <v>0.03</v>
      </c>
      <c r="Y19" s="15">
        <v>0.02</v>
      </c>
      <c r="Z19" s="14" t="s">
        <v>475</v>
      </c>
      <c r="AA19" s="15">
        <v>0.01</v>
      </c>
      <c r="AB19" s="15">
        <v>0.02</v>
      </c>
      <c r="AC19" s="15">
        <v>0.02</v>
      </c>
      <c r="AD19" s="14" t="s">
        <v>475</v>
      </c>
      <c r="AE19" s="15">
        <v>0.01</v>
      </c>
      <c r="AF19" s="14" t="s">
        <v>475</v>
      </c>
      <c r="AG19" s="15">
        <v>0.08</v>
      </c>
      <c r="AH19" s="15">
        <v>0.06</v>
      </c>
      <c r="AI19" s="15">
        <v>0.13</v>
      </c>
      <c r="AJ19" s="15">
        <v>0.02</v>
      </c>
      <c r="AK19" s="15">
        <v>0.01</v>
      </c>
      <c r="AL19" s="15">
        <v>0.05</v>
      </c>
      <c r="AM19" s="15">
        <v>0.04</v>
      </c>
      <c r="AN19" s="15">
        <v>0.02</v>
      </c>
      <c r="AO19" s="15">
        <v>0.02</v>
      </c>
      <c r="AP19" s="15">
        <v>0.02</v>
      </c>
      <c r="AQ19" s="15">
        <v>0.04</v>
      </c>
    </row>
    <row r="20" spans="1:43" x14ac:dyDescent="0.35">
      <c r="A20" s="19"/>
      <c r="B20" s="11" t="s">
        <v>485</v>
      </c>
      <c r="C20" s="12">
        <v>223</v>
      </c>
      <c r="D20" s="12">
        <v>8</v>
      </c>
      <c r="E20" s="12">
        <v>6</v>
      </c>
      <c r="F20" s="12">
        <v>14</v>
      </c>
      <c r="G20" s="12">
        <v>9</v>
      </c>
      <c r="H20" s="12">
        <v>4</v>
      </c>
      <c r="I20" s="12">
        <v>5</v>
      </c>
      <c r="J20" s="12">
        <v>0</v>
      </c>
      <c r="K20" s="12">
        <v>9</v>
      </c>
      <c r="L20" s="12">
        <v>8</v>
      </c>
      <c r="M20" s="12">
        <v>0</v>
      </c>
      <c r="N20" s="12">
        <v>19</v>
      </c>
      <c r="O20" s="12">
        <v>17</v>
      </c>
      <c r="P20" s="12">
        <v>1</v>
      </c>
      <c r="Q20" s="12">
        <v>2</v>
      </c>
      <c r="R20" s="12">
        <v>4</v>
      </c>
      <c r="S20" s="12">
        <v>14</v>
      </c>
      <c r="T20" s="12">
        <v>18</v>
      </c>
      <c r="U20" s="12">
        <v>12</v>
      </c>
      <c r="V20" s="12">
        <v>3</v>
      </c>
      <c r="W20" s="12">
        <v>2</v>
      </c>
      <c r="X20" s="12">
        <v>4</v>
      </c>
      <c r="Y20" s="12">
        <v>14</v>
      </c>
      <c r="Z20" s="12">
        <v>8</v>
      </c>
      <c r="AA20" s="12">
        <v>4</v>
      </c>
      <c r="AB20" s="12">
        <v>11</v>
      </c>
      <c r="AC20" s="12">
        <v>5</v>
      </c>
      <c r="AD20" s="12">
        <v>15</v>
      </c>
      <c r="AE20" s="12">
        <v>9</v>
      </c>
      <c r="AF20" s="12">
        <v>0</v>
      </c>
      <c r="AG20" s="12">
        <v>9</v>
      </c>
      <c r="AH20" s="12">
        <v>0</v>
      </c>
      <c r="AI20" s="12">
        <v>4</v>
      </c>
      <c r="AJ20" s="12">
        <v>0</v>
      </c>
      <c r="AK20" s="12">
        <v>0</v>
      </c>
      <c r="AL20" s="12">
        <v>49</v>
      </c>
      <c r="AM20" s="12">
        <v>38</v>
      </c>
      <c r="AN20" s="12">
        <v>0</v>
      </c>
      <c r="AO20" s="12">
        <v>8</v>
      </c>
      <c r="AP20" s="12">
        <v>0</v>
      </c>
      <c r="AQ20" s="12">
        <v>18</v>
      </c>
    </row>
    <row r="21" spans="1:43" x14ac:dyDescent="0.35">
      <c r="A21" s="19"/>
      <c r="B21" s="13" t="s">
        <v>486</v>
      </c>
      <c r="C21" s="15">
        <v>0.01</v>
      </c>
      <c r="D21" s="15">
        <v>0.01</v>
      </c>
      <c r="E21" s="15">
        <v>0.01</v>
      </c>
      <c r="F21" s="15">
        <v>0.01</v>
      </c>
      <c r="G21" s="15">
        <v>0.01</v>
      </c>
      <c r="H21" s="14" t="s">
        <v>475</v>
      </c>
      <c r="I21" s="14" t="s">
        <v>475</v>
      </c>
      <c r="J21" s="14" t="s">
        <v>475</v>
      </c>
      <c r="K21" s="15">
        <v>0.01</v>
      </c>
      <c r="L21" s="15">
        <v>0.01</v>
      </c>
      <c r="M21" s="14" t="s">
        <v>475</v>
      </c>
      <c r="N21" s="15">
        <v>0.02</v>
      </c>
      <c r="O21" s="15">
        <v>0.02</v>
      </c>
      <c r="P21" s="14" t="s">
        <v>475</v>
      </c>
      <c r="Q21" s="14" t="s">
        <v>475</v>
      </c>
      <c r="R21" s="15">
        <v>0.01</v>
      </c>
      <c r="S21" s="15">
        <v>0.01</v>
      </c>
      <c r="T21" s="15">
        <v>0.02</v>
      </c>
      <c r="U21" s="15">
        <v>0.02</v>
      </c>
      <c r="V21" s="14" t="s">
        <v>475</v>
      </c>
      <c r="W21" s="14" t="s">
        <v>475</v>
      </c>
      <c r="X21" s="14" t="s">
        <v>475</v>
      </c>
      <c r="Y21" s="15">
        <v>0.01</v>
      </c>
      <c r="Z21" s="15">
        <v>0.01</v>
      </c>
      <c r="AA21" s="14" t="s">
        <v>475</v>
      </c>
      <c r="AB21" s="15">
        <v>0.01</v>
      </c>
      <c r="AC21" s="15">
        <v>0.01</v>
      </c>
      <c r="AD21" s="15">
        <v>0.02</v>
      </c>
      <c r="AE21" s="15">
        <v>0.01</v>
      </c>
      <c r="AF21" s="14" t="s">
        <v>475</v>
      </c>
      <c r="AG21" s="15">
        <v>0.01</v>
      </c>
      <c r="AH21" s="14" t="s">
        <v>475</v>
      </c>
      <c r="AI21" s="15">
        <v>0.01</v>
      </c>
      <c r="AJ21" s="14" t="s">
        <v>475</v>
      </c>
      <c r="AK21" s="14" t="s">
        <v>475</v>
      </c>
      <c r="AL21" s="15">
        <v>0.05</v>
      </c>
      <c r="AM21" s="15">
        <v>0.03</v>
      </c>
      <c r="AN21" s="14" t="s">
        <v>475</v>
      </c>
      <c r="AO21" s="15">
        <v>0.01</v>
      </c>
      <c r="AP21" s="14" t="s">
        <v>475</v>
      </c>
      <c r="AQ21" s="15">
        <v>0.02</v>
      </c>
    </row>
    <row r="22" spans="1:43" x14ac:dyDescent="0.35">
      <c r="A22" s="19"/>
      <c r="B22" s="11" t="s">
        <v>768</v>
      </c>
      <c r="C22" s="12">
        <v>21716</v>
      </c>
      <c r="D22" s="12">
        <v>734</v>
      </c>
      <c r="E22" s="12">
        <v>901</v>
      </c>
      <c r="F22" s="12">
        <v>897</v>
      </c>
      <c r="G22" s="12">
        <v>950</v>
      </c>
      <c r="H22" s="12">
        <v>1019</v>
      </c>
      <c r="I22" s="12">
        <v>1237</v>
      </c>
      <c r="J22" s="12">
        <v>218</v>
      </c>
      <c r="K22" s="12">
        <v>750</v>
      </c>
      <c r="L22" s="12">
        <v>950</v>
      </c>
      <c r="M22" s="12">
        <v>967</v>
      </c>
      <c r="N22" s="12">
        <v>826</v>
      </c>
      <c r="O22" s="12">
        <v>716</v>
      </c>
      <c r="P22" s="12">
        <v>862</v>
      </c>
      <c r="Q22" s="12">
        <v>835</v>
      </c>
      <c r="R22" s="12">
        <v>465</v>
      </c>
      <c r="S22" s="12">
        <v>787</v>
      </c>
      <c r="T22" s="12">
        <v>912</v>
      </c>
      <c r="U22" s="12">
        <v>339</v>
      </c>
      <c r="V22" s="12">
        <v>864</v>
      </c>
      <c r="W22" s="12">
        <v>457</v>
      </c>
      <c r="X22" s="12">
        <v>801</v>
      </c>
      <c r="Y22" s="12">
        <v>880</v>
      </c>
      <c r="Z22" s="12">
        <v>895</v>
      </c>
      <c r="AA22" s="12">
        <v>980</v>
      </c>
      <c r="AB22" s="12">
        <v>862</v>
      </c>
      <c r="AC22" s="12">
        <v>774</v>
      </c>
      <c r="AD22" s="12">
        <v>890</v>
      </c>
      <c r="AE22" s="12">
        <v>925</v>
      </c>
      <c r="AF22" s="12">
        <v>1001</v>
      </c>
      <c r="AG22" s="12">
        <v>707</v>
      </c>
      <c r="AH22" s="12">
        <v>797</v>
      </c>
      <c r="AI22" s="12">
        <v>362</v>
      </c>
      <c r="AJ22" s="12">
        <v>903</v>
      </c>
      <c r="AK22" s="12">
        <v>917</v>
      </c>
      <c r="AL22" s="12">
        <v>806</v>
      </c>
      <c r="AM22" s="12">
        <v>756</v>
      </c>
      <c r="AN22" s="12">
        <v>820</v>
      </c>
      <c r="AO22" s="12">
        <v>912</v>
      </c>
      <c r="AP22" s="12">
        <v>467</v>
      </c>
      <c r="AQ22" s="12">
        <v>889</v>
      </c>
    </row>
    <row r="23" spans="1:43" x14ac:dyDescent="0.35">
      <c r="A23" s="19"/>
      <c r="B23" s="13" t="s">
        <v>769</v>
      </c>
      <c r="C23" s="15">
        <v>0.82000000000000006</v>
      </c>
      <c r="D23" s="15">
        <v>0.72</v>
      </c>
      <c r="E23" s="15">
        <v>0.87</v>
      </c>
      <c r="F23" s="15">
        <v>0.82000000000000006</v>
      </c>
      <c r="G23" s="15">
        <v>0.94000000000000006</v>
      </c>
      <c r="H23" s="15">
        <v>0.84</v>
      </c>
      <c r="I23" s="15">
        <v>0.82000000000000006</v>
      </c>
      <c r="J23" s="15">
        <v>0.74</v>
      </c>
      <c r="K23" s="15">
        <v>0.75</v>
      </c>
      <c r="L23" s="15">
        <v>0.95000000000000007</v>
      </c>
      <c r="M23" s="15">
        <v>0.96</v>
      </c>
      <c r="N23" s="15">
        <v>0.82000000000000006</v>
      </c>
      <c r="O23" s="15">
        <v>0.71</v>
      </c>
      <c r="P23" s="15">
        <v>0.86</v>
      </c>
      <c r="Q23" s="15">
        <v>0.81</v>
      </c>
      <c r="R23" s="15">
        <v>0.92</v>
      </c>
      <c r="S23" s="15">
        <v>0.78</v>
      </c>
      <c r="T23" s="15">
        <v>0.9</v>
      </c>
      <c r="U23" s="15">
        <v>0.67</v>
      </c>
      <c r="V23" s="15">
        <v>0.85</v>
      </c>
      <c r="W23" s="15">
        <v>0.9</v>
      </c>
      <c r="X23" s="15">
        <v>0.8</v>
      </c>
      <c r="Y23" s="15">
        <v>0.88</v>
      </c>
      <c r="Z23" s="15">
        <v>0.87</v>
      </c>
      <c r="AA23" s="15">
        <v>0.95000000000000007</v>
      </c>
      <c r="AB23" s="15">
        <v>0.82000000000000006</v>
      </c>
      <c r="AC23" s="15">
        <v>0.77</v>
      </c>
      <c r="AD23" s="15">
        <v>0.88</v>
      </c>
      <c r="AE23" s="15">
        <v>0.91</v>
      </c>
      <c r="AF23" s="15">
        <v>0.96</v>
      </c>
      <c r="AG23" s="15">
        <v>0.68</v>
      </c>
      <c r="AH23" s="15">
        <v>0.78</v>
      </c>
      <c r="AI23" s="15">
        <v>0.69000000000000006</v>
      </c>
      <c r="AJ23" s="15">
        <v>0.87</v>
      </c>
      <c r="AK23" s="15">
        <v>0.91</v>
      </c>
      <c r="AL23" s="15">
        <v>0.8</v>
      </c>
      <c r="AM23" s="15">
        <v>0.73</v>
      </c>
      <c r="AN23" s="15">
        <v>0.82000000000000006</v>
      </c>
      <c r="AO23" s="15">
        <v>0.91</v>
      </c>
      <c r="AP23" s="15">
        <v>0.89</v>
      </c>
      <c r="AQ23" s="15">
        <v>0.89</v>
      </c>
    </row>
    <row r="24" spans="1:43" x14ac:dyDescent="0.35">
      <c r="A24" s="19"/>
      <c r="B24" s="11" t="s">
        <v>770</v>
      </c>
      <c r="C24" s="12">
        <v>4506</v>
      </c>
      <c r="D24" s="12">
        <v>271</v>
      </c>
      <c r="E24" s="12">
        <v>123</v>
      </c>
      <c r="F24" s="12">
        <v>191</v>
      </c>
      <c r="G24" s="12">
        <v>47</v>
      </c>
      <c r="H24" s="12">
        <v>197</v>
      </c>
      <c r="I24" s="12">
        <v>274</v>
      </c>
      <c r="J24" s="12">
        <v>77</v>
      </c>
      <c r="K24" s="12">
        <v>243</v>
      </c>
      <c r="L24" s="12">
        <v>44</v>
      </c>
      <c r="M24" s="12">
        <v>42</v>
      </c>
      <c r="N24" s="12">
        <v>157</v>
      </c>
      <c r="O24" s="12">
        <v>268</v>
      </c>
      <c r="P24" s="12">
        <v>141</v>
      </c>
      <c r="Q24" s="12">
        <v>191</v>
      </c>
      <c r="R24" s="12">
        <v>35</v>
      </c>
      <c r="S24" s="12">
        <v>201</v>
      </c>
      <c r="T24" s="12">
        <v>76</v>
      </c>
      <c r="U24" s="12">
        <v>154</v>
      </c>
      <c r="V24" s="12">
        <v>148</v>
      </c>
      <c r="W24" s="12">
        <v>49</v>
      </c>
      <c r="X24" s="12">
        <v>203</v>
      </c>
      <c r="Y24" s="12">
        <v>109</v>
      </c>
      <c r="Z24" s="12">
        <v>128</v>
      </c>
      <c r="AA24" s="12">
        <v>49</v>
      </c>
      <c r="AB24" s="12">
        <v>178</v>
      </c>
      <c r="AC24" s="12">
        <v>224</v>
      </c>
      <c r="AD24" s="12">
        <v>101</v>
      </c>
      <c r="AE24" s="12">
        <v>78</v>
      </c>
      <c r="AF24" s="12">
        <v>42</v>
      </c>
      <c r="AG24" s="12">
        <v>320</v>
      </c>
      <c r="AH24" s="12">
        <v>216</v>
      </c>
      <c r="AI24" s="12">
        <v>157</v>
      </c>
      <c r="AJ24" s="12">
        <v>133</v>
      </c>
      <c r="AK24" s="12">
        <v>89</v>
      </c>
      <c r="AL24" s="12">
        <v>156</v>
      </c>
      <c r="AM24" s="12">
        <v>246</v>
      </c>
      <c r="AN24" s="12">
        <v>183</v>
      </c>
      <c r="AO24" s="12">
        <v>85</v>
      </c>
      <c r="AP24" s="12">
        <v>57</v>
      </c>
      <c r="AQ24" s="12">
        <v>95</v>
      </c>
    </row>
    <row r="25" spans="1:43" x14ac:dyDescent="0.35">
      <c r="A25" s="19"/>
      <c r="B25" s="13" t="s">
        <v>771</v>
      </c>
      <c r="C25" s="15">
        <v>0.17</v>
      </c>
      <c r="D25" s="15">
        <v>0.27</v>
      </c>
      <c r="E25" s="15">
        <v>0.12</v>
      </c>
      <c r="F25" s="15">
        <v>0.17</v>
      </c>
      <c r="G25" s="15">
        <v>0.05</v>
      </c>
      <c r="H25" s="15">
        <v>0.16</v>
      </c>
      <c r="I25" s="15">
        <v>0.18</v>
      </c>
      <c r="J25" s="15">
        <v>0.26</v>
      </c>
      <c r="K25" s="15">
        <v>0.24</v>
      </c>
      <c r="L25" s="15">
        <v>0.04</v>
      </c>
      <c r="M25" s="15">
        <v>0.04</v>
      </c>
      <c r="N25" s="15">
        <v>0.16</v>
      </c>
      <c r="O25" s="15">
        <v>0.27</v>
      </c>
      <c r="P25" s="15">
        <v>0.14000000000000001</v>
      </c>
      <c r="Q25" s="15">
        <v>0.19</v>
      </c>
      <c r="R25" s="15">
        <v>7.0000000000000007E-2</v>
      </c>
      <c r="S25" s="15">
        <v>0.21</v>
      </c>
      <c r="T25" s="15">
        <v>0.08</v>
      </c>
      <c r="U25" s="15">
        <v>0.31</v>
      </c>
      <c r="V25" s="15">
        <v>0.15</v>
      </c>
      <c r="W25" s="15">
        <v>0.1</v>
      </c>
      <c r="X25" s="15">
        <v>0.2</v>
      </c>
      <c r="Y25" s="15">
        <v>0.11</v>
      </c>
      <c r="Z25" s="15">
        <v>0.12</v>
      </c>
      <c r="AA25" s="15">
        <v>0.05</v>
      </c>
      <c r="AB25" s="15">
        <v>0.17</v>
      </c>
      <c r="AC25" s="15">
        <v>0.22</v>
      </c>
      <c r="AD25" s="15">
        <v>0.1</v>
      </c>
      <c r="AE25" s="15">
        <v>0.08</v>
      </c>
      <c r="AF25" s="15">
        <v>0.04</v>
      </c>
      <c r="AG25" s="15">
        <v>0.31</v>
      </c>
      <c r="AH25" s="15">
        <v>0.22</v>
      </c>
      <c r="AI25" s="15">
        <v>0.3</v>
      </c>
      <c r="AJ25" s="15">
        <v>0.13</v>
      </c>
      <c r="AK25" s="15">
        <v>0.09</v>
      </c>
      <c r="AL25" s="15">
        <v>0.15</v>
      </c>
      <c r="AM25" s="15">
        <v>0.24</v>
      </c>
      <c r="AN25" s="15">
        <v>0.18</v>
      </c>
      <c r="AO25" s="15">
        <v>0.08</v>
      </c>
      <c r="AP25" s="15">
        <v>0.11</v>
      </c>
      <c r="AQ25" s="15">
        <v>0.09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1127</v>
      </c>
      <c r="C3" s="18"/>
      <c r="D3" s="18"/>
      <c r="E3" s="18"/>
      <c r="F3" s="18"/>
      <c r="H3" s="18" t="s">
        <v>1128</v>
      </c>
      <c r="I3" s="18"/>
      <c r="J3" s="18"/>
      <c r="K3" s="18"/>
      <c r="L3" s="18"/>
    </row>
    <row r="4" spans="1:43" ht="27" customHeight="1" x14ac:dyDescent="0.35">
      <c r="B4" s="18" t="s">
        <v>1129</v>
      </c>
      <c r="C4" s="18"/>
      <c r="D4" s="18"/>
      <c r="E4" s="18"/>
      <c r="F4" s="18"/>
      <c r="H4" s="18" t="s">
        <v>1130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HYPERLINK("#Content!A116","&lt;&lt;Back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3096</v>
      </c>
      <c r="D12" s="12">
        <v>56</v>
      </c>
      <c r="E12" s="12">
        <v>190</v>
      </c>
      <c r="F12" s="12">
        <v>112</v>
      </c>
      <c r="G12" s="12">
        <v>109</v>
      </c>
      <c r="H12" s="12">
        <v>98</v>
      </c>
      <c r="I12" s="12">
        <v>124</v>
      </c>
      <c r="J12" s="12">
        <v>26</v>
      </c>
      <c r="K12" s="12">
        <v>62</v>
      </c>
      <c r="L12" s="12">
        <v>256</v>
      </c>
      <c r="M12" s="12">
        <v>163</v>
      </c>
      <c r="N12" s="12">
        <v>110</v>
      </c>
      <c r="O12" s="12">
        <v>75</v>
      </c>
      <c r="P12" s="12">
        <v>192</v>
      </c>
      <c r="Q12" s="12">
        <v>135</v>
      </c>
      <c r="R12" s="12">
        <v>60</v>
      </c>
      <c r="S12" s="12">
        <v>111</v>
      </c>
      <c r="T12" s="12">
        <v>155</v>
      </c>
      <c r="U12" s="12">
        <v>41</v>
      </c>
      <c r="V12" s="12">
        <v>151</v>
      </c>
      <c r="W12" s="12">
        <v>27</v>
      </c>
      <c r="X12" s="12">
        <v>62</v>
      </c>
      <c r="Y12" s="12">
        <v>261</v>
      </c>
      <c r="Z12" s="12">
        <v>177</v>
      </c>
      <c r="AA12" s="12">
        <v>100</v>
      </c>
      <c r="AB12" s="12">
        <v>178</v>
      </c>
      <c r="AC12" s="12">
        <v>89</v>
      </c>
      <c r="AD12" s="12">
        <v>216</v>
      </c>
      <c r="AE12" s="12">
        <v>57</v>
      </c>
      <c r="AF12" s="12">
        <v>207</v>
      </c>
      <c r="AG12" s="12">
        <v>153</v>
      </c>
      <c r="AH12" s="12">
        <v>185</v>
      </c>
      <c r="AI12" s="12">
        <v>98</v>
      </c>
      <c r="AJ12" s="12">
        <v>176</v>
      </c>
      <c r="AK12" s="12">
        <v>101</v>
      </c>
      <c r="AL12" s="12">
        <v>228</v>
      </c>
      <c r="AM12" s="12">
        <v>80</v>
      </c>
      <c r="AN12" s="12">
        <v>178</v>
      </c>
      <c r="AO12" s="12">
        <v>379</v>
      </c>
      <c r="AP12" s="12">
        <v>197</v>
      </c>
      <c r="AQ12" s="12">
        <v>235</v>
      </c>
    </row>
    <row r="13" spans="1:43" x14ac:dyDescent="0.35">
      <c r="A13" s="19"/>
      <c r="B13" s="13" t="s">
        <v>761</v>
      </c>
      <c r="C13" s="15">
        <v>0.12</v>
      </c>
      <c r="D13" s="15">
        <v>0.05</v>
      </c>
      <c r="E13" s="15">
        <v>0.18</v>
      </c>
      <c r="F13" s="15">
        <v>0.1</v>
      </c>
      <c r="G13" s="15">
        <v>0.11</v>
      </c>
      <c r="H13" s="15">
        <v>0.08</v>
      </c>
      <c r="I13" s="15">
        <v>0.08</v>
      </c>
      <c r="J13" s="15">
        <v>0.09</v>
      </c>
      <c r="K13" s="15">
        <v>0.06</v>
      </c>
      <c r="L13" s="15">
        <v>0.25</v>
      </c>
      <c r="M13" s="15">
        <v>0.16</v>
      </c>
      <c r="N13" s="15">
        <v>0.11</v>
      </c>
      <c r="O13" s="15">
        <v>7.0000000000000007E-2</v>
      </c>
      <c r="P13" s="15">
        <v>0.19</v>
      </c>
      <c r="Q13" s="15">
        <v>0.13</v>
      </c>
      <c r="R13" s="15">
        <v>0.12</v>
      </c>
      <c r="S13" s="15">
        <v>0.11</v>
      </c>
      <c r="T13" s="15">
        <v>0.15</v>
      </c>
      <c r="U13" s="15">
        <v>0.08</v>
      </c>
      <c r="V13" s="15">
        <v>0.15</v>
      </c>
      <c r="W13" s="15">
        <v>0.05</v>
      </c>
      <c r="X13" s="15">
        <v>0.06</v>
      </c>
      <c r="Y13" s="15">
        <v>0.26</v>
      </c>
      <c r="Z13" s="15">
        <v>0.17</v>
      </c>
      <c r="AA13" s="15">
        <v>0.1</v>
      </c>
      <c r="AB13" s="15">
        <v>0.17</v>
      </c>
      <c r="AC13" s="15">
        <v>0.09</v>
      </c>
      <c r="AD13" s="15">
        <v>0.22</v>
      </c>
      <c r="AE13" s="15">
        <v>0.06</v>
      </c>
      <c r="AF13" s="15">
        <v>0.2</v>
      </c>
      <c r="AG13" s="15">
        <v>0.15</v>
      </c>
      <c r="AH13" s="15">
        <v>0.18</v>
      </c>
      <c r="AI13" s="15">
        <v>0.19</v>
      </c>
      <c r="AJ13" s="15">
        <v>0.17</v>
      </c>
      <c r="AK13" s="15">
        <v>0.1</v>
      </c>
      <c r="AL13" s="15">
        <v>0.22</v>
      </c>
      <c r="AM13" s="15">
        <v>0.08</v>
      </c>
      <c r="AN13" s="15">
        <v>0.18</v>
      </c>
      <c r="AO13" s="15">
        <v>0.38</v>
      </c>
      <c r="AP13" s="15">
        <v>0.38</v>
      </c>
      <c r="AQ13" s="15">
        <v>0.24</v>
      </c>
    </row>
    <row r="14" spans="1:43" x14ac:dyDescent="0.35">
      <c r="A14" s="19"/>
      <c r="B14" s="11" t="s">
        <v>762</v>
      </c>
      <c r="C14" s="12">
        <v>13788</v>
      </c>
      <c r="D14" s="12">
        <v>502</v>
      </c>
      <c r="E14" s="12">
        <v>492</v>
      </c>
      <c r="F14" s="12">
        <v>539</v>
      </c>
      <c r="G14" s="12">
        <v>610</v>
      </c>
      <c r="H14" s="12">
        <v>707</v>
      </c>
      <c r="I14" s="12">
        <v>844</v>
      </c>
      <c r="J14" s="12">
        <v>137</v>
      </c>
      <c r="K14" s="12">
        <v>474</v>
      </c>
      <c r="L14" s="12">
        <v>548</v>
      </c>
      <c r="M14" s="12">
        <v>518</v>
      </c>
      <c r="N14" s="12">
        <v>516</v>
      </c>
      <c r="O14" s="12">
        <v>418</v>
      </c>
      <c r="P14" s="12">
        <v>497</v>
      </c>
      <c r="Q14" s="12">
        <v>505</v>
      </c>
      <c r="R14" s="12">
        <v>248</v>
      </c>
      <c r="S14" s="12">
        <v>524</v>
      </c>
      <c r="T14" s="12">
        <v>601</v>
      </c>
      <c r="U14" s="12">
        <v>249</v>
      </c>
      <c r="V14" s="12">
        <v>586</v>
      </c>
      <c r="W14" s="12">
        <v>306</v>
      </c>
      <c r="X14" s="12">
        <v>509</v>
      </c>
      <c r="Y14" s="12">
        <v>422</v>
      </c>
      <c r="Z14" s="12">
        <v>640</v>
      </c>
      <c r="AA14" s="12">
        <v>720</v>
      </c>
      <c r="AB14" s="12">
        <v>539</v>
      </c>
      <c r="AC14" s="12">
        <v>434</v>
      </c>
      <c r="AD14" s="12">
        <v>554</v>
      </c>
      <c r="AE14" s="12">
        <v>580</v>
      </c>
      <c r="AF14" s="12">
        <v>696</v>
      </c>
      <c r="AG14" s="12">
        <v>428</v>
      </c>
      <c r="AH14" s="12">
        <v>464</v>
      </c>
      <c r="AI14" s="12">
        <v>159</v>
      </c>
      <c r="AJ14" s="12">
        <v>466</v>
      </c>
      <c r="AK14" s="12">
        <v>610</v>
      </c>
      <c r="AL14" s="12">
        <v>396</v>
      </c>
      <c r="AM14" s="12">
        <v>527</v>
      </c>
      <c r="AN14" s="12">
        <v>427</v>
      </c>
      <c r="AO14" s="12">
        <v>364</v>
      </c>
      <c r="AP14" s="12">
        <v>191</v>
      </c>
      <c r="AQ14" s="12">
        <v>358</v>
      </c>
    </row>
    <row r="15" spans="1:43" x14ac:dyDescent="0.35">
      <c r="A15" s="19"/>
      <c r="B15" s="13" t="s">
        <v>763</v>
      </c>
      <c r="C15" s="15">
        <v>0.52</v>
      </c>
      <c r="D15" s="15">
        <v>0.5</v>
      </c>
      <c r="E15" s="15">
        <v>0.48</v>
      </c>
      <c r="F15" s="15">
        <v>0.49</v>
      </c>
      <c r="G15" s="15">
        <v>0.61</v>
      </c>
      <c r="H15" s="15">
        <v>0.57999999999999996</v>
      </c>
      <c r="I15" s="15">
        <v>0.56000000000000005</v>
      </c>
      <c r="J15" s="15">
        <v>0.46</v>
      </c>
      <c r="K15" s="15">
        <v>0.47</v>
      </c>
      <c r="L15" s="15">
        <v>0.55000000000000004</v>
      </c>
      <c r="M15" s="15">
        <v>0.51</v>
      </c>
      <c r="N15" s="15">
        <v>0.51</v>
      </c>
      <c r="O15" s="15">
        <v>0.42</v>
      </c>
      <c r="P15" s="15">
        <v>0.49</v>
      </c>
      <c r="Q15" s="15">
        <v>0.49</v>
      </c>
      <c r="R15" s="15">
        <v>0.49</v>
      </c>
      <c r="S15" s="15">
        <v>0.52</v>
      </c>
      <c r="T15" s="15">
        <v>0.6</v>
      </c>
      <c r="U15" s="15">
        <v>0.49</v>
      </c>
      <c r="V15" s="15">
        <v>0.57999999999999996</v>
      </c>
      <c r="W15" s="15">
        <v>0.6</v>
      </c>
      <c r="X15" s="15">
        <v>0.5</v>
      </c>
      <c r="Y15" s="15">
        <v>0.42</v>
      </c>
      <c r="Z15" s="15">
        <v>0.62</v>
      </c>
      <c r="AA15" s="15">
        <v>0.70000000000000007</v>
      </c>
      <c r="AB15" s="15">
        <v>0.51</v>
      </c>
      <c r="AC15" s="15">
        <v>0.43</v>
      </c>
      <c r="AD15" s="15">
        <v>0.55000000000000004</v>
      </c>
      <c r="AE15" s="15">
        <v>0.57000000000000006</v>
      </c>
      <c r="AF15" s="15">
        <v>0.66</v>
      </c>
      <c r="AG15" s="15">
        <v>0.41</v>
      </c>
      <c r="AH15" s="15">
        <v>0.46</v>
      </c>
      <c r="AI15" s="15">
        <v>0.3</v>
      </c>
      <c r="AJ15" s="15">
        <v>0.45</v>
      </c>
      <c r="AK15" s="15">
        <v>0.6</v>
      </c>
      <c r="AL15" s="15">
        <v>0.39</v>
      </c>
      <c r="AM15" s="15">
        <v>0.51</v>
      </c>
      <c r="AN15" s="15">
        <v>0.43</v>
      </c>
      <c r="AO15" s="15">
        <v>0.36</v>
      </c>
      <c r="AP15" s="15">
        <v>0.36</v>
      </c>
      <c r="AQ15" s="15">
        <v>0.36</v>
      </c>
    </row>
    <row r="16" spans="1:43" x14ac:dyDescent="0.35">
      <c r="A16" s="19"/>
      <c r="B16" s="11" t="s">
        <v>764</v>
      </c>
      <c r="C16" s="12">
        <v>7187</v>
      </c>
      <c r="D16" s="12">
        <v>375</v>
      </c>
      <c r="E16" s="12">
        <v>223</v>
      </c>
      <c r="F16" s="12">
        <v>342</v>
      </c>
      <c r="G16" s="12">
        <v>229</v>
      </c>
      <c r="H16" s="12">
        <v>351</v>
      </c>
      <c r="I16" s="12">
        <v>457</v>
      </c>
      <c r="J16" s="12">
        <v>106</v>
      </c>
      <c r="K16" s="12">
        <v>327</v>
      </c>
      <c r="L16" s="12">
        <v>139</v>
      </c>
      <c r="M16" s="12">
        <v>223</v>
      </c>
      <c r="N16" s="12">
        <v>264</v>
      </c>
      <c r="O16" s="12">
        <v>363</v>
      </c>
      <c r="P16" s="12">
        <v>217</v>
      </c>
      <c r="Q16" s="12">
        <v>282</v>
      </c>
      <c r="R16" s="12">
        <v>134</v>
      </c>
      <c r="S16" s="12">
        <v>274</v>
      </c>
      <c r="T16" s="12">
        <v>175</v>
      </c>
      <c r="U16" s="12">
        <v>164</v>
      </c>
      <c r="V16" s="12">
        <v>228</v>
      </c>
      <c r="W16" s="12">
        <v>151</v>
      </c>
      <c r="X16" s="12">
        <v>350</v>
      </c>
      <c r="Y16" s="12">
        <v>191</v>
      </c>
      <c r="Z16" s="12">
        <v>172</v>
      </c>
      <c r="AA16" s="12">
        <v>143</v>
      </c>
      <c r="AB16" s="12">
        <v>237</v>
      </c>
      <c r="AC16" s="12">
        <v>383</v>
      </c>
      <c r="AD16" s="12">
        <v>183</v>
      </c>
      <c r="AE16" s="12">
        <v>299</v>
      </c>
      <c r="AF16" s="12">
        <v>123</v>
      </c>
      <c r="AG16" s="12">
        <v>321</v>
      </c>
      <c r="AH16" s="12">
        <v>237</v>
      </c>
      <c r="AI16" s="12">
        <v>93</v>
      </c>
      <c r="AJ16" s="12">
        <v>275</v>
      </c>
      <c r="AK16" s="12">
        <v>202</v>
      </c>
      <c r="AL16" s="12">
        <v>141</v>
      </c>
      <c r="AM16" s="12">
        <v>263</v>
      </c>
      <c r="AN16" s="12">
        <v>271</v>
      </c>
      <c r="AO16" s="12">
        <v>124</v>
      </c>
      <c r="AP16" s="12">
        <v>95</v>
      </c>
      <c r="AQ16" s="12">
        <v>144</v>
      </c>
    </row>
    <row r="17" spans="1:43" x14ac:dyDescent="0.35">
      <c r="A17" s="19"/>
      <c r="B17" s="13" t="s">
        <v>765</v>
      </c>
      <c r="C17" s="15">
        <v>0.27</v>
      </c>
      <c r="D17" s="15">
        <v>0.37</v>
      </c>
      <c r="E17" s="15">
        <v>0.22</v>
      </c>
      <c r="F17" s="15">
        <v>0.31</v>
      </c>
      <c r="G17" s="15">
        <v>0.23</v>
      </c>
      <c r="H17" s="15">
        <v>0.28999999999999998</v>
      </c>
      <c r="I17" s="15">
        <v>0.3</v>
      </c>
      <c r="J17" s="15">
        <v>0.36</v>
      </c>
      <c r="K17" s="15">
        <v>0.33</v>
      </c>
      <c r="L17" s="15">
        <v>0.14000000000000001</v>
      </c>
      <c r="M17" s="15">
        <v>0.22</v>
      </c>
      <c r="N17" s="15">
        <v>0.26</v>
      </c>
      <c r="O17" s="15">
        <v>0.36</v>
      </c>
      <c r="P17" s="15">
        <v>0.22</v>
      </c>
      <c r="Q17" s="15">
        <v>0.28000000000000003</v>
      </c>
      <c r="R17" s="15">
        <v>0.27</v>
      </c>
      <c r="S17" s="15">
        <v>0.27</v>
      </c>
      <c r="T17" s="15">
        <v>0.17</v>
      </c>
      <c r="U17" s="15">
        <v>0.33</v>
      </c>
      <c r="V17" s="15">
        <v>0.22</v>
      </c>
      <c r="W17" s="15">
        <v>0.3</v>
      </c>
      <c r="X17" s="15">
        <v>0.35</v>
      </c>
      <c r="Y17" s="15">
        <v>0.19</v>
      </c>
      <c r="Z17" s="15">
        <v>0.17</v>
      </c>
      <c r="AA17" s="15">
        <v>0.14000000000000001</v>
      </c>
      <c r="AB17" s="15">
        <v>0.23</v>
      </c>
      <c r="AC17" s="15">
        <v>0.38</v>
      </c>
      <c r="AD17" s="15">
        <v>0.18</v>
      </c>
      <c r="AE17" s="15">
        <v>0.28999999999999998</v>
      </c>
      <c r="AF17" s="15">
        <v>0.12</v>
      </c>
      <c r="AG17" s="15">
        <v>0.31</v>
      </c>
      <c r="AH17" s="15">
        <v>0.23</v>
      </c>
      <c r="AI17" s="15">
        <v>0.18</v>
      </c>
      <c r="AJ17" s="15">
        <v>0.27</v>
      </c>
      <c r="AK17" s="15">
        <v>0.2</v>
      </c>
      <c r="AL17" s="15">
        <v>0.14000000000000001</v>
      </c>
      <c r="AM17" s="15">
        <v>0.25</v>
      </c>
      <c r="AN17" s="15">
        <v>0.27</v>
      </c>
      <c r="AO17" s="15">
        <v>0.12</v>
      </c>
      <c r="AP17" s="15">
        <v>0.18</v>
      </c>
      <c r="AQ17" s="15">
        <v>0.14000000000000001</v>
      </c>
    </row>
    <row r="18" spans="1:43" x14ac:dyDescent="0.35">
      <c r="A18" s="19"/>
      <c r="B18" s="11" t="s">
        <v>766</v>
      </c>
      <c r="C18" s="12">
        <v>1644</v>
      </c>
      <c r="D18" s="12">
        <v>71</v>
      </c>
      <c r="E18" s="12">
        <v>67</v>
      </c>
      <c r="F18" s="12">
        <v>82</v>
      </c>
      <c r="G18" s="12">
        <v>32</v>
      </c>
      <c r="H18" s="12">
        <v>50</v>
      </c>
      <c r="I18" s="12">
        <v>73</v>
      </c>
      <c r="J18" s="12">
        <v>22</v>
      </c>
      <c r="K18" s="12">
        <v>80</v>
      </c>
      <c r="L18" s="12">
        <v>20</v>
      </c>
      <c r="M18" s="12">
        <v>77</v>
      </c>
      <c r="N18" s="12">
        <v>58</v>
      </c>
      <c r="O18" s="12">
        <v>95</v>
      </c>
      <c r="P18" s="12">
        <v>86</v>
      </c>
      <c r="Q18" s="12">
        <v>96</v>
      </c>
      <c r="R18" s="12">
        <v>41</v>
      </c>
      <c r="S18" s="12">
        <v>45</v>
      </c>
      <c r="T18" s="12">
        <v>17</v>
      </c>
      <c r="U18" s="12">
        <v>43</v>
      </c>
      <c r="V18" s="12">
        <v>41</v>
      </c>
      <c r="W18" s="12">
        <v>13</v>
      </c>
      <c r="X18" s="12">
        <v>74</v>
      </c>
      <c r="Y18" s="12">
        <v>91</v>
      </c>
      <c r="Z18" s="12">
        <v>25</v>
      </c>
      <c r="AA18" s="12">
        <v>17</v>
      </c>
      <c r="AB18" s="12">
        <v>55</v>
      </c>
      <c r="AC18" s="12">
        <v>79</v>
      </c>
      <c r="AD18" s="12">
        <v>30</v>
      </c>
      <c r="AE18" s="12">
        <v>36</v>
      </c>
      <c r="AF18" s="12">
        <v>8</v>
      </c>
      <c r="AG18" s="12">
        <v>122</v>
      </c>
      <c r="AH18" s="12">
        <v>110</v>
      </c>
      <c r="AI18" s="12">
        <v>132</v>
      </c>
      <c r="AJ18" s="12">
        <v>104</v>
      </c>
      <c r="AK18" s="12">
        <v>57</v>
      </c>
      <c r="AL18" s="12">
        <v>79</v>
      </c>
      <c r="AM18" s="12">
        <v>40</v>
      </c>
      <c r="AN18" s="12">
        <v>115</v>
      </c>
      <c r="AO18" s="12">
        <v>55</v>
      </c>
      <c r="AP18" s="12">
        <v>40</v>
      </c>
      <c r="AQ18" s="12">
        <v>112</v>
      </c>
    </row>
    <row r="19" spans="1:43" x14ac:dyDescent="0.35">
      <c r="A19" s="19"/>
      <c r="B19" s="13" t="s">
        <v>767</v>
      </c>
      <c r="C19" s="15">
        <v>0.06</v>
      </c>
      <c r="D19" s="15">
        <v>7.0000000000000007E-2</v>
      </c>
      <c r="E19" s="15">
        <v>0.06</v>
      </c>
      <c r="F19" s="15">
        <v>0.08</v>
      </c>
      <c r="G19" s="15">
        <v>0.03</v>
      </c>
      <c r="H19" s="15">
        <v>0.04</v>
      </c>
      <c r="I19" s="15">
        <v>0.05</v>
      </c>
      <c r="J19" s="15">
        <v>0.08</v>
      </c>
      <c r="K19" s="15">
        <v>0.08</v>
      </c>
      <c r="L19" s="15">
        <v>0.02</v>
      </c>
      <c r="M19" s="15">
        <v>0.08</v>
      </c>
      <c r="N19" s="15">
        <v>0.06</v>
      </c>
      <c r="O19" s="15">
        <v>0.1</v>
      </c>
      <c r="P19" s="15">
        <v>0.09</v>
      </c>
      <c r="Q19" s="15">
        <v>0.09</v>
      </c>
      <c r="R19" s="15">
        <v>0.08</v>
      </c>
      <c r="S19" s="15">
        <v>0.05</v>
      </c>
      <c r="T19" s="15">
        <v>0.02</v>
      </c>
      <c r="U19" s="15">
        <v>0.08</v>
      </c>
      <c r="V19" s="15">
        <v>0.04</v>
      </c>
      <c r="W19" s="15">
        <v>0.03</v>
      </c>
      <c r="X19" s="15">
        <v>7.0000000000000007E-2</v>
      </c>
      <c r="Y19" s="15">
        <v>0.09</v>
      </c>
      <c r="Z19" s="15">
        <v>0.02</v>
      </c>
      <c r="AA19" s="15">
        <v>0.01</v>
      </c>
      <c r="AB19" s="15">
        <v>0.05</v>
      </c>
      <c r="AC19" s="15">
        <v>0.08</v>
      </c>
      <c r="AD19" s="15">
        <v>0.03</v>
      </c>
      <c r="AE19" s="15">
        <v>0.04</v>
      </c>
      <c r="AF19" s="15">
        <v>0.01</v>
      </c>
      <c r="AG19" s="15">
        <v>0.12</v>
      </c>
      <c r="AH19" s="15">
        <v>0.11</v>
      </c>
      <c r="AI19" s="15">
        <v>0.25</v>
      </c>
      <c r="AJ19" s="15">
        <v>0.1</v>
      </c>
      <c r="AK19" s="15">
        <v>0.06</v>
      </c>
      <c r="AL19" s="15">
        <v>0.08</v>
      </c>
      <c r="AM19" s="15">
        <v>0.04</v>
      </c>
      <c r="AN19" s="15">
        <v>0.11</v>
      </c>
      <c r="AO19" s="15">
        <v>0.06</v>
      </c>
      <c r="AP19" s="15">
        <v>0.08</v>
      </c>
      <c r="AQ19" s="15">
        <v>0.11</v>
      </c>
    </row>
    <row r="20" spans="1:43" x14ac:dyDescent="0.35">
      <c r="A20" s="19"/>
      <c r="B20" s="11" t="s">
        <v>485</v>
      </c>
      <c r="C20" s="12">
        <v>729</v>
      </c>
      <c r="D20" s="12">
        <v>10</v>
      </c>
      <c r="E20" s="12">
        <v>58</v>
      </c>
      <c r="F20" s="12">
        <v>27</v>
      </c>
      <c r="G20" s="12">
        <v>25</v>
      </c>
      <c r="H20" s="12">
        <v>15</v>
      </c>
      <c r="I20" s="12">
        <v>18</v>
      </c>
      <c r="J20" s="12">
        <v>3</v>
      </c>
      <c r="K20" s="12">
        <v>59</v>
      </c>
      <c r="L20" s="12">
        <v>39</v>
      </c>
      <c r="M20" s="12">
        <v>29</v>
      </c>
      <c r="N20" s="12">
        <v>55</v>
      </c>
      <c r="O20" s="12">
        <v>49</v>
      </c>
      <c r="P20" s="12">
        <v>12</v>
      </c>
      <c r="Q20" s="12">
        <v>9</v>
      </c>
      <c r="R20" s="12">
        <v>21</v>
      </c>
      <c r="S20" s="12">
        <v>47</v>
      </c>
      <c r="T20" s="12">
        <v>58</v>
      </c>
      <c r="U20" s="12">
        <v>8</v>
      </c>
      <c r="V20" s="12">
        <v>9</v>
      </c>
      <c r="W20" s="12">
        <v>10</v>
      </c>
      <c r="X20" s="12">
        <v>15</v>
      </c>
      <c r="Y20" s="12">
        <v>38</v>
      </c>
      <c r="Z20" s="12">
        <v>17</v>
      </c>
      <c r="AA20" s="12">
        <v>52</v>
      </c>
      <c r="AB20" s="12">
        <v>41</v>
      </c>
      <c r="AC20" s="12">
        <v>18</v>
      </c>
      <c r="AD20" s="12">
        <v>21</v>
      </c>
      <c r="AE20" s="12">
        <v>40</v>
      </c>
      <c r="AF20" s="12">
        <v>9</v>
      </c>
      <c r="AG20" s="12">
        <v>11</v>
      </c>
      <c r="AH20" s="12">
        <v>17</v>
      </c>
      <c r="AI20" s="12">
        <v>41</v>
      </c>
      <c r="AJ20" s="12">
        <v>15</v>
      </c>
      <c r="AK20" s="12">
        <v>37</v>
      </c>
      <c r="AL20" s="12">
        <v>168</v>
      </c>
      <c r="AM20" s="12">
        <v>130</v>
      </c>
      <c r="AN20" s="12">
        <v>12</v>
      </c>
      <c r="AO20" s="12">
        <v>84</v>
      </c>
      <c r="AP20" s="12">
        <v>2</v>
      </c>
      <c r="AQ20" s="12">
        <v>153</v>
      </c>
    </row>
    <row r="21" spans="1:43" x14ac:dyDescent="0.35">
      <c r="A21" s="19"/>
      <c r="B21" s="13" t="s">
        <v>486</v>
      </c>
      <c r="C21" s="15">
        <v>0.03</v>
      </c>
      <c r="D21" s="15">
        <v>0.01</v>
      </c>
      <c r="E21" s="15">
        <v>0.06</v>
      </c>
      <c r="F21" s="15">
        <v>0.02</v>
      </c>
      <c r="G21" s="15">
        <v>0.02</v>
      </c>
      <c r="H21" s="15">
        <v>0.01</v>
      </c>
      <c r="I21" s="15">
        <v>0.01</v>
      </c>
      <c r="J21" s="15">
        <v>0.01</v>
      </c>
      <c r="K21" s="15">
        <v>0.06</v>
      </c>
      <c r="L21" s="15">
        <v>0.04</v>
      </c>
      <c r="M21" s="15">
        <v>0.03</v>
      </c>
      <c r="N21" s="15">
        <v>0.06</v>
      </c>
      <c r="O21" s="15">
        <v>0.05</v>
      </c>
      <c r="P21" s="15">
        <v>0.01</v>
      </c>
      <c r="Q21" s="15">
        <v>0.01</v>
      </c>
      <c r="R21" s="15">
        <v>0.04</v>
      </c>
      <c r="S21" s="15">
        <v>0.05</v>
      </c>
      <c r="T21" s="15">
        <v>0.06</v>
      </c>
      <c r="U21" s="15">
        <v>0.02</v>
      </c>
      <c r="V21" s="15">
        <v>0.01</v>
      </c>
      <c r="W21" s="15">
        <v>0.02</v>
      </c>
      <c r="X21" s="15">
        <v>0.02</v>
      </c>
      <c r="Y21" s="15">
        <v>0.04</v>
      </c>
      <c r="Z21" s="15">
        <v>0.02</v>
      </c>
      <c r="AA21" s="15">
        <v>0.05</v>
      </c>
      <c r="AB21" s="15">
        <v>0.04</v>
      </c>
      <c r="AC21" s="15">
        <v>0.02</v>
      </c>
      <c r="AD21" s="15">
        <v>0.02</v>
      </c>
      <c r="AE21" s="15">
        <v>0.04</v>
      </c>
      <c r="AF21" s="15">
        <v>0.01</v>
      </c>
      <c r="AG21" s="15">
        <v>0.01</v>
      </c>
      <c r="AH21" s="15">
        <v>0.02</v>
      </c>
      <c r="AI21" s="15">
        <v>0.08</v>
      </c>
      <c r="AJ21" s="15">
        <v>0.01</v>
      </c>
      <c r="AK21" s="15">
        <v>0.04</v>
      </c>
      <c r="AL21" s="15">
        <v>0.17</v>
      </c>
      <c r="AM21" s="15">
        <v>0.12</v>
      </c>
      <c r="AN21" s="15">
        <v>0.01</v>
      </c>
      <c r="AO21" s="15">
        <v>0.08</v>
      </c>
      <c r="AP21" s="14" t="s">
        <v>475</v>
      </c>
      <c r="AQ21" s="15">
        <v>0.15</v>
      </c>
    </row>
    <row r="22" spans="1:43" x14ac:dyDescent="0.35">
      <c r="A22" s="19"/>
      <c r="B22" s="11" t="s">
        <v>768</v>
      </c>
      <c r="C22" s="12">
        <v>16884</v>
      </c>
      <c r="D22" s="12">
        <v>558</v>
      </c>
      <c r="E22" s="12">
        <v>682</v>
      </c>
      <c r="F22" s="12">
        <v>651</v>
      </c>
      <c r="G22" s="12">
        <v>719</v>
      </c>
      <c r="H22" s="12">
        <v>805</v>
      </c>
      <c r="I22" s="12">
        <v>968</v>
      </c>
      <c r="J22" s="12">
        <v>163</v>
      </c>
      <c r="K22" s="12">
        <v>536</v>
      </c>
      <c r="L22" s="12">
        <v>804</v>
      </c>
      <c r="M22" s="12">
        <v>681</v>
      </c>
      <c r="N22" s="12">
        <v>626</v>
      </c>
      <c r="O22" s="12">
        <v>493</v>
      </c>
      <c r="P22" s="12">
        <v>689</v>
      </c>
      <c r="Q22" s="12">
        <v>640</v>
      </c>
      <c r="R22" s="12">
        <v>308</v>
      </c>
      <c r="S22" s="12">
        <v>635</v>
      </c>
      <c r="T22" s="12">
        <v>756</v>
      </c>
      <c r="U22" s="12">
        <v>290</v>
      </c>
      <c r="V22" s="12">
        <v>737</v>
      </c>
      <c r="W22" s="12">
        <v>333</v>
      </c>
      <c r="X22" s="12">
        <v>571</v>
      </c>
      <c r="Y22" s="12">
        <v>683</v>
      </c>
      <c r="Z22" s="12">
        <v>817</v>
      </c>
      <c r="AA22" s="12">
        <v>820</v>
      </c>
      <c r="AB22" s="12">
        <v>717</v>
      </c>
      <c r="AC22" s="12">
        <v>523</v>
      </c>
      <c r="AD22" s="12">
        <v>770</v>
      </c>
      <c r="AE22" s="12">
        <v>637</v>
      </c>
      <c r="AF22" s="12">
        <v>903</v>
      </c>
      <c r="AG22" s="12">
        <v>581</v>
      </c>
      <c r="AH22" s="12">
        <v>649</v>
      </c>
      <c r="AI22" s="12">
        <v>257</v>
      </c>
      <c r="AJ22" s="12">
        <v>642</v>
      </c>
      <c r="AK22" s="12">
        <v>711</v>
      </c>
      <c r="AL22" s="12">
        <v>624</v>
      </c>
      <c r="AM22" s="12">
        <v>607</v>
      </c>
      <c r="AN22" s="12">
        <v>605</v>
      </c>
      <c r="AO22" s="12">
        <v>743</v>
      </c>
      <c r="AP22" s="12">
        <v>388</v>
      </c>
      <c r="AQ22" s="12">
        <v>593</v>
      </c>
    </row>
    <row r="23" spans="1:43" x14ac:dyDescent="0.35">
      <c r="A23" s="19"/>
      <c r="B23" s="13" t="s">
        <v>769</v>
      </c>
      <c r="C23" s="15">
        <v>0.64</v>
      </c>
      <c r="D23" s="15">
        <v>0.55000000000000004</v>
      </c>
      <c r="E23" s="15">
        <v>0.66</v>
      </c>
      <c r="F23" s="15">
        <v>0.59</v>
      </c>
      <c r="G23" s="15">
        <v>0.72</v>
      </c>
      <c r="H23" s="15">
        <v>0.66</v>
      </c>
      <c r="I23" s="15">
        <v>0.64</v>
      </c>
      <c r="J23" s="15">
        <v>0.55000000000000004</v>
      </c>
      <c r="K23" s="15">
        <v>0.53</v>
      </c>
      <c r="L23" s="15">
        <v>0.8</v>
      </c>
      <c r="M23" s="15">
        <v>0.67</v>
      </c>
      <c r="N23" s="15">
        <v>0.62</v>
      </c>
      <c r="O23" s="15">
        <v>0.49</v>
      </c>
      <c r="P23" s="15">
        <v>0.68</v>
      </c>
      <c r="Q23" s="15">
        <v>0.62</v>
      </c>
      <c r="R23" s="15">
        <v>0.61</v>
      </c>
      <c r="S23" s="15">
        <v>0.63</v>
      </c>
      <c r="T23" s="15">
        <v>0.75</v>
      </c>
      <c r="U23" s="15">
        <v>0.57000000000000006</v>
      </c>
      <c r="V23" s="15">
        <v>0.73</v>
      </c>
      <c r="W23" s="15">
        <v>0.65</v>
      </c>
      <c r="X23" s="15">
        <v>0.56000000000000005</v>
      </c>
      <c r="Y23" s="15">
        <v>0.68</v>
      </c>
      <c r="Z23" s="15">
        <v>0.79</v>
      </c>
      <c r="AA23" s="15">
        <v>0.8</v>
      </c>
      <c r="AB23" s="15">
        <v>0.68</v>
      </c>
      <c r="AC23" s="15">
        <v>0.52</v>
      </c>
      <c r="AD23" s="15">
        <v>0.77</v>
      </c>
      <c r="AE23" s="15">
        <v>0.63</v>
      </c>
      <c r="AF23" s="15">
        <v>0.86</v>
      </c>
      <c r="AG23" s="15">
        <v>0.56000000000000005</v>
      </c>
      <c r="AH23" s="15">
        <v>0.64</v>
      </c>
      <c r="AI23" s="15">
        <v>0.49</v>
      </c>
      <c r="AJ23" s="15">
        <v>0.62</v>
      </c>
      <c r="AK23" s="15">
        <v>0.70000000000000007</v>
      </c>
      <c r="AL23" s="15">
        <v>0.61</v>
      </c>
      <c r="AM23" s="15">
        <v>0.59</v>
      </c>
      <c r="AN23" s="15">
        <v>0.61</v>
      </c>
      <c r="AO23" s="15">
        <v>0.74</v>
      </c>
      <c r="AP23" s="15">
        <v>0.74</v>
      </c>
      <c r="AQ23" s="15">
        <v>0.6</v>
      </c>
    </row>
    <row r="24" spans="1:43" x14ac:dyDescent="0.35">
      <c r="A24" s="19"/>
      <c r="B24" s="11" t="s">
        <v>770</v>
      </c>
      <c r="C24" s="12">
        <v>8831</v>
      </c>
      <c r="D24" s="12">
        <v>446</v>
      </c>
      <c r="E24" s="12">
        <v>290</v>
      </c>
      <c r="F24" s="12">
        <v>424</v>
      </c>
      <c r="G24" s="12">
        <v>261</v>
      </c>
      <c r="H24" s="12">
        <v>401</v>
      </c>
      <c r="I24" s="12">
        <v>530</v>
      </c>
      <c r="J24" s="12">
        <v>128</v>
      </c>
      <c r="K24" s="12">
        <v>407</v>
      </c>
      <c r="L24" s="12">
        <v>159</v>
      </c>
      <c r="M24" s="12">
        <v>300</v>
      </c>
      <c r="N24" s="12">
        <v>322</v>
      </c>
      <c r="O24" s="12">
        <v>458</v>
      </c>
      <c r="P24" s="12">
        <v>303</v>
      </c>
      <c r="Q24" s="12">
        <v>378</v>
      </c>
      <c r="R24" s="12">
        <v>175</v>
      </c>
      <c r="S24" s="12">
        <v>319</v>
      </c>
      <c r="T24" s="12">
        <v>192</v>
      </c>
      <c r="U24" s="12">
        <v>207</v>
      </c>
      <c r="V24" s="12">
        <v>269</v>
      </c>
      <c r="W24" s="12">
        <v>164</v>
      </c>
      <c r="X24" s="12">
        <v>424</v>
      </c>
      <c r="Y24" s="12">
        <v>282</v>
      </c>
      <c r="Z24" s="12">
        <v>197</v>
      </c>
      <c r="AA24" s="12">
        <v>160</v>
      </c>
      <c r="AB24" s="12">
        <v>292</v>
      </c>
      <c r="AC24" s="12">
        <v>462</v>
      </c>
      <c r="AD24" s="12">
        <v>213</v>
      </c>
      <c r="AE24" s="12">
        <v>335</v>
      </c>
      <c r="AF24" s="12">
        <v>131</v>
      </c>
      <c r="AG24" s="12">
        <v>443</v>
      </c>
      <c r="AH24" s="12">
        <v>347</v>
      </c>
      <c r="AI24" s="12">
        <v>225</v>
      </c>
      <c r="AJ24" s="12">
        <v>379</v>
      </c>
      <c r="AK24" s="12">
        <v>259</v>
      </c>
      <c r="AL24" s="12">
        <v>220</v>
      </c>
      <c r="AM24" s="12">
        <v>303</v>
      </c>
      <c r="AN24" s="12">
        <v>386</v>
      </c>
      <c r="AO24" s="12">
        <v>179</v>
      </c>
      <c r="AP24" s="12">
        <v>135</v>
      </c>
      <c r="AQ24" s="12">
        <v>256</v>
      </c>
    </row>
    <row r="25" spans="1:43" x14ac:dyDescent="0.35">
      <c r="A25" s="19"/>
      <c r="B25" s="13" t="s">
        <v>771</v>
      </c>
      <c r="C25" s="15">
        <v>0.33</v>
      </c>
      <c r="D25" s="15">
        <v>0.44</v>
      </c>
      <c r="E25" s="15">
        <v>0.28000000000000003</v>
      </c>
      <c r="F25" s="15">
        <v>0.39</v>
      </c>
      <c r="G25" s="15">
        <v>0.26</v>
      </c>
      <c r="H25" s="15">
        <v>0.33</v>
      </c>
      <c r="I25" s="15">
        <v>0.35</v>
      </c>
      <c r="J25" s="15">
        <v>0.44</v>
      </c>
      <c r="K25" s="15">
        <v>0.41</v>
      </c>
      <c r="L25" s="15">
        <v>0.16</v>
      </c>
      <c r="M25" s="15">
        <v>0.3</v>
      </c>
      <c r="N25" s="15">
        <v>0.32</v>
      </c>
      <c r="O25" s="15">
        <v>0.46</v>
      </c>
      <c r="P25" s="15">
        <v>0.31</v>
      </c>
      <c r="Q25" s="15">
        <v>0.37</v>
      </c>
      <c r="R25" s="15">
        <v>0.35</v>
      </c>
      <c r="S25" s="15">
        <v>0.32</v>
      </c>
      <c r="T25" s="15">
        <v>0.19</v>
      </c>
      <c r="U25" s="15">
        <v>0.41</v>
      </c>
      <c r="V25" s="15">
        <v>0.26</v>
      </c>
      <c r="W25" s="15">
        <v>0.33</v>
      </c>
      <c r="X25" s="15">
        <v>0.42</v>
      </c>
      <c r="Y25" s="15">
        <v>0.28000000000000003</v>
      </c>
      <c r="Z25" s="15">
        <v>0.19</v>
      </c>
      <c r="AA25" s="15">
        <v>0.15</v>
      </c>
      <c r="AB25" s="15">
        <v>0.28000000000000003</v>
      </c>
      <c r="AC25" s="15">
        <v>0.46</v>
      </c>
      <c r="AD25" s="15">
        <v>0.21</v>
      </c>
      <c r="AE25" s="15">
        <v>0.33</v>
      </c>
      <c r="AF25" s="15">
        <v>0.13</v>
      </c>
      <c r="AG25" s="15">
        <v>0.43</v>
      </c>
      <c r="AH25" s="15">
        <v>0.34</v>
      </c>
      <c r="AI25" s="15">
        <v>0.43</v>
      </c>
      <c r="AJ25" s="15">
        <v>0.37</v>
      </c>
      <c r="AK25" s="15">
        <v>0.26</v>
      </c>
      <c r="AL25" s="15">
        <v>0.22</v>
      </c>
      <c r="AM25" s="15">
        <v>0.28999999999999998</v>
      </c>
      <c r="AN25" s="15">
        <v>0.38</v>
      </c>
      <c r="AO25" s="15">
        <v>0.18</v>
      </c>
      <c r="AP25" s="15">
        <v>0.26</v>
      </c>
      <c r="AQ25" s="15">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1131</v>
      </c>
      <c r="C3" s="18"/>
      <c r="D3" s="18"/>
      <c r="E3" s="18"/>
      <c r="F3" s="18"/>
      <c r="H3" s="18" t="s">
        <v>1132</v>
      </c>
      <c r="I3" s="18"/>
      <c r="J3" s="18"/>
      <c r="K3" s="18"/>
      <c r="L3" s="18"/>
    </row>
    <row r="4" spans="1:43" ht="27" customHeight="1" x14ac:dyDescent="0.35">
      <c r="B4" s="18" t="s">
        <v>1133</v>
      </c>
      <c r="C4" s="18"/>
      <c r="D4" s="18"/>
      <c r="E4" s="18"/>
      <c r="F4" s="18"/>
      <c r="H4" s="18" t="s">
        <v>1134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HYPERLINK("#Content!A117","&lt;&lt;Back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2824</v>
      </c>
      <c r="D12" s="12">
        <v>46</v>
      </c>
      <c r="E12" s="12">
        <v>173</v>
      </c>
      <c r="F12" s="12">
        <v>134</v>
      </c>
      <c r="G12" s="12">
        <v>105</v>
      </c>
      <c r="H12" s="12">
        <v>92</v>
      </c>
      <c r="I12" s="12">
        <v>121</v>
      </c>
      <c r="J12" s="12">
        <v>30</v>
      </c>
      <c r="K12" s="12">
        <v>62</v>
      </c>
      <c r="L12" s="12">
        <v>225</v>
      </c>
      <c r="M12" s="12">
        <v>140</v>
      </c>
      <c r="N12" s="12">
        <v>107</v>
      </c>
      <c r="O12" s="12">
        <v>71</v>
      </c>
      <c r="P12" s="12">
        <v>157</v>
      </c>
      <c r="Q12" s="12">
        <v>115</v>
      </c>
      <c r="R12" s="12">
        <v>40</v>
      </c>
      <c r="S12" s="12">
        <v>97</v>
      </c>
      <c r="T12" s="12">
        <v>135</v>
      </c>
      <c r="U12" s="12">
        <v>40</v>
      </c>
      <c r="V12" s="12">
        <v>159</v>
      </c>
      <c r="W12" s="12">
        <v>33</v>
      </c>
      <c r="X12" s="12">
        <v>62</v>
      </c>
      <c r="Y12" s="12">
        <v>238</v>
      </c>
      <c r="Z12" s="12">
        <v>143</v>
      </c>
      <c r="AA12" s="12">
        <v>87</v>
      </c>
      <c r="AB12" s="12">
        <v>140</v>
      </c>
      <c r="AC12" s="12">
        <v>78</v>
      </c>
      <c r="AD12" s="12">
        <v>198</v>
      </c>
      <c r="AE12" s="12">
        <v>59</v>
      </c>
      <c r="AF12" s="12">
        <v>211</v>
      </c>
      <c r="AG12" s="12">
        <v>135</v>
      </c>
      <c r="AH12" s="12">
        <v>164</v>
      </c>
      <c r="AI12" s="12">
        <v>91</v>
      </c>
      <c r="AJ12" s="12">
        <v>165</v>
      </c>
      <c r="AK12" s="12">
        <v>82</v>
      </c>
      <c r="AL12" s="12">
        <v>236</v>
      </c>
      <c r="AM12" s="12">
        <v>77</v>
      </c>
      <c r="AN12" s="12">
        <v>184</v>
      </c>
      <c r="AO12" s="12">
        <v>387</v>
      </c>
      <c r="AP12" s="12">
        <v>193</v>
      </c>
      <c r="AQ12" s="12">
        <v>268</v>
      </c>
    </row>
    <row r="13" spans="1:43" x14ac:dyDescent="0.35">
      <c r="A13" s="19"/>
      <c r="B13" s="13" t="s">
        <v>761</v>
      </c>
      <c r="C13" s="15">
        <v>0.11</v>
      </c>
      <c r="D13" s="15">
        <v>0.04</v>
      </c>
      <c r="E13" s="15">
        <v>0.17</v>
      </c>
      <c r="F13" s="15">
        <v>0.12</v>
      </c>
      <c r="G13" s="15">
        <v>0.1</v>
      </c>
      <c r="H13" s="15">
        <v>7.0000000000000007E-2</v>
      </c>
      <c r="I13" s="15">
        <v>0.08</v>
      </c>
      <c r="J13" s="15">
        <v>0.1</v>
      </c>
      <c r="K13" s="15">
        <v>0.06</v>
      </c>
      <c r="L13" s="15">
        <v>0.22</v>
      </c>
      <c r="M13" s="15">
        <v>0.14000000000000001</v>
      </c>
      <c r="N13" s="15">
        <v>0.11</v>
      </c>
      <c r="O13" s="15">
        <v>7.0000000000000007E-2</v>
      </c>
      <c r="P13" s="15">
        <v>0.16</v>
      </c>
      <c r="Q13" s="15">
        <v>0.11</v>
      </c>
      <c r="R13" s="15">
        <v>0.08</v>
      </c>
      <c r="S13" s="15">
        <v>0.1</v>
      </c>
      <c r="T13" s="15">
        <v>0.13</v>
      </c>
      <c r="U13" s="15">
        <v>0.08</v>
      </c>
      <c r="V13" s="15">
        <v>0.16</v>
      </c>
      <c r="W13" s="15">
        <v>0.06</v>
      </c>
      <c r="X13" s="15">
        <v>0.06</v>
      </c>
      <c r="Y13" s="15">
        <v>0.24</v>
      </c>
      <c r="Z13" s="15">
        <v>0.14000000000000001</v>
      </c>
      <c r="AA13" s="15">
        <v>0.08</v>
      </c>
      <c r="AB13" s="15">
        <v>0.13</v>
      </c>
      <c r="AC13" s="15">
        <v>0.08</v>
      </c>
      <c r="AD13" s="15">
        <v>0.2</v>
      </c>
      <c r="AE13" s="15">
        <v>0.06</v>
      </c>
      <c r="AF13" s="15">
        <v>0.2</v>
      </c>
      <c r="AG13" s="15">
        <v>0.13</v>
      </c>
      <c r="AH13" s="15">
        <v>0.16</v>
      </c>
      <c r="AI13" s="15">
        <v>0.17</v>
      </c>
      <c r="AJ13" s="15">
        <v>0.16</v>
      </c>
      <c r="AK13" s="15">
        <v>0.08</v>
      </c>
      <c r="AL13" s="15">
        <v>0.23</v>
      </c>
      <c r="AM13" s="15">
        <v>7.0000000000000007E-2</v>
      </c>
      <c r="AN13" s="15">
        <v>0.18</v>
      </c>
      <c r="AO13" s="15">
        <v>0.39</v>
      </c>
      <c r="AP13" s="15">
        <v>0.37</v>
      </c>
      <c r="AQ13" s="15">
        <v>0.27</v>
      </c>
    </row>
    <row r="14" spans="1:43" x14ac:dyDescent="0.35">
      <c r="A14" s="19"/>
      <c r="B14" s="11" t="s">
        <v>762</v>
      </c>
      <c r="C14" s="12">
        <v>13647</v>
      </c>
      <c r="D14" s="12">
        <v>502</v>
      </c>
      <c r="E14" s="12">
        <v>506</v>
      </c>
      <c r="F14" s="12">
        <v>523</v>
      </c>
      <c r="G14" s="12">
        <v>609</v>
      </c>
      <c r="H14" s="12">
        <v>686</v>
      </c>
      <c r="I14" s="12">
        <v>816</v>
      </c>
      <c r="J14" s="12">
        <v>130</v>
      </c>
      <c r="K14" s="12">
        <v>455</v>
      </c>
      <c r="L14" s="12">
        <v>549</v>
      </c>
      <c r="M14" s="12">
        <v>533</v>
      </c>
      <c r="N14" s="12">
        <v>483</v>
      </c>
      <c r="O14" s="12">
        <v>411</v>
      </c>
      <c r="P14" s="12">
        <v>507</v>
      </c>
      <c r="Q14" s="12">
        <v>513</v>
      </c>
      <c r="R14" s="12">
        <v>222</v>
      </c>
      <c r="S14" s="12">
        <v>545</v>
      </c>
      <c r="T14" s="12">
        <v>578</v>
      </c>
      <c r="U14" s="12">
        <v>245</v>
      </c>
      <c r="V14" s="12">
        <v>578</v>
      </c>
      <c r="W14" s="12">
        <v>291</v>
      </c>
      <c r="X14" s="12">
        <v>506</v>
      </c>
      <c r="Y14" s="12">
        <v>427</v>
      </c>
      <c r="Z14" s="12">
        <v>632</v>
      </c>
      <c r="AA14" s="12">
        <v>708</v>
      </c>
      <c r="AB14" s="12">
        <v>592</v>
      </c>
      <c r="AC14" s="12">
        <v>438</v>
      </c>
      <c r="AD14" s="12">
        <v>559</v>
      </c>
      <c r="AE14" s="12">
        <v>608</v>
      </c>
      <c r="AF14" s="12">
        <v>704</v>
      </c>
      <c r="AG14" s="12">
        <v>414</v>
      </c>
      <c r="AH14" s="12">
        <v>510</v>
      </c>
      <c r="AI14" s="12">
        <v>153</v>
      </c>
      <c r="AJ14" s="12">
        <v>476</v>
      </c>
      <c r="AK14" s="12">
        <v>607</v>
      </c>
      <c r="AL14" s="12">
        <v>382</v>
      </c>
      <c r="AM14" s="12">
        <v>550</v>
      </c>
      <c r="AN14" s="12">
        <v>413</v>
      </c>
      <c r="AO14" s="12">
        <v>375</v>
      </c>
      <c r="AP14" s="12">
        <v>192</v>
      </c>
      <c r="AQ14" s="12">
        <v>397</v>
      </c>
    </row>
    <row r="15" spans="1:43" x14ac:dyDescent="0.35">
      <c r="A15" s="19"/>
      <c r="B15" s="13" t="s">
        <v>763</v>
      </c>
      <c r="C15" s="15">
        <v>0.52</v>
      </c>
      <c r="D15" s="15">
        <v>0.5</v>
      </c>
      <c r="E15" s="15">
        <v>0.49</v>
      </c>
      <c r="F15" s="15">
        <v>0.48</v>
      </c>
      <c r="G15" s="15">
        <v>0.61</v>
      </c>
      <c r="H15" s="15">
        <v>0.56000000000000005</v>
      </c>
      <c r="I15" s="15">
        <v>0.54</v>
      </c>
      <c r="J15" s="15">
        <v>0.44</v>
      </c>
      <c r="K15" s="15">
        <v>0.45</v>
      </c>
      <c r="L15" s="15">
        <v>0.55000000000000004</v>
      </c>
      <c r="M15" s="15">
        <v>0.53</v>
      </c>
      <c r="N15" s="15">
        <v>0.48</v>
      </c>
      <c r="O15" s="15">
        <v>0.41</v>
      </c>
      <c r="P15" s="15">
        <v>0.5</v>
      </c>
      <c r="Q15" s="15">
        <v>0.5</v>
      </c>
      <c r="R15" s="15">
        <v>0.44</v>
      </c>
      <c r="S15" s="15">
        <v>0.54</v>
      </c>
      <c r="T15" s="15">
        <v>0.57999999999999996</v>
      </c>
      <c r="U15" s="15">
        <v>0.49</v>
      </c>
      <c r="V15" s="15">
        <v>0.57000000000000006</v>
      </c>
      <c r="W15" s="15">
        <v>0.57000000000000006</v>
      </c>
      <c r="X15" s="15">
        <v>0.5</v>
      </c>
      <c r="Y15" s="15">
        <v>0.43</v>
      </c>
      <c r="Z15" s="15">
        <v>0.61</v>
      </c>
      <c r="AA15" s="15">
        <v>0.69000000000000006</v>
      </c>
      <c r="AB15" s="15">
        <v>0.56000000000000005</v>
      </c>
      <c r="AC15" s="15">
        <v>0.44</v>
      </c>
      <c r="AD15" s="15">
        <v>0.56000000000000005</v>
      </c>
      <c r="AE15" s="15">
        <v>0.6</v>
      </c>
      <c r="AF15" s="15">
        <v>0.67</v>
      </c>
      <c r="AG15" s="15">
        <v>0.4</v>
      </c>
      <c r="AH15" s="15">
        <v>0.51</v>
      </c>
      <c r="AI15" s="15">
        <v>0.28999999999999998</v>
      </c>
      <c r="AJ15" s="15">
        <v>0.46</v>
      </c>
      <c r="AK15" s="15">
        <v>0.6</v>
      </c>
      <c r="AL15" s="15">
        <v>0.38</v>
      </c>
      <c r="AM15" s="15">
        <v>0.53</v>
      </c>
      <c r="AN15" s="15">
        <v>0.41</v>
      </c>
      <c r="AO15" s="15">
        <v>0.37</v>
      </c>
      <c r="AP15" s="15">
        <v>0.37</v>
      </c>
      <c r="AQ15" s="15">
        <v>0.39</v>
      </c>
    </row>
    <row r="16" spans="1:43" x14ac:dyDescent="0.35">
      <c r="A16" s="19"/>
      <c r="B16" s="11" t="s">
        <v>764</v>
      </c>
      <c r="C16" s="12">
        <v>7515</v>
      </c>
      <c r="D16" s="12">
        <v>373</v>
      </c>
      <c r="E16" s="12">
        <v>220</v>
      </c>
      <c r="F16" s="12">
        <v>335</v>
      </c>
      <c r="G16" s="12">
        <v>239</v>
      </c>
      <c r="H16" s="12">
        <v>361</v>
      </c>
      <c r="I16" s="12">
        <v>473</v>
      </c>
      <c r="J16" s="12">
        <v>112</v>
      </c>
      <c r="K16" s="12">
        <v>329</v>
      </c>
      <c r="L16" s="12">
        <v>163</v>
      </c>
      <c r="M16" s="12">
        <v>223</v>
      </c>
      <c r="N16" s="12">
        <v>281</v>
      </c>
      <c r="O16" s="12">
        <v>384</v>
      </c>
      <c r="P16" s="12">
        <v>233</v>
      </c>
      <c r="Q16" s="12">
        <v>296</v>
      </c>
      <c r="R16" s="12">
        <v>170</v>
      </c>
      <c r="S16" s="12">
        <v>246</v>
      </c>
      <c r="T16" s="12">
        <v>203</v>
      </c>
      <c r="U16" s="12">
        <v>163</v>
      </c>
      <c r="V16" s="12">
        <v>213</v>
      </c>
      <c r="W16" s="12">
        <v>151</v>
      </c>
      <c r="X16" s="12">
        <v>357</v>
      </c>
      <c r="Y16" s="12">
        <v>210</v>
      </c>
      <c r="Z16" s="12">
        <v>219</v>
      </c>
      <c r="AA16" s="12">
        <v>156</v>
      </c>
      <c r="AB16" s="12">
        <v>215</v>
      </c>
      <c r="AC16" s="12">
        <v>385</v>
      </c>
      <c r="AD16" s="12">
        <v>193</v>
      </c>
      <c r="AE16" s="12">
        <v>278</v>
      </c>
      <c r="AF16" s="12">
        <v>112</v>
      </c>
      <c r="AG16" s="12">
        <v>329</v>
      </c>
      <c r="AH16" s="12">
        <v>233</v>
      </c>
      <c r="AI16" s="12">
        <v>98</v>
      </c>
      <c r="AJ16" s="12">
        <v>264</v>
      </c>
      <c r="AK16" s="12">
        <v>230</v>
      </c>
      <c r="AL16" s="12">
        <v>135</v>
      </c>
      <c r="AM16" s="12">
        <v>247</v>
      </c>
      <c r="AN16" s="12">
        <v>259</v>
      </c>
      <c r="AO16" s="12">
        <v>104</v>
      </c>
      <c r="AP16" s="12">
        <v>94</v>
      </c>
      <c r="AQ16" s="12">
        <v>120</v>
      </c>
    </row>
    <row r="17" spans="1:43" x14ac:dyDescent="0.35">
      <c r="A17" s="19"/>
      <c r="B17" s="13" t="s">
        <v>765</v>
      </c>
      <c r="C17" s="15">
        <v>0.28000000000000003</v>
      </c>
      <c r="D17" s="15">
        <v>0.37</v>
      </c>
      <c r="E17" s="15">
        <v>0.21</v>
      </c>
      <c r="F17" s="15">
        <v>0.3</v>
      </c>
      <c r="G17" s="15">
        <v>0.24</v>
      </c>
      <c r="H17" s="15">
        <v>0.3</v>
      </c>
      <c r="I17" s="15">
        <v>0.31</v>
      </c>
      <c r="J17" s="15">
        <v>0.38</v>
      </c>
      <c r="K17" s="15">
        <v>0.33</v>
      </c>
      <c r="L17" s="15">
        <v>0.16</v>
      </c>
      <c r="M17" s="15">
        <v>0.22</v>
      </c>
      <c r="N17" s="15">
        <v>0.28000000000000003</v>
      </c>
      <c r="O17" s="15">
        <v>0.38</v>
      </c>
      <c r="P17" s="15">
        <v>0.23</v>
      </c>
      <c r="Q17" s="15">
        <v>0.28999999999999998</v>
      </c>
      <c r="R17" s="15">
        <v>0.34</v>
      </c>
      <c r="S17" s="15">
        <v>0.25</v>
      </c>
      <c r="T17" s="15">
        <v>0.2</v>
      </c>
      <c r="U17" s="15">
        <v>0.32</v>
      </c>
      <c r="V17" s="15">
        <v>0.21</v>
      </c>
      <c r="W17" s="15">
        <v>0.3</v>
      </c>
      <c r="X17" s="15">
        <v>0.36</v>
      </c>
      <c r="Y17" s="15">
        <v>0.21</v>
      </c>
      <c r="Z17" s="15">
        <v>0.21</v>
      </c>
      <c r="AA17" s="15">
        <v>0.15</v>
      </c>
      <c r="AB17" s="15">
        <v>0.21</v>
      </c>
      <c r="AC17" s="15">
        <v>0.38</v>
      </c>
      <c r="AD17" s="15">
        <v>0.19</v>
      </c>
      <c r="AE17" s="15">
        <v>0.28000000000000003</v>
      </c>
      <c r="AF17" s="15">
        <v>0.11</v>
      </c>
      <c r="AG17" s="15">
        <v>0.32</v>
      </c>
      <c r="AH17" s="15">
        <v>0.23</v>
      </c>
      <c r="AI17" s="15">
        <v>0.19</v>
      </c>
      <c r="AJ17" s="15">
        <v>0.26</v>
      </c>
      <c r="AK17" s="15">
        <v>0.23</v>
      </c>
      <c r="AL17" s="15">
        <v>0.13</v>
      </c>
      <c r="AM17" s="15">
        <v>0.24</v>
      </c>
      <c r="AN17" s="15">
        <v>0.26</v>
      </c>
      <c r="AO17" s="15">
        <v>0.1</v>
      </c>
      <c r="AP17" s="15">
        <v>0.18</v>
      </c>
      <c r="AQ17" s="15">
        <v>0.12</v>
      </c>
    </row>
    <row r="18" spans="1:43" x14ac:dyDescent="0.35">
      <c r="A18" s="19"/>
      <c r="B18" s="11" t="s">
        <v>766</v>
      </c>
      <c r="C18" s="12">
        <v>1669</v>
      </c>
      <c r="D18" s="12">
        <v>79</v>
      </c>
      <c r="E18" s="12">
        <v>68</v>
      </c>
      <c r="F18" s="12">
        <v>84</v>
      </c>
      <c r="G18" s="12">
        <v>28</v>
      </c>
      <c r="H18" s="12">
        <v>56</v>
      </c>
      <c r="I18" s="12">
        <v>74</v>
      </c>
      <c r="J18" s="12">
        <v>18</v>
      </c>
      <c r="K18" s="12">
        <v>97</v>
      </c>
      <c r="L18" s="12">
        <v>29</v>
      </c>
      <c r="M18" s="12">
        <v>86</v>
      </c>
      <c r="N18" s="12">
        <v>65</v>
      </c>
      <c r="O18" s="12">
        <v>90</v>
      </c>
      <c r="P18" s="12">
        <v>95</v>
      </c>
      <c r="Q18" s="12">
        <v>94</v>
      </c>
      <c r="R18" s="12">
        <v>48</v>
      </c>
      <c r="S18" s="12">
        <v>54</v>
      </c>
      <c r="T18" s="12">
        <v>19</v>
      </c>
      <c r="U18" s="12">
        <v>47</v>
      </c>
      <c r="V18" s="12">
        <v>52</v>
      </c>
      <c r="W18" s="12">
        <v>19</v>
      </c>
      <c r="X18" s="12">
        <v>71</v>
      </c>
      <c r="Y18" s="12">
        <v>82</v>
      </c>
      <c r="Z18" s="12">
        <v>22</v>
      </c>
      <c r="AA18" s="12">
        <v>32</v>
      </c>
      <c r="AB18" s="12">
        <v>64</v>
      </c>
      <c r="AC18" s="12">
        <v>82</v>
      </c>
      <c r="AD18" s="12">
        <v>33</v>
      </c>
      <c r="AE18" s="12">
        <v>31</v>
      </c>
      <c r="AF18" s="12">
        <v>8</v>
      </c>
      <c r="AG18" s="12">
        <v>146</v>
      </c>
      <c r="AH18" s="12">
        <v>94</v>
      </c>
      <c r="AI18" s="12">
        <v>137</v>
      </c>
      <c r="AJ18" s="12">
        <v>119</v>
      </c>
      <c r="AK18" s="12">
        <v>55</v>
      </c>
      <c r="AL18" s="12">
        <v>80</v>
      </c>
      <c r="AM18" s="12">
        <v>39</v>
      </c>
      <c r="AN18" s="12">
        <v>122</v>
      </c>
      <c r="AO18" s="12">
        <v>57</v>
      </c>
      <c r="AP18" s="12">
        <v>43</v>
      </c>
      <c r="AQ18" s="12">
        <v>77</v>
      </c>
    </row>
    <row r="19" spans="1:43" x14ac:dyDescent="0.35">
      <c r="A19" s="19"/>
      <c r="B19" s="13" t="s">
        <v>767</v>
      </c>
      <c r="C19" s="15">
        <v>0.06</v>
      </c>
      <c r="D19" s="15">
        <v>0.08</v>
      </c>
      <c r="E19" s="15">
        <v>7.0000000000000007E-2</v>
      </c>
      <c r="F19" s="15">
        <v>0.08</v>
      </c>
      <c r="G19" s="15">
        <v>0.03</v>
      </c>
      <c r="H19" s="15">
        <v>0.05</v>
      </c>
      <c r="I19" s="15">
        <v>0.05</v>
      </c>
      <c r="J19" s="15">
        <v>0.06</v>
      </c>
      <c r="K19" s="15">
        <v>0.1</v>
      </c>
      <c r="L19" s="15">
        <v>0.03</v>
      </c>
      <c r="M19" s="15">
        <v>0.08</v>
      </c>
      <c r="N19" s="15">
        <v>0.06</v>
      </c>
      <c r="O19" s="15">
        <v>0.09</v>
      </c>
      <c r="P19" s="15">
        <v>0.1</v>
      </c>
      <c r="Q19" s="15">
        <v>0.09</v>
      </c>
      <c r="R19" s="15">
        <v>0.09</v>
      </c>
      <c r="S19" s="15">
        <v>0.05</v>
      </c>
      <c r="T19" s="15">
        <v>0.02</v>
      </c>
      <c r="U19" s="15">
        <v>0.09</v>
      </c>
      <c r="V19" s="15">
        <v>0.05</v>
      </c>
      <c r="W19" s="15">
        <v>0.04</v>
      </c>
      <c r="X19" s="15">
        <v>7.0000000000000007E-2</v>
      </c>
      <c r="Y19" s="15">
        <v>0.08</v>
      </c>
      <c r="Z19" s="15">
        <v>0.02</v>
      </c>
      <c r="AA19" s="15">
        <v>0.03</v>
      </c>
      <c r="AB19" s="15">
        <v>0.06</v>
      </c>
      <c r="AC19" s="15">
        <v>0.08</v>
      </c>
      <c r="AD19" s="15">
        <v>0.03</v>
      </c>
      <c r="AE19" s="15">
        <v>0.03</v>
      </c>
      <c r="AF19" s="15">
        <v>0.01</v>
      </c>
      <c r="AG19" s="15">
        <v>0.14000000000000001</v>
      </c>
      <c r="AH19" s="15">
        <v>0.09</v>
      </c>
      <c r="AI19" s="15">
        <v>0.26</v>
      </c>
      <c r="AJ19" s="15">
        <v>0.11</v>
      </c>
      <c r="AK19" s="15">
        <v>0.06</v>
      </c>
      <c r="AL19" s="15">
        <v>0.08</v>
      </c>
      <c r="AM19" s="15">
        <v>0.04</v>
      </c>
      <c r="AN19" s="15">
        <v>0.12</v>
      </c>
      <c r="AO19" s="15">
        <v>0.06</v>
      </c>
      <c r="AP19" s="15">
        <v>0.08</v>
      </c>
      <c r="AQ19" s="15">
        <v>0.08</v>
      </c>
    </row>
    <row r="20" spans="1:43" x14ac:dyDescent="0.35">
      <c r="A20" s="19"/>
      <c r="B20" s="11" t="s">
        <v>485</v>
      </c>
      <c r="C20" s="12">
        <v>791</v>
      </c>
      <c r="D20" s="12">
        <v>13</v>
      </c>
      <c r="E20" s="12">
        <v>64</v>
      </c>
      <c r="F20" s="12">
        <v>26</v>
      </c>
      <c r="G20" s="12">
        <v>25</v>
      </c>
      <c r="H20" s="12">
        <v>26</v>
      </c>
      <c r="I20" s="12">
        <v>31</v>
      </c>
      <c r="J20" s="12">
        <v>5</v>
      </c>
      <c r="K20" s="12">
        <v>59</v>
      </c>
      <c r="L20" s="12">
        <v>37</v>
      </c>
      <c r="M20" s="12">
        <v>27</v>
      </c>
      <c r="N20" s="12">
        <v>67</v>
      </c>
      <c r="O20" s="12">
        <v>44</v>
      </c>
      <c r="P20" s="12">
        <v>12</v>
      </c>
      <c r="Q20" s="12">
        <v>9</v>
      </c>
      <c r="R20" s="12">
        <v>24</v>
      </c>
      <c r="S20" s="12">
        <v>61</v>
      </c>
      <c r="T20" s="12">
        <v>71</v>
      </c>
      <c r="U20" s="12">
        <v>8</v>
      </c>
      <c r="V20" s="12">
        <v>13</v>
      </c>
      <c r="W20" s="12">
        <v>14</v>
      </c>
      <c r="X20" s="12">
        <v>13</v>
      </c>
      <c r="Y20" s="12">
        <v>45</v>
      </c>
      <c r="Z20" s="12">
        <v>16</v>
      </c>
      <c r="AA20" s="12">
        <v>50</v>
      </c>
      <c r="AB20" s="12">
        <v>39</v>
      </c>
      <c r="AC20" s="12">
        <v>19</v>
      </c>
      <c r="AD20" s="12">
        <v>21</v>
      </c>
      <c r="AE20" s="12">
        <v>35</v>
      </c>
      <c r="AF20" s="12">
        <v>9</v>
      </c>
      <c r="AG20" s="12">
        <v>11</v>
      </c>
      <c r="AH20" s="12">
        <v>12</v>
      </c>
      <c r="AI20" s="12">
        <v>43</v>
      </c>
      <c r="AJ20" s="12">
        <v>13</v>
      </c>
      <c r="AK20" s="12">
        <v>33</v>
      </c>
      <c r="AL20" s="12">
        <v>179</v>
      </c>
      <c r="AM20" s="12">
        <v>127</v>
      </c>
      <c r="AN20" s="12">
        <v>25</v>
      </c>
      <c r="AO20" s="12">
        <v>82</v>
      </c>
      <c r="AP20" s="12">
        <v>2</v>
      </c>
      <c r="AQ20" s="12">
        <v>140</v>
      </c>
    </row>
    <row r="21" spans="1:43" x14ac:dyDescent="0.35">
      <c r="A21" s="19"/>
      <c r="B21" s="13" t="s">
        <v>486</v>
      </c>
      <c r="C21" s="15">
        <v>0.03</v>
      </c>
      <c r="D21" s="15">
        <v>0.01</v>
      </c>
      <c r="E21" s="15">
        <v>0.06</v>
      </c>
      <c r="F21" s="15">
        <v>0.02</v>
      </c>
      <c r="G21" s="15">
        <v>0.02</v>
      </c>
      <c r="H21" s="15">
        <v>0.02</v>
      </c>
      <c r="I21" s="15">
        <v>0.02</v>
      </c>
      <c r="J21" s="15">
        <v>0.02</v>
      </c>
      <c r="K21" s="15">
        <v>0.06</v>
      </c>
      <c r="L21" s="15">
        <v>0.04</v>
      </c>
      <c r="M21" s="15">
        <v>0.03</v>
      </c>
      <c r="N21" s="15">
        <v>7.0000000000000007E-2</v>
      </c>
      <c r="O21" s="15">
        <v>0.05</v>
      </c>
      <c r="P21" s="15">
        <v>0.01</v>
      </c>
      <c r="Q21" s="15">
        <v>0.01</v>
      </c>
      <c r="R21" s="15">
        <v>0.05</v>
      </c>
      <c r="S21" s="15">
        <v>0.06</v>
      </c>
      <c r="T21" s="15">
        <v>7.0000000000000007E-2</v>
      </c>
      <c r="U21" s="15">
        <v>0.02</v>
      </c>
      <c r="V21" s="15">
        <v>0.01</v>
      </c>
      <c r="W21" s="15">
        <v>0.03</v>
      </c>
      <c r="X21" s="15">
        <v>0.01</v>
      </c>
      <c r="Y21" s="15">
        <v>0.04</v>
      </c>
      <c r="Z21" s="15">
        <v>0.02</v>
      </c>
      <c r="AA21" s="15">
        <v>0.05</v>
      </c>
      <c r="AB21" s="15">
        <v>0.04</v>
      </c>
      <c r="AC21" s="15">
        <v>0.02</v>
      </c>
      <c r="AD21" s="15">
        <v>0.02</v>
      </c>
      <c r="AE21" s="15">
        <v>0.03</v>
      </c>
      <c r="AF21" s="15">
        <v>0.01</v>
      </c>
      <c r="AG21" s="15">
        <v>0.01</v>
      </c>
      <c r="AH21" s="15">
        <v>0.01</v>
      </c>
      <c r="AI21" s="15">
        <v>0.09</v>
      </c>
      <c r="AJ21" s="15">
        <v>0.01</v>
      </c>
      <c r="AK21" s="15">
        <v>0.03</v>
      </c>
      <c r="AL21" s="15">
        <v>0.18</v>
      </c>
      <c r="AM21" s="15">
        <v>0.12</v>
      </c>
      <c r="AN21" s="15">
        <v>0.03</v>
      </c>
      <c r="AO21" s="15">
        <v>0.08</v>
      </c>
      <c r="AP21" s="14" t="s">
        <v>475</v>
      </c>
      <c r="AQ21" s="15">
        <v>0.14000000000000001</v>
      </c>
    </row>
    <row r="22" spans="1:43" x14ac:dyDescent="0.35">
      <c r="A22" s="19"/>
      <c r="B22" s="11" t="s">
        <v>768</v>
      </c>
      <c r="C22" s="12">
        <v>16471</v>
      </c>
      <c r="D22" s="12">
        <v>548</v>
      </c>
      <c r="E22" s="12">
        <v>679</v>
      </c>
      <c r="F22" s="12">
        <v>657</v>
      </c>
      <c r="G22" s="12">
        <v>714</v>
      </c>
      <c r="H22" s="12">
        <v>778</v>
      </c>
      <c r="I22" s="12">
        <v>937</v>
      </c>
      <c r="J22" s="12">
        <v>160</v>
      </c>
      <c r="K22" s="12">
        <v>517</v>
      </c>
      <c r="L22" s="12">
        <v>774</v>
      </c>
      <c r="M22" s="12">
        <v>673</v>
      </c>
      <c r="N22" s="12">
        <v>590</v>
      </c>
      <c r="O22" s="12">
        <v>482</v>
      </c>
      <c r="P22" s="12">
        <v>664</v>
      </c>
      <c r="Q22" s="12">
        <v>628</v>
      </c>
      <c r="R22" s="12">
        <v>262</v>
      </c>
      <c r="S22" s="12">
        <v>642</v>
      </c>
      <c r="T22" s="12">
        <v>713</v>
      </c>
      <c r="U22" s="12">
        <v>285</v>
      </c>
      <c r="V22" s="12">
        <v>737</v>
      </c>
      <c r="W22" s="12">
        <v>324</v>
      </c>
      <c r="X22" s="12">
        <v>568</v>
      </c>
      <c r="Y22" s="12">
        <v>665</v>
      </c>
      <c r="Z22" s="12">
        <v>775</v>
      </c>
      <c r="AA22" s="12">
        <v>795</v>
      </c>
      <c r="AB22" s="12">
        <v>732</v>
      </c>
      <c r="AC22" s="12">
        <v>516</v>
      </c>
      <c r="AD22" s="12">
        <v>757</v>
      </c>
      <c r="AE22" s="12">
        <v>667</v>
      </c>
      <c r="AF22" s="12">
        <v>915</v>
      </c>
      <c r="AG22" s="12">
        <v>549</v>
      </c>
      <c r="AH22" s="12">
        <v>674</v>
      </c>
      <c r="AI22" s="12">
        <v>244</v>
      </c>
      <c r="AJ22" s="12">
        <v>641</v>
      </c>
      <c r="AK22" s="12">
        <v>689</v>
      </c>
      <c r="AL22" s="12">
        <v>618</v>
      </c>
      <c r="AM22" s="12">
        <v>627</v>
      </c>
      <c r="AN22" s="12">
        <v>597</v>
      </c>
      <c r="AO22" s="12">
        <v>762</v>
      </c>
      <c r="AP22" s="12">
        <v>385</v>
      </c>
      <c r="AQ22" s="12">
        <v>665</v>
      </c>
    </row>
    <row r="23" spans="1:43" x14ac:dyDescent="0.35">
      <c r="A23" s="19"/>
      <c r="B23" s="13" t="s">
        <v>769</v>
      </c>
      <c r="C23" s="15">
        <v>0.63</v>
      </c>
      <c r="D23" s="15">
        <v>0.54</v>
      </c>
      <c r="E23" s="15">
        <v>0.66</v>
      </c>
      <c r="F23" s="15">
        <v>0.6</v>
      </c>
      <c r="G23" s="15">
        <v>0.71</v>
      </c>
      <c r="H23" s="15">
        <v>0.63</v>
      </c>
      <c r="I23" s="15">
        <v>0.62</v>
      </c>
      <c r="J23" s="15">
        <v>0.54</v>
      </c>
      <c r="K23" s="15">
        <v>0.51</v>
      </c>
      <c r="L23" s="15">
        <v>0.77</v>
      </c>
      <c r="M23" s="15">
        <v>0.67</v>
      </c>
      <c r="N23" s="15">
        <v>0.59</v>
      </c>
      <c r="O23" s="15">
        <v>0.48</v>
      </c>
      <c r="P23" s="15">
        <v>0.66</v>
      </c>
      <c r="Q23" s="15">
        <v>0.61</v>
      </c>
      <c r="R23" s="15">
        <v>0.52</v>
      </c>
      <c r="S23" s="15">
        <v>0.64</v>
      </c>
      <c r="T23" s="15">
        <v>0.71</v>
      </c>
      <c r="U23" s="15">
        <v>0.57000000000000006</v>
      </c>
      <c r="V23" s="15">
        <v>0.73</v>
      </c>
      <c r="W23" s="15">
        <v>0.63</v>
      </c>
      <c r="X23" s="15">
        <v>0.56000000000000005</v>
      </c>
      <c r="Y23" s="15">
        <v>0.67</v>
      </c>
      <c r="Z23" s="15">
        <v>0.75</v>
      </c>
      <c r="AA23" s="15">
        <v>0.77</v>
      </c>
      <c r="AB23" s="15">
        <v>0.69000000000000006</v>
      </c>
      <c r="AC23" s="15">
        <v>0.52</v>
      </c>
      <c r="AD23" s="15">
        <v>0.76</v>
      </c>
      <c r="AE23" s="15">
        <v>0.66</v>
      </c>
      <c r="AF23" s="15">
        <v>0.87</v>
      </c>
      <c r="AG23" s="15">
        <v>0.53</v>
      </c>
      <c r="AH23" s="15">
        <v>0.67</v>
      </c>
      <c r="AI23" s="15">
        <v>0.46</v>
      </c>
      <c r="AJ23" s="15">
        <v>0.62</v>
      </c>
      <c r="AK23" s="15">
        <v>0.68</v>
      </c>
      <c r="AL23" s="15">
        <v>0.61</v>
      </c>
      <c r="AM23" s="15">
        <v>0.6</v>
      </c>
      <c r="AN23" s="15">
        <v>0.59</v>
      </c>
      <c r="AO23" s="15">
        <v>0.76</v>
      </c>
      <c r="AP23" s="15">
        <v>0.74</v>
      </c>
      <c r="AQ23" s="15">
        <v>0.66</v>
      </c>
    </row>
    <row r="24" spans="1:43" x14ac:dyDescent="0.35">
      <c r="A24" s="19"/>
      <c r="B24" s="11" t="s">
        <v>770</v>
      </c>
      <c r="C24" s="12">
        <v>9184</v>
      </c>
      <c r="D24" s="12">
        <v>452</v>
      </c>
      <c r="E24" s="12">
        <v>288</v>
      </c>
      <c r="F24" s="12">
        <v>419</v>
      </c>
      <c r="G24" s="12">
        <v>267</v>
      </c>
      <c r="H24" s="12">
        <v>417</v>
      </c>
      <c r="I24" s="12">
        <v>547</v>
      </c>
      <c r="J24" s="12">
        <v>130</v>
      </c>
      <c r="K24" s="12">
        <v>426</v>
      </c>
      <c r="L24" s="12">
        <v>192</v>
      </c>
      <c r="M24" s="12">
        <v>309</v>
      </c>
      <c r="N24" s="12">
        <v>346</v>
      </c>
      <c r="O24" s="12">
        <v>474</v>
      </c>
      <c r="P24" s="12">
        <v>328</v>
      </c>
      <c r="Q24" s="12">
        <v>390</v>
      </c>
      <c r="R24" s="12">
        <v>218</v>
      </c>
      <c r="S24" s="12">
        <v>300</v>
      </c>
      <c r="T24" s="12">
        <v>222</v>
      </c>
      <c r="U24" s="12">
        <v>210</v>
      </c>
      <c r="V24" s="12">
        <v>265</v>
      </c>
      <c r="W24" s="12">
        <v>170</v>
      </c>
      <c r="X24" s="12">
        <v>428</v>
      </c>
      <c r="Y24" s="12">
        <v>292</v>
      </c>
      <c r="Z24" s="12">
        <v>241</v>
      </c>
      <c r="AA24" s="12">
        <v>188</v>
      </c>
      <c r="AB24" s="12">
        <v>279</v>
      </c>
      <c r="AC24" s="12">
        <v>467</v>
      </c>
      <c r="AD24" s="12">
        <v>226</v>
      </c>
      <c r="AE24" s="12">
        <v>309</v>
      </c>
      <c r="AF24" s="12">
        <v>120</v>
      </c>
      <c r="AG24" s="12">
        <v>475</v>
      </c>
      <c r="AH24" s="12">
        <v>327</v>
      </c>
      <c r="AI24" s="12">
        <v>235</v>
      </c>
      <c r="AJ24" s="12">
        <v>383</v>
      </c>
      <c r="AK24" s="12">
        <v>285</v>
      </c>
      <c r="AL24" s="12">
        <v>215</v>
      </c>
      <c r="AM24" s="12">
        <v>286</v>
      </c>
      <c r="AN24" s="12">
        <v>381</v>
      </c>
      <c r="AO24" s="12">
        <v>161</v>
      </c>
      <c r="AP24" s="12">
        <v>137</v>
      </c>
      <c r="AQ24" s="12">
        <v>197</v>
      </c>
    </row>
    <row r="25" spans="1:43" x14ac:dyDescent="0.35">
      <c r="A25" s="19"/>
      <c r="B25" s="13" t="s">
        <v>771</v>
      </c>
      <c r="C25" s="15">
        <v>0.34</v>
      </c>
      <c r="D25" s="15">
        <v>0.45</v>
      </c>
      <c r="E25" s="15">
        <v>0.28000000000000003</v>
      </c>
      <c r="F25" s="15">
        <v>0.38</v>
      </c>
      <c r="G25" s="15">
        <v>0.27</v>
      </c>
      <c r="H25" s="15">
        <v>0.35</v>
      </c>
      <c r="I25" s="15">
        <v>0.36</v>
      </c>
      <c r="J25" s="15">
        <v>0.44</v>
      </c>
      <c r="K25" s="15">
        <v>0.43</v>
      </c>
      <c r="L25" s="15">
        <v>0.19</v>
      </c>
      <c r="M25" s="15">
        <v>0.3</v>
      </c>
      <c r="N25" s="15">
        <v>0.34</v>
      </c>
      <c r="O25" s="15">
        <v>0.47</v>
      </c>
      <c r="P25" s="15">
        <v>0.33</v>
      </c>
      <c r="Q25" s="15">
        <v>0.38</v>
      </c>
      <c r="R25" s="15">
        <v>0.43</v>
      </c>
      <c r="S25" s="15">
        <v>0.3</v>
      </c>
      <c r="T25" s="15">
        <v>0.22</v>
      </c>
      <c r="U25" s="15">
        <v>0.41</v>
      </c>
      <c r="V25" s="15">
        <v>0.26</v>
      </c>
      <c r="W25" s="15">
        <v>0.34</v>
      </c>
      <c r="X25" s="15">
        <v>0.43</v>
      </c>
      <c r="Y25" s="15">
        <v>0.28999999999999998</v>
      </c>
      <c r="Z25" s="15">
        <v>0.23</v>
      </c>
      <c r="AA25" s="15">
        <v>0.18</v>
      </c>
      <c r="AB25" s="15">
        <v>0.27</v>
      </c>
      <c r="AC25" s="15">
        <v>0.46</v>
      </c>
      <c r="AD25" s="15">
        <v>0.22</v>
      </c>
      <c r="AE25" s="15">
        <v>0.31</v>
      </c>
      <c r="AF25" s="15">
        <v>0.12</v>
      </c>
      <c r="AG25" s="15">
        <v>0.46</v>
      </c>
      <c r="AH25" s="15">
        <v>0.32</v>
      </c>
      <c r="AI25" s="15">
        <v>0.45</v>
      </c>
      <c r="AJ25" s="15">
        <v>0.37</v>
      </c>
      <c r="AK25" s="15">
        <v>0.28999999999999998</v>
      </c>
      <c r="AL25" s="15">
        <v>0.21</v>
      </c>
      <c r="AM25" s="15">
        <v>0.28000000000000003</v>
      </c>
      <c r="AN25" s="15">
        <v>0.38</v>
      </c>
      <c r="AO25" s="15">
        <v>0.16</v>
      </c>
      <c r="AP25" s="15">
        <v>0.26</v>
      </c>
      <c r="AQ25" s="15">
        <v>0.2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1135</v>
      </c>
      <c r="C3" s="18"/>
      <c r="D3" s="18"/>
      <c r="E3" s="18"/>
      <c r="F3" s="18"/>
      <c r="H3" s="18" t="s">
        <v>1136</v>
      </c>
      <c r="I3" s="18"/>
      <c r="J3" s="18"/>
      <c r="K3" s="18"/>
      <c r="L3" s="18"/>
    </row>
    <row r="4" spans="1:43" ht="27" customHeight="1" x14ac:dyDescent="0.35">
      <c r="B4" s="18" t="s">
        <v>1137</v>
      </c>
      <c r="C4" s="18"/>
      <c r="D4" s="18"/>
      <c r="E4" s="18"/>
      <c r="F4" s="18"/>
      <c r="H4" s="18" t="s">
        <v>1138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HYPERLINK("#Content!A118","&lt;&lt;Back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1139</v>
      </c>
      <c r="C12" s="12">
        <v>11611</v>
      </c>
      <c r="D12" s="12">
        <v>448</v>
      </c>
      <c r="E12" s="12">
        <v>509</v>
      </c>
      <c r="F12" s="12">
        <v>521</v>
      </c>
      <c r="G12" s="12">
        <v>544</v>
      </c>
      <c r="H12" s="12">
        <v>449</v>
      </c>
      <c r="I12" s="12">
        <v>563</v>
      </c>
      <c r="J12" s="12">
        <v>114</v>
      </c>
      <c r="K12" s="12">
        <v>388</v>
      </c>
      <c r="L12" s="12">
        <v>402</v>
      </c>
      <c r="M12" s="12">
        <v>568</v>
      </c>
      <c r="N12" s="12">
        <v>349</v>
      </c>
      <c r="O12" s="12">
        <v>331</v>
      </c>
      <c r="P12" s="12">
        <v>422</v>
      </c>
      <c r="Q12" s="12">
        <v>572</v>
      </c>
      <c r="R12" s="12">
        <v>291</v>
      </c>
      <c r="S12" s="12">
        <v>375</v>
      </c>
      <c r="T12" s="12">
        <v>526</v>
      </c>
      <c r="U12" s="12">
        <v>225</v>
      </c>
      <c r="V12" s="12">
        <v>466</v>
      </c>
      <c r="W12" s="12">
        <v>265</v>
      </c>
      <c r="X12" s="12">
        <v>436</v>
      </c>
      <c r="Y12" s="12">
        <v>414</v>
      </c>
      <c r="Z12" s="12">
        <v>597</v>
      </c>
      <c r="AA12" s="12">
        <v>406</v>
      </c>
      <c r="AB12" s="12">
        <v>582</v>
      </c>
      <c r="AC12" s="12">
        <v>406</v>
      </c>
      <c r="AD12" s="12">
        <v>471</v>
      </c>
      <c r="AE12" s="12">
        <v>422</v>
      </c>
      <c r="AF12" s="12">
        <v>570</v>
      </c>
      <c r="AG12" s="12">
        <v>427</v>
      </c>
      <c r="AH12" s="12">
        <v>445</v>
      </c>
      <c r="AI12" s="12">
        <v>132</v>
      </c>
      <c r="AJ12" s="12">
        <v>583</v>
      </c>
      <c r="AK12" s="12">
        <v>301</v>
      </c>
      <c r="AL12" s="12">
        <v>317</v>
      </c>
      <c r="AM12" s="12">
        <v>379</v>
      </c>
      <c r="AN12" s="12">
        <v>484</v>
      </c>
      <c r="AO12" s="12">
        <v>523</v>
      </c>
      <c r="AP12" s="12">
        <v>358</v>
      </c>
      <c r="AQ12" s="12">
        <v>268</v>
      </c>
    </row>
    <row r="13" spans="1:43" x14ac:dyDescent="0.35">
      <c r="A13" s="19"/>
      <c r="B13" s="13" t="s">
        <v>1140</v>
      </c>
      <c r="C13" s="15">
        <v>0.44</v>
      </c>
      <c r="D13" s="15">
        <v>0.44</v>
      </c>
      <c r="E13" s="15">
        <v>0.49</v>
      </c>
      <c r="F13" s="15">
        <v>0.47</v>
      </c>
      <c r="G13" s="15">
        <v>0.54</v>
      </c>
      <c r="H13" s="15">
        <v>0.37</v>
      </c>
      <c r="I13" s="15">
        <v>0.37</v>
      </c>
      <c r="J13" s="15">
        <v>0.39</v>
      </c>
      <c r="K13" s="15">
        <v>0.39</v>
      </c>
      <c r="L13" s="15">
        <v>0.4</v>
      </c>
      <c r="M13" s="15">
        <v>0.56000000000000005</v>
      </c>
      <c r="N13" s="15">
        <v>0.35</v>
      </c>
      <c r="O13" s="15">
        <v>0.33</v>
      </c>
      <c r="P13" s="15">
        <v>0.42</v>
      </c>
      <c r="Q13" s="15">
        <v>0.56000000000000005</v>
      </c>
      <c r="R13" s="15">
        <v>0.57999999999999996</v>
      </c>
      <c r="S13" s="15">
        <v>0.37</v>
      </c>
      <c r="T13" s="15">
        <v>0.52</v>
      </c>
      <c r="U13" s="15">
        <v>0.45</v>
      </c>
      <c r="V13" s="15">
        <v>0.46</v>
      </c>
      <c r="W13" s="15">
        <v>0.52</v>
      </c>
      <c r="X13" s="15">
        <v>0.43</v>
      </c>
      <c r="Y13" s="15">
        <v>0.41</v>
      </c>
      <c r="Z13" s="15">
        <v>0.57999999999999996</v>
      </c>
      <c r="AA13" s="15">
        <v>0.39</v>
      </c>
      <c r="AB13" s="15">
        <v>0.55000000000000004</v>
      </c>
      <c r="AC13" s="15">
        <v>0.41</v>
      </c>
      <c r="AD13" s="15">
        <v>0.47</v>
      </c>
      <c r="AE13" s="15">
        <v>0.42</v>
      </c>
      <c r="AF13" s="15">
        <v>0.54</v>
      </c>
      <c r="AG13" s="15">
        <v>0.41</v>
      </c>
      <c r="AH13" s="15">
        <v>0.44</v>
      </c>
      <c r="AI13" s="15">
        <v>0.25</v>
      </c>
      <c r="AJ13" s="15">
        <v>0.56000000000000005</v>
      </c>
      <c r="AK13" s="15">
        <v>0.3</v>
      </c>
      <c r="AL13" s="15">
        <v>0.31</v>
      </c>
      <c r="AM13" s="15">
        <v>0.37</v>
      </c>
      <c r="AN13" s="15">
        <v>0.48</v>
      </c>
      <c r="AO13" s="15">
        <v>0.52</v>
      </c>
      <c r="AP13" s="15">
        <v>0.69000000000000006</v>
      </c>
      <c r="AQ13" s="15">
        <v>0.27</v>
      </c>
    </row>
    <row r="14" spans="1:43" x14ac:dyDescent="0.35">
      <c r="A14" s="19"/>
      <c r="B14" s="11" t="s">
        <v>1141</v>
      </c>
      <c r="C14" s="12">
        <v>11303</v>
      </c>
      <c r="D14" s="12">
        <v>494</v>
      </c>
      <c r="E14" s="12">
        <v>267</v>
      </c>
      <c r="F14" s="12">
        <v>467</v>
      </c>
      <c r="G14" s="12">
        <v>255</v>
      </c>
      <c r="H14" s="12">
        <v>610</v>
      </c>
      <c r="I14" s="12">
        <v>772</v>
      </c>
      <c r="J14" s="12">
        <v>162</v>
      </c>
      <c r="K14" s="12">
        <v>461</v>
      </c>
      <c r="L14" s="12">
        <v>497</v>
      </c>
      <c r="M14" s="12">
        <v>277</v>
      </c>
      <c r="N14" s="12">
        <v>457</v>
      </c>
      <c r="O14" s="12">
        <v>492</v>
      </c>
      <c r="P14" s="12">
        <v>495</v>
      </c>
      <c r="Q14" s="12">
        <v>376</v>
      </c>
      <c r="R14" s="12">
        <v>85</v>
      </c>
      <c r="S14" s="12">
        <v>297</v>
      </c>
      <c r="T14" s="12">
        <v>278</v>
      </c>
      <c r="U14" s="12">
        <v>209</v>
      </c>
      <c r="V14" s="12">
        <v>507</v>
      </c>
      <c r="W14" s="12">
        <v>154</v>
      </c>
      <c r="X14" s="12">
        <v>442</v>
      </c>
      <c r="Y14" s="12">
        <v>484</v>
      </c>
      <c r="Z14" s="12">
        <v>352</v>
      </c>
      <c r="AA14" s="12">
        <v>423</v>
      </c>
      <c r="AB14" s="12">
        <v>322</v>
      </c>
      <c r="AC14" s="12">
        <v>444</v>
      </c>
      <c r="AD14" s="12">
        <v>452</v>
      </c>
      <c r="AE14" s="12">
        <v>327</v>
      </c>
      <c r="AF14" s="12">
        <v>362</v>
      </c>
      <c r="AG14" s="12">
        <v>452</v>
      </c>
      <c r="AH14" s="12">
        <v>462</v>
      </c>
      <c r="AI14" s="12">
        <v>350</v>
      </c>
      <c r="AJ14" s="12">
        <v>387</v>
      </c>
      <c r="AK14" s="12">
        <v>548</v>
      </c>
      <c r="AL14" s="12">
        <v>300</v>
      </c>
      <c r="AM14" s="12">
        <v>397</v>
      </c>
      <c r="AN14" s="12">
        <v>457</v>
      </c>
      <c r="AO14" s="12">
        <v>219</v>
      </c>
      <c r="AP14" s="12">
        <v>159</v>
      </c>
      <c r="AQ14" s="12">
        <v>320</v>
      </c>
    </row>
    <row r="15" spans="1:43" x14ac:dyDescent="0.35">
      <c r="A15" s="19"/>
      <c r="B15" s="13" t="s">
        <v>1142</v>
      </c>
      <c r="C15" s="15">
        <v>0.43</v>
      </c>
      <c r="D15" s="15">
        <v>0.49</v>
      </c>
      <c r="E15" s="15">
        <v>0.26</v>
      </c>
      <c r="F15" s="15">
        <v>0.43</v>
      </c>
      <c r="G15" s="15">
        <v>0.25</v>
      </c>
      <c r="H15" s="15">
        <v>0.5</v>
      </c>
      <c r="I15" s="15">
        <v>0.51</v>
      </c>
      <c r="J15" s="15">
        <v>0.55000000000000004</v>
      </c>
      <c r="K15" s="15">
        <v>0.46</v>
      </c>
      <c r="L15" s="15">
        <v>0.5</v>
      </c>
      <c r="M15" s="15">
        <v>0.28000000000000003</v>
      </c>
      <c r="N15" s="15">
        <v>0.46</v>
      </c>
      <c r="O15" s="15">
        <v>0.49</v>
      </c>
      <c r="P15" s="15">
        <v>0.49</v>
      </c>
      <c r="Q15" s="15">
        <v>0.36</v>
      </c>
      <c r="R15" s="15">
        <v>0.17</v>
      </c>
      <c r="S15" s="15">
        <v>0.3</v>
      </c>
      <c r="T15" s="15">
        <v>0.28000000000000003</v>
      </c>
      <c r="U15" s="15">
        <v>0.41</v>
      </c>
      <c r="V15" s="15">
        <v>0.5</v>
      </c>
      <c r="W15" s="15">
        <v>0.3</v>
      </c>
      <c r="X15" s="15">
        <v>0.44</v>
      </c>
      <c r="Y15" s="15">
        <v>0.48</v>
      </c>
      <c r="Z15" s="15">
        <v>0.34</v>
      </c>
      <c r="AA15" s="15">
        <v>0.41</v>
      </c>
      <c r="AB15" s="15">
        <v>0.31</v>
      </c>
      <c r="AC15" s="15">
        <v>0.44</v>
      </c>
      <c r="AD15" s="15">
        <v>0.45</v>
      </c>
      <c r="AE15" s="15">
        <v>0.32</v>
      </c>
      <c r="AF15" s="15">
        <v>0.35</v>
      </c>
      <c r="AG15" s="15">
        <v>0.44</v>
      </c>
      <c r="AH15" s="15">
        <v>0.46</v>
      </c>
      <c r="AI15" s="15">
        <v>0.67</v>
      </c>
      <c r="AJ15" s="15">
        <v>0.37</v>
      </c>
      <c r="AK15" s="15">
        <v>0.54</v>
      </c>
      <c r="AL15" s="15">
        <v>0.3</v>
      </c>
      <c r="AM15" s="15">
        <v>0.38</v>
      </c>
      <c r="AN15" s="15">
        <v>0.46</v>
      </c>
      <c r="AO15" s="15">
        <v>0.22</v>
      </c>
      <c r="AP15" s="15">
        <v>0.3</v>
      </c>
      <c r="AQ15" s="15">
        <v>0.32</v>
      </c>
    </row>
    <row r="16" spans="1:43" x14ac:dyDescent="0.35">
      <c r="A16" s="19"/>
      <c r="B16" s="11" t="s">
        <v>485</v>
      </c>
      <c r="C16" s="12">
        <v>3531</v>
      </c>
      <c r="D16" s="12">
        <v>71</v>
      </c>
      <c r="E16" s="12">
        <v>255</v>
      </c>
      <c r="F16" s="12">
        <v>114</v>
      </c>
      <c r="G16" s="12">
        <v>207</v>
      </c>
      <c r="H16" s="12">
        <v>162</v>
      </c>
      <c r="I16" s="12">
        <v>181</v>
      </c>
      <c r="J16" s="12">
        <v>19</v>
      </c>
      <c r="K16" s="12">
        <v>154</v>
      </c>
      <c r="L16" s="12">
        <v>103</v>
      </c>
      <c r="M16" s="12">
        <v>165</v>
      </c>
      <c r="N16" s="12">
        <v>196</v>
      </c>
      <c r="O16" s="12">
        <v>178</v>
      </c>
      <c r="P16" s="12">
        <v>87</v>
      </c>
      <c r="Q16" s="12">
        <v>79</v>
      </c>
      <c r="R16" s="12">
        <v>128</v>
      </c>
      <c r="S16" s="12">
        <v>330</v>
      </c>
      <c r="T16" s="12">
        <v>202</v>
      </c>
      <c r="U16" s="12">
        <v>70</v>
      </c>
      <c r="V16" s="12">
        <v>42</v>
      </c>
      <c r="W16" s="12">
        <v>90</v>
      </c>
      <c r="X16" s="12">
        <v>130</v>
      </c>
      <c r="Y16" s="12">
        <v>105</v>
      </c>
      <c r="Z16" s="12">
        <v>82</v>
      </c>
      <c r="AA16" s="12">
        <v>204</v>
      </c>
      <c r="AB16" s="12">
        <v>148</v>
      </c>
      <c r="AC16" s="12">
        <v>153</v>
      </c>
      <c r="AD16" s="12">
        <v>82</v>
      </c>
      <c r="AE16" s="12">
        <v>264</v>
      </c>
      <c r="AF16" s="12">
        <v>111</v>
      </c>
      <c r="AG16" s="12">
        <v>155</v>
      </c>
      <c r="AH16" s="12">
        <v>106</v>
      </c>
      <c r="AI16" s="12">
        <v>41</v>
      </c>
      <c r="AJ16" s="12">
        <v>67</v>
      </c>
      <c r="AK16" s="12">
        <v>158</v>
      </c>
      <c r="AL16" s="12">
        <v>395</v>
      </c>
      <c r="AM16" s="12">
        <v>264</v>
      </c>
      <c r="AN16" s="12">
        <v>62</v>
      </c>
      <c r="AO16" s="12">
        <v>263</v>
      </c>
      <c r="AP16" s="12">
        <v>7</v>
      </c>
      <c r="AQ16" s="12">
        <v>414</v>
      </c>
    </row>
    <row r="17" spans="1:43" x14ac:dyDescent="0.35">
      <c r="A17" s="19"/>
      <c r="B17" s="13" t="s">
        <v>486</v>
      </c>
      <c r="C17" s="15">
        <v>0.13</v>
      </c>
      <c r="D17" s="15">
        <v>7.0000000000000007E-2</v>
      </c>
      <c r="E17" s="15">
        <v>0.25</v>
      </c>
      <c r="F17" s="15">
        <v>0.1</v>
      </c>
      <c r="G17" s="15">
        <v>0.21</v>
      </c>
      <c r="H17" s="15">
        <v>0.13</v>
      </c>
      <c r="I17" s="15">
        <v>0.12</v>
      </c>
      <c r="J17" s="15">
        <v>0.06</v>
      </c>
      <c r="K17" s="15">
        <v>0.15</v>
      </c>
      <c r="L17" s="15">
        <v>0.1</v>
      </c>
      <c r="M17" s="15">
        <v>0.16</v>
      </c>
      <c r="N17" s="15">
        <v>0.19</v>
      </c>
      <c r="O17" s="15">
        <v>0.18</v>
      </c>
      <c r="P17" s="15">
        <v>0.09</v>
      </c>
      <c r="Q17" s="15">
        <v>0.08</v>
      </c>
      <c r="R17" s="15">
        <v>0.25</v>
      </c>
      <c r="S17" s="15">
        <v>0.33</v>
      </c>
      <c r="T17" s="15">
        <v>0.2</v>
      </c>
      <c r="U17" s="15">
        <v>0.14000000000000001</v>
      </c>
      <c r="V17" s="15">
        <v>0.04</v>
      </c>
      <c r="W17" s="15">
        <v>0.18</v>
      </c>
      <c r="X17" s="15">
        <v>0.13</v>
      </c>
      <c r="Y17" s="15">
        <v>0.11</v>
      </c>
      <c r="Z17" s="15">
        <v>0.08</v>
      </c>
      <c r="AA17" s="15">
        <v>0.2</v>
      </c>
      <c r="AB17" s="15">
        <v>0.14000000000000001</v>
      </c>
      <c r="AC17" s="15">
        <v>0.15</v>
      </c>
      <c r="AD17" s="15">
        <v>0.08</v>
      </c>
      <c r="AE17" s="15">
        <v>0.26</v>
      </c>
      <c r="AF17" s="15">
        <v>0.11</v>
      </c>
      <c r="AG17" s="15">
        <v>0.15</v>
      </c>
      <c r="AH17" s="15">
        <v>0.1</v>
      </c>
      <c r="AI17" s="15">
        <v>0.08</v>
      </c>
      <c r="AJ17" s="15">
        <v>7.0000000000000007E-2</v>
      </c>
      <c r="AK17" s="15">
        <v>0.16</v>
      </c>
      <c r="AL17" s="15">
        <v>0.39</v>
      </c>
      <c r="AM17" s="15">
        <v>0.25</v>
      </c>
      <c r="AN17" s="15">
        <v>0.06</v>
      </c>
      <c r="AO17" s="15">
        <v>0.26</v>
      </c>
      <c r="AP17" s="15">
        <v>0.01</v>
      </c>
      <c r="AQ17" s="15">
        <v>0.41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1143</v>
      </c>
      <c r="C3" s="18"/>
      <c r="D3" s="18"/>
      <c r="E3" s="18"/>
      <c r="F3" s="18"/>
      <c r="H3" s="18" t="s">
        <v>1144</v>
      </c>
      <c r="I3" s="18"/>
      <c r="J3" s="18"/>
      <c r="K3" s="18"/>
      <c r="L3" s="18"/>
    </row>
    <row r="4" spans="1:43" ht="27" customHeight="1" x14ac:dyDescent="0.35">
      <c r="B4" s="18" t="s">
        <v>1145</v>
      </c>
      <c r="C4" s="18"/>
      <c r="D4" s="18"/>
      <c r="E4" s="18"/>
      <c r="F4" s="18"/>
      <c r="H4" s="18" t="s">
        <v>1146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HYPERLINK("#Content!A119","&lt;&lt;Back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1139</v>
      </c>
      <c r="C12" s="12">
        <v>18461</v>
      </c>
      <c r="D12" s="12">
        <v>603</v>
      </c>
      <c r="E12" s="12">
        <v>900</v>
      </c>
      <c r="F12" s="12">
        <v>774</v>
      </c>
      <c r="G12" s="12">
        <v>853</v>
      </c>
      <c r="H12" s="12">
        <v>792</v>
      </c>
      <c r="I12" s="12">
        <v>958</v>
      </c>
      <c r="J12" s="12">
        <v>166</v>
      </c>
      <c r="K12" s="12">
        <v>748</v>
      </c>
      <c r="L12" s="12">
        <v>837</v>
      </c>
      <c r="M12" s="12">
        <v>934</v>
      </c>
      <c r="N12" s="12">
        <v>674</v>
      </c>
      <c r="O12" s="12">
        <v>586</v>
      </c>
      <c r="P12" s="12">
        <v>806</v>
      </c>
      <c r="Q12" s="12">
        <v>717</v>
      </c>
      <c r="R12" s="12">
        <v>465</v>
      </c>
      <c r="S12" s="12">
        <v>737</v>
      </c>
      <c r="T12" s="12">
        <v>871</v>
      </c>
      <c r="U12" s="12">
        <v>379</v>
      </c>
      <c r="V12" s="12">
        <v>825</v>
      </c>
      <c r="W12" s="12">
        <v>467</v>
      </c>
      <c r="X12" s="12">
        <v>592</v>
      </c>
      <c r="Y12" s="12">
        <v>641</v>
      </c>
      <c r="Z12" s="12">
        <v>875</v>
      </c>
      <c r="AA12" s="12">
        <v>794</v>
      </c>
      <c r="AB12" s="12">
        <v>844</v>
      </c>
      <c r="AC12" s="12">
        <v>812</v>
      </c>
      <c r="AD12" s="12">
        <v>880</v>
      </c>
      <c r="AE12" s="12">
        <v>747</v>
      </c>
      <c r="AF12" s="12">
        <v>802</v>
      </c>
      <c r="AG12" s="12">
        <v>456</v>
      </c>
      <c r="AH12" s="12">
        <v>683</v>
      </c>
      <c r="AI12" s="12">
        <v>270</v>
      </c>
      <c r="AJ12" s="12">
        <v>647</v>
      </c>
      <c r="AK12" s="12">
        <v>498</v>
      </c>
      <c r="AL12" s="12">
        <v>436</v>
      </c>
      <c r="AM12" s="12">
        <v>530</v>
      </c>
      <c r="AN12" s="12">
        <v>571</v>
      </c>
      <c r="AO12" s="12">
        <v>560</v>
      </c>
      <c r="AP12" s="12">
        <v>397</v>
      </c>
      <c r="AQ12" s="12">
        <v>364</v>
      </c>
    </row>
    <row r="13" spans="1:43" x14ac:dyDescent="0.35">
      <c r="A13" s="19"/>
      <c r="B13" s="13" t="s">
        <v>1140</v>
      </c>
      <c r="C13" s="15">
        <v>0.70000000000000007</v>
      </c>
      <c r="D13" s="15">
        <v>0.6</v>
      </c>
      <c r="E13" s="15">
        <v>0.87</v>
      </c>
      <c r="F13" s="15">
        <v>0.70000000000000007</v>
      </c>
      <c r="G13" s="15">
        <v>0.85</v>
      </c>
      <c r="H13" s="15">
        <v>0.65</v>
      </c>
      <c r="I13" s="15">
        <v>0.63</v>
      </c>
      <c r="J13" s="15">
        <v>0.56000000000000005</v>
      </c>
      <c r="K13" s="15">
        <v>0.75</v>
      </c>
      <c r="L13" s="15">
        <v>0.84</v>
      </c>
      <c r="M13" s="15">
        <v>0.93</v>
      </c>
      <c r="N13" s="15">
        <v>0.67</v>
      </c>
      <c r="O13" s="15">
        <v>0.57999999999999996</v>
      </c>
      <c r="P13" s="15">
        <v>0.8</v>
      </c>
      <c r="Q13" s="15">
        <v>0.70000000000000007</v>
      </c>
      <c r="R13" s="15">
        <v>0.92</v>
      </c>
      <c r="S13" s="15">
        <v>0.73</v>
      </c>
      <c r="T13" s="15">
        <v>0.87</v>
      </c>
      <c r="U13" s="15">
        <v>0.75</v>
      </c>
      <c r="V13" s="15">
        <v>0.81</v>
      </c>
      <c r="W13" s="15">
        <v>0.92</v>
      </c>
      <c r="X13" s="15">
        <v>0.57999999999999996</v>
      </c>
      <c r="Y13" s="15">
        <v>0.64</v>
      </c>
      <c r="Z13" s="15">
        <v>0.85</v>
      </c>
      <c r="AA13" s="15">
        <v>0.77</v>
      </c>
      <c r="AB13" s="15">
        <v>0.8</v>
      </c>
      <c r="AC13" s="15">
        <v>0.81</v>
      </c>
      <c r="AD13" s="15">
        <v>0.88</v>
      </c>
      <c r="AE13" s="15">
        <v>0.74</v>
      </c>
      <c r="AF13" s="15">
        <v>0.77</v>
      </c>
      <c r="AG13" s="15">
        <v>0.44</v>
      </c>
      <c r="AH13" s="15">
        <v>0.68</v>
      </c>
      <c r="AI13" s="15">
        <v>0.51</v>
      </c>
      <c r="AJ13" s="15">
        <v>0.62</v>
      </c>
      <c r="AK13" s="15">
        <v>0.5</v>
      </c>
      <c r="AL13" s="15">
        <v>0.43</v>
      </c>
      <c r="AM13" s="15">
        <v>0.51</v>
      </c>
      <c r="AN13" s="15">
        <v>0.57000000000000006</v>
      </c>
      <c r="AO13" s="15">
        <v>0.56000000000000005</v>
      </c>
      <c r="AP13" s="15">
        <v>0.76</v>
      </c>
      <c r="AQ13" s="15">
        <v>0.36</v>
      </c>
    </row>
    <row r="14" spans="1:43" x14ac:dyDescent="0.35">
      <c r="A14" s="19"/>
      <c r="B14" s="11" t="s">
        <v>1141</v>
      </c>
      <c r="C14" s="12">
        <v>5924</v>
      </c>
      <c r="D14" s="12">
        <v>358</v>
      </c>
      <c r="E14" s="12">
        <v>73</v>
      </c>
      <c r="F14" s="12">
        <v>234</v>
      </c>
      <c r="G14" s="12">
        <v>81</v>
      </c>
      <c r="H14" s="12">
        <v>332</v>
      </c>
      <c r="I14" s="12">
        <v>443</v>
      </c>
      <c r="J14" s="12">
        <v>111</v>
      </c>
      <c r="K14" s="12">
        <v>165</v>
      </c>
      <c r="L14" s="12">
        <v>100</v>
      </c>
      <c r="M14" s="12">
        <v>52</v>
      </c>
      <c r="N14" s="12">
        <v>209</v>
      </c>
      <c r="O14" s="12">
        <v>256</v>
      </c>
      <c r="P14" s="12">
        <v>168</v>
      </c>
      <c r="Q14" s="12">
        <v>263</v>
      </c>
      <c r="R14" s="12">
        <v>21</v>
      </c>
      <c r="S14" s="12">
        <v>147</v>
      </c>
      <c r="T14" s="12">
        <v>75</v>
      </c>
      <c r="U14" s="12">
        <v>80</v>
      </c>
      <c r="V14" s="12">
        <v>171</v>
      </c>
      <c r="W14" s="12">
        <v>28</v>
      </c>
      <c r="X14" s="12">
        <v>370</v>
      </c>
      <c r="Y14" s="12">
        <v>301</v>
      </c>
      <c r="Z14" s="12">
        <v>120</v>
      </c>
      <c r="AA14" s="12">
        <v>158</v>
      </c>
      <c r="AB14" s="12">
        <v>164</v>
      </c>
      <c r="AC14" s="12">
        <v>142</v>
      </c>
      <c r="AD14" s="12">
        <v>100</v>
      </c>
      <c r="AE14" s="12">
        <v>116</v>
      </c>
      <c r="AF14" s="12">
        <v>207</v>
      </c>
      <c r="AG14" s="12">
        <v>415</v>
      </c>
      <c r="AH14" s="12">
        <v>236</v>
      </c>
      <c r="AI14" s="12">
        <v>213</v>
      </c>
      <c r="AJ14" s="12">
        <v>320</v>
      </c>
      <c r="AK14" s="12">
        <v>344</v>
      </c>
      <c r="AL14" s="12">
        <v>251</v>
      </c>
      <c r="AM14" s="12">
        <v>292</v>
      </c>
      <c r="AN14" s="12">
        <v>357</v>
      </c>
      <c r="AO14" s="12">
        <v>201</v>
      </c>
      <c r="AP14" s="12">
        <v>122</v>
      </c>
      <c r="AQ14" s="12">
        <v>306</v>
      </c>
    </row>
    <row r="15" spans="1:43" x14ac:dyDescent="0.35">
      <c r="A15" s="19"/>
      <c r="B15" s="13" t="s">
        <v>1142</v>
      </c>
      <c r="C15" s="15">
        <v>0.22</v>
      </c>
      <c r="D15" s="15">
        <v>0.35</v>
      </c>
      <c r="E15" s="15">
        <v>7.0000000000000007E-2</v>
      </c>
      <c r="F15" s="15">
        <v>0.21</v>
      </c>
      <c r="G15" s="15">
        <v>0.08</v>
      </c>
      <c r="H15" s="15">
        <v>0.27</v>
      </c>
      <c r="I15" s="15">
        <v>0.28999999999999998</v>
      </c>
      <c r="J15" s="15">
        <v>0.38</v>
      </c>
      <c r="K15" s="15">
        <v>0.16</v>
      </c>
      <c r="L15" s="15">
        <v>0.1</v>
      </c>
      <c r="M15" s="15">
        <v>0.05</v>
      </c>
      <c r="N15" s="15">
        <v>0.21</v>
      </c>
      <c r="O15" s="15">
        <v>0.26</v>
      </c>
      <c r="P15" s="15">
        <v>0.17</v>
      </c>
      <c r="Q15" s="15">
        <v>0.26</v>
      </c>
      <c r="R15" s="15">
        <v>0.04</v>
      </c>
      <c r="S15" s="15">
        <v>0.15</v>
      </c>
      <c r="T15" s="15">
        <v>7.0000000000000007E-2</v>
      </c>
      <c r="U15" s="15">
        <v>0.16</v>
      </c>
      <c r="V15" s="15">
        <v>0.17</v>
      </c>
      <c r="W15" s="15">
        <v>0.06</v>
      </c>
      <c r="X15" s="15">
        <v>0.37</v>
      </c>
      <c r="Y15" s="15">
        <v>0.3</v>
      </c>
      <c r="Z15" s="15">
        <v>0.12</v>
      </c>
      <c r="AA15" s="15">
        <v>0.15</v>
      </c>
      <c r="AB15" s="15">
        <v>0.16</v>
      </c>
      <c r="AC15" s="15">
        <v>0.14000000000000001</v>
      </c>
      <c r="AD15" s="15">
        <v>0.1</v>
      </c>
      <c r="AE15" s="15">
        <v>0.11</v>
      </c>
      <c r="AF15" s="15">
        <v>0.2</v>
      </c>
      <c r="AG15" s="15">
        <v>0.4</v>
      </c>
      <c r="AH15" s="15">
        <v>0.23</v>
      </c>
      <c r="AI15" s="15">
        <v>0.41</v>
      </c>
      <c r="AJ15" s="15">
        <v>0.31</v>
      </c>
      <c r="AK15" s="15">
        <v>0.34</v>
      </c>
      <c r="AL15" s="15">
        <v>0.25</v>
      </c>
      <c r="AM15" s="15">
        <v>0.28000000000000003</v>
      </c>
      <c r="AN15" s="15">
        <v>0.36</v>
      </c>
      <c r="AO15" s="15">
        <v>0.2</v>
      </c>
      <c r="AP15" s="15">
        <v>0.23</v>
      </c>
      <c r="AQ15" s="15">
        <v>0.31</v>
      </c>
    </row>
    <row r="16" spans="1:43" x14ac:dyDescent="0.35">
      <c r="A16" s="19"/>
      <c r="B16" s="11" t="s">
        <v>485</v>
      </c>
      <c r="C16" s="12">
        <v>2060</v>
      </c>
      <c r="D16" s="12">
        <v>51</v>
      </c>
      <c r="E16" s="12">
        <v>57</v>
      </c>
      <c r="F16" s="12">
        <v>95</v>
      </c>
      <c r="G16" s="12">
        <v>72</v>
      </c>
      <c r="H16" s="12">
        <v>96</v>
      </c>
      <c r="I16" s="12">
        <v>115</v>
      </c>
      <c r="J16" s="12">
        <v>19</v>
      </c>
      <c r="K16" s="12">
        <v>89</v>
      </c>
      <c r="L16" s="12">
        <v>65</v>
      </c>
      <c r="M16" s="12">
        <v>23</v>
      </c>
      <c r="N16" s="12">
        <v>119</v>
      </c>
      <c r="O16" s="12">
        <v>158</v>
      </c>
      <c r="P16" s="12">
        <v>30</v>
      </c>
      <c r="Q16" s="12">
        <v>47</v>
      </c>
      <c r="R16" s="12">
        <v>17</v>
      </c>
      <c r="S16" s="12">
        <v>118</v>
      </c>
      <c r="T16" s="12">
        <v>61</v>
      </c>
      <c r="U16" s="12">
        <v>45</v>
      </c>
      <c r="V16" s="12">
        <v>19</v>
      </c>
      <c r="W16" s="12">
        <v>13</v>
      </c>
      <c r="X16" s="12">
        <v>48</v>
      </c>
      <c r="Y16" s="12">
        <v>61</v>
      </c>
      <c r="Z16" s="12">
        <v>36</v>
      </c>
      <c r="AA16" s="12">
        <v>81</v>
      </c>
      <c r="AB16" s="12">
        <v>43</v>
      </c>
      <c r="AC16" s="12">
        <v>49</v>
      </c>
      <c r="AD16" s="12">
        <v>25</v>
      </c>
      <c r="AE16" s="12">
        <v>149</v>
      </c>
      <c r="AF16" s="12">
        <v>33</v>
      </c>
      <c r="AG16" s="12">
        <v>164</v>
      </c>
      <c r="AH16" s="12">
        <v>94</v>
      </c>
      <c r="AI16" s="12">
        <v>40</v>
      </c>
      <c r="AJ16" s="12">
        <v>70</v>
      </c>
      <c r="AK16" s="12">
        <v>165</v>
      </c>
      <c r="AL16" s="12">
        <v>325</v>
      </c>
      <c r="AM16" s="12">
        <v>218</v>
      </c>
      <c r="AN16" s="12">
        <v>76</v>
      </c>
      <c r="AO16" s="12">
        <v>245</v>
      </c>
      <c r="AP16" s="12">
        <v>5</v>
      </c>
      <c r="AQ16" s="12">
        <v>332</v>
      </c>
    </row>
    <row r="17" spans="1:43" x14ac:dyDescent="0.35">
      <c r="A17" s="19"/>
      <c r="B17" s="13" t="s">
        <v>486</v>
      </c>
      <c r="C17" s="15">
        <v>0.08</v>
      </c>
      <c r="D17" s="15">
        <v>0.05</v>
      </c>
      <c r="E17" s="15">
        <v>0.06</v>
      </c>
      <c r="F17" s="15">
        <v>0.09</v>
      </c>
      <c r="G17" s="15">
        <v>7.0000000000000007E-2</v>
      </c>
      <c r="H17" s="15">
        <v>0.08</v>
      </c>
      <c r="I17" s="15">
        <v>0.08</v>
      </c>
      <c r="J17" s="15">
        <v>0.06</v>
      </c>
      <c r="K17" s="15">
        <v>0.09</v>
      </c>
      <c r="L17" s="15">
        <v>0.06</v>
      </c>
      <c r="M17" s="15">
        <v>0.02</v>
      </c>
      <c r="N17" s="15">
        <v>0.12</v>
      </c>
      <c r="O17" s="15">
        <v>0.16</v>
      </c>
      <c r="P17" s="15">
        <v>0.03</v>
      </c>
      <c r="Q17" s="15">
        <v>0.04</v>
      </c>
      <c r="R17" s="15">
        <v>0.04</v>
      </c>
      <c r="S17" s="15">
        <v>0.12</v>
      </c>
      <c r="T17" s="15">
        <v>0.06</v>
      </c>
      <c r="U17" s="15">
        <v>0.09</v>
      </c>
      <c r="V17" s="15">
        <v>0.02</v>
      </c>
      <c r="W17" s="15">
        <v>0.02</v>
      </c>
      <c r="X17" s="15">
        <v>0.05</v>
      </c>
      <c r="Y17" s="15">
        <v>0.06</v>
      </c>
      <c r="Z17" s="15">
        <v>0.03</v>
      </c>
      <c r="AA17" s="15">
        <v>0.08</v>
      </c>
      <c r="AB17" s="15">
        <v>0.04</v>
      </c>
      <c r="AC17" s="15">
        <v>0.05</v>
      </c>
      <c r="AD17" s="15">
        <v>0.02</v>
      </c>
      <c r="AE17" s="15">
        <v>0.15</v>
      </c>
      <c r="AF17" s="15">
        <v>0.03</v>
      </c>
      <c r="AG17" s="15">
        <v>0.16</v>
      </c>
      <c r="AH17" s="15">
        <v>0.09</v>
      </c>
      <c r="AI17" s="15">
        <v>0.08</v>
      </c>
      <c r="AJ17" s="15">
        <v>7.0000000000000007E-2</v>
      </c>
      <c r="AK17" s="15">
        <v>0.16</v>
      </c>
      <c r="AL17" s="15">
        <v>0.32</v>
      </c>
      <c r="AM17" s="15">
        <v>0.21</v>
      </c>
      <c r="AN17" s="15">
        <v>7.0000000000000007E-2</v>
      </c>
      <c r="AO17" s="15">
        <v>0.24</v>
      </c>
      <c r="AP17" s="15">
        <v>0.01</v>
      </c>
      <c r="AQ17" s="15">
        <v>0.33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1147</v>
      </c>
      <c r="C3" s="18"/>
      <c r="D3" s="18"/>
      <c r="E3" s="18"/>
      <c r="F3" s="18"/>
      <c r="H3" s="18" t="s">
        <v>1148</v>
      </c>
      <c r="I3" s="18"/>
      <c r="J3" s="18"/>
      <c r="K3" s="18"/>
      <c r="L3" s="18"/>
    </row>
    <row r="4" spans="1:43" ht="27" customHeight="1" x14ac:dyDescent="0.35">
      <c r="B4" s="18" t="s">
        <v>1149</v>
      </c>
      <c r="C4" s="18"/>
      <c r="D4" s="18"/>
      <c r="E4" s="18"/>
      <c r="F4" s="18"/>
      <c r="H4" s="18" t="s">
        <v>1150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1139</v>
      </c>
      <c r="C12" s="12">
        <v>4094</v>
      </c>
      <c r="D12" s="12">
        <v>129</v>
      </c>
      <c r="E12" s="12">
        <v>219</v>
      </c>
      <c r="F12" s="12">
        <v>214</v>
      </c>
      <c r="G12" s="12">
        <v>171</v>
      </c>
      <c r="H12" s="12">
        <v>65</v>
      </c>
      <c r="I12" s="12">
        <v>88</v>
      </c>
      <c r="J12" s="12">
        <v>23</v>
      </c>
      <c r="K12" s="12">
        <v>181</v>
      </c>
      <c r="L12" s="12">
        <v>199</v>
      </c>
      <c r="M12" s="12">
        <v>252</v>
      </c>
      <c r="N12" s="12">
        <v>232</v>
      </c>
      <c r="O12" s="12">
        <v>123</v>
      </c>
      <c r="P12" s="12">
        <v>161</v>
      </c>
      <c r="Q12" s="12">
        <v>125</v>
      </c>
      <c r="R12" s="12">
        <v>74</v>
      </c>
      <c r="S12" s="12">
        <v>265</v>
      </c>
      <c r="T12" s="12">
        <v>194</v>
      </c>
      <c r="U12" s="12">
        <v>36</v>
      </c>
      <c r="V12" s="12">
        <v>174</v>
      </c>
      <c r="W12" s="12">
        <v>79</v>
      </c>
      <c r="X12" s="12">
        <v>136</v>
      </c>
      <c r="Y12" s="12">
        <v>74</v>
      </c>
      <c r="Z12" s="12">
        <v>305</v>
      </c>
      <c r="AA12" s="12">
        <v>144</v>
      </c>
      <c r="AB12" s="12">
        <v>271</v>
      </c>
      <c r="AC12" s="12">
        <v>131</v>
      </c>
      <c r="AD12" s="12">
        <v>165</v>
      </c>
      <c r="AE12" s="12">
        <v>224</v>
      </c>
      <c r="AF12" s="12">
        <v>169</v>
      </c>
      <c r="AG12" s="12">
        <v>423</v>
      </c>
      <c r="AH12" s="12">
        <v>153</v>
      </c>
      <c r="AI12" s="12">
        <v>117</v>
      </c>
      <c r="AJ12" s="12">
        <v>188</v>
      </c>
      <c r="AK12" s="12">
        <v>195</v>
      </c>
      <c r="AL12" s="12">
        <v>281</v>
      </c>
      <c r="AM12" s="12">
        <v>276</v>
      </c>
      <c r="AN12" s="12">
        <v>187</v>
      </c>
      <c r="AO12" s="12">
        <v>404</v>
      </c>
      <c r="AP12" s="12">
        <v>200</v>
      </c>
      <c r="AQ12" s="12">
        <v>348</v>
      </c>
    </row>
    <row r="13" spans="1:43" x14ac:dyDescent="0.35">
      <c r="A13" s="19"/>
      <c r="B13" s="13" t="s">
        <v>1140</v>
      </c>
      <c r="C13" s="15">
        <v>0.16</v>
      </c>
      <c r="D13" s="15">
        <v>0.13</v>
      </c>
      <c r="E13" s="15">
        <v>0.21</v>
      </c>
      <c r="F13" s="15">
        <v>0.19</v>
      </c>
      <c r="G13" s="15">
        <v>0.17</v>
      </c>
      <c r="H13" s="15">
        <v>0.05</v>
      </c>
      <c r="I13" s="15">
        <v>0.06</v>
      </c>
      <c r="J13" s="15">
        <v>0.08</v>
      </c>
      <c r="K13" s="15">
        <v>0.18</v>
      </c>
      <c r="L13" s="15">
        <v>0.2</v>
      </c>
      <c r="M13" s="15">
        <v>0.25</v>
      </c>
      <c r="N13" s="15">
        <v>0.23</v>
      </c>
      <c r="O13" s="15">
        <v>0.12</v>
      </c>
      <c r="P13" s="15">
        <v>0.16</v>
      </c>
      <c r="Q13" s="15">
        <v>0.12</v>
      </c>
      <c r="R13" s="15">
        <v>0.15</v>
      </c>
      <c r="S13" s="15">
        <v>0.26</v>
      </c>
      <c r="T13" s="15">
        <v>0.19</v>
      </c>
      <c r="U13" s="15">
        <v>7.0000000000000007E-2</v>
      </c>
      <c r="V13" s="15">
        <v>0.17</v>
      </c>
      <c r="W13" s="15">
        <v>0.15</v>
      </c>
      <c r="X13" s="15">
        <v>0.14000000000000001</v>
      </c>
      <c r="Y13" s="15">
        <v>7.0000000000000007E-2</v>
      </c>
      <c r="Z13" s="15">
        <v>0.3</v>
      </c>
      <c r="AA13" s="15">
        <v>0.14000000000000001</v>
      </c>
      <c r="AB13" s="15">
        <v>0.26</v>
      </c>
      <c r="AC13" s="15">
        <v>0.13</v>
      </c>
      <c r="AD13" s="15">
        <v>0.17</v>
      </c>
      <c r="AE13" s="15">
        <v>0.22</v>
      </c>
      <c r="AF13" s="15">
        <v>0.16</v>
      </c>
      <c r="AG13" s="15">
        <v>0.41</v>
      </c>
      <c r="AH13" s="15">
        <v>0.15</v>
      </c>
      <c r="AI13" s="15">
        <v>0.22</v>
      </c>
      <c r="AJ13" s="15">
        <v>0.18</v>
      </c>
      <c r="AK13" s="15">
        <v>0.2</v>
      </c>
      <c r="AL13" s="15">
        <v>0.28000000000000003</v>
      </c>
      <c r="AM13" s="15">
        <v>0.26</v>
      </c>
      <c r="AN13" s="15">
        <v>0.19</v>
      </c>
      <c r="AO13" s="15">
        <v>0.4</v>
      </c>
      <c r="AP13" s="15">
        <v>0.38</v>
      </c>
      <c r="AQ13" s="15">
        <v>0.35</v>
      </c>
    </row>
    <row r="14" spans="1:43" x14ac:dyDescent="0.35">
      <c r="A14" s="19"/>
      <c r="B14" s="11" t="s">
        <v>1141</v>
      </c>
      <c r="C14" s="12">
        <v>20913</v>
      </c>
      <c r="D14" s="12">
        <v>864</v>
      </c>
      <c r="E14" s="12">
        <v>651</v>
      </c>
      <c r="F14" s="12">
        <v>789</v>
      </c>
      <c r="G14" s="12">
        <v>743</v>
      </c>
      <c r="H14" s="12">
        <v>1142</v>
      </c>
      <c r="I14" s="12">
        <v>1408</v>
      </c>
      <c r="J14" s="12">
        <v>266</v>
      </c>
      <c r="K14" s="12">
        <v>753</v>
      </c>
      <c r="L14" s="12">
        <v>717</v>
      </c>
      <c r="M14" s="12">
        <v>650</v>
      </c>
      <c r="N14" s="12">
        <v>650</v>
      </c>
      <c r="O14" s="12">
        <v>826</v>
      </c>
      <c r="P14" s="12">
        <v>810</v>
      </c>
      <c r="Q14" s="12">
        <v>871</v>
      </c>
      <c r="R14" s="12">
        <v>358</v>
      </c>
      <c r="S14" s="12">
        <v>580</v>
      </c>
      <c r="T14" s="12">
        <v>650</v>
      </c>
      <c r="U14" s="12">
        <v>455</v>
      </c>
      <c r="V14" s="12">
        <v>805</v>
      </c>
      <c r="W14" s="12">
        <v>400</v>
      </c>
      <c r="X14" s="12">
        <v>830</v>
      </c>
      <c r="Y14" s="12">
        <v>921</v>
      </c>
      <c r="Z14" s="12">
        <v>679</v>
      </c>
      <c r="AA14" s="12">
        <v>806</v>
      </c>
      <c r="AB14" s="12">
        <v>677</v>
      </c>
      <c r="AC14" s="12">
        <v>847</v>
      </c>
      <c r="AD14" s="12">
        <v>805</v>
      </c>
      <c r="AE14" s="12">
        <v>669</v>
      </c>
      <c r="AF14" s="12">
        <v>856</v>
      </c>
      <c r="AG14" s="12">
        <v>460</v>
      </c>
      <c r="AH14" s="12">
        <v>816</v>
      </c>
      <c r="AI14" s="12">
        <v>365</v>
      </c>
      <c r="AJ14" s="12">
        <v>830</v>
      </c>
      <c r="AK14" s="12">
        <v>728</v>
      </c>
      <c r="AL14" s="12">
        <v>373</v>
      </c>
      <c r="AM14" s="12">
        <v>603</v>
      </c>
      <c r="AN14" s="12">
        <v>788</v>
      </c>
      <c r="AO14" s="12">
        <v>406</v>
      </c>
      <c r="AP14" s="12">
        <v>319</v>
      </c>
      <c r="AQ14" s="12">
        <v>341</v>
      </c>
    </row>
    <row r="15" spans="1:43" x14ac:dyDescent="0.35">
      <c r="A15" s="19"/>
      <c r="B15" s="13" t="s">
        <v>1142</v>
      </c>
      <c r="C15" s="15">
        <v>0.79</v>
      </c>
      <c r="D15" s="15">
        <v>0.85</v>
      </c>
      <c r="E15" s="15">
        <v>0.63</v>
      </c>
      <c r="F15" s="15">
        <v>0.72</v>
      </c>
      <c r="G15" s="15">
        <v>0.74</v>
      </c>
      <c r="H15" s="15">
        <v>0.94000000000000006</v>
      </c>
      <c r="I15" s="15">
        <v>0.93</v>
      </c>
      <c r="J15" s="15">
        <v>0.9</v>
      </c>
      <c r="K15" s="15">
        <v>0.75</v>
      </c>
      <c r="L15" s="15">
        <v>0.71</v>
      </c>
      <c r="M15" s="15">
        <v>0.64</v>
      </c>
      <c r="N15" s="15">
        <v>0.65</v>
      </c>
      <c r="O15" s="15">
        <v>0.83000000000000007</v>
      </c>
      <c r="P15" s="15">
        <v>0.81</v>
      </c>
      <c r="Q15" s="15">
        <v>0.85</v>
      </c>
      <c r="R15" s="15">
        <v>0.71</v>
      </c>
      <c r="S15" s="15">
        <v>0.57999999999999996</v>
      </c>
      <c r="T15" s="15">
        <v>0.65</v>
      </c>
      <c r="U15" s="15">
        <v>0.9</v>
      </c>
      <c r="V15" s="15">
        <v>0.79</v>
      </c>
      <c r="W15" s="15">
        <v>0.79</v>
      </c>
      <c r="X15" s="15">
        <v>0.82000000000000006</v>
      </c>
      <c r="Y15" s="15">
        <v>0.92</v>
      </c>
      <c r="Z15" s="15">
        <v>0.66</v>
      </c>
      <c r="AA15" s="15">
        <v>0.78</v>
      </c>
      <c r="AB15" s="15">
        <v>0.64</v>
      </c>
      <c r="AC15" s="15">
        <v>0.85</v>
      </c>
      <c r="AD15" s="15">
        <v>0.8</v>
      </c>
      <c r="AE15" s="15">
        <v>0.66</v>
      </c>
      <c r="AF15" s="15">
        <v>0.82000000000000006</v>
      </c>
      <c r="AG15" s="15">
        <v>0.44</v>
      </c>
      <c r="AH15" s="15">
        <v>0.81</v>
      </c>
      <c r="AI15" s="15">
        <v>0.70000000000000007</v>
      </c>
      <c r="AJ15" s="15">
        <v>0.8</v>
      </c>
      <c r="AK15" s="15">
        <v>0.72</v>
      </c>
      <c r="AL15" s="15">
        <v>0.37</v>
      </c>
      <c r="AM15" s="15">
        <v>0.57999999999999996</v>
      </c>
      <c r="AN15" s="15">
        <v>0.78</v>
      </c>
      <c r="AO15" s="15">
        <v>0.4</v>
      </c>
      <c r="AP15" s="15">
        <v>0.61</v>
      </c>
      <c r="AQ15" s="15">
        <v>0.34</v>
      </c>
    </row>
    <row r="16" spans="1:43" x14ac:dyDescent="0.35">
      <c r="A16" s="19"/>
      <c r="B16" s="11" t="s">
        <v>485</v>
      </c>
      <c r="C16" s="12">
        <v>1438</v>
      </c>
      <c r="D16" s="12">
        <v>20</v>
      </c>
      <c r="E16" s="12">
        <v>160</v>
      </c>
      <c r="F16" s="12">
        <v>99</v>
      </c>
      <c r="G16" s="12">
        <v>92</v>
      </c>
      <c r="H16" s="12">
        <v>14</v>
      </c>
      <c r="I16" s="12">
        <v>20</v>
      </c>
      <c r="J16" s="12">
        <v>6</v>
      </c>
      <c r="K16" s="12">
        <v>67</v>
      </c>
      <c r="L16" s="12">
        <v>86</v>
      </c>
      <c r="M16" s="12">
        <v>108</v>
      </c>
      <c r="N16" s="12">
        <v>121</v>
      </c>
      <c r="O16" s="12">
        <v>52</v>
      </c>
      <c r="P16" s="12">
        <v>33</v>
      </c>
      <c r="Q16" s="12">
        <v>31</v>
      </c>
      <c r="R16" s="12">
        <v>72</v>
      </c>
      <c r="S16" s="12">
        <v>157</v>
      </c>
      <c r="T16" s="12">
        <v>162</v>
      </c>
      <c r="U16" s="12">
        <v>14</v>
      </c>
      <c r="V16" s="12">
        <v>36</v>
      </c>
      <c r="W16" s="12">
        <v>30</v>
      </c>
      <c r="X16" s="12">
        <v>43</v>
      </c>
      <c r="Y16" s="12">
        <v>8</v>
      </c>
      <c r="Z16" s="12">
        <v>47</v>
      </c>
      <c r="AA16" s="12">
        <v>83</v>
      </c>
      <c r="AB16" s="12">
        <v>103</v>
      </c>
      <c r="AC16" s="12">
        <v>25</v>
      </c>
      <c r="AD16" s="12">
        <v>35</v>
      </c>
      <c r="AE16" s="12">
        <v>120</v>
      </c>
      <c r="AF16" s="12">
        <v>18</v>
      </c>
      <c r="AG16" s="12">
        <v>152</v>
      </c>
      <c r="AH16" s="12">
        <v>44</v>
      </c>
      <c r="AI16" s="12">
        <v>40</v>
      </c>
      <c r="AJ16" s="12">
        <v>19</v>
      </c>
      <c r="AK16" s="12">
        <v>83</v>
      </c>
      <c r="AL16" s="12">
        <v>358</v>
      </c>
      <c r="AM16" s="12">
        <v>162</v>
      </c>
      <c r="AN16" s="12">
        <v>28</v>
      </c>
      <c r="AO16" s="12">
        <v>195</v>
      </c>
      <c r="AP16" s="12">
        <v>5</v>
      </c>
      <c r="AQ16" s="12">
        <v>312</v>
      </c>
    </row>
    <row r="17" spans="1:43" x14ac:dyDescent="0.35">
      <c r="A17" s="19"/>
      <c r="B17" s="13" t="s">
        <v>486</v>
      </c>
      <c r="C17" s="15">
        <v>0.05</v>
      </c>
      <c r="D17" s="15">
        <v>0.02</v>
      </c>
      <c r="E17" s="15">
        <v>0.16</v>
      </c>
      <c r="F17" s="15">
        <v>0.09</v>
      </c>
      <c r="G17" s="15">
        <v>0.09</v>
      </c>
      <c r="H17" s="15">
        <v>0.01</v>
      </c>
      <c r="I17" s="15">
        <v>0.01</v>
      </c>
      <c r="J17" s="15">
        <v>0.02</v>
      </c>
      <c r="K17" s="15">
        <v>7.0000000000000007E-2</v>
      </c>
      <c r="L17" s="15">
        <v>0.09</v>
      </c>
      <c r="M17" s="15">
        <v>0.11</v>
      </c>
      <c r="N17" s="15">
        <v>0.12</v>
      </c>
      <c r="O17" s="15">
        <v>0.05</v>
      </c>
      <c r="P17" s="15">
        <v>0.03</v>
      </c>
      <c r="Q17" s="15">
        <v>0.03</v>
      </c>
      <c r="R17" s="15">
        <v>0.14000000000000001</v>
      </c>
      <c r="S17" s="15">
        <v>0.16</v>
      </c>
      <c r="T17" s="15">
        <v>0.16</v>
      </c>
      <c r="U17" s="15">
        <v>0.03</v>
      </c>
      <c r="V17" s="15">
        <v>0.04</v>
      </c>
      <c r="W17" s="15">
        <v>0.06</v>
      </c>
      <c r="X17" s="15">
        <v>0.04</v>
      </c>
      <c r="Y17" s="15">
        <v>0.01</v>
      </c>
      <c r="Z17" s="15">
        <v>0.04</v>
      </c>
      <c r="AA17" s="15">
        <v>0.08</v>
      </c>
      <c r="AB17" s="15">
        <v>0.1</v>
      </c>
      <c r="AC17" s="15">
        <v>0.02</v>
      </c>
      <c r="AD17" s="15">
        <v>0.03</v>
      </c>
      <c r="AE17" s="15">
        <v>0.12</v>
      </c>
      <c r="AF17" s="15">
        <v>0.02</v>
      </c>
      <c r="AG17" s="15">
        <v>0.15</v>
      </c>
      <c r="AH17" s="15">
        <v>0.04</v>
      </c>
      <c r="AI17" s="15">
        <v>0.08</v>
      </c>
      <c r="AJ17" s="15">
        <v>0.02</v>
      </c>
      <c r="AK17" s="15">
        <v>0.08</v>
      </c>
      <c r="AL17" s="15">
        <v>0.35</v>
      </c>
      <c r="AM17" s="15">
        <v>0.16</v>
      </c>
      <c r="AN17" s="15">
        <v>0.03</v>
      </c>
      <c r="AO17" s="15">
        <v>0.2</v>
      </c>
      <c r="AP17" s="15">
        <v>0.01</v>
      </c>
      <c r="AQ17" s="15">
        <v>0.31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237</v>
      </c>
      <c r="C3" s="18"/>
      <c r="D3" s="18"/>
      <c r="E3" s="18"/>
      <c r="F3" s="18"/>
      <c r="H3" s="18" t="s">
        <v>238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79335</v>
      </c>
      <c r="D10" s="10">
        <v>3038</v>
      </c>
      <c r="E10" s="10">
        <v>3091</v>
      </c>
      <c r="F10" s="10">
        <v>3307</v>
      </c>
      <c r="G10" s="10">
        <v>3018</v>
      </c>
      <c r="H10" s="10">
        <v>3662</v>
      </c>
      <c r="I10" s="10">
        <v>4548</v>
      </c>
      <c r="J10" s="10">
        <v>886</v>
      </c>
      <c r="K10" s="10">
        <v>3006</v>
      </c>
      <c r="L10" s="10">
        <v>3006</v>
      </c>
      <c r="M10" s="10">
        <v>3029</v>
      </c>
      <c r="N10" s="10">
        <v>3007</v>
      </c>
      <c r="O10" s="10">
        <v>3002</v>
      </c>
      <c r="P10" s="10">
        <v>3012</v>
      </c>
      <c r="Q10" s="10">
        <v>3081</v>
      </c>
      <c r="R10" s="10">
        <v>1511</v>
      </c>
      <c r="S10" s="10">
        <v>3006</v>
      </c>
      <c r="T10" s="10">
        <v>3019</v>
      </c>
      <c r="U10" s="10">
        <v>1513</v>
      </c>
      <c r="V10" s="10">
        <v>3045</v>
      </c>
      <c r="W10" s="10">
        <v>1526</v>
      </c>
      <c r="X10" s="10">
        <v>3027</v>
      </c>
      <c r="Y10" s="10">
        <v>3009</v>
      </c>
      <c r="Z10" s="10">
        <v>3093</v>
      </c>
      <c r="AA10" s="10">
        <v>3099</v>
      </c>
      <c r="AB10" s="10">
        <v>3154</v>
      </c>
      <c r="AC10" s="10">
        <v>3009</v>
      </c>
      <c r="AD10" s="10">
        <v>3015</v>
      </c>
      <c r="AE10" s="10">
        <v>3038</v>
      </c>
      <c r="AF10" s="10">
        <v>3128</v>
      </c>
      <c r="AG10" s="10">
        <v>3104</v>
      </c>
      <c r="AH10" s="10">
        <v>3039</v>
      </c>
      <c r="AI10" s="10">
        <v>1568</v>
      </c>
      <c r="AJ10" s="10">
        <v>3111</v>
      </c>
      <c r="AK10" s="10">
        <v>3020</v>
      </c>
      <c r="AL10" s="10">
        <v>3036</v>
      </c>
      <c r="AM10" s="10">
        <v>3121</v>
      </c>
      <c r="AN10" s="10">
        <v>3010</v>
      </c>
      <c r="AO10" s="10">
        <v>3016</v>
      </c>
      <c r="AP10" s="10">
        <v>1572</v>
      </c>
      <c r="AQ10" s="10">
        <v>3005</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1151</v>
      </c>
      <c r="C12" s="12">
        <v>50985</v>
      </c>
      <c r="D12" s="12">
        <v>1915</v>
      </c>
      <c r="E12" s="12">
        <v>2060</v>
      </c>
      <c r="F12" s="12">
        <v>2084</v>
      </c>
      <c r="G12" s="12">
        <v>2140</v>
      </c>
      <c r="H12" s="12">
        <v>2383</v>
      </c>
      <c r="I12" s="12">
        <v>2929</v>
      </c>
      <c r="J12" s="12">
        <v>546</v>
      </c>
      <c r="K12" s="12">
        <v>1889</v>
      </c>
      <c r="L12" s="12">
        <v>1956</v>
      </c>
      <c r="M12" s="12">
        <v>2152</v>
      </c>
      <c r="N12" s="12">
        <v>1673</v>
      </c>
      <c r="O12" s="12">
        <v>1743</v>
      </c>
      <c r="P12" s="12">
        <v>2038</v>
      </c>
      <c r="Q12" s="12">
        <v>2160</v>
      </c>
      <c r="R12" s="12">
        <v>1114</v>
      </c>
      <c r="S12" s="12">
        <v>1692</v>
      </c>
      <c r="T12" s="12">
        <v>2047</v>
      </c>
      <c r="U12" s="12">
        <v>1059</v>
      </c>
      <c r="V12" s="12">
        <v>2096</v>
      </c>
      <c r="W12" s="12">
        <v>1132</v>
      </c>
      <c r="X12" s="12">
        <v>1858</v>
      </c>
      <c r="Y12" s="12">
        <v>1976</v>
      </c>
      <c r="Z12" s="12">
        <v>2151</v>
      </c>
      <c r="AA12" s="12">
        <v>2006</v>
      </c>
      <c r="AB12" s="12">
        <v>2103</v>
      </c>
      <c r="AC12" s="12">
        <v>2065</v>
      </c>
      <c r="AD12" s="12">
        <v>2156</v>
      </c>
      <c r="AE12" s="12">
        <v>1838</v>
      </c>
      <c r="AF12" s="12">
        <v>2228</v>
      </c>
      <c r="AG12" s="12">
        <v>1343</v>
      </c>
      <c r="AH12" s="12">
        <v>1944</v>
      </c>
      <c r="AI12" s="12">
        <v>767</v>
      </c>
      <c r="AJ12" s="12">
        <v>2060</v>
      </c>
      <c r="AK12" s="12">
        <v>1527</v>
      </c>
      <c r="AL12" s="12">
        <v>1126</v>
      </c>
      <c r="AM12" s="12">
        <v>1512</v>
      </c>
      <c r="AN12" s="12">
        <v>1843</v>
      </c>
      <c r="AO12" s="12">
        <v>1489</v>
      </c>
      <c r="AP12" s="12">
        <v>1074</v>
      </c>
      <c r="AQ12" s="12">
        <v>973</v>
      </c>
    </row>
    <row r="13" spans="1:43" x14ac:dyDescent="0.35">
      <c r="A13" s="19"/>
      <c r="B13" s="13" t="s">
        <v>1152</v>
      </c>
      <c r="C13" s="15">
        <v>0.64</v>
      </c>
      <c r="D13" s="15">
        <v>0.63</v>
      </c>
      <c r="E13" s="15">
        <v>0.67</v>
      </c>
      <c r="F13" s="15">
        <v>0.63</v>
      </c>
      <c r="G13" s="15">
        <v>0.71</v>
      </c>
      <c r="H13" s="15">
        <v>0.65</v>
      </c>
      <c r="I13" s="15">
        <v>0.64</v>
      </c>
      <c r="J13" s="15">
        <v>0.62</v>
      </c>
      <c r="K13" s="15">
        <v>0.63</v>
      </c>
      <c r="L13" s="15">
        <v>0.65</v>
      </c>
      <c r="M13" s="15">
        <v>0.71</v>
      </c>
      <c r="N13" s="15">
        <v>0.56000000000000005</v>
      </c>
      <c r="O13" s="15">
        <v>0.57999999999999996</v>
      </c>
      <c r="P13" s="15">
        <v>0.68</v>
      </c>
      <c r="Q13" s="15">
        <v>0.70000000000000007</v>
      </c>
      <c r="R13" s="15">
        <v>0.74</v>
      </c>
      <c r="S13" s="15">
        <v>0.56000000000000005</v>
      </c>
      <c r="T13" s="15">
        <v>0.68</v>
      </c>
      <c r="U13" s="15">
        <v>0.70000000000000007</v>
      </c>
      <c r="V13" s="15">
        <v>0.69000000000000006</v>
      </c>
      <c r="W13" s="15">
        <v>0.74</v>
      </c>
      <c r="X13" s="15">
        <v>0.62</v>
      </c>
      <c r="Y13" s="15">
        <v>0.66</v>
      </c>
      <c r="Z13" s="15">
        <v>0.70000000000000007</v>
      </c>
      <c r="AA13" s="15">
        <v>0.65</v>
      </c>
      <c r="AB13" s="15">
        <v>0.67</v>
      </c>
      <c r="AC13" s="15">
        <v>0.69000000000000006</v>
      </c>
      <c r="AD13" s="15">
        <v>0.71</v>
      </c>
      <c r="AE13" s="15">
        <v>0.6</v>
      </c>
      <c r="AF13" s="15">
        <v>0.71</v>
      </c>
      <c r="AG13" s="15">
        <v>0.43</v>
      </c>
      <c r="AH13" s="15">
        <v>0.64</v>
      </c>
      <c r="AI13" s="15">
        <v>0.49</v>
      </c>
      <c r="AJ13" s="15">
        <v>0.66</v>
      </c>
      <c r="AK13" s="15">
        <v>0.51</v>
      </c>
      <c r="AL13" s="15">
        <v>0.37</v>
      </c>
      <c r="AM13" s="15">
        <v>0.48</v>
      </c>
      <c r="AN13" s="15">
        <v>0.61</v>
      </c>
      <c r="AO13" s="15">
        <v>0.5</v>
      </c>
      <c r="AP13" s="15">
        <v>0.68</v>
      </c>
      <c r="AQ13" s="15">
        <v>0.32</v>
      </c>
    </row>
    <row r="14" spans="1:43" ht="21.5" x14ac:dyDescent="0.35">
      <c r="A14" s="19"/>
      <c r="B14" s="11" t="s">
        <v>1153</v>
      </c>
      <c r="C14" s="12">
        <v>21321</v>
      </c>
      <c r="D14" s="12">
        <v>981</v>
      </c>
      <c r="E14" s="12">
        <v>559</v>
      </c>
      <c r="F14" s="12">
        <v>915</v>
      </c>
      <c r="G14" s="12">
        <v>507</v>
      </c>
      <c r="H14" s="12">
        <v>1007</v>
      </c>
      <c r="I14" s="12">
        <v>1303</v>
      </c>
      <c r="J14" s="12">
        <v>296</v>
      </c>
      <c r="K14" s="12">
        <v>807</v>
      </c>
      <c r="L14" s="12">
        <v>796</v>
      </c>
      <c r="M14" s="12">
        <v>581</v>
      </c>
      <c r="N14" s="12">
        <v>898</v>
      </c>
      <c r="O14" s="12">
        <v>871</v>
      </c>
      <c r="P14" s="12">
        <v>824</v>
      </c>
      <c r="Q14" s="12">
        <v>764</v>
      </c>
      <c r="R14" s="12">
        <v>180</v>
      </c>
      <c r="S14" s="12">
        <v>709</v>
      </c>
      <c r="T14" s="12">
        <v>547</v>
      </c>
      <c r="U14" s="12">
        <v>325</v>
      </c>
      <c r="V14" s="12">
        <v>852</v>
      </c>
      <c r="W14" s="12">
        <v>261</v>
      </c>
      <c r="X14" s="12">
        <v>948</v>
      </c>
      <c r="Y14" s="12">
        <v>859</v>
      </c>
      <c r="Z14" s="12">
        <v>777</v>
      </c>
      <c r="AA14" s="12">
        <v>725</v>
      </c>
      <c r="AB14" s="12">
        <v>757</v>
      </c>
      <c r="AC14" s="12">
        <v>717</v>
      </c>
      <c r="AD14" s="12">
        <v>717</v>
      </c>
      <c r="AE14" s="12">
        <v>667</v>
      </c>
      <c r="AF14" s="12">
        <v>738</v>
      </c>
      <c r="AG14" s="12">
        <v>1290</v>
      </c>
      <c r="AH14" s="12">
        <v>851</v>
      </c>
      <c r="AI14" s="12">
        <v>680</v>
      </c>
      <c r="AJ14" s="12">
        <v>895</v>
      </c>
      <c r="AK14" s="12">
        <v>1087</v>
      </c>
      <c r="AL14" s="12">
        <v>832</v>
      </c>
      <c r="AM14" s="12">
        <v>965</v>
      </c>
      <c r="AN14" s="12">
        <v>1001</v>
      </c>
      <c r="AO14" s="12">
        <v>824</v>
      </c>
      <c r="AP14" s="12">
        <v>481</v>
      </c>
      <c r="AQ14" s="12">
        <v>974</v>
      </c>
    </row>
    <row r="15" spans="1:43" x14ac:dyDescent="0.35">
      <c r="A15" s="19"/>
      <c r="B15" s="13" t="s">
        <v>1154</v>
      </c>
      <c r="C15" s="15">
        <v>0.27</v>
      </c>
      <c r="D15" s="15">
        <v>0.32</v>
      </c>
      <c r="E15" s="15">
        <v>0.18</v>
      </c>
      <c r="F15" s="15">
        <v>0.28000000000000003</v>
      </c>
      <c r="G15" s="15">
        <v>0.17</v>
      </c>
      <c r="H15" s="15">
        <v>0.28000000000000003</v>
      </c>
      <c r="I15" s="15">
        <v>0.28999999999999998</v>
      </c>
      <c r="J15" s="15">
        <v>0.33</v>
      </c>
      <c r="K15" s="15">
        <v>0.27</v>
      </c>
      <c r="L15" s="15">
        <v>0.27</v>
      </c>
      <c r="M15" s="15">
        <v>0.19</v>
      </c>
      <c r="N15" s="15">
        <v>0.3</v>
      </c>
      <c r="O15" s="15">
        <v>0.28999999999999998</v>
      </c>
      <c r="P15" s="15">
        <v>0.27</v>
      </c>
      <c r="Q15" s="15">
        <v>0.25</v>
      </c>
      <c r="R15" s="15">
        <v>0.12</v>
      </c>
      <c r="S15" s="15">
        <v>0.24</v>
      </c>
      <c r="T15" s="15">
        <v>0.18</v>
      </c>
      <c r="U15" s="15">
        <v>0.21</v>
      </c>
      <c r="V15" s="15">
        <v>0.28000000000000003</v>
      </c>
      <c r="W15" s="15">
        <v>0.17</v>
      </c>
      <c r="X15" s="15">
        <v>0.31</v>
      </c>
      <c r="Y15" s="15">
        <v>0.28000000000000003</v>
      </c>
      <c r="Z15" s="15">
        <v>0.25</v>
      </c>
      <c r="AA15" s="15">
        <v>0.23</v>
      </c>
      <c r="AB15" s="15">
        <v>0.24</v>
      </c>
      <c r="AC15" s="15">
        <v>0.24</v>
      </c>
      <c r="AD15" s="15">
        <v>0.24</v>
      </c>
      <c r="AE15" s="15">
        <v>0.22</v>
      </c>
      <c r="AF15" s="15">
        <v>0.24</v>
      </c>
      <c r="AG15" s="15">
        <v>0.42</v>
      </c>
      <c r="AH15" s="15">
        <v>0.28000000000000003</v>
      </c>
      <c r="AI15" s="15">
        <v>0.43</v>
      </c>
      <c r="AJ15" s="15">
        <v>0.28999999999999998</v>
      </c>
      <c r="AK15" s="15">
        <v>0.36</v>
      </c>
      <c r="AL15" s="15">
        <v>0.27</v>
      </c>
      <c r="AM15" s="15">
        <v>0.31</v>
      </c>
      <c r="AN15" s="15">
        <v>0.33</v>
      </c>
      <c r="AO15" s="15">
        <v>0.27</v>
      </c>
      <c r="AP15" s="15">
        <v>0.31</v>
      </c>
      <c r="AQ15" s="15">
        <v>0.33</v>
      </c>
    </row>
    <row r="16" spans="1:43" x14ac:dyDescent="0.35">
      <c r="A16" s="19"/>
      <c r="B16" s="11" t="s">
        <v>485</v>
      </c>
      <c r="C16" s="12">
        <v>7029</v>
      </c>
      <c r="D16" s="12">
        <v>142</v>
      </c>
      <c r="E16" s="12">
        <v>472</v>
      </c>
      <c r="F16" s="12">
        <v>308</v>
      </c>
      <c r="G16" s="12">
        <v>371</v>
      </c>
      <c r="H16" s="12">
        <v>272</v>
      </c>
      <c r="I16" s="12">
        <v>316</v>
      </c>
      <c r="J16" s="12">
        <v>44</v>
      </c>
      <c r="K16" s="12">
        <v>310</v>
      </c>
      <c r="L16" s="12">
        <v>254</v>
      </c>
      <c r="M16" s="12">
        <v>296</v>
      </c>
      <c r="N16" s="12">
        <v>436</v>
      </c>
      <c r="O16" s="12">
        <v>388</v>
      </c>
      <c r="P16" s="12">
        <v>150</v>
      </c>
      <c r="Q16" s="12">
        <v>157</v>
      </c>
      <c r="R16" s="12">
        <v>217</v>
      </c>
      <c r="S16" s="12">
        <v>605</v>
      </c>
      <c r="T16" s="12">
        <v>425</v>
      </c>
      <c r="U16" s="12">
        <v>129</v>
      </c>
      <c r="V16" s="12">
        <v>97</v>
      </c>
      <c r="W16" s="12">
        <v>133</v>
      </c>
      <c r="X16" s="12">
        <v>221</v>
      </c>
      <c r="Y16" s="12">
        <v>174</v>
      </c>
      <c r="Z16" s="12">
        <v>165</v>
      </c>
      <c r="AA16" s="12">
        <v>368</v>
      </c>
      <c r="AB16" s="12">
        <v>294</v>
      </c>
      <c r="AC16" s="12">
        <v>227</v>
      </c>
      <c r="AD16" s="12">
        <v>142</v>
      </c>
      <c r="AE16" s="12">
        <v>533</v>
      </c>
      <c r="AF16" s="12">
        <v>162</v>
      </c>
      <c r="AG16" s="12">
        <v>471</v>
      </c>
      <c r="AH16" s="12">
        <v>244</v>
      </c>
      <c r="AI16" s="12">
        <v>121</v>
      </c>
      <c r="AJ16" s="12">
        <v>156</v>
      </c>
      <c r="AK16" s="12">
        <v>406</v>
      </c>
      <c r="AL16" s="12">
        <v>1078</v>
      </c>
      <c r="AM16" s="12">
        <v>644</v>
      </c>
      <c r="AN16" s="12">
        <v>166</v>
      </c>
      <c r="AO16" s="12">
        <v>703</v>
      </c>
      <c r="AP16" s="12">
        <v>17</v>
      </c>
      <c r="AQ16" s="12">
        <v>1058</v>
      </c>
    </row>
    <row r="17" spans="1:43" x14ac:dyDescent="0.35">
      <c r="A17" s="19"/>
      <c r="B17" s="13" t="s">
        <v>486</v>
      </c>
      <c r="C17" s="15">
        <v>0.09</v>
      </c>
      <c r="D17" s="15">
        <v>0.05</v>
      </c>
      <c r="E17" s="15">
        <v>0.15</v>
      </c>
      <c r="F17" s="15">
        <v>0.09</v>
      </c>
      <c r="G17" s="15">
        <v>0.12</v>
      </c>
      <c r="H17" s="15">
        <v>7.0000000000000007E-2</v>
      </c>
      <c r="I17" s="15">
        <v>7.0000000000000007E-2</v>
      </c>
      <c r="J17" s="15">
        <v>0.05</v>
      </c>
      <c r="K17" s="15">
        <v>0.1</v>
      </c>
      <c r="L17" s="15">
        <v>0.08</v>
      </c>
      <c r="M17" s="15">
        <v>0.1</v>
      </c>
      <c r="N17" s="15">
        <v>0.14000000000000001</v>
      </c>
      <c r="O17" s="15">
        <v>0.13</v>
      </c>
      <c r="P17" s="15">
        <v>0.05</v>
      </c>
      <c r="Q17" s="15">
        <v>0.05</v>
      </c>
      <c r="R17" s="15">
        <v>0.14000000000000001</v>
      </c>
      <c r="S17" s="15">
        <v>0.2</v>
      </c>
      <c r="T17" s="15">
        <v>0.14000000000000001</v>
      </c>
      <c r="U17" s="15">
        <v>0.09</v>
      </c>
      <c r="V17" s="15">
        <v>0.03</v>
      </c>
      <c r="W17" s="15">
        <v>0.09</v>
      </c>
      <c r="X17" s="15">
        <v>7.0000000000000007E-2</v>
      </c>
      <c r="Y17" s="15">
        <v>0.06</v>
      </c>
      <c r="Z17" s="15">
        <v>0.05</v>
      </c>
      <c r="AA17" s="15">
        <v>0.12</v>
      </c>
      <c r="AB17" s="15">
        <v>0.09</v>
      </c>
      <c r="AC17" s="15">
        <v>7.0000000000000007E-2</v>
      </c>
      <c r="AD17" s="15">
        <v>0.05</v>
      </c>
      <c r="AE17" s="15">
        <v>0.18</v>
      </c>
      <c r="AF17" s="15">
        <v>0.05</v>
      </c>
      <c r="AG17" s="15">
        <v>0.15</v>
      </c>
      <c r="AH17" s="15">
        <v>0.08</v>
      </c>
      <c r="AI17" s="15">
        <v>0.08</v>
      </c>
      <c r="AJ17" s="15">
        <v>0.05</v>
      </c>
      <c r="AK17" s="15">
        <v>0.13</v>
      </c>
      <c r="AL17" s="15">
        <v>0.36</v>
      </c>
      <c r="AM17" s="15">
        <v>0.21</v>
      </c>
      <c r="AN17" s="15">
        <v>0.06</v>
      </c>
      <c r="AO17" s="15">
        <v>0.23</v>
      </c>
      <c r="AP17" s="15">
        <v>0.01</v>
      </c>
      <c r="AQ17" s="15">
        <v>0.35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239</v>
      </c>
      <c r="C3" s="18"/>
      <c r="D3" s="18"/>
      <c r="E3" s="18"/>
      <c r="F3" s="18"/>
      <c r="H3" s="18" t="s">
        <v>240</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1155</v>
      </c>
      <c r="C12" s="12">
        <v>25148</v>
      </c>
      <c r="D12" s="12">
        <v>974</v>
      </c>
      <c r="E12" s="12">
        <v>969</v>
      </c>
      <c r="F12" s="12">
        <v>997</v>
      </c>
      <c r="G12" s="12">
        <v>951</v>
      </c>
      <c r="H12" s="12">
        <v>1202</v>
      </c>
      <c r="I12" s="12">
        <v>1492</v>
      </c>
      <c r="J12" s="12">
        <v>289</v>
      </c>
      <c r="K12" s="12">
        <v>940</v>
      </c>
      <c r="L12" s="12">
        <v>950</v>
      </c>
      <c r="M12" s="12">
        <v>972</v>
      </c>
      <c r="N12" s="12">
        <v>892</v>
      </c>
      <c r="O12" s="12">
        <v>933</v>
      </c>
      <c r="P12" s="12">
        <v>976</v>
      </c>
      <c r="Q12" s="12">
        <v>997</v>
      </c>
      <c r="R12" s="12">
        <v>491</v>
      </c>
      <c r="S12" s="12">
        <v>900</v>
      </c>
      <c r="T12" s="12">
        <v>939</v>
      </c>
      <c r="U12" s="12">
        <v>487</v>
      </c>
      <c r="V12" s="12">
        <v>996</v>
      </c>
      <c r="W12" s="12">
        <v>490</v>
      </c>
      <c r="X12" s="12">
        <v>941</v>
      </c>
      <c r="Y12" s="12">
        <v>992</v>
      </c>
      <c r="Z12" s="12">
        <v>1002</v>
      </c>
      <c r="AA12" s="12">
        <v>959</v>
      </c>
      <c r="AB12" s="12">
        <v>984</v>
      </c>
      <c r="AC12" s="12">
        <v>979</v>
      </c>
      <c r="AD12" s="12">
        <v>975</v>
      </c>
      <c r="AE12" s="12">
        <v>914</v>
      </c>
      <c r="AF12" s="12">
        <v>1023</v>
      </c>
      <c r="AG12" s="12">
        <v>835</v>
      </c>
      <c r="AH12" s="12">
        <v>957</v>
      </c>
      <c r="AI12" s="12">
        <v>466</v>
      </c>
      <c r="AJ12" s="12">
        <v>984</v>
      </c>
      <c r="AK12" s="12">
        <v>893</v>
      </c>
      <c r="AL12" s="12">
        <v>712</v>
      </c>
      <c r="AM12" s="12">
        <v>837</v>
      </c>
      <c r="AN12" s="12">
        <v>940</v>
      </c>
      <c r="AO12" s="12">
        <v>791</v>
      </c>
      <c r="AP12" s="12">
        <v>501</v>
      </c>
      <c r="AQ12" s="12">
        <v>671</v>
      </c>
    </row>
    <row r="13" spans="1:43" x14ac:dyDescent="0.35">
      <c r="A13" s="19"/>
      <c r="B13" s="13" t="s">
        <v>1156</v>
      </c>
      <c r="C13" s="15">
        <v>0.95000000000000007</v>
      </c>
      <c r="D13" s="15">
        <v>0.96</v>
      </c>
      <c r="E13" s="15">
        <v>0.94000000000000006</v>
      </c>
      <c r="F13" s="15">
        <v>0.91</v>
      </c>
      <c r="G13" s="15">
        <v>0.95000000000000007</v>
      </c>
      <c r="H13" s="15">
        <v>0.98</v>
      </c>
      <c r="I13" s="15">
        <v>0.98</v>
      </c>
      <c r="J13" s="15">
        <v>0.98</v>
      </c>
      <c r="K13" s="15">
        <v>0.94000000000000006</v>
      </c>
      <c r="L13" s="15">
        <v>0.95000000000000007</v>
      </c>
      <c r="M13" s="15">
        <v>0.96</v>
      </c>
      <c r="N13" s="15">
        <v>0.89</v>
      </c>
      <c r="O13" s="15">
        <v>0.93</v>
      </c>
      <c r="P13" s="15">
        <v>0.97</v>
      </c>
      <c r="Q13" s="15">
        <v>0.97</v>
      </c>
      <c r="R13" s="15">
        <v>0.97</v>
      </c>
      <c r="S13" s="15">
        <v>0.9</v>
      </c>
      <c r="T13" s="15">
        <v>0.93</v>
      </c>
      <c r="U13" s="15">
        <v>0.97</v>
      </c>
      <c r="V13" s="15">
        <v>0.98</v>
      </c>
      <c r="W13" s="15">
        <v>0.96</v>
      </c>
      <c r="X13" s="15">
        <v>0.93</v>
      </c>
      <c r="Y13" s="15">
        <v>0.99</v>
      </c>
      <c r="Z13" s="15">
        <v>0.97</v>
      </c>
      <c r="AA13" s="15">
        <v>0.93</v>
      </c>
      <c r="AB13" s="15">
        <v>0.94000000000000006</v>
      </c>
      <c r="AC13" s="15">
        <v>0.98</v>
      </c>
      <c r="AD13" s="15">
        <v>0.97</v>
      </c>
      <c r="AE13" s="15">
        <v>0.9</v>
      </c>
      <c r="AF13" s="15">
        <v>0.98</v>
      </c>
      <c r="AG13" s="15">
        <v>0.81</v>
      </c>
      <c r="AH13" s="15">
        <v>0.94000000000000006</v>
      </c>
      <c r="AI13" s="15">
        <v>0.89</v>
      </c>
      <c r="AJ13" s="15">
        <v>0.95000000000000007</v>
      </c>
      <c r="AK13" s="15">
        <v>0.89</v>
      </c>
      <c r="AL13" s="15">
        <v>0.70000000000000007</v>
      </c>
      <c r="AM13" s="15">
        <v>0.8</v>
      </c>
      <c r="AN13" s="15">
        <v>0.94000000000000006</v>
      </c>
      <c r="AO13" s="15">
        <v>0.79</v>
      </c>
      <c r="AP13" s="15">
        <v>0.96</v>
      </c>
      <c r="AQ13" s="15">
        <v>0.67</v>
      </c>
    </row>
    <row r="14" spans="1:43" x14ac:dyDescent="0.35">
      <c r="A14" s="19"/>
      <c r="B14" s="11" t="s">
        <v>1157</v>
      </c>
      <c r="C14" s="12">
        <v>1297</v>
      </c>
      <c r="D14" s="12">
        <v>39</v>
      </c>
      <c r="E14" s="12">
        <v>61</v>
      </c>
      <c r="F14" s="12">
        <v>105</v>
      </c>
      <c r="G14" s="12">
        <v>55</v>
      </c>
      <c r="H14" s="12">
        <v>19</v>
      </c>
      <c r="I14" s="12">
        <v>24</v>
      </c>
      <c r="J14" s="12">
        <v>6</v>
      </c>
      <c r="K14" s="12">
        <v>62</v>
      </c>
      <c r="L14" s="12">
        <v>52</v>
      </c>
      <c r="M14" s="12">
        <v>38</v>
      </c>
      <c r="N14" s="12">
        <v>111</v>
      </c>
      <c r="O14" s="12">
        <v>68</v>
      </c>
      <c r="P14" s="12">
        <v>28</v>
      </c>
      <c r="Q14" s="12">
        <v>30</v>
      </c>
      <c r="R14" s="12">
        <v>13</v>
      </c>
      <c r="S14" s="12">
        <v>102</v>
      </c>
      <c r="T14" s="12">
        <v>67</v>
      </c>
      <c r="U14" s="12">
        <v>17</v>
      </c>
      <c r="V14" s="12">
        <v>19</v>
      </c>
      <c r="W14" s="12">
        <v>18</v>
      </c>
      <c r="X14" s="12">
        <v>68</v>
      </c>
      <c r="Y14" s="12">
        <v>11</v>
      </c>
      <c r="Z14" s="12">
        <v>29</v>
      </c>
      <c r="AA14" s="12">
        <v>74</v>
      </c>
      <c r="AB14" s="12">
        <v>67</v>
      </c>
      <c r="AC14" s="12">
        <v>24</v>
      </c>
      <c r="AD14" s="12">
        <v>30</v>
      </c>
      <c r="AE14" s="12">
        <v>98</v>
      </c>
      <c r="AF14" s="12">
        <v>20</v>
      </c>
      <c r="AG14" s="12">
        <v>200</v>
      </c>
      <c r="AH14" s="12">
        <v>56</v>
      </c>
      <c r="AI14" s="12">
        <v>57</v>
      </c>
      <c r="AJ14" s="12">
        <v>53</v>
      </c>
      <c r="AK14" s="12">
        <v>114</v>
      </c>
      <c r="AL14" s="12">
        <v>300</v>
      </c>
      <c r="AM14" s="12">
        <v>203</v>
      </c>
      <c r="AN14" s="12">
        <v>63</v>
      </c>
      <c r="AO14" s="12">
        <v>214</v>
      </c>
      <c r="AP14" s="12">
        <v>23</v>
      </c>
      <c r="AQ14" s="12">
        <v>331</v>
      </c>
    </row>
    <row r="15" spans="1:43" x14ac:dyDescent="0.35">
      <c r="A15" s="19"/>
      <c r="B15" s="13" t="s">
        <v>1158</v>
      </c>
      <c r="C15" s="15">
        <v>0.05</v>
      </c>
      <c r="D15" s="15">
        <v>0.04</v>
      </c>
      <c r="E15" s="15">
        <v>0.06</v>
      </c>
      <c r="F15" s="15">
        <v>0.09</v>
      </c>
      <c r="G15" s="15">
        <v>0.05</v>
      </c>
      <c r="H15" s="15">
        <v>0.02</v>
      </c>
      <c r="I15" s="15">
        <v>0.02</v>
      </c>
      <c r="J15" s="15">
        <v>0.02</v>
      </c>
      <c r="K15" s="15">
        <v>0.06</v>
      </c>
      <c r="L15" s="15">
        <v>0.05</v>
      </c>
      <c r="M15" s="15">
        <v>0.04</v>
      </c>
      <c r="N15" s="15">
        <v>0.11</v>
      </c>
      <c r="O15" s="15">
        <v>7.0000000000000007E-2</v>
      </c>
      <c r="P15" s="15">
        <v>0.03</v>
      </c>
      <c r="Q15" s="15">
        <v>0.03</v>
      </c>
      <c r="R15" s="15">
        <v>0.03</v>
      </c>
      <c r="S15" s="15">
        <v>0.1</v>
      </c>
      <c r="T15" s="15">
        <v>7.0000000000000007E-2</v>
      </c>
      <c r="U15" s="15">
        <v>0.03</v>
      </c>
      <c r="V15" s="15">
        <v>0.02</v>
      </c>
      <c r="W15" s="15">
        <v>0.04</v>
      </c>
      <c r="X15" s="15">
        <v>7.0000000000000007E-2</v>
      </c>
      <c r="Y15" s="15">
        <v>0.01</v>
      </c>
      <c r="Z15" s="15">
        <v>0.03</v>
      </c>
      <c r="AA15" s="15">
        <v>7.0000000000000007E-2</v>
      </c>
      <c r="AB15" s="15">
        <v>0.06</v>
      </c>
      <c r="AC15" s="15">
        <v>0.02</v>
      </c>
      <c r="AD15" s="15">
        <v>0.03</v>
      </c>
      <c r="AE15" s="15">
        <v>0.1</v>
      </c>
      <c r="AF15" s="15">
        <v>0.02</v>
      </c>
      <c r="AG15" s="15">
        <v>0.19</v>
      </c>
      <c r="AH15" s="15">
        <v>0.06</v>
      </c>
      <c r="AI15" s="15">
        <v>0.11</v>
      </c>
      <c r="AJ15" s="15">
        <v>0.05</v>
      </c>
      <c r="AK15" s="15">
        <v>0.11</v>
      </c>
      <c r="AL15" s="15">
        <v>0.3</v>
      </c>
      <c r="AM15" s="15">
        <v>0.2</v>
      </c>
      <c r="AN15" s="15">
        <v>0.06</v>
      </c>
      <c r="AO15" s="15">
        <v>0.21</v>
      </c>
      <c r="AP15" s="15">
        <v>0.04</v>
      </c>
      <c r="AQ15" s="15">
        <v>0.33</v>
      </c>
    </row>
    <row r="16" spans="1:43" x14ac:dyDescent="0.35">
      <c r="A16" s="19"/>
      <c r="B16" s="11" t="s">
        <v>1159</v>
      </c>
      <c r="C16" s="12">
        <v>6437</v>
      </c>
      <c r="D16" s="12">
        <v>285</v>
      </c>
      <c r="E16" s="12">
        <v>206</v>
      </c>
      <c r="F16" s="12">
        <v>208</v>
      </c>
      <c r="G16" s="12">
        <v>151</v>
      </c>
      <c r="H16" s="12">
        <v>321</v>
      </c>
      <c r="I16" s="12">
        <v>406</v>
      </c>
      <c r="J16" s="12">
        <v>84</v>
      </c>
      <c r="K16" s="12">
        <v>222</v>
      </c>
      <c r="L16" s="12">
        <v>188</v>
      </c>
      <c r="M16" s="12">
        <v>162</v>
      </c>
      <c r="N16" s="12">
        <v>285</v>
      </c>
      <c r="O16" s="12">
        <v>318</v>
      </c>
      <c r="P16" s="12">
        <v>190</v>
      </c>
      <c r="Q16" s="12">
        <v>230</v>
      </c>
      <c r="R16" s="12">
        <v>87</v>
      </c>
      <c r="S16" s="12">
        <v>279</v>
      </c>
      <c r="T16" s="12">
        <v>181</v>
      </c>
      <c r="U16" s="12">
        <v>89</v>
      </c>
      <c r="V16" s="12">
        <v>204</v>
      </c>
      <c r="W16" s="12">
        <v>71</v>
      </c>
      <c r="X16" s="12">
        <v>258</v>
      </c>
      <c r="Y16" s="12">
        <v>258</v>
      </c>
      <c r="Z16" s="12">
        <v>195</v>
      </c>
      <c r="AA16" s="12">
        <v>194</v>
      </c>
      <c r="AB16" s="12">
        <v>189</v>
      </c>
      <c r="AC16" s="12">
        <v>188</v>
      </c>
      <c r="AD16" s="12">
        <v>134</v>
      </c>
      <c r="AE16" s="12">
        <v>239</v>
      </c>
      <c r="AF16" s="12">
        <v>198</v>
      </c>
      <c r="AG16" s="12">
        <v>390</v>
      </c>
      <c r="AH16" s="12">
        <v>253</v>
      </c>
      <c r="AI16" s="12">
        <v>208</v>
      </c>
      <c r="AJ16" s="12">
        <v>265</v>
      </c>
      <c r="AK16" s="12">
        <v>402</v>
      </c>
      <c r="AL16" s="12">
        <v>353</v>
      </c>
      <c r="AM16" s="12">
        <v>310</v>
      </c>
      <c r="AN16" s="12">
        <v>326</v>
      </c>
      <c r="AO16" s="12">
        <v>235</v>
      </c>
      <c r="AP16" s="12">
        <v>96</v>
      </c>
      <c r="AQ16" s="12">
        <v>399</v>
      </c>
    </row>
    <row r="17" spans="1:43" x14ac:dyDescent="0.35">
      <c r="A17" s="19"/>
      <c r="B17" s="13" t="s">
        <v>1160</v>
      </c>
      <c r="C17" s="15">
        <v>0.24</v>
      </c>
      <c r="D17" s="15">
        <v>0.28000000000000003</v>
      </c>
      <c r="E17" s="15">
        <v>0.2</v>
      </c>
      <c r="F17" s="15">
        <v>0.19</v>
      </c>
      <c r="G17" s="15">
        <v>0.15</v>
      </c>
      <c r="H17" s="15">
        <v>0.26</v>
      </c>
      <c r="I17" s="15">
        <v>0.27</v>
      </c>
      <c r="J17" s="15">
        <v>0.28999999999999998</v>
      </c>
      <c r="K17" s="15">
        <v>0.22</v>
      </c>
      <c r="L17" s="15">
        <v>0.19</v>
      </c>
      <c r="M17" s="15">
        <v>0.16</v>
      </c>
      <c r="N17" s="15">
        <v>0.28000000000000003</v>
      </c>
      <c r="O17" s="15">
        <v>0.32</v>
      </c>
      <c r="P17" s="15">
        <v>0.19</v>
      </c>
      <c r="Q17" s="15">
        <v>0.22</v>
      </c>
      <c r="R17" s="15">
        <v>0.17</v>
      </c>
      <c r="S17" s="15">
        <v>0.28000000000000003</v>
      </c>
      <c r="T17" s="15">
        <v>0.18</v>
      </c>
      <c r="U17" s="15">
        <v>0.18</v>
      </c>
      <c r="V17" s="15">
        <v>0.2</v>
      </c>
      <c r="W17" s="15">
        <v>0.14000000000000001</v>
      </c>
      <c r="X17" s="15">
        <v>0.26</v>
      </c>
      <c r="Y17" s="15">
        <v>0.26</v>
      </c>
      <c r="Z17" s="15">
        <v>0.19</v>
      </c>
      <c r="AA17" s="15">
        <v>0.19</v>
      </c>
      <c r="AB17" s="15">
        <v>0.18</v>
      </c>
      <c r="AC17" s="15">
        <v>0.19</v>
      </c>
      <c r="AD17" s="15">
        <v>0.13</v>
      </c>
      <c r="AE17" s="15">
        <v>0.24</v>
      </c>
      <c r="AF17" s="15">
        <v>0.19</v>
      </c>
      <c r="AG17" s="15">
        <v>0.38</v>
      </c>
      <c r="AH17" s="15">
        <v>0.25</v>
      </c>
      <c r="AI17" s="15">
        <v>0.4</v>
      </c>
      <c r="AJ17" s="15">
        <v>0.26</v>
      </c>
      <c r="AK17" s="15">
        <v>0.4</v>
      </c>
      <c r="AL17" s="15">
        <v>0.35</v>
      </c>
      <c r="AM17" s="15">
        <v>0.3</v>
      </c>
      <c r="AN17" s="15">
        <v>0.32</v>
      </c>
      <c r="AO17" s="15">
        <v>0.23</v>
      </c>
      <c r="AP17" s="15">
        <v>0.18</v>
      </c>
      <c r="AQ17" s="15">
        <v>0.4</v>
      </c>
    </row>
    <row r="18" spans="1:43" x14ac:dyDescent="0.35">
      <c r="A18" s="19"/>
      <c r="B18" s="11" t="s">
        <v>1161</v>
      </c>
      <c r="C18" s="12">
        <v>11585</v>
      </c>
      <c r="D18" s="12">
        <v>438</v>
      </c>
      <c r="E18" s="12">
        <v>434</v>
      </c>
      <c r="F18" s="12">
        <v>492</v>
      </c>
      <c r="G18" s="12">
        <v>413</v>
      </c>
      <c r="H18" s="12">
        <v>580</v>
      </c>
      <c r="I18" s="12">
        <v>734</v>
      </c>
      <c r="J18" s="12">
        <v>154</v>
      </c>
      <c r="K18" s="12">
        <v>489</v>
      </c>
      <c r="L18" s="12">
        <v>518</v>
      </c>
      <c r="M18" s="12">
        <v>441</v>
      </c>
      <c r="N18" s="12">
        <v>434</v>
      </c>
      <c r="O18" s="12">
        <v>418</v>
      </c>
      <c r="P18" s="12">
        <v>509</v>
      </c>
      <c r="Q18" s="12">
        <v>371</v>
      </c>
      <c r="R18" s="12">
        <v>184</v>
      </c>
      <c r="S18" s="12">
        <v>449</v>
      </c>
      <c r="T18" s="12">
        <v>408</v>
      </c>
      <c r="U18" s="12">
        <v>225</v>
      </c>
      <c r="V18" s="12">
        <v>485</v>
      </c>
      <c r="W18" s="12">
        <v>197</v>
      </c>
      <c r="X18" s="12">
        <v>450</v>
      </c>
      <c r="Y18" s="12">
        <v>486</v>
      </c>
      <c r="Z18" s="12">
        <v>464</v>
      </c>
      <c r="AA18" s="12">
        <v>483</v>
      </c>
      <c r="AB18" s="12">
        <v>471</v>
      </c>
      <c r="AC18" s="12">
        <v>496</v>
      </c>
      <c r="AD18" s="12">
        <v>499</v>
      </c>
      <c r="AE18" s="12">
        <v>426</v>
      </c>
      <c r="AF18" s="12">
        <v>444</v>
      </c>
      <c r="AG18" s="12">
        <v>382</v>
      </c>
      <c r="AH18" s="12">
        <v>421</v>
      </c>
      <c r="AI18" s="12">
        <v>214</v>
      </c>
      <c r="AJ18" s="12">
        <v>361</v>
      </c>
      <c r="AK18" s="12">
        <v>348</v>
      </c>
      <c r="AL18" s="12">
        <v>303</v>
      </c>
      <c r="AM18" s="12">
        <v>378</v>
      </c>
      <c r="AN18" s="12">
        <v>326</v>
      </c>
      <c r="AO18" s="12">
        <v>414</v>
      </c>
      <c r="AP18" s="12">
        <v>238</v>
      </c>
      <c r="AQ18" s="12">
        <v>240</v>
      </c>
    </row>
    <row r="19" spans="1:43" x14ac:dyDescent="0.35">
      <c r="A19" s="19"/>
      <c r="B19" s="13" t="s">
        <v>1162</v>
      </c>
      <c r="C19" s="15">
        <v>0.44</v>
      </c>
      <c r="D19" s="15">
        <v>0.43</v>
      </c>
      <c r="E19" s="15">
        <v>0.42</v>
      </c>
      <c r="F19" s="15">
        <v>0.45</v>
      </c>
      <c r="G19" s="15">
        <v>0.41</v>
      </c>
      <c r="H19" s="15">
        <v>0.48</v>
      </c>
      <c r="I19" s="15">
        <v>0.48</v>
      </c>
      <c r="J19" s="15">
        <v>0.52</v>
      </c>
      <c r="K19" s="15">
        <v>0.49</v>
      </c>
      <c r="L19" s="15">
        <v>0.52</v>
      </c>
      <c r="M19" s="15">
        <v>0.44</v>
      </c>
      <c r="N19" s="15">
        <v>0.43</v>
      </c>
      <c r="O19" s="15">
        <v>0.42</v>
      </c>
      <c r="P19" s="15">
        <v>0.51</v>
      </c>
      <c r="Q19" s="15">
        <v>0.36</v>
      </c>
      <c r="R19" s="15">
        <v>0.37</v>
      </c>
      <c r="S19" s="15">
        <v>0.45</v>
      </c>
      <c r="T19" s="15">
        <v>0.41</v>
      </c>
      <c r="U19" s="15">
        <v>0.45</v>
      </c>
      <c r="V19" s="15">
        <v>0.48</v>
      </c>
      <c r="W19" s="15">
        <v>0.39</v>
      </c>
      <c r="X19" s="15">
        <v>0.45</v>
      </c>
      <c r="Y19" s="15">
        <v>0.48</v>
      </c>
      <c r="Z19" s="15">
        <v>0.45</v>
      </c>
      <c r="AA19" s="15">
        <v>0.47</v>
      </c>
      <c r="AB19" s="15">
        <v>0.45</v>
      </c>
      <c r="AC19" s="15">
        <v>0.49</v>
      </c>
      <c r="AD19" s="15">
        <v>0.5</v>
      </c>
      <c r="AE19" s="15">
        <v>0.42</v>
      </c>
      <c r="AF19" s="15">
        <v>0.43</v>
      </c>
      <c r="AG19" s="15">
        <v>0.37</v>
      </c>
      <c r="AH19" s="15">
        <v>0.42</v>
      </c>
      <c r="AI19" s="15">
        <v>0.41</v>
      </c>
      <c r="AJ19" s="15">
        <v>0.35</v>
      </c>
      <c r="AK19" s="15">
        <v>0.35</v>
      </c>
      <c r="AL19" s="15">
        <v>0.3</v>
      </c>
      <c r="AM19" s="15">
        <v>0.36</v>
      </c>
      <c r="AN19" s="15">
        <v>0.33</v>
      </c>
      <c r="AO19" s="15">
        <v>0.41</v>
      </c>
      <c r="AP19" s="15">
        <v>0.45</v>
      </c>
      <c r="AQ19" s="15">
        <v>0.24</v>
      </c>
    </row>
    <row r="20" spans="1:43" x14ac:dyDescent="0.35">
      <c r="A20" s="19"/>
      <c r="B20" s="11" t="s">
        <v>1163</v>
      </c>
      <c r="C20" s="12">
        <v>7126</v>
      </c>
      <c r="D20" s="12">
        <v>251</v>
      </c>
      <c r="E20" s="12">
        <v>328</v>
      </c>
      <c r="F20" s="12">
        <v>298</v>
      </c>
      <c r="G20" s="12">
        <v>388</v>
      </c>
      <c r="H20" s="12">
        <v>301</v>
      </c>
      <c r="I20" s="12">
        <v>352</v>
      </c>
      <c r="J20" s="12">
        <v>52</v>
      </c>
      <c r="K20" s="12">
        <v>230</v>
      </c>
      <c r="L20" s="12">
        <v>244</v>
      </c>
      <c r="M20" s="12">
        <v>369</v>
      </c>
      <c r="N20" s="12">
        <v>174</v>
      </c>
      <c r="O20" s="12">
        <v>196</v>
      </c>
      <c r="P20" s="12">
        <v>276</v>
      </c>
      <c r="Q20" s="12">
        <v>396</v>
      </c>
      <c r="R20" s="12">
        <v>220</v>
      </c>
      <c r="S20" s="12">
        <v>171</v>
      </c>
      <c r="T20" s="12">
        <v>350</v>
      </c>
      <c r="U20" s="12">
        <v>173</v>
      </c>
      <c r="V20" s="12">
        <v>308</v>
      </c>
      <c r="W20" s="12">
        <v>222</v>
      </c>
      <c r="X20" s="12">
        <v>233</v>
      </c>
      <c r="Y20" s="12">
        <v>249</v>
      </c>
      <c r="Z20" s="12">
        <v>343</v>
      </c>
      <c r="AA20" s="12">
        <v>282</v>
      </c>
      <c r="AB20" s="12">
        <v>324</v>
      </c>
      <c r="AC20" s="12">
        <v>296</v>
      </c>
      <c r="AD20" s="12">
        <v>341</v>
      </c>
      <c r="AE20" s="12">
        <v>249</v>
      </c>
      <c r="AF20" s="12">
        <v>381</v>
      </c>
      <c r="AG20" s="12">
        <v>63</v>
      </c>
      <c r="AH20" s="12">
        <v>283</v>
      </c>
      <c r="AI20" s="12">
        <v>43</v>
      </c>
      <c r="AJ20" s="12">
        <v>358</v>
      </c>
      <c r="AK20" s="12">
        <v>143</v>
      </c>
      <c r="AL20" s="12">
        <v>55</v>
      </c>
      <c r="AM20" s="12">
        <v>149</v>
      </c>
      <c r="AN20" s="12">
        <v>288</v>
      </c>
      <c r="AO20" s="12">
        <v>142</v>
      </c>
      <c r="AP20" s="12">
        <v>168</v>
      </c>
      <c r="AQ20" s="12">
        <v>32</v>
      </c>
    </row>
    <row r="21" spans="1:43" x14ac:dyDescent="0.35">
      <c r="A21" s="19"/>
      <c r="B21" s="13" t="s">
        <v>1164</v>
      </c>
      <c r="C21" s="15">
        <v>0.27</v>
      </c>
      <c r="D21" s="15">
        <v>0.25</v>
      </c>
      <c r="E21" s="15">
        <v>0.32</v>
      </c>
      <c r="F21" s="15">
        <v>0.27</v>
      </c>
      <c r="G21" s="15">
        <v>0.39</v>
      </c>
      <c r="H21" s="15">
        <v>0.25</v>
      </c>
      <c r="I21" s="15">
        <v>0.23</v>
      </c>
      <c r="J21" s="15">
        <v>0.17</v>
      </c>
      <c r="K21" s="15">
        <v>0.23</v>
      </c>
      <c r="L21" s="15">
        <v>0.24</v>
      </c>
      <c r="M21" s="15">
        <v>0.37</v>
      </c>
      <c r="N21" s="15">
        <v>0.17</v>
      </c>
      <c r="O21" s="15">
        <v>0.2</v>
      </c>
      <c r="P21" s="15">
        <v>0.28000000000000003</v>
      </c>
      <c r="Q21" s="15">
        <v>0.39</v>
      </c>
      <c r="R21" s="15">
        <v>0.44</v>
      </c>
      <c r="S21" s="15">
        <v>0.17</v>
      </c>
      <c r="T21" s="15">
        <v>0.35</v>
      </c>
      <c r="U21" s="15">
        <v>0.34</v>
      </c>
      <c r="V21" s="15">
        <v>0.3</v>
      </c>
      <c r="W21" s="15">
        <v>0.44</v>
      </c>
      <c r="X21" s="15">
        <v>0.23</v>
      </c>
      <c r="Y21" s="15">
        <v>0.25</v>
      </c>
      <c r="Z21" s="15">
        <v>0.33</v>
      </c>
      <c r="AA21" s="15">
        <v>0.27</v>
      </c>
      <c r="AB21" s="15">
        <v>0.31</v>
      </c>
      <c r="AC21" s="15">
        <v>0.28999999999999998</v>
      </c>
      <c r="AD21" s="15">
        <v>0.34</v>
      </c>
      <c r="AE21" s="15">
        <v>0.25</v>
      </c>
      <c r="AF21" s="15">
        <v>0.37</v>
      </c>
      <c r="AG21" s="15">
        <v>0.06</v>
      </c>
      <c r="AH21" s="15">
        <v>0.28000000000000003</v>
      </c>
      <c r="AI21" s="15">
        <v>0.08</v>
      </c>
      <c r="AJ21" s="15">
        <v>0.34</v>
      </c>
      <c r="AK21" s="15">
        <v>0.14000000000000001</v>
      </c>
      <c r="AL21" s="15">
        <v>0.05</v>
      </c>
      <c r="AM21" s="15">
        <v>0.14000000000000001</v>
      </c>
      <c r="AN21" s="15">
        <v>0.28999999999999998</v>
      </c>
      <c r="AO21" s="15">
        <v>0.14000000000000001</v>
      </c>
      <c r="AP21" s="15">
        <v>0.32</v>
      </c>
      <c r="AQ21" s="15">
        <v>0.03</v>
      </c>
    </row>
    <row r="22" spans="1:43" ht="21.5" x14ac:dyDescent="0.35">
      <c r="A22" s="19"/>
      <c r="B22" s="11" t="s">
        <v>1165</v>
      </c>
      <c r="C22" s="12">
        <v>18725</v>
      </c>
      <c r="D22" s="12">
        <v>753</v>
      </c>
      <c r="E22" s="12">
        <v>665</v>
      </c>
      <c r="F22" s="12">
        <v>742</v>
      </c>
      <c r="G22" s="12">
        <v>582</v>
      </c>
      <c r="H22" s="12">
        <v>914</v>
      </c>
      <c r="I22" s="12">
        <v>1156</v>
      </c>
      <c r="J22" s="12">
        <v>241</v>
      </c>
      <c r="K22" s="12">
        <v>747</v>
      </c>
      <c r="L22" s="12">
        <v>730</v>
      </c>
      <c r="M22" s="12">
        <v>624</v>
      </c>
      <c r="N22" s="12">
        <v>772</v>
      </c>
      <c r="O22" s="12">
        <v>782</v>
      </c>
      <c r="P22" s="12">
        <v>716</v>
      </c>
      <c r="Q22" s="12">
        <v>612</v>
      </c>
      <c r="R22" s="12">
        <v>273</v>
      </c>
      <c r="S22" s="12">
        <v>777</v>
      </c>
      <c r="T22" s="12">
        <v>610</v>
      </c>
      <c r="U22" s="12">
        <v>318</v>
      </c>
      <c r="V22" s="12">
        <v>699</v>
      </c>
      <c r="W22" s="12">
        <v>282</v>
      </c>
      <c r="X22" s="12">
        <v>759</v>
      </c>
      <c r="Y22" s="12">
        <v>753</v>
      </c>
      <c r="Z22" s="12">
        <v>674</v>
      </c>
      <c r="AA22" s="12">
        <v>707</v>
      </c>
      <c r="AB22" s="12">
        <v>694</v>
      </c>
      <c r="AC22" s="12">
        <v>701</v>
      </c>
      <c r="AD22" s="12">
        <v>653</v>
      </c>
      <c r="AE22" s="12">
        <v>700</v>
      </c>
      <c r="AF22" s="12">
        <v>662</v>
      </c>
      <c r="AG22" s="12">
        <v>859</v>
      </c>
      <c r="AH22" s="12">
        <v>710</v>
      </c>
      <c r="AI22" s="12">
        <v>453</v>
      </c>
      <c r="AJ22" s="12">
        <v>668</v>
      </c>
      <c r="AK22" s="12">
        <v>814</v>
      </c>
      <c r="AL22" s="12">
        <v>784</v>
      </c>
      <c r="AM22" s="12">
        <v>771</v>
      </c>
      <c r="AN22" s="12">
        <v>693</v>
      </c>
      <c r="AO22" s="12">
        <v>699</v>
      </c>
      <c r="AP22" s="12">
        <v>354</v>
      </c>
      <c r="AQ22" s="12">
        <v>814</v>
      </c>
    </row>
    <row r="23" spans="1:43" x14ac:dyDescent="0.35">
      <c r="A23" s="19"/>
      <c r="B23" s="13" t="s">
        <v>1166</v>
      </c>
      <c r="C23" s="15">
        <v>0.71</v>
      </c>
      <c r="D23" s="15">
        <v>0.74</v>
      </c>
      <c r="E23" s="15">
        <v>0.65</v>
      </c>
      <c r="F23" s="15">
        <v>0.67</v>
      </c>
      <c r="G23" s="15">
        <v>0.57999999999999996</v>
      </c>
      <c r="H23" s="15">
        <v>0.75</v>
      </c>
      <c r="I23" s="15">
        <v>0.76</v>
      </c>
      <c r="J23" s="15">
        <v>0.82000000000000006</v>
      </c>
      <c r="K23" s="15">
        <v>0.75</v>
      </c>
      <c r="L23" s="15">
        <v>0.73</v>
      </c>
      <c r="M23" s="15">
        <v>0.62</v>
      </c>
      <c r="N23" s="15">
        <v>0.77</v>
      </c>
      <c r="O23" s="15">
        <v>0.78</v>
      </c>
      <c r="P23" s="15">
        <v>0.71</v>
      </c>
      <c r="Q23" s="15">
        <v>0.6</v>
      </c>
      <c r="R23" s="15">
        <v>0.54</v>
      </c>
      <c r="S23" s="15">
        <v>0.78</v>
      </c>
      <c r="T23" s="15">
        <v>0.61</v>
      </c>
      <c r="U23" s="15">
        <v>0.63</v>
      </c>
      <c r="V23" s="15">
        <v>0.69000000000000006</v>
      </c>
      <c r="W23" s="15">
        <v>0.55000000000000004</v>
      </c>
      <c r="X23" s="15">
        <v>0.75</v>
      </c>
      <c r="Y23" s="15">
        <v>0.75</v>
      </c>
      <c r="Z23" s="15">
        <v>0.65</v>
      </c>
      <c r="AA23" s="15">
        <v>0.68</v>
      </c>
      <c r="AB23" s="15">
        <v>0.66</v>
      </c>
      <c r="AC23" s="15">
        <v>0.70000000000000007</v>
      </c>
      <c r="AD23" s="15">
        <v>0.65</v>
      </c>
      <c r="AE23" s="15">
        <v>0.69000000000000006</v>
      </c>
      <c r="AF23" s="15">
        <v>0.63</v>
      </c>
      <c r="AG23" s="15">
        <v>0.83000000000000007</v>
      </c>
      <c r="AH23" s="15">
        <v>0.70000000000000007</v>
      </c>
      <c r="AI23" s="15">
        <v>0.87</v>
      </c>
      <c r="AJ23" s="15">
        <v>0.64</v>
      </c>
      <c r="AK23" s="15">
        <v>0.81</v>
      </c>
      <c r="AL23" s="15">
        <v>0.77</v>
      </c>
      <c r="AM23" s="15">
        <v>0.74</v>
      </c>
      <c r="AN23" s="15">
        <v>0.69000000000000006</v>
      </c>
      <c r="AO23" s="15">
        <v>0.70000000000000007</v>
      </c>
      <c r="AP23" s="15">
        <v>0.68</v>
      </c>
      <c r="AQ23" s="15">
        <v>0.81</v>
      </c>
    </row>
    <row r="24" spans="1:43" ht="21.5" x14ac:dyDescent="0.35">
      <c r="A24" s="19"/>
      <c r="B24" s="11" t="s">
        <v>1167</v>
      </c>
      <c r="C24" s="12">
        <v>4555</v>
      </c>
      <c r="D24" s="12">
        <v>98</v>
      </c>
      <c r="E24" s="12">
        <v>287</v>
      </c>
      <c r="F24" s="12">
        <v>154</v>
      </c>
      <c r="G24" s="12">
        <v>256</v>
      </c>
      <c r="H24" s="12">
        <v>204</v>
      </c>
      <c r="I24" s="12">
        <v>236</v>
      </c>
      <c r="J24" s="12">
        <v>33</v>
      </c>
      <c r="K24" s="12">
        <v>203</v>
      </c>
      <c r="L24" s="12">
        <v>157</v>
      </c>
      <c r="M24" s="12">
        <v>189</v>
      </c>
      <c r="N24" s="12">
        <v>257</v>
      </c>
      <c r="O24" s="12">
        <v>264</v>
      </c>
      <c r="P24" s="12">
        <v>100</v>
      </c>
      <c r="Q24" s="12">
        <v>86</v>
      </c>
      <c r="R24" s="12">
        <v>152</v>
      </c>
      <c r="S24" s="12">
        <v>385</v>
      </c>
      <c r="T24" s="12">
        <v>252</v>
      </c>
      <c r="U24" s="12">
        <v>86</v>
      </c>
      <c r="V24" s="12">
        <v>61</v>
      </c>
      <c r="W24" s="12">
        <v>102</v>
      </c>
      <c r="X24" s="12">
        <v>156</v>
      </c>
      <c r="Y24" s="12">
        <v>133</v>
      </c>
      <c r="Z24" s="12">
        <v>103</v>
      </c>
      <c r="AA24" s="12">
        <v>226</v>
      </c>
      <c r="AB24" s="12">
        <v>173</v>
      </c>
      <c r="AC24" s="12">
        <v>176</v>
      </c>
      <c r="AD24" s="12">
        <v>99</v>
      </c>
      <c r="AE24" s="12">
        <v>322</v>
      </c>
      <c r="AF24" s="12">
        <v>134</v>
      </c>
      <c r="AG24" s="12">
        <v>198</v>
      </c>
      <c r="AH24" s="12">
        <v>159</v>
      </c>
      <c r="AI24" s="12">
        <v>58</v>
      </c>
      <c r="AJ24" s="12">
        <v>93</v>
      </c>
      <c r="AK24" s="12">
        <v>238</v>
      </c>
      <c r="AL24" s="12">
        <v>547</v>
      </c>
      <c r="AM24" s="12">
        <v>319</v>
      </c>
      <c r="AN24" s="12">
        <v>93</v>
      </c>
      <c r="AO24" s="12">
        <v>304</v>
      </c>
      <c r="AP24" s="12">
        <v>9</v>
      </c>
      <c r="AQ24" s="12">
        <v>565</v>
      </c>
    </row>
    <row r="25" spans="1:43" ht="21.5" x14ac:dyDescent="0.35">
      <c r="A25" s="19"/>
      <c r="B25" s="13" t="s">
        <v>1168</v>
      </c>
      <c r="C25" s="15">
        <v>0.17</v>
      </c>
      <c r="D25" s="15">
        <v>0.1</v>
      </c>
      <c r="E25" s="15">
        <v>0.28000000000000003</v>
      </c>
      <c r="F25" s="15">
        <v>0.14000000000000001</v>
      </c>
      <c r="G25" s="15">
        <v>0.25</v>
      </c>
      <c r="H25" s="15">
        <v>0.17</v>
      </c>
      <c r="I25" s="15">
        <v>0.16</v>
      </c>
      <c r="J25" s="15">
        <v>0.11</v>
      </c>
      <c r="K25" s="15">
        <v>0.2</v>
      </c>
      <c r="L25" s="15">
        <v>0.16</v>
      </c>
      <c r="M25" s="15">
        <v>0.19</v>
      </c>
      <c r="N25" s="15">
        <v>0.26</v>
      </c>
      <c r="O25" s="15">
        <v>0.26</v>
      </c>
      <c r="P25" s="15">
        <v>0.1</v>
      </c>
      <c r="Q25" s="15">
        <v>0.08</v>
      </c>
      <c r="R25" s="15">
        <v>0.3</v>
      </c>
      <c r="S25" s="15">
        <v>0.38</v>
      </c>
      <c r="T25" s="15">
        <v>0.25</v>
      </c>
      <c r="U25" s="15">
        <v>0.17</v>
      </c>
      <c r="V25" s="15">
        <v>0.06</v>
      </c>
      <c r="W25" s="15">
        <v>0.2</v>
      </c>
      <c r="X25" s="15">
        <v>0.15</v>
      </c>
      <c r="Y25" s="15">
        <v>0.13</v>
      </c>
      <c r="Z25" s="15">
        <v>0.1</v>
      </c>
      <c r="AA25" s="15">
        <v>0.22</v>
      </c>
      <c r="AB25" s="15">
        <v>0.16</v>
      </c>
      <c r="AC25" s="15">
        <v>0.18</v>
      </c>
      <c r="AD25" s="15">
        <v>0.1</v>
      </c>
      <c r="AE25" s="15">
        <v>0.32</v>
      </c>
      <c r="AF25" s="15">
        <v>0.13</v>
      </c>
      <c r="AG25" s="15">
        <v>0.19</v>
      </c>
      <c r="AH25" s="15">
        <v>0.16</v>
      </c>
      <c r="AI25" s="15">
        <v>0.11</v>
      </c>
      <c r="AJ25" s="15">
        <v>0.09</v>
      </c>
      <c r="AK25" s="15">
        <v>0.24</v>
      </c>
      <c r="AL25" s="15">
        <v>0.54</v>
      </c>
      <c r="AM25" s="15">
        <v>0.31</v>
      </c>
      <c r="AN25" s="15">
        <v>0.09</v>
      </c>
      <c r="AO25" s="15">
        <v>0.3</v>
      </c>
      <c r="AP25" s="15">
        <v>0.02</v>
      </c>
      <c r="AQ25" s="15">
        <v>0.56000000000000005</v>
      </c>
    </row>
    <row r="26" spans="1:43" x14ac:dyDescent="0.35">
      <c r="A26" s="19"/>
      <c r="B26" s="11" t="s">
        <v>485</v>
      </c>
      <c r="C26" s="12">
        <v>594</v>
      </c>
      <c r="D26" s="12">
        <v>8</v>
      </c>
      <c r="E26" s="12">
        <v>37</v>
      </c>
      <c r="F26" s="12">
        <v>63</v>
      </c>
      <c r="G26" s="12">
        <v>37</v>
      </c>
      <c r="H26" s="12">
        <v>6</v>
      </c>
      <c r="I26" s="12">
        <v>8</v>
      </c>
      <c r="J26" s="12">
        <v>2</v>
      </c>
      <c r="K26" s="12">
        <v>25</v>
      </c>
      <c r="L26" s="12">
        <v>27</v>
      </c>
      <c r="M26" s="12">
        <v>17</v>
      </c>
      <c r="N26" s="12">
        <v>57</v>
      </c>
      <c r="O26" s="12">
        <v>23</v>
      </c>
      <c r="P26" s="12">
        <v>12</v>
      </c>
      <c r="Q26" s="12">
        <v>19</v>
      </c>
      <c r="R26" s="12">
        <v>12</v>
      </c>
      <c r="S26" s="12">
        <v>53</v>
      </c>
      <c r="T26" s="12">
        <v>46</v>
      </c>
      <c r="U26" s="12">
        <v>13</v>
      </c>
      <c r="V26" s="12">
        <v>8</v>
      </c>
      <c r="W26" s="12">
        <v>4</v>
      </c>
      <c r="X26" s="12">
        <v>17</v>
      </c>
      <c r="Y26" s="12">
        <v>1</v>
      </c>
      <c r="Z26" s="12">
        <v>14</v>
      </c>
      <c r="AA26" s="12">
        <v>44</v>
      </c>
      <c r="AB26" s="12">
        <v>33</v>
      </c>
      <c r="AC26" s="12">
        <v>6</v>
      </c>
      <c r="AD26" s="12">
        <v>11</v>
      </c>
      <c r="AE26" s="12">
        <v>63</v>
      </c>
      <c r="AF26" s="12">
        <v>0</v>
      </c>
      <c r="AG26" s="12">
        <v>113</v>
      </c>
      <c r="AH26" s="12">
        <v>21</v>
      </c>
      <c r="AI26" s="12">
        <v>27</v>
      </c>
      <c r="AJ26" s="12">
        <v>11</v>
      </c>
      <c r="AK26" s="12">
        <v>50</v>
      </c>
      <c r="AL26" s="12">
        <v>172</v>
      </c>
      <c r="AM26" s="12">
        <v>120</v>
      </c>
      <c r="AN26" s="12">
        <v>22</v>
      </c>
      <c r="AO26" s="12">
        <v>164</v>
      </c>
      <c r="AP26" s="12">
        <v>2</v>
      </c>
      <c r="AQ26" s="12">
        <v>156</v>
      </c>
    </row>
    <row r="27" spans="1:43" x14ac:dyDescent="0.35">
      <c r="A27" s="19"/>
      <c r="B27" s="13" t="s">
        <v>486</v>
      </c>
      <c r="C27" s="15">
        <v>0.02</v>
      </c>
      <c r="D27" s="15">
        <v>0.01</v>
      </c>
      <c r="E27" s="15">
        <v>0.04</v>
      </c>
      <c r="F27" s="15">
        <v>0.06</v>
      </c>
      <c r="G27" s="15">
        <v>0.04</v>
      </c>
      <c r="H27" s="14" t="s">
        <v>475</v>
      </c>
      <c r="I27" s="15">
        <v>0.01</v>
      </c>
      <c r="J27" s="15">
        <v>0.01</v>
      </c>
      <c r="K27" s="15">
        <v>0.03</v>
      </c>
      <c r="L27" s="15">
        <v>0.03</v>
      </c>
      <c r="M27" s="15">
        <v>0.02</v>
      </c>
      <c r="N27" s="15">
        <v>0.06</v>
      </c>
      <c r="O27" s="15">
        <v>0.02</v>
      </c>
      <c r="P27" s="15">
        <v>0.01</v>
      </c>
      <c r="Q27" s="15">
        <v>0.02</v>
      </c>
      <c r="R27" s="15">
        <v>0.02</v>
      </c>
      <c r="S27" s="15">
        <v>0.05</v>
      </c>
      <c r="T27" s="15">
        <v>0.05</v>
      </c>
      <c r="U27" s="15">
        <v>0.03</v>
      </c>
      <c r="V27" s="15">
        <v>0.01</v>
      </c>
      <c r="W27" s="15">
        <v>0.01</v>
      </c>
      <c r="X27" s="15">
        <v>0.02</v>
      </c>
      <c r="Y27" s="14" t="s">
        <v>475</v>
      </c>
      <c r="Z27" s="15">
        <v>0.01</v>
      </c>
      <c r="AA27" s="15">
        <v>0.04</v>
      </c>
      <c r="AB27" s="15">
        <v>0.03</v>
      </c>
      <c r="AC27" s="15">
        <v>0.01</v>
      </c>
      <c r="AD27" s="15">
        <v>0.01</v>
      </c>
      <c r="AE27" s="15">
        <v>0.06</v>
      </c>
      <c r="AF27" s="14" t="s">
        <v>475</v>
      </c>
      <c r="AG27" s="15">
        <v>0.11</v>
      </c>
      <c r="AH27" s="15">
        <v>0.02</v>
      </c>
      <c r="AI27" s="15">
        <v>0.05</v>
      </c>
      <c r="AJ27" s="15">
        <v>0.01</v>
      </c>
      <c r="AK27" s="15">
        <v>0.05</v>
      </c>
      <c r="AL27" s="15">
        <v>0.17</v>
      </c>
      <c r="AM27" s="15">
        <v>0.12</v>
      </c>
      <c r="AN27" s="15">
        <v>0.02</v>
      </c>
      <c r="AO27" s="15">
        <v>0.16</v>
      </c>
      <c r="AP27" s="14" t="s">
        <v>475</v>
      </c>
      <c r="AQ27" s="15">
        <v>0.16</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O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1" width="12.453125" customWidth="1"/>
  </cols>
  <sheetData>
    <row r="1" spans="1:41" x14ac:dyDescent="0.35">
      <c r="I1" s="7" t="s">
        <v>428</v>
      </c>
    </row>
    <row r="2" spans="1:41" x14ac:dyDescent="0.35">
      <c r="C2" s="7" t="s">
        <v>429</v>
      </c>
      <c r="H2" s="7" t="s">
        <v>430</v>
      </c>
    </row>
    <row r="3" spans="1:41" ht="24" customHeight="1" x14ac:dyDescent="0.35">
      <c r="B3" s="18" t="s">
        <v>1169</v>
      </c>
      <c r="C3" s="18"/>
      <c r="D3" s="18"/>
      <c r="E3" s="18"/>
      <c r="F3" s="18"/>
      <c r="H3" s="18" t="s">
        <v>1170</v>
      </c>
      <c r="I3" s="18"/>
      <c r="J3" s="18"/>
      <c r="K3" s="18"/>
      <c r="L3" s="18"/>
    </row>
    <row r="4" spans="1:41" ht="27" customHeight="1" x14ac:dyDescent="0.35">
      <c r="B4" s="18" t="s">
        <v>683</v>
      </c>
      <c r="C4" s="18"/>
      <c r="D4" s="18"/>
      <c r="E4" s="18"/>
      <c r="F4" s="18"/>
      <c r="H4" s="18" t="s">
        <v>1171</v>
      </c>
      <c r="I4" s="18"/>
      <c r="J4" s="18"/>
      <c r="K4" s="18"/>
      <c r="L4" s="18"/>
    </row>
    <row r="5" spans="1:41" ht="12" customHeight="1" x14ac:dyDescent="0.35">
      <c r="B5" s="18" t="s">
        <v>431</v>
      </c>
      <c r="C5" s="18"/>
      <c r="D5" s="18"/>
      <c r="E5" s="18"/>
      <c r="F5" s="18"/>
      <c r="H5" s="18" t="s">
        <v>432</v>
      </c>
      <c r="I5" s="18"/>
      <c r="J5" s="18"/>
      <c r="K5" s="18"/>
      <c r="L5" s="18"/>
    </row>
    <row r="6" spans="1:41" ht="1" customHeight="1" x14ac:dyDescent="0.35"/>
    <row r="7" spans="1:41" ht="1" customHeight="1" x14ac:dyDescent="0.35"/>
    <row r="8" spans="1:41"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8" x14ac:dyDescent="0.35">
      <c r="A9" s="5" t="str">
        <f>HYPERLINK("#Content!A123","&lt;&lt;Back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x14ac:dyDescent="0.35">
      <c r="A12" s="19"/>
      <c r="B12" s="11" t="s">
        <v>477</v>
      </c>
      <c r="C12" s="12">
        <v>2408</v>
      </c>
      <c r="D12" s="12">
        <v>45</v>
      </c>
      <c r="E12" s="12">
        <v>62</v>
      </c>
      <c r="F12" s="12">
        <v>111</v>
      </c>
      <c r="G12" s="12">
        <v>393</v>
      </c>
      <c r="H12" s="12">
        <v>81</v>
      </c>
      <c r="I12" s="12">
        <v>93</v>
      </c>
      <c r="J12" s="12">
        <v>12</v>
      </c>
      <c r="K12" s="12">
        <v>145</v>
      </c>
      <c r="L12" s="12">
        <v>199</v>
      </c>
      <c r="M12" s="12">
        <v>28</v>
      </c>
      <c r="N12" s="12">
        <v>78</v>
      </c>
      <c r="O12" s="12">
        <v>33</v>
      </c>
      <c r="P12" s="12">
        <v>107</v>
      </c>
      <c r="Q12" s="12">
        <v>90</v>
      </c>
      <c r="R12" s="12">
        <v>21</v>
      </c>
      <c r="S12" s="12">
        <v>199</v>
      </c>
      <c r="T12" s="12">
        <v>214</v>
      </c>
      <c r="U12" s="12">
        <v>65</v>
      </c>
      <c r="V12" s="12">
        <v>160</v>
      </c>
      <c r="W12" s="12">
        <v>51</v>
      </c>
      <c r="X12" s="12">
        <v>123</v>
      </c>
      <c r="Y12" s="12">
        <v>183</v>
      </c>
      <c r="Z12" s="12">
        <v>142</v>
      </c>
      <c r="AA12" s="12">
        <v>28</v>
      </c>
      <c r="AB12" s="12">
        <v>90</v>
      </c>
      <c r="AC12" s="12">
        <v>29</v>
      </c>
      <c r="AD12" s="12">
        <v>60</v>
      </c>
      <c r="AE12" s="12">
        <v>336</v>
      </c>
      <c r="AF12" s="12">
        <v>251</v>
      </c>
      <c r="AG12" s="12">
        <v>227</v>
      </c>
      <c r="AH12" s="12">
        <v>93</v>
      </c>
      <c r="AI12" s="12">
        <v>91</v>
      </c>
      <c r="AJ12" s="12">
        <v>200</v>
      </c>
      <c r="AK12" s="12">
        <v>157</v>
      </c>
      <c r="AL12" s="12">
        <v>138</v>
      </c>
      <c r="AM12" s="12">
        <v>86</v>
      </c>
      <c r="AN12" s="12">
        <v>77</v>
      </c>
      <c r="AO12" s="12">
        <v>277</v>
      </c>
    </row>
    <row r="13" spans="1:41" x14ac:dyDescent="0.35">
      <c r="A13" s="19"/>
      <c r="B13" s="13" t="s">
        <v>478</v>
      </c>
      <c r="C13" s="15">
        <v>0.09</v>
      </c>
      <c r="D13" s="15">
        <v>0.04</v>
      </c>
      <c r="E13" s="15">
        <v>0.06</v>
      </c>
      <c r="F13" s="15">
        <v>0.1</v>
      </c>
      <c r="G13" s="15">
        <v>0.39</v>
      </c>
      <c r="H13" s="15">
        <v>7.0000000000000007E-2</v>
      </c>
      <c r="I13" s="15">
        <v>0.06</v>
      </c>
      <c r="J13" s="15">
        <v>0.04</v>
      </c>
      <c r="K13" s="15">
        <v>0.14000000000000001</v>
      </c>
      <c r="L13" s="15">
        <v>0.2</v>
      </c>
      <c r="M13" s="15">
        <v>0.03</v>
      </c>
      <c r="N13" s="15">
        <v>0.08</v>
      </c>
      <c r="O13" s="15">
        <v>0.03</v>
      </c>
      <c r="P13" s="15">
        <v>0.11</v>
      </c>
      <c r="Q13" s="15">
        <v>0.09</v>
      </c>
      <c r="R13" s="15">
        <v>0.04</v>
      </c>
      <c r="S13" s="15">
        <v>0.2</v>
      </c>
      <c r="T13" s="15">
        <v>0.21</v>
      </c>
      <c r="U13" s="15">
        <v>0.13</v>
      </c>
      <c r="V13" s="15">
        <v>0.16</v>
      </c>
      <c r="W13" s="15">
        <v>0.1</v>
      </c>
      <c r="X13" s="15">
        <v>0.12</v>
      </c>
      <c r="Y13" s="15">
        <v>0.18</v>
      </c>
      <c r="Z13" s="15">
        <v>0.14000000000000001</v>
      </c>
      <c r="AA13" s="15">
        <v>0.03</v>
      </c>
      <c r="AB13" s="15">
        <v>0.09</v>
      </c>
      <c r="AC13" s="15">
        <v>0.03</v>
      </c>
      <c r="AD13" s="15">
        <v>0.06</v>
      </c>
      <c r="AE13" s="15">
        <v>0.33</v>
      </c>
      <c r="AF13" s="15">
        <v>0.24</v>
      </c>
      <c r="AG13" s="15">
        <v>0.22</v>
      </c>
      <c r="AH13" s="15">
        <v>0.09</v>
      </c>
      <c r="AI13" s="15">
        <v>0.17</v>
      </c>
      <c r="AJ13" s="15">
        <v>0.19</v>
      </c>
      <c r="AK13" s="15">
        <v>0.16</v>
      </c>
      <c r="AL13" s="15">
        <v>0.14000000000000001</v>
      </c>
      <c r="AM13" s="15">
        <v>0.08</v>
      </c>
      <c r="AN13" s="15">
        <v>0.08</v>
      </c>
      <c r="AO13" s="15">
        <v>0.28000000000000003</v>
      </c>
    </row>
    <row r="14" spans="1:41" x14ac:dyDescent="0.35">
      <c r="A14" s="19"/>
      <c r="B14" s="11" t="s">
        <v>1172</v>
      </c>
      <c r="C14" s="12">
        <v>11013</v>
      </c>
      <c r="D14" s="12">
        <v>479</v>
      </c>
      <c r="E14" s="12">
        <v>276</v>
      </c>
      <c r="F14" s="12">
        <v>392</v>
      </c>
      <c r="G14" s="12">
        <v>372</v>
      </c>
      <c r="H14" s="12">
        <v>545</v>
      </c>
      <c r="I14" s="12">
        <v>615</v>
      </c>
      <c r="J14" s="12">
        <v>71</v>
      </c>
      <c r="K14" s="12">
        <v>471</v>
      </c>
      <c r="L14" s="12">
        <v>469</v>
      </c>
      <c r="M14" s="12">
        <v>248</v>
      </c>
      <c r="N14" s="12">
        <v>327</v>
      </c>
      <c r="O14" s="12">
        <v>335</v>
      </c>
      <c r="P14" s="12">
        <v>507</v>
      </c>
      <c r="Q14" s="12">
        <v>454</v>
      </c>
      <c r="R14" s="12">
        <v>120</v>
      </c>
      <c r="S14" s="12">
        <v>393</v>
      </c>
      <c r="T14" s="12">
        <v>512</v>
      </c>
      <c r="U14" s="12">
        <v>248</v>
      </c>
      <c r="V14" s="12">
        <v>382</v>
      </c>
      <c r="W14" s="12">
        <v>241</v>
      </c>
      <c r="X14" s="12">
        <v>508</v>
      </c>
      <c r="Y14" s="12">
        <v>324</v>
      </c>
      <c r="Z14" s="12">
        <v>620</v>
      </c>
      <c r="AA14" s="12">
        <v>744</v>
      </c>
      <c r="AB14" s="12">
        <v>464</v>
      </c>
      <c r="AC14" s="12">
        <v>348</v>
      </c>
      <c r="AD14" s="12">
        <v>404</v>
      </c>
      <c r="AE14" s="12">
        <v>514</v>
      </c>
      <c r="AF14" s="12">
        <v>473</v>
      </c>
      <c r="AG14" s="12">
        <v>355</v>
      </c>
      <c r="AH14" s="12">
        <v>395</v>
      </c>
      <c r="AI14" s="12">
        <v>133</v>
      </c>
      <c r="AJ14" s="12">
        <v>339</v>
      </c>
      <c r="AK14" s="12">
        <v>585</v>
      </c>
      <c r="AL14" s="12">
        <v>287</v>
      </c>
      <c r="AM14" s="12">
        <v>402</v>
      </c>
      <c r="AN14" s="12">
        <v>385</v>
      </c>
      <c r="AO14" s="12">
        <v>246</v>
      </c>
    </row>
    <row r="15" spans="1:41" x14ac:dyDescent="0.35">
      <c r="A15" s="19"/>
      <c r="B15" s="13" t="s">
        <v>480</v>
      </c>
      <c r="C15" s="15">
        <v>0.42</v>
      </c>
      <c r="D15" s="15">
        <v>0.47</v>
      </c>
      <c r="E15" s="15">
        <v>0.27</v>
      </c>
      <c r="F15" s="15">
        <v>0.36</v>
      </c>
      <c r="G15" s="15">
        <v>0.37</v>
      </c>
      <c r="H15" s="15">
        <v>0.45</v>
      </c>
      <c r="I15" s="15">
        <v>0.41</v>
      </c>
      <c r="J15" s="15">
        <v>0.24</v>
      </c>
      <c r="K15" s="15">
        <v>0.47</v>
      </c>
      <c r="L15" s="15">
        <v>0.47</v>
      </c>
      <c r="M15" s="15">
        <v>0.24</v>
      </c>
      <c r="N15" s="15">
        <v>0.32</v>
      </c>
      <c r="O15" s="15">
        <v>0.34</v>
      </c>
      <c r="P15" s="15">
        <v>0.5</v>
      </c>
      <c r="Q15" s="15">
        <v>0.44</v>
      </c>
      <c r="R15" s="15">
        <v>0.24</v>
      </c>
      <c r="S15" s="15">
        <v>0.39</v>
      </c>
      <c r="T15" s="15">
        <v>0.51</v>
      </c>
      <c r="U15" s="15">
        <v>0.49</v>
      </c>
      <c r="V15" s="15">
        <v>0.38</v>
      </c>
      <c r="W15" s="15">
        <v>0.47</v>
      </c>
      <c r="X15" s="15">
        <v>0.51</v>
      </c>
      <c r="Y15" s="15">
        <v>0.32</v>
      </c>
      <c r="Z15" s="15">
        <v>0.6</v>
      </c>
      <c r="AA15" s="15">
        <v>0.72</v>
      </c>
      <c r="AB15" s="15">
        <v>0.44</v>
      </c>
      <c r="AC15" s="15">
        <v>0.35</v>
      </c>
      <c r="AD15" s="15">
        <v>0.4</v>
      </c>
      <c r="AE15" s="15">
        <v>0.51</v>
      </c>
      <c r="AF15" s="15">
        <v>0.46</v>
      </c>
      <c r="AG15" s="15">
        <v>0.34</v>
      </c>
      <c r="AH15" s="15">
        <v>0.39</v>
      </c>
      <c r="AI15" s="15">
        <v>0.26</v>
      </c>
      <c r="AJ15" s="15">
        <v>0.33</v>
      </c>
      <c r="AK15" s="15">
        <v>0.57999999999999996</v>
      </c>
      <c r="AL15" s="15">
        <v>0.28000000000000003</v>
      </c>
      <c r="AM15" s="15">
        <v>0.39</v>
      </c>
      <c r="AN15" s="15">
        <v>0.38</v>
      </c>
      <c r="AO15" s="15">
        <v>0.24</v>
      </c>
    </row>
    <row r="16" spans="1:41" x14ac:dyDescent="0.35">
      <c r="A16" s="19"/>
      <c r="B16" s="11" t="s">
        <v>491</v>
      </c>
      <c r="C16" s="12">
        <v>8166</v>
      </c>
      <c r="D16" s="12">
        <v>313</v>
      </c>
      <c r="E16" s="12">
        <v>315</v>
      </c>
      <c r="F16" s="12">
        <v>359</v>
      </c>
      <c r="G16" s="12">
        <v>169</v>
      </c>
      <c r="H16" s="12">
        <v>431</v>
      </c>
      <c r="I16" s="12">
        <v>562</v>
      </c>
      <c r="J16" s="12">
        <v>131</v>
      </c>
      <c r="K16" s="12">
        <v>190</v>
      </c>
      <c r="L16" s="12">
        <v>217</v>
      </c>
      <c r="M16" s="12">
        <v>293</v>
      </c>
      <c r="N16" s="12">
        <v>357</v>
      </c>
      <c r="O16" s="12">
        <v>362</v>
      </c>
      <c r="P16" s="12">
        <v>228</v>
      </c>
      <c r="Q16" s="12">
        <v>328</v>
      </c>
      <c r="R16" s="12">
        <v>166</v>
      </c>
      <c r="S16" s="12">
        <v>244</v>
      </c>
      <c r="T16" s="12">
        <v>175</v>
      </c>
      <c r="U16" s="12">
        <v>102</v>
      </c>
      <c r="V16" s="12">
        <v>283</v>
      </c>
      <c r="W16" s="12">
        <v>151</v>
      </c>
      <c r="X16" s="12">
        <v>274</v>
      </c>
      <c r="Y16" s="12">
        <v>264</v>
      </c>
      <c r="Z16" s="12">
        <v>189</v>
      </c>
      <c r="AA16" s="12">
        <v>142</v>
      </c>
      <c r="AB16" s="12">
        <v>330</v>
      </c>
      <c r="AC16" s="12">
        <v>424</v>
      </c>
      <c r="AD16" s="12">
        <v>355</v>
      </c>
      <c r="AE16" s="12">
        <v>108</v>
      </c>
      <c r="AF16" s="12">
        <v>220</v>
      </c>
      <c r="AG16" s="12">
        <v>301</v>
      </c>
      <c r="AH16" s="12">
        <v>316</v>
      </c>
      <c r="AI16" s="12">
        <v>122</v>
      </c>
      <c r="AJ16" s="12">
        <v>294</v>
      </c>
      <c r="AK16" s="12">
        <v>184</v>
      </c>
      <c r="AL16" s="12">
        <v>277</v>
      </c>
      <c r="AM16" s="12">
        <v>368</v>
      </c>
      <c r="AN16" s="12">
        <v>383</v>
      </c>
      <c r="AO16" s="12">
        <v>218</v>
      </c>
    </row>
    <row r="17" spans="1:41" x14ac:dyDescent="0.35">
      <c r="A17" s="19"/>
      <c r="B17" s="13" t="s">
        <v>482</v>
      </c>
      <c r="C17" s="15">
        <v>0.31</v>
      </c>
      <c r="D17" s="15">
        <v>0.31</v>
      </c>
      <c r="E17" s="15">
        <v>0.31</v>
      </c>
      <c r="F17" s="15">
        <v>0.32</v>
      </c>
      <c r="G17" s="15">
        <v>0.17</v>
      </c>
      <c r="H17" s="15">
        <v>0.35</v>
      </c>
      <c r="I17" s="15">
        <v>0.37</v>
      </c>
      <c r="J17" s="15">
        <v>0.44</v>
      </c>
      <c r="K17" s="15">
        <v>0.19</v>
      </c>
      <c r="L17" s="15">
        <v>0.21</v>
      </c>
      <c r="M17" s="15">
        <v>0.28999999999999998</v>
      </c>
      <c r="N17" s="15">
        <v>0.36</v>
      </c>
      <c r="O17" s="15">
        <v>0.36</v>
      </c>
      <c r="P17" s="15">
        <v>0.23</v>
      </c>
      <c r="Q17" s="15">
        <v>0.32</v>
      </c>
      <c r="R17" s="15">
        <v>0.33</v>
      </c>
      <c r="S17" s="15">
        <v>0.25</v>
      </c>
      <c r="T17" s="15">
        <v>0.17</v>
      </c>
      <c r="U17" s="15">
        <v>0.2</v>
      </c>
      <c r="V17" s="15">
        <v>0.28000000000000003</v>
      </c>
      <c r="W17" s="15">
        <v>0.3</v>
      </c>
      <c r="X17" s="15">
        <v>0.27</v>
      </c>
      <c r="Y17" s="15">
        <v>0.26</v>
      </c>
      <c r="Z17" s="15">
        <v>0.18</v>
      </c>
      <c r="AA17" s="15">
        <v>0.14000000000000001</v>
      </c>
      <c r="AB17" s="15">
        <v>0.31</v>
      </c>
      <c r="AC17" s="15">
        <v>0.42</v>
      </c>
      <c r="AD17" s="15">
        <v>0.35</v>
      </c>
      <c r="AE17" s="15">
        <v>0.11</v>
      </c>
      <c r="AF17" s="15">
        <v>0.21</v>
      </c>
      <c r="AG17" s="15">
        <v>0.28999999999999998</v>
      </c>
      <c r="AH17" s="15">
        <v>0.31</v>
      </c>
      <c r="AI17" s="15">
        <v>0.23</v>
      </c>
      <c r="AJ17" s="15">
        <v>0.28000000000000003</v>
      </c>
      <c r="AK17" s="15">
        <v>0.18</v>
      </c>
      <c r="AL17" s="15">
        <v>0.27</v>
      </c>
      <c r="AM17" s="15">
        <v>0.35</v>
      </c>
      <c r="AN17" s="15">
        <v>0.38</v>
      </c>
      <c r="AO17" s="15">
        <v>0.22</v>
      </c>
    </row>
    <row r="18" spans="1:41" x14ac:dyDescent="0.35">
      <c r="A18" s="19"/>
      <c r="B18" s="11" t="s">
        <v>483</v>
      </c>
      <c r="C18" s="12">
        <v>3794</v>
      </c>
      <c r="D18" s="12">
        <v>148</v>
      </c>
      <c r="E18" s="12">
        <v>293</v>
      </c>
      <c r="F18" s="12">
        <v>219</v>
      </c>
      <c r="G18" s="12">
        <v>52</v>
      </c>
      <c r="H18" s="12">
        <v>138</v>
      </c>
      <c r="I18" s="12">
        <v>217</v>
      </c>
      <c r="J18" s="12">
        <v>79</v>
      </c>
      <c r="K18" s="12">
        <v>150</v>
      </c>
      <c r="L18" s="12">
        <v>69</v>
      </c>
      <c r="M18" s="12">
        <v>400</v>
      </c>
      <c r="N18" s="12">
        <v>173</v>
      </c>
      <c r="O18" s="12">
        <v>192</v>
      </c>
      <c r="P18" s="12">
        <v>121</v>
      </c>
      <c r="Q18" s="12">
        <v>133</v>
      </c>
      <c r="R18" s="12">
        <v>139</v>
      </c>
      <c r="S18" s="12">
        <v>92</v>
      </c>
      <c r="T18" s="12">
        <v>76</v>
      </c>
      <c r="U18" s="12">
        <v>36</v>
      </c>
      <c r="V18" s="12">
        <v>156</v>
      </c>
      <c r="W18" s="12">
        <v>34</v>
      </c>
      <c r="X18" s="12">
        <v>94</v>
      </c>
      <c r="Y18" s="12">
        <v>194</v>
      </c>
      <c r="Z18" s="12">
        <v>49</v>
      </c>
      <c r="AA18" s="12">
        <v>45</v>
      </c>
      <c r="AB18" s="12">
        <v>125</v>
      </c>
      <c r="AC18" s="12">
        <v>154</v>
      </c>
      <c r="AD18" s="12">
        <v>159</v>
      </c>
      <c r="AE18" s="12">
        <v>23</v>
      </c>
      <c r="AF18" s="12">
        <v>74</v>
      </c>
      <c r="AG18" s="12">
        <v>144</v>
      </c>
      <c r="AH18" s="12">
        <v>168</v>
      </c>
      <c r="AI18" s="12">
        <v>137</v>
      </c>
      <c r="AJ18" s="12">
        <v>173</v>
      </c>
      <c r="AK18" s="12">
        <v>69</v>
      </c>
      <c r="AL18" s="12">
        <v>203</v>
      </c>
      <c r="AM18" s="12">
        <v>98</v>
      </c>
      <c r="AN18" s="12">
        <v>101</v>
      </c>
      <c r="AO18" s="12">
        <v>209</v>
      </c>
    </row>
    <row r="19" spans="1:41" x14ac:dyDescent="0.35">
      <c r="A19" s="19"/>
      <c r="B19" s="13" t="s">
        <v>484</v>
      </c>
      <c r="C19" s="15">
        <v>0.14000000000000001</v>
      </c>
      <c r="D19" s="15">
        <v>0.15</v>
      </c>
      <c r="E19" s="15">
        <v>0.28000000000000003</v>
      </c>
      <c r="F19" s="15">
        <v>0.2</v>
      </c>
      <c r="G19" s="15">
        <v>0.05</v>
      </c>
      <c r="H19" s="15">
        <v>0.11</v>
      </c>
      <c r="I19" s="15">
        <v>0.14000000000000001</v>
      </c>
      <c r="J19" s="15">
        <v>0.27</v>
      </c>
      <c r="K19" s="15">
        <v>0.15</v>
      </c>
      <c r="L19" s="15">
        <v>7.0000000000000007E-2</v>
      </c>
      <c r="M19" s="15">
        <v>0.4</v>
      </c>
      <c r="N19" s="15">
        <v>0.17</v>
      </c>
      <c r="O19" s="15">
        <v>0.19</v>
      </c>
      <c r="P19" s="15">
        <v>0.12</v>
      </c>
      <c r="Q19" s="15">
        <v>0.13</v>
      </c>
      <c r="R19" s="15">
        <v>0.28000000000000003</v>
      </c>
      <c r="S19" s="15">
        <v>0.09</v>
      </c>
      <c r="T19" s="15">
        <v>0.08</v>
      </c>
      <c r="U19" s="15">
        <v>7.0000000000000007E-2</v>
      </c>
      <c r="V19" s="15">
        <v>0.15</v>
      </c>
      <c r="W19" s="15">
        <v>7.0000000000000007E-2</v>
      </c>
      <c r="X19" s="15">
        <v>0.09</v>
      </c>
      <c r="Y19" s="15">
        <v>0.2</v>
      </c>
      <c r="Z19" s="15">
        <v>0.05</v>
      </c>
      <c r="AA19" s="15">
        <v>0.04</v>
      </c>
      <c r="AB19" s="15">
        <v>0.12</v>
      </c>
      <c r="AC19" s="15">
        <v>0.15</v>
      </c>
      <c r="AD19" s="15">
        <v>0.16</v>
      </c>
      <c r="AE19" s="15">
        <v>0.02</v>
      </c>
      <c r="AF19" s="15">
        <v>7.0000000000000007E-2</v>
      </c>
      <c r="AG19" s="15">
        <v>0.14000000000000001</v>
      </c>
      <c r="AH19" s="15">
        <v>0.17</v>
      </c>
      <c r="AI19" s="15">
        <v>0.26</v>
      </c>
      <c r="AJ19" s="15">
        <v>0.17</v>
      </c>
      <c r="AK19" s="15">
        <v>7.0000000000000007E-2</v>
      </c>
      <c r="AL19" s="15">
        <v>0.2</v>
      </c>
      <c r="AM19" s="15">
        <v>0.1</v>
      </c>
      <c r="AN19" s="15">
        <v>0.1</v>
      </c>
      <c r="AO19" s="15">
        <v>0.21</v>
      </c>
    </row>
    <row r="20" spans="1:41" x14ac:dyDescent="0.35">
      <c r="A20" s="19"/>
      <c r="B20" s="11" t="s">
        <v>485</v>
      </c>
      <c r="C20" s="12">
        <v>1064</v>
      </c>
      <c r="D20" s="12">
        <v>28</v>
      </c>
      <c r="E20" s="12">
        <v>83</v>
      </c>
      <c r="F20" s="12">
        <v>21</v>
      </c>
      <c r="G20" s="12">
        <v>20</v>
      </c>
      <c r="H20" s="12">
        <v>27</v>
      </c>
      <c r="I20" s="12">
        <v>29</v>
      </c>
      <c r="J20" s="12">
        <v>2</v>
      </c>
      <c r="K20" s="12">
        <v>46</v>
      </c>
      <c r="L20" s="12">
        <v>49</v>
      </c>
      <c r="M20" s="12">
        <v>42</v>
      </c>
      <c r="N20" s="12">
        <v>67</v>
      </c>
      <c r="O20" s="12">
        <v>79</v>
      </c>
      <c r="P20" s="12">
        <v>42</v>
      </c>
      <c r="Q20" s="12">
        <v>21</v>
      </c>
      <c r="R20" s="12">
        <v>58</v>
      </c>
      <c r="S20" s="12">
        <v>73</v>
      </c>
      <c r="T20" s="12">
        <v>30</v>
      </c>
      <c r="U20" s="12">
        <v>53</v>
      </c>
      <c r="V20" s="12">
        <v>34</v>
      </c>
      <c r="W20" s="12">
        <v>31</v>
      </c>
      <c r="X20" s="12">
        <v>10</v>
      </c>
      <c r="Y20" s="12">
        <v>38</v>
      </c>
      <c r="Z20" s="12">
        <v>31</v>
      </c>
      <c r="AA20" s="12">
        <v>74</v>
      </c>
      <c r="AB20" s="12">
        <v>42</v>
      </c>
      <c r="AC20" s="12">
        <v>47</v>
      </c>
      <c r="AD20" s="12">
        <v>26</v>
      </c>
      <c r="AE20" s="12">
        <v>31</v>
      </c>
      <c r="AF20" s="12">
        <v>25</v>
      </c>
      <c r="AG20" s="12">
        <v>8</v>
      </c>
      <c r="AH20" s="12">
        <v>40</v>
      </c>
      <c r="AI20" s="12">
        <v>40</v>
      </c>
      <c r="AJ20" s="12">
        <v>30</v>
      </c>
      <c r="AK20" s="12">
        <v>12</v>
      </c>
      <c r="AL20" s="12">
        <v>108</v>
      </c>
      <c r="AM20" s="12">
        <v>86</v>
      </c>
      <c r="AN20" s="12">
        <v>58</v>
      </c>
      <c r="AO20" s="12">
        <v>51</v>
      </c>
    </row>
    <row r="21" spans="1:41" x14ac:dyDescent="0.35">
      <c r="A21" s="19"/>
      <c r="B21" s="13" t="s">
        <v>486</v>
      </c>
      <c r="C21" s="15">
        <v>0.04</v>
      </c>
      <c r="D21" s="15">
        <v>0.03</v>
      </c>
      <c r="E21" s="15">
        <v>0.08</v>
      </c>
      <c r="F21" s="15">
        <v>0.02</v>
      </c>
      <c r="G21" s="15">
        <v>0.02</v>
      </c>
      <c r="H21" s="15">
        <v>0.02</v>
      </c>
      <c r="I21" s="15">
        <v>0.02</v>
      </c>
      <c r="J21" s="15">
        <v>0.01</v>
      </c>
      <c r="K21" s="15">
        <v>0.05</v>
      </c>
      <c r="L21" s="15">
        <v>0.05</v>
      </c>
      <c r="M21" s="15">
        <v>0.04</v>
      </c>
      <c r="N21" s="15">
        <v>7.0000000000000007E-2</v>
      </c>
      <c r="O21" s="15">
        <v>0.08</v>
      </c>
      <c r="P21" s="15">
        <v>0.04</v>
      </c>
      <c r="Q21" s="15">
        <v>0.02</v>
      </c>
      <c r="R21" s="15">
        <v>0.11</v>
      </c>
      <c r="S21" s="15">
        <v>7.0000000000000007E-2</v>
      </c>
      <c r="T21" s="15">
        <v>0.03</v>
      </c>
      <c r="U21" s="15">
        <v>0.11</v>
      </c>
      <c r="V21" s="15">
        <v>0.03</v>
      </c>
      <c r="W21" s="15">
        <v>0.06</v>
      </c>
      <c r="X21" s="15">
        <v>0.01</v>
      </c>
      <c r="Y21" s="15">
        <v>0.04</v>
      </c>
      <c r="Z21" s="15">
        <v>0.03</v>
      </c>
      <c r="AA21" s="15">
        <v>7.0000000000000007E-2</v>
      </c>
      <c r="AB21" s="15">
        <v>0.04</v>
      </c>
      <c r="AC21" s="15">
        <v>0.05</v>
      </c>
      <c r="AD21" s="15">
        <v>0.03</v>
      </c>
      <c r="AE21" s="15">
        <v>0.03</v>
      </c>
      <c r="AF21" s="15">
        <v>0.02</v>
      </c>
      <c r="AG21" s="15">
        <v>0.01</v>
      </c>
      <c r="AH21" s="15">
        <v>0.04</v>
      </c>
      <c r="AI21" s="15">
        <v>0.08</v>
      </c>
      <c r="AJ21" s="15">
        <v>0.03</v>
      </c>
      <c r="AK21" s="15">
        <v>0.01</v>
      </c>
      <c r="AL21" s="15">
        <v>0.11</v>
      </c>
      <c r="AM21" s="15">
        <v>0.08</v>
      </c>
      <c r="AN21" s="15">
        <v>0.06</v>
      </c>
      <c r="AO21" s="15">
        <v>0.05</v>
      </c>
    </row>
    <row r="22" spans="1:41" x14ac:dyDescent="0.35">
      <c r="A22" s="19"/>
      <c r="B22" s="11" t="s">
        <v>487</v>
      </c>
      <c r="C22" s="12">
        <v>13421</v>
      </c>
      <c r="D22" s="12">
        <v>524</v>
      </c>
      <c r="E22" s="12">
        <v>338</v>
      </c>
      <c r="F22" s="12">
        <v>503</v>
      </c>
      <c r="G22" s="12">
        <v>765</v>
      </c>
      <c r="H22" s="12">
        <v>626</v>
      </c>
      <c r="I22" s="12">
        <v>708</v>
      </c>
      <c r="J22" s="12">
        <v>83</v>
      </c>
      <c r="K22" s="12">
        <v>616</v>
      </c>
      <c r="L22" s="12">
        <v>668</v>
      </c>
      <c r="M22" s="12">
        <v>276</v>
      </c>
      <c r="N22" s="12">
        <v>405</v>
      </c>
      <c r="O22" s="12">
        <v>368</v>
      </c>
      <c r="P22" s="12">
        <v>614</v>
      </c>
      <c r="Q22" s="12">
        <v>544</v>
      </c>
      <c r="R22" s="12">
        <v>141</v>
      </c>
      <c r="S22" s="12">
        <v>592</v>
      </c>
      <c r="T22" s="12">
        <v>726</v>
      </c>
      <c r="U22" s="12">
        <v>313</v>
      </c>
      <c r="V22" s="12">
        <v>542</v>
      </c>
      <c r="W22" s="12">
        <v>292</v>
      </c>
      <c r="X22" s="12">
        <v>631</v>
      </c>
      <c r="Y22" s="12">
        <v>507</v>
      </c>
      <c r="Z22" s="12">
        <v>762</v>
      </c>
      <c r="AA22" s="12">
        <v>772</v>
      </c>
      <c r="AB22" s="12">
        <v>554</v>
      </c>
      <c r="AC22" s="12">
        <v>377</v>
      </c>
      <c r="AD22" s="12">
        <v>464</v>
      </c>
      <c r="AE22" s="12">
        <v>850</v>
      </c>
      <c r="AF22" s="12">
        <v>724</v>
      </c>
      <c r="AG22" s="12">
        <v>582</v>
      </c>
      <c r="AH22" s="12">
        <v>488</v>
      </c>
      <c r="AI22" s="12">
        <v>224</v>
      </c>
      <c r="AJ22" s="12">
        <v>539</v>
      </c>
      <c r="AK22" s="12">
        <v>742</v>
      </c>
      <c r="AL22" s="12">
        <v>425</v>
      </c>
      <c r="AM22" s="12">
        <v>488</v>
      </c>
      <c r="AN22" s="12">
        <v>462</v>
      </c>
      <c r="AO22" s="12">
        <v>523</v>
      </c>
    </row>
    <row r="23" spans="1:41" x14ac:dyDescent="0.35">
      <c r="A23" s="19"/>
      <c r="B23" s="13" t="s">
        <v>488</v>
      </c>
      <c r="C23" s="15">
        <v>0.51</v>
      </c>
      <c r="D23" s="15">
        <v>0.51</v>
      </c>
      <c r="E23" s="15">
        <v>0.33</v>
      </c>
      <c r="F23" s="15">
        <v>0.46</v>
      </c>
      <c r="G23" s="15">
        <v>0.76</v>
      </c>
      <c r="H23" s="15">
        <v>0.52</v>
      </c>
      <c r="I23" s="15">
        <v>0.47</v>
      </c>
      <c r="J23" s="15">
        <v>0.28000000000000003</v>
      </c>
      <c r="K23" s="15">
        <v>0.61</v>
      </c>
      <c r="L23" s="15">
        <v>0.67</v>
      </c>
      <c r="M23" s="15">
        <v>0.27</v>
      </c>
      <c r="N23" s="15">
        <v>0.4</v>
      </c>
      <c r="O23" s="15">
        <v>0.37</v>
      </c>
      <c r="P23" s="15">
        <v>0.61</v>
      </c>
      <c r="Q23" s="15">
        <v>0.53</v>
      </c>
      <c r="R23" s="15">
        <v>0.28000000000000003</v>
      </c>
      <c r="S23" s="15">
        <v>0.59</v>
      </c>
      <c r="T23" s="15">
        <v>0.72</v>
      </c>
      <c r="U23" s="15">
        <v>0.62</v>
      </c>
      <c r="V23" s="15">
        <v>0.54</v>
      </c>
      <c r="W23" s="15">
        <v>0.57000000000000006</v>
      </c>
      <c r="X23" s="15">
        <v>0.63</v>
      </c>
      <c r="Y23" s="15">
        <v>0.5</v>
      </c>
      <c r="Z23" s="15">
        <v>0.74</v>
      </c>
      <c r="AA23" s="15">
        <v>0.75</v>
      </c>
      <c r="AB23" s="15">
        <v>0.53</v>
      </c>
      <c r="AC23" s="15">
        <v>0.38</v>
      </c>
      <c r="AD23" s="15">
        <v>0.46</v>
      </c>
      <c r="AE23" s="15">
        <v>0.84</v>
      </c>
      <c r="AF23" s="15">
        <v>0.70000000000000007</v>
      </c>
      <c r="AG23" s="15">
        <v>0.56000000000000005</v>
      </c>
      <c r="AH23" s="15">
        <v>0.48</v>
      </c>
      <c r="AI23" s="15">
        <v>0.43</v>
      </c>
      <c r="AJ23" s="15">
        <v>0.52</v>
      </c>
      <c r="AK23" s="15">
        <v>0.74</v>
      </c>
      <c r="AL23" s="15">
        <v>0.42</v>
      </c>
      <c r="AM23" s="15">
        <v>0.47</v>
      </c>
      <c r="AN23" s="15">
        <v>0.46</v>
      </c>
      <c r="AO23" s="15">
        <v>0.52</v>
      </c>
    </row>
    <row r="24" spans="1:41" x14ac:dyDescent="0.35">
      <c r="A24" s="19"/>
      <c r="B24" s="11" t="s">
        <v>489</v>
      </c>
      <c r="C24" s="12">
        <v>11960</v>
      </c>
      <c r="D24" s="12">
        <v>461</v>
      </c>
      <c r="E24" s="12">
        <v>608</v>
      </c>
      <c r="F24" s="12">
        <v>578</v>
      </c>
      <c r="G24" s="12">
        <v>221</v>
      </c>
      <c r="H24" s="12">
        <v>569</v>
      </c>
      <c r="I24" s="12">
        <v>779</v>
      </c>
      <c r="J24" s="12">
        <v>210</v>
      </c>
      <c r="K24" s="12">
        <v>340</v>
      </c>
      <c r="L24" s="12">
        <v>286</v>
      </c>
      <c r="M24" s="12">
        <v>693</v>
      </c>
      <c r="N24" s="12">
        <v>530</v>
      </c>
      <c r="O24" s="12">
        <v>554</v>
      </c>
      <c r="P24" s="12">
        <v>349</v>
      </c>
      <c r="Q24" s="12">
        <v>461</v>
      </c>
      <c r="R24" s="12">
        <v>305</v>
      </c>
      <c r="S24" s="12">
        <v>336</v>
      </c>
      <c r="T24" s="12">
        <v>251</v>
      </c>
      <c r="U24" s="12">
        <v>138</v>
      </c>
      <c r="V24" s="12">
        <v>439</v>
      </c>
      <c r="W24" s="12">
        <v>185</v>
      </c>
      <c r="X24" s="12">
        <v>368</v>
      </c>
      <c r="Y24" s="12">
        <v>458</v>
      </c>
      <c r="Z24" s="12">
        <v>238</v>
      </c>
      <c r="AA24" s="12">
        <v>187</v>
      </c>
      <c r="AB24" s="12">
        <v>455</v>
      </c>
      <c r="AC24" s="12">
        <v>578</v>
      </c>
      <c r="AD24" s="12">
        <v>514</v>
      </c>
      <c r="AE24" s="12">
        <v>131</v>
      </c>
      <c r="AF24" s="12">
        <v>294</v>
      </c>
      <c r="AG24" s="12">
        <v>445</v>
      </c>
      <c r="AH24" s="12">
        <v>484</v>
      </c>
      <c r="AI24" s="12">
        <v>259</v>
      </c>
      <c r="AJ24" s="12">
        <v>467</v>
      </c>
      <c r="AK24" s="12">
        <v>253</v>
      </c>
      <c r="AL24" s="12">
        <v>480</v>
      </c>
      <c r="AM24" s="12">
        <v>466</v>
      </c>
      <c r="AN24" s="12">
        <v>484</v>
      </c>
      <c r="AO24" s="12">
        <v>427</v>
      </c>
    </row>
    <row r="25" spans="1:41" x14ac:dyDescent="0.35">
      <c r="A25" s="19"/>
      <c r="B25" s="13" t="s">
        <v>490</v>
      </c>
      <c r="C25" s="15">
        <v>0.45</v>
      </c>
      <c r="D25" s="15">
        <v>0.46</v>
      </c>
      <c r="E25" s="15">
        <v>0.59</v>
      </c>
      <c r="F25" s="15">
        <v>0.52</v>
      </c>
      <c r="G25" s="15">
        <v>0.22</v>
      </c>
      <c r="H25" s="15">
        <v>0.46</v>
      </c>
      <c r="I25" s="15">
        <v>0.51</v>
      </c>
      <c r="J25" s="15">
        <v>0.71</v>
      </c>
      <c r="K25" s="15">
        <v>0.34</v>
      </c>
      <c r="L25" s="15">
        <v>0.28000000000000003</v>
      </c>
      <c r="M25" s="15">
        <v>0.69000000000000006</v>
      </c>
      <c r="N25" s="15">
        <v>0.53</v>
      </c>
      <c r="O25" s="15">
        <v>0.55000000000000004</v>
      </c>
      <c r="P25" s="15">
        <v>0.35</v>
      </c>
      <c r="Q25" s="15">
        <v>0.45</v>
      </c>
      <c r="R25" s="15">
        <v>0.61</v>
      </c>
      <c r="S25" s="15">
        <v>0.34</v>
      </c>
      <c r="T25" s="15">
        <v>0.25</v>
      </c>
      <c r="U25" s="15">
        <v>0.27</v>
      </c>
      <c r="V25" s="15">
        <v>0.43</v>
      </c>
      <c r="W25" s="15">
        <v>0.37</v>
      </c>
      <c r="X25" s="15">
        <v>0.36</v>
      </c>
      <c r="Y25" s="15">
        <v>0.46</v>
      </c>
      <c r="Z25" s="15">
        <v>0.23</v>
      </c>
      <c r="AA25" s="15">
        <v>0.18</v>
      </c>
      <c r="AB25" s="15">
        <v>0.43</v>
      </c>
      <c r="AC25" s="15">
        <v>0.57000000000000006</v>
      </c>
      <c r="AD25" s="15">
        <v>0.51</v>
      </c>
      <c r="AE25" s="15">
        <v>0.13</v>
      </c>
      <c r="AF25" s="15">
        <v>0.28000000000000003</v>
      </c>
      <c r="AG25" s="15">
        <v>0.43</v>
      </c>
      <c r="AH25" s="15">
        <v>0.48</v>
      </c>
      <c r="AI25" s="15">
        <v>0.49</v>
      </c>
      <c r="AJ25" s="15">
        <v>0.45</v>
      </c>
      <c r="AK25" s="15">
        <v>0.25</v>
      </c>
      <c r="AL25" s="15">
        <v>0.47</v>
      </c>
      <c r="AM25" s="15">
        <v>0.45</v>
      </c>
      <c r="AN25" s="15">
        <v>0.48</v>
      </c>
      <c r="AO25" s="15">
        <v>0.43</v>
      </c>
    </row>
  </sheetData>
  <mergeCells count="10">
    <mergeCell ref="A22:A25"/>
    <mergeCell ref="B4:F4"/>
    <mergeCell ref="H3:L3"/>
    <mergeCell ref="A10:A21"/>
    <mergeCell ref="C8:AO8"/>
    <mergeCell ref="B3:F3"/>
    <mergeCell ref="B5:F5"/>
    <mergeCell ref="H5:L5"/>
    <mergeCell ref="B10:B11"/>
    <mergeCell ref="H4:L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O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1" width="12.453125" customWidth="1"/>
  </cols>
  <sheetData>
    <row r="1" spans="1:41" x14ac:dyDescent="0.35">
      <c r="I1" s="7" t="s">
        <v>428</v>
      </c>
    </row>
    <row r="2" spans="1:41" x14ac:dyDescent="0.35">
      <c r="C2" s="7" t="s">
        <v>429</v>
      </c>
      <c r="H2" s="7" t="s">
        <v>430</v>
      </c>
    </row>
    <row r="3" spans="1:41" ht="24" customHeight="1" x14ac:dyDescent="0.35">
      <c r="B3" s="18" t="s">
        <v>1173</v>
      </c>
      <c r="C3" s="18"/>
      <c r="D3" s="18"/>
      <c r="E3" s="18"/>
      <c r="F3" s="18"/>
      <c r="H3" s="18" t="s">
        <v>1174</v>
      </c>
      <c r="I3" s="18"/>
      <c r="J3" s="18"/>
      <c r="K3" s="18"/>
      <c r="L3" s="18"/>
    </row>
    <row r="4" spans="1:41" ht="27" customHeight="1" x14ac:dyDescent="0.35">
      <c r="B4" s="18" t="s">
        <v>691</v>
      </c>
      <c r="C4" s="18"/>
      <c r="D4" s="18"/>
      <c r="E4" s="18"/>
      <c r="F4" s="18"/>
      <c r="H4" s="18" t="s">
        <v>644</v>
      </c>
      <c r="I4" s="18"/>
      <c r="J4" s="18"/>
      <c r="K4" s="18"/>
      <c r="L4" s="18"/>
    </row>
    <row r="5" spans="1:41" ht="12" customHeight="1" x14ac:dyDescent="0.35">
      <c r="B5" s="18" t="s">
        <v>431</v>
      </c>
      <c r="C5" s="18"/>
      <c r="D5" s="18"/>
      <c r="E5" s="18"/>
      <c r="F5" s="18"/>
      <c r="H5" s="18" t="s">
        <v>432</v>
      </c>
      <c r="I5" s="18"/>
      <c r="J5" s="18"/>
      <c r="K5" s="18"/>
      <c r="L5" s="18"/>
    </row>
    <row r="6" spans="1:41" ht="1" customHeight="1" x14ac:dyDescent="0.35"/>
    <row r="7" spans="1:41" ht="1" customHeight="1" x14ac:dyDescent="0.35"/>
    <row r="8" spans="1:41"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8" x14ac:dyDescent="0.35">
      <c r="A9" s="5" t="str">
        <f>HYPERLINK("#Content!A124","&lt;&lt;Back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x14ac:dyDescent="0.35">
      <c r="A12" s="19"/>
      <c r="B12" s="11" t="s">
        <v>477</v>
      </c>
      <c r="C12" s="12">
        <v>2105</v>
      </c>
      <c r="D12" s="12">
        <v>45</v>
      </c>
      <c r="E12" s="12">
        <v>88</v>
      </c>
      <c r="F12" s="12">
        <v>91</v>
      </c>
      <c r="G12" s="12">
        <v>204</v>
      </c>
      <c r="H12" s="12">
        <v>56</v>
      </c>
      <c r="I12" s="12">
        <v>67</v>
      </c>
      <c r="J12" s="12">
        <v>10</v>
      </c>
      <c r="K12" s="12">
        <v>45</v>
      </c>
      <c r="L12" s="12">
        <v>177</v>
      </c>
      <c r="M12" s="12">
        <v>26</v>
      </c>
      <c r="N12" s="12">
        <v>71</v>
      </c>
      <c r="O12" s="12">
        <v>29</v>
      </c>
      <c r="P12" s="12">
        <v>97</v>
      </c>
      <c r="Q12" s="12">
        <v>108</v>
      </c>
      <c r="R12" s="12">
        <v>30</v>
      </c>
      <c r="S12" s="12">
        <v>69</v>
      </c>
      <c r="T12" s="12">
        <v>109</v>
      </c>
      <c r="U12" s="12">
        <v>56</v>
      </c>
      <c r="V12" s="12">
        <v>88</v>
      </c>
      <c r="W12" s="12">
        <v>36</v>
      </c>
      <c r="X12" s="12">
        <v>121</v>
      </c>
      <c r="Y12" s="12">
        <v>212</v>
      </c>
      <c r="Z12" s="12">
        <v>130</v>
      </c>
      <c r="AA12" s="12">
        <v>56</v>
      </c>
      <c r="AB12" s="12">
        <v>114</v>
      </c>
      <c r="AC12" s="12">
        <v>34</v>
      </c>
      <c r="AD12" s="12">
        <v>153</v>
      </c>
      <c r="AE12" s="12">
        <v>98</v>
      </c>
      <c r="AF12" s="12">
        <v>135</v>
      </c>
      <c r="AG12" s="12">
        <v>135</v>
      </c>
      <c r="AH12" s="12">
        <v>136</v>
      </c>
      <c r="AI12" s="12">
        <v>122</v>
      </c>
      <c r="AJ12" s="12">
        <v>53</v>
      </c>
      <c r="AK12" s="12">
        <v>209</v>
      </c>
      <c r="AL12" s="12">
        <v>141</v>
      </c>
      <c r="AM12" s="12">
        <v>61</v>
      </c>
      <c r="AN12" s="12">
        <v>114</v>
      </c>
      <c r="AO12" s="12">
        <v>68</v>
      </c>
    </row>
    <row r="13" spans="1:41" x14ac:dyDescent="0.35">
      <c r="A13" s="19"/>
      <c r="B13" s="13" t="s">
        <v>478</v>
      </c>
      <c r="C13" s="15">
        <v>0.08</v>
      </c>
      <c r="D13" s="15">
        <v>0.04</v>
      </c>
      <c r="E13" s="15">
        <v>0.08</v>
      </c>
      <c r="F13" s="15">
        <v>0.08</v>
      </c>
      <c r="G13" s="15">
        <v>0.2</v>
      </c>
      <c r="H13" s="15">
        <v>0.05</v>
      </c>
      <c r="I13" s="15">
        <v>0.04</v>
      </c>
      <c r="J13" s="15">
        <v>0.04</v>
      </c>
      <c r="K13" s="15">
        <v>0.05</v>
      </c>
      <c r="L13" s="15">
        <v>0.18</v>
      </c>
      <c r="M13" s="15">
        <v>0.03</v>
      </c>
      <c r="N13" s="15">
        <v>7.0000000000000007E-2</v>
      </c>
      <c r="O13" s="15">
        <v>0.03</v>
      </c>
      <c r="P13" s="15">
        <v>0.1</v>
      </c>
      <c r="Q13" s="15">
        <v>0.1</v>
      </c>
      <c r="R13" s="15">
        <v>0.06</v>
      </c>
      <c r="S13" s="15">
        <v>7.0000000000000007E-2</v>
      </c>
      <c r="T13" s="15">
        <v>0.11</v>
      </c>
      <c r="U13" s="15">
        <v>0.11</v>
      </c>
      <c r="V13" s="15">
        <v>0.09</v>
      </c>
      <c r="W13" s="15">
        <v>7.0000000000000007E-2</v>
      </c>
      <c r="X13" s="15">
        <v>0.12</v>
      </c>
      <c r="Y13" s="15">
        <v>0.21</v>
      </c>
      <c r="Z13" s="15">
        <v>0.13</v>
      </c>
      <c r="AA13" s="15">
        <v>0.05</v>
      </c>
      <c r="AB13" s="15">
        <v>0.11</v>
      </c>
      <c r="AC13" s="15">
        <v>0.04</v>
      </c>
      <c r="AD13" s="15">
        <v>0.15</v>
      </c>
      <c r="AE13" s="15">
        <v>0.1</v>
      </c>
      <c r="AF13" s="15">
        <v>0.13</v>
      </c>
      <c r="AG13" s="15">
        <v>0.13</v>
      </c>
      <c r="AH13" s="15">
        <v>0.13</v>
      </c>
      <c r="AI13" s="15">
        <v>0.24</v>
      </c>
      <c r="AJ13" s="15">
        <v>0.05</v>
      </c>
      <c r="AK13" s="15">
        <v>0.21</v>
      </c>
      <c r="AL13" s="15">
        <v>0.14000000000000001</v>
      </c>
      <c r="AM13" s="15">
        <v>0.06</v>
      </c>
      <c r="AN13" s="15">
        <v>0.11</v>
      </c>
      <c r="AO13" s="15">
        <v>7.0000000000000007E-2</v>
      </c>
    </row>
    <row r="14" spans="1:41" x14ac:dyDescent="0.35">
      <c r="A14" s="19"/>
      <c r="B14" s="11" t="s">
        <v>1172</v>
      </c>
      <c r="C14" s="12">
        <v>11835</v>
      </c>
      <c r="D14" s="12">
        <v>487</v>
      </c>
      <c r="E14" s="12">
        <v>327</v>
      </c>
      <c r="F14" s="12">
        <v>460</v>
      </c>
      <c r="G14" s="12">
        <v>478</v>
      </c>
      <c r="H14" s="12">
        <v>593</v>
      </c>
      <c r="I14" s="12">
        <v>674</v>
      </c>
      <c r="J14" s="12">
        <v>81</v>
      </c>
      <c r="K14" s="12">
        <v>383</v>
      </c>
      <c r="L14" s="12">
        <v>447</v>
      </c>
      <c r="M14" s="12">
        <v>305</v>
      </c>
      <c r="N14" s="12">
        <v>358</v>
      </c>
      <c r="O14" s="12">
        <v>405</v>
      </c>
      <c r="P14" s="12">
        <v>525</v>
      </c>
      <c r="Q14" s="12">
        <v>461</v>
      </c>
      <c r="R14" s="12">
        <v>130</v>
      </c>
      <c r="S14" s="12">
        <v>398</v>
      </c>
      <c r="T14" s="12">
        <v>462</v>
      </c>
      <c r="U14" s="12">
        <v>212</v>
      </c>
      <c r="V14" s="12">
        <v>465</v>
      </c>
      <c r="W14" s="12">
        <v>247</v>
      </c>
      <c r="X14" s="12">
        <v>478</v>
      </c>
      <c r="Y14" s="12">
        <v>333</v>
      </c>
      <c r="Z14" s="12">
        <v>611</v>
      </c>
      <c r="AA14" s="12">
        <v>741</v>
      </c>
      <c r="AB14" s="12">
        <v>558</v>
      </c>
      <c r="AC14" s="12">
        <v>325</v>
      </c>
      <c r="AD14" s="12">
        <v>476</v>
      </c>
      <c r="AE14" s="12">
        <v>515</v>
      </c>
      <c r="AF14" s="12">
        <v>487</v>
      </c>
      <c r="AG14" s="12">
        <v>321</v>
      </c>
      <c r="AH14" s="12">
        <v>443</v>
      </c>
      <c r="AI14" s="12">
        <v>118</v>
      </c>
      <c r="AJ14" s="12">
        <v>244</v>
      </c>
      <c r="AK14" s="12">
        <v>615</v>
      </c>
      <c r="AL14" s="12">
        <v>254</v>
      </c>
      <c r="AM14" s="12">
        <v>375</v>
      </c>
      <c r="AN14" s="12">
        <v>415</v>
      </c>
      <c r="AO14" s="12">
        <v>220</v>
      </c>
    </row>
    <row r="15" spans="1:41" x14ac:dyDescent="0.35">
      <c r="A15" s="19"/>
      <c r="B15" s="13" t="s">
        <v>480</v>
      </c>
      <c r="C15" s="15">
        <v>0.45</v>
      </c>
      <c r="D15" s="15">
        <v>0.48</v>
      </c>
      <c r="E15" s="15">
        <v>0.32</v>
      </c>
      <c r="F15" s="15">
        <v>0.42</v>
      </c>
      <c r="G15" s="15">
        <v>0.48</v>
      </c>
      <c r="H15" s="15">
        <v>0.48</v>
      </c>
      <c r="I15" s="15">
        <v>0.45</v>
      </c>
      <c r="J15" s="15">
        <v>0.27</v>
      </c>
      <c r="K15" s="15">
        <v>0.38</v>
      </c>
      <c r="L15" s="15">
        <v>0.44</v>
      </c>
      <c r="M15" s="15">
        <v>0.3</v>
      </c>
      <c r="N15" s="15">
        <v>0.36</v>
      </c>
      <c r="O15" s="15">
        <v>0.4</v>
      </c>
      <c r="P15" s="15">
        <v>0.52</v>
      </c>
      <c r="Q15" s="15">
        <v>0.45</v>
      </c>
      <c r="R15" s="15">
        <v>0.26</v>
      </c>
      <c r="S15" s="15">
        <v>0.4</v>
      </c>
      <c r="T15" s="15">
        <v>0.46</v>
      </c>
      <c r="U15" s="15">
        <v>0.42</v>
      </c>
      <c r="V15" s="15">
        <v>0.46</v>
      </c>
      <c r="W15" s="15">
        <v>0.49</v>
      </c>
      <c r="X15" s="15">
        <v>0.47</v>
      </c>
      <c r="Y15" s="15">
        <v>0.33</v>
      </c>
      <c r="Z15" s="15">
        <v>0.59</v>
      </c>
      <c r="AA15" s="15">
        <v>0.72</v>
      </c>
      <c r="AB15" s="15">
        <v>0.53</v>
      </c>
      <c r="AC15" s="15">
        <v>0.32</v>
      </c>
      <c r="AD15" s="15">
        <v>0.47</v>
      </c>
      <c r="AE15" s="15">
        <v>0.51</v>
      </c>
      <c r="AF15" s="15">
        <v>0.47</v>
      </c>
      <c r="AG15" s="15">
        <v>0.31</v>
      </c>
      <c r="AH15" s="15">
        <v>0.44</v>
      </c>
      <c r="AI15" s="15">
        <v>0.23</v>
      </c>
      <c r="AJ15" s="15">
        <v>0.23</v>
      </c>
      <c r="AK15" s="15">
        <v>0.61</v>
      </c>
      <c r="AL15" s="15">
        <v>0.25</v>
      </c>
      <c r="AM15" s="15">
        <v>0.36</v>
      </c>
      <c r="AN15" s="15">
        <v>0.41</v>
      </c>
      <c r="AO15" s="15">
        <v>0.22</v>
      </c>
    </row>
    <row r="16" spans="1:41" x14ac:dyDescent="0.35">
      <c r="A16" s="19"/>
      <c r="B16" s="11" t="s">
        <v>491</v>
      </c>
      <c r="C16" s="12">
        <v>7990</v>
      </c>
      <c r="D16" s="12">
        <v>316</v>
      </c>
      <c r="E16" s="12">
        <v>286</v>
      </c>
      <c r="F16" s="12">
        <v>358</v>
      </c>
      <c r="G16" s="12">
        <v>223</v>
      </c>
      <c r="H16" s="12">
        <v>417</v>
      </c>
      <c r="I16" s="12">
        <v>550</v>
      </c>
      <c r="J16" s="12">
        <v>132</v>
      </c>
      <c r="K16" s="12">
        <v>330</v>
      </c>
      <c r="L16" s="12">
        <v>252</v>
      </c>
      <c r="M16" s="12">
        <v>311</v>
      </c>
      <c r="N16" s="12">
        <v>364</v>
      </c>
      <c r="O16" s="12">
        <v>326</v>
      </c>
      <c r="P16" s="12">
        <v>243</v>
      </c>
      <c r="Q16" s="12">
        <v>307</v>
      </c>
      <c r="R16" s="12">
        <v>166</v>
      </c>
      <c r="S16" s="12">
        <v>342</v>
      </c>
      <c r="T16" s="12">
        <v>309</v>
      </c>
      <c r="U16" s="12">
        <v>150</v>
      </c>
      <c r="V16" s="12">
        <v>259</v>
      </c>
      <c r="W16" s="12">
        <v>147</v>
      </c>
      <c r="X16" s="12">
        <v>296</v>
      </c>
      <c r="Y16" s="12">
        <v>222</v>
      </c>
      <c r="Z16" s="12">
        <v>216</v>
      </c>
      <c r="AA16" s="12">
        <v>130</v>
      </c>
      <c r="AB16" s="12">
        <v>229</v>
      </c>
      <c r="AC16" s="12">
        <v>435</v>
      </c>
      <c r="AD16" s="12">
        <v>220</v>
      </c>
      <c r="AE16" s="12">
        <v>287</v>
      </c>
      <c r="AF16" s="12">
        <v>276</v>
      </c>
      <c r="AG16" s="12">
        <v>377</v>
      </c>
      <c r="AH16" s="12">
        <v>247</v>
      </c>
      <c r="AI16" s="12">
        <v>106</v>
      </c>
      <c r="AJ16" s="12">
        <v>411</v>
      </c>
      <c r="AK16" s="12">
        <v>144</v>
      </c>
      <c r="AL16" s="12">
        <v>275</v>
      </c>
      <c r="AM16" s="12">
        <v>381</v>
      </c>
      <c r="AN16" s="12">
        <v>335</v>
      </c>
      <c r="AO16" s="12">
        <v>305</v>
      </c>
    </row>
    <row r="17" spans="1:41" x14ac:dyDescent="0.35">
      <c r="A17" s="19"/>
      <c r="B17" s="13" t="s">
        <v>482</v>
      </c>
      <c r="C17" s="15">
        <v>0.3</v>
      </c>
      <c r="D17" s="15">
        <v>0.31</v>
      </c>
      <c r="E17" s="15">
        <v>0.28000000000000003</v>
      </c>
      <c r="F17" s="15">
        <v>0.32</v>
      </c>
      <c r="G17" s="15">
        <v>0.22</v>
      </c>
      <c r="H17" s="15">
        <v>0.34</v>
      </c>
      <c r="I17" s="15">
        <v>0.36</v>
      </c>
      <c r="J17" s="15">
        <v>0.45</v>
      </c>
      <c r="K17" s="15">
        <v>0.33</v>
      </c>
      <c r="L17" s="15">
        <v>0.25</v>
      </c>
      <c r="M17" s="15">
        <v>0.31</v>
      </c>
      <c r="N17" s="15">
        <v>0.36</v>
      </c>
      <c r="O17" s="15">
        <v>0.33</v>
      </c>
      <c r="P17" s="15">
        <v>0.24</v>
      </c>
      <c r="Q17" s="15">
        <v>0.3</v>
      </c>
      <c r="R17" s="15">
        <v>0.33</v>
      </c>
      <c r="S17" s="15">
        <v>0.34</v>
      </c>
      <c r="T17" s="15">
        <v>0.31</v>
      </c>
      <c r="U17" s="15">
        <v>0.3</v>
      </c>
      <c r="V17" s="15">
        <v>0.25</v>
      </c>
      <c r="W17" s="15">
        <v>0.28999999999999998</v>
      </c>
      <c r="X17" s="15">
        <v>0.28999999999999998</v>
      </c>
      <c r="Y17" s="15">
        <v>0.22</v>
      </c>
      <c r="Z17" s="15">
        <v>0.21</v>
      </c>
      <c r="AA17" s="15">
        <v>0.13</v>
      </c>
      <c r="AB17" s="15">
        <v>0.22</v>
      </c>
      <c r="AC17" s="15">
        <v>0.43</v>
      </c>
      <c r="AD17" s="15">
        <v>0.22</v>
      </c>
      <c r="AE17" s="15">
        <v>0.28000000000000003</v>
      </c>
      <c r="AF17" s="15">
        <v>0.26</v>
      </c>
      <c r="AG17" s="15">
        <v>0.37</v>
      </c>
      <c r="AH17" s="15">
        <v>0.24</v>
      </c>
      <c r="AI17" s="15">
        <v>0.2</v>
      </c>
      <c r="AJ17" s="15">
        <v>0.4</v>
      </c>
      <c r="AK17" s="15">
        <v>0.14000000000000001</v>
      </c>
      <c r="AL17" s="15">
        <v>0.27</v>
      </c>
      <c r="AM17" s="15">
        <v>0.37</v>
      </c>
      <c r="AN17" s="15">
        <v>0.34</v>
      </c>
      <c r="AO17" s="15">
        <v>0.3</v>
      </c>
    </row>
    <row r="18" spans="1:41" x14ac:dyDescent="0.35">
      <c r="A18" s="19"/>
      <c r="B18" s="11" t="s">
        <v>483</v>
      </c>
      <c r="C18" s="12">
        <v>3313</v>
      </c>
      <c r="D18" s="12">
        <v>137</v>
      </c>
      <c r="E18" s="12">
        <v>246</v>
      </c>
      <c r="F18" s="12">
        <v>162</v>
      </c>
      <c r="G18" s="12">
        <v>70</v>
      </c>
      <c r="H18" s="12">
        <v>123</v>
      </c>
      <c r="I18" s="12">
        <v>187</v>
      </c>
      <c r="J18" s="12">
        <v>65</v>
      </c>
      <c r="K18" s="12">
        <v>164</v>
      </c>
      <c r="L18" s="12">
        <v>78</v>
      </c>
      <c r="M18" s="12">
        <v>313</v>
      </c>
      <c r="N18" s="12">
        <v>143</v>
      </c>
      <c r="O18" s="12">
        <v>154</v>
      </c>
      <c r="P18" s="12">
        <v>94</v>
      </c>
      <c r="Q18" s="12">
        <v>122</v>
      </c>
      <c r="R18" s="12">
        <v>112</v>
      </c>
      <c r="S18" s="12">
        <v>111</v>
      </c>
      <c r="T18" s="12">
        <v>90</v>
      </c>
      <c r="U18" s="12">
        <v>61</v>
      </c>
      <c r="V18" s="12">
        <v>161</v>
      </c>
      <c r="W18" s="12">
        <v>51</v>
      </c>
      <c r="X18" s="12">
        <v>95</v>
      </c>
      <c r="Y18" s="12">
        <v>211</v>
      </c>
      <c r="Z18" s="12">
        <v>39</v>
      </c>
      <c r="AA18" s="12">
        <v>34</v>
      </c>
      <c r="AB18" s="12">
        <v>104</v>
      </c>
      <c r="AC18" s="12">
        <v>157</v>
      </c>
      <c r="AD18" s="12">
        <v>127</v>
      </c>
      <c r="AE18" s="12">
        <v>67</v>
      </c>
      <c r="AF18" s="12">
        <v>113</v>
      </c>
      <c r="AG18" s="12">
        <v>179</v>
      </c>
      <c r="AH18" s="12">
        <v>152</v>
      </c>
      <c r="AI18" s="12">
        <v>133</v>
      </c>
      <c r="AJ18" s="12">
        <v>286</v>
      </c>
      <c r="AK18" s="12">
        <v>28</v>
      </c>
      <c r="AL18" s="12">
        <v>199</v>
      </c>
      <c r="AM18" s="12">
        <v>109</v>
      </c>
      <c r="AN18" s="12">
        <v>108</v>
      </c>
      <c r="AO18" s="12">
        <v>297</v>
      </c>
    </row>
    <row r="19" spans="1:41" x14ac:dyDescent="0.35">
      <c r="A19" s="19"/>
      <c r="B19" s="13" t="s">
        <v>484</v>
      </c>
      <c r="C19" s="15">
        <v>0.12</v>
      </c>
      <c r="D19" s="15">
        <v>0.14000000000000001</v>
      </c>
      <c r="E19" s="15">
        <v>0.24</v>
      </c>
      <c r="F19" s="15">
        <v>0.15</v>
      </c>
      <c r="G19" s="15">
        <v>7.0000000000000007E-2</v>
      </c>
      <c r="H19" s="15">
        <v>0.1</v>
      </c>
      <c r="I19" s="15">
        <v>0.12</v>
      </c>
      <c r="J19" s="15">
        <v>0.22</v>
      </c>
      <c r="K19" s="15">
        <v>0.16</v>
      </c>
      <c r="L19" s="15">
        <v>0.08</v>
      </c>
      <c r="M19" s="15">
        <v>0.31</v>
      </c>
      <c r="N19" s="15">
        <v>0.14000000000000001</v>
      </c>
      <c r="O19" s="15">
        <v>0.15</v>
      </c>
      <c r="P19" s="15">
        <v>0.09</v>
      </c>
      <c r="Q19" s="15">
        <v>0.12</v>
      </c>
      <c r="R19" s="15">
        <v>0.22</v>
      </c>
      <c r="S19" s="15">
        <v>0.11</v>
      </c>
      <c r="T19" s="15">
        <v>0.09</v>
      </c>
      <c r="U19" s="15">
        <v>0.12</v>
      </c>
      <c r="V19" s="15">
        <v>0.16</v>
      </c>
      <c r="W19" s="15">
        <v>0.1</v>
      </c>
      <c r="X19" s="15">
        <v>0.1</v>
      </c>
      <c r="Y19" s="15">
        <v>0.21</v>
      </c>
      <c r="Z19" s="15">
        <v>0.04</v>
      </c>
      <c r="AA19" s="15">
        <v>0.03</v>
      </c>
      <c r="AB19" s="15">
        <v>0.1</v>
      </c>
      <c r="AC19" s="15">
        <v>0.16</v>
      </c>
      <c r="AD19" s="15">
        <v>0.13</v>
      </c>
      <c r="AE19" s="15">
        <v>7.0000000000000007E-2</v>
      </c>
      <c r="AF19" s="15">
        <v>0.11</v>
      </c>
      <c r="AG19" s="15">
        <v>0.17</v>
      </c>
      <c r="AH19" s="15">
        <v>0.15</v>
      </c>
      <c r="AI19" s="15">
        <v>0.25</v>
      </c>
      <c r="AJ19" s="15">
        <v>0.28000000000000003</v>
      </c>
      <c r="AK19" s="15">
        <v>0.03</v>
      </c>
      <c r="AL19" s="15">
        <v>0.2</v>
      </c>
      <c r="AM19" s="15">
        <v>0.1</v>
      </c>
      <c r="AN19" s="15">
        <v>0.11</v>
      </c>
      <c r="AO19" s="15">
        <v>0.3</v>
      </c>
    </row>
    <row r="20" spans="1:41" x14ac:dyDescent="0.35">
      <c r="A20" s="19"/>
      <c r="B20" s="11" t="s">
        <v>485</v>
      </c>
      <c r="C20" s="12">
        <v>1202</v>
      </c>
      <c r="D20" s="12">
        <v>28</v>
      </c>
      <c r="E20" s="12">
        <v>83</v>
      </c>
      <c r="F20" s="12">
        <v>30</v>
      </c>
      <c r="G20" s="12">
        <v>31</v>
      </c>
      <c r="H20" s="12">
        <v>32</v>
      </c>
      <c r="I20" s="12">
        <v>39</v>
      </c>
      <c r="J20" s="12">
        <v>6</v>
      </c>
      <c r="K20" s="12">
        <v>80</v>
      </c>
      <c r="L20" s="12">
        <v>49</v>
      </c>
      <c r="M20" s="12">
        <v>55</v>
      </c>
      <c r="N20" s="12">
        <v>68</v>
      </c>
      <c r="O20" s="12">
        <v>86</v>
      </c>
      <c r="P20" s="12">
        <v>45</v>
      </c>
      <c r="Q20" s="12">
        <v>29</v>
      </c>
      <c r="R20" s="12">
        <v>66</v>
      </c>
      <c r="S20" s="12">
        <v>81</v>
      </c>
      <c r="T20" s="12">
        <v>36</v>
      </c>
      <c r="U20" s="12">
        <v>25</v>
      </c>
      <c r="V20" s="12">
        <v>42</v>
      </c>
      <c r="W20" s="12">
        <v>27</v>
      </c>
      <c r="X20" s="12">
        <v>19</v>
      </c>
      <c r="Y20" s="12">
        <v>25</v>
      </c>
      <c r="Z20" s="12">
        <v>35</v>
      </c>
      <c r="AA20" s="12">
        <v>72</v>
      </c>
      <c r="AB20" s="12">
        <v>45</v>
      </c>
      <c r="AC20" s="12">
        <v>51</v>
      </c>
      <c r="AD20" s="12">
        <v>30</v>
      </c>
      <c r="AE20" s="12">
        <v>45</v>
      </c>
      <c r="AF20" s="12">
        <v>32</v>
      </c>
      <c r="AG20" s="12">
        <v>24</v>
      </c>
      <c r="AH20" s="12">
        <v>35</v>
      </c>
      <c r="AI20" s="12">
        <v>44</v>
      </c>
      <c r="AJ20" s="12">
        <v>42</v>
      </c>
      <c r="AK20" s="12">
        <v>10</v>
      </c>
      <c r="AL20" s="12">
        <v>144</v>
      </c>
      <c r="AM20" s="12">
        <v>114</v>
      </c>
      <c r="AN20" s="12">
        <v>30</v>
      </c>
      <c r="AO20" s="12">
        <v>112</v>
      </c>
    </row>
    <row r="21" spans="1:41" x14ac:dyDescent="0.35">
      <c r="A21" s="19"/>
      <c r="B21" s="13" t="s">
        <v>486</v>
      </c>
      <c r="C21" s="15">
        <v>0.05</v>
      </c>
      <c r="D21" s="15">
        <v>0.03</v>
      </c>
      <c r="E21" s="15">
        <v>0.08</v>
      </c>
      <c r="F21" s="15">
        <v>0.03</v>
      </c>
      <c r="G21" s="15">
        <v>0.03</v>
      </c>
      <c r="H21" s="15">
        <v>0.03</v>
      </c>
      <c r="I21" s="15">
        <v>0.03</v>
      </c>
      <c r="J21" s="15">
        <v>0.02</v>
      </c>
      <c r="K21" s="15">
        <v>0.08</v>
      </c>
      <c r="L21" s="15">
        <v>0.05</v>
      </c>
      <c r="M21" s="15">
        <v>0.05</v>
      </c>
      <c r="N21" s="15">
        <v>7.0000000000000007E-2</v>
      </c>
      <c r="O21" s="15">
        <v>0.09</v>
      </c>
      <c r="P21" s="15">
        <v>0.05</v>
      </c>
      <c r="Q21" s="15">
        <v>0.03</v>
      </c>
      <c r="R21" s="15">
        <v>0.13</v>
      </c>
      <c r="S21" s="15">
        <v>0.08</v>
      </c>
      <c r="T21" s="15">
        <v>0.03</v>
      </c>
      <c r="U21" s="15">
        <v>0.05</v>
      </c>
      <c r="V21" s="15">
        <v>0.04</v>
      </c>
      <c r="W21" s="15">
        <v>0.05</v>
      </c>
      <c r="X21" s="15">
        <v>0.02</v>
      </c>
      <c r="Y21" s="15">
        <v>0.03</v>
      </c>
      <c r="Z21" s="15">
        <v>0.03</v>
      </c>
      <c r="AA21" s="15">
        <v>7.0000000000000007E-2</v>
      </c>
      <c r="AB21" s="15">
        <v>0.04</v>
      </c>
      <c r="AC21" s="15">
        <v>0.05</v>
      </c>
      <c r="AD21" s="15">
        <v>0.03</v>
      </c>
      <c r="AE21" s="15">
        <v>0.04</v>
      </c>
      <c r="AF21" s="15">
        <v>0.03</v>
      </c>
      <c r="AG21" s="15">
        <v>0.02</v>
      </c>
      <c r="AH21" s="15">
        <v>0.04</v>
      </c>
      <c r="AI21" s="15">
        <v>0.08</v>
      </c>
      <c r="AJ21" s="15">
        <v>0.04</v>
      </c>
      <c r="AK21" s="15">
        <v>0.01</v>
      </c>
      <c r="AL21" s="15">
        <v>0.14000000000000001</v>
      </c>
      <c r="AM21" s="15">
        <v>0.11</v>
      </c>
      <c r="AN21" s="15">
        <v>0.03</v>
      </c>
      <c r="AO21" s="15">
        <v>0.11</v>
      </c>
    </row>
    <row r="22" spans="1:41" x14ac:dyDescent="0.35">
      <c r="A22" s="19"/>
      <c r="B22" s="11" t="s">
        <v>487</v>
      </c>
      <c r="C22" s="12">
        <v>13940</v>
      </c>
      <c r="D22" s="12">
        <v>532</v>
      </c>
      <c r="E22" s="12">
        <v>415</v>
      </c>
      <c r="F22" s="12">
        <v>551</v>
      </c>
      <c r="G22" s="12">
        <v>682</v>
      </c>
      <c r="H22" s="12">
        <v>649</v>
      </c>
      <c r="I22" s="12">
        <v>741</v>
      </c>
      <c r="J22" s="12">
        <v>91</v>
      </c>
      <c r="K22" s="12">
        <v>428</v>
      </c>
      <c r="L22" s="12">
        <v>624</v>
      </c>
      <c r="M22" s="12">
        <v>331</v>
      </c>
      <c r="N22" s="12">
        <v>429</v>
      </c>
      <c r="O22" s="12">
        <v>434</v>
      </c>
      <c r="P22" s="12">
        <v>622</v>
      </c>
      <c r="Q22" s="12">
        <v>569</v>
      </c>
      <c r="R22" s="12">
        <v>160</v>
      </c>
      <c r="S22" s="12">
        <v>467</v>
      </c>
      <c r="T22" s="12">
        <v>571</v>
      </c>
      <c r="U22" s="12">
        <v>268</v>
      </c>
      <c r="V22" s="12">
        <v>553</v>
      </c>
      <c r="W22" s="12">
        <v>283</v>
      </c>
      <c r="X22" s="12">
        <v>599</v>
      </c>
      <c r="Y22" s="12">
        <v>545</v>
      </c>
      <c r="Z22" s="12">
        <v>741</v>
      </c>
      <c r="AA22" s="12">
        <v>797</v>
      </c>
      <c r="AB22" s="12">
        <v>672</v>
      </c>
      <c r="AC22" s="12">
        <v>359</v>
      </c>
      <c r="AD22" s="12">
        <v>629</v>
      </c>
      <c r="AE22" s="12">
        <v>613</v>
      </c>
      <c r="AF22" s="12">
        <v>622</v>
      </c>
      <c r="AG22" s="12">
        <v>456</v>
      </c>
      <c r="AH22" s="12">
        <v>579</v>
      </c>
      <c r="AI22" s="12">
        <v>240</v>
      </c>
      <c r="AJ22" s="12">
        <v>297</v>
      </c>
      <c r="AK22" s="12">
        <v>824</v>
      </c>
      <c r="AL22" s="12">
        <v>395</v>
      </c>
      <c r="AM22" s="12">
        <v>436</v>
      </c>
      <c r="AN22" s="12">
        <v>529</v>
      </c>
      <c r="AO22" s="12">
        <v>288</v>
      </c>
    </row>
    <row r="23" spans="1:41" x14ac:dyDescent="0.35">
      <c r="A23" s="19"/>
      <c r="B23" s="13" t="s">
        <v>488</v>
      </c>
      <c r="C23" s="15">
        <v>0.53</v>
      </c>
      <c r="D23" s="15">
        <v>0.52</v>
      </c>
      <c r="E23" s="15">
        <v>0.4</v>
      </c>
      <c r="F23" s="15">
        <v>0.5</v>
      </c>
      <c r="G23" s="15">
        <v>0.68</v>
      </c>
      <c r="H23" s="15">
        <v>0.53</v>
      </c>
      <c r="I23" s="15">
        <v>0.49</v>
      </c>
      <c r="J23" s="15">
        <v>0.31</v>
      </c>
      <c r="K23" s="15">
        <v>0.43</v>
      </c>
      <c r="L23" s="15">
        <v>0.62</v>
      </c>
      <c r="M23" s="15">
        <v>0.33</v>
      </c>
      <c r="N23" s="15">
        <v>0.43</v>
      </c>
      <c r="O23" s="15">
        <v>0.43</v>
      </c>
      <c r="P23" s="15">
        <v>0.62</v>
      </c>
      <c r="Q23" s="15">
        <v>0.55000000000000004</v>
      </c>
      <c r="R23" s="15">
        <v>0.32</v>
      </c>
      <c r="S23" s="15">
        <v>0.47</v>
      </c>
      <c r="T23" s="15">
        <v>0.57000000000000006</v>
      </c>
      <c r="U23" s="15">
        <v>0.53</v>
      </c>
      <c r="V23" s="15">
        <v>0.55000000000000004</v>
      </c>
      <c r="W23" s="15">
        <v>0.56000000000000005</v>
      </c>
      <c r="X23" s="15">
        <v>0.59</v>
      </c>
      <c r="Y23" s="15">
        <v>0.54</v>
      </c>
      <c r="Z23" s="15">
        <v>0.72</v>
      </c>
      <c r="AA23" s="15">
        <v>0.77</v>
      </c>
      <c r="AB23" s="15">
        <v>0.64</v>
      </c>
      <c r="AC23" s="15">
        <v>0.36</v>
      </c>
      <c r="AD23" s="15">
        <v>0.62</v>
      </c>
      <c r="AE23" s="15">
        <v>0.61</v>
      </c>
      <c r="AF23" s="15">
        <v>0.6</v>
      </c>
      <c r="AG23" s="15">
        <v>0.44</v>
      </c>
      <c r="AH23" s="15">
        <v>0.57000000000000006</v>
      </c>
      <c r="AI23" s="15">
        <v>0.47</v>
      </c>
      <c r="AJ23" s="15">
        <v>0.28000000000000003</v>
      </c>
      <c r="AK23" s="15">
        <v>0.82000000000000006</v>
      </c>
      <c r="AL23" s="15">
        <v>0.39</v>
      </c>
      <c r="AM23" s="15">
        <v>0.42</v>
      </c>
      <c r="AN23" s="15">
        <v>0.52</v>
      </c>
      <c r="AO23" s="15">
        <v>0.28999999999999998</v>
      </c>
    </row>
    <row r="24" spans="1:41" x14ac:dyDescent="0.35">
      <c r="A24" s="19"/>
      <c r="B24" s="11" t="s">
        <v>489</v>
      </c>
      <c r="C24" s="12">
        <v>11303</v>
      </c>
      <c r="D24" s="12">
        <v>453</v>
      </c>
      <c r="E24" s="12">
        <v>532</v>
      </c>
      <c r="F24" s="12">
        <v>520</v>
      </c>
      <c r="G24" s="12">
        <v>293</v>
      </c>
      <c r="H24" s="12">
        <v>540</v>
      </c>
      <c r="I24" s="12">
        <v>737</v>
      </c>
      <c r="J24" s="12">
        <v>197</v>
      </c>
      <c r="K24" s="12">
        <v>494</v>
      </c>
      <c r="L24" s="12">
        <v>330</v>
      </c>
      <c r="M24" s="12">
        <v>624</v>
      </c>
      <c r="N24" s="12">
        <v>507</v>
      </c>
      <c r="O24" s="12">
        <v>480</v>
      </c>
      <c r="P24" s="12">
        <v>337</v>
      </c>
      <c r="Q24" s="12">
        <v>429</v>
      </c>
      <c r="R24" s="12">
        <v>278</v>
      </c>
      <c r="S24" s="12">
        <v>453</v>
      </c>
      <c r="T24" s="12">
        <v>399</v>
      </c>
      <c r="U24" s="12">
        <v>211</v>
      </c>
      <c r="V24" s="12">
        <v>420</v>
      </c>
      <c r="W24" s="12">
        <v>198</v>
      </c>
      <c r="X24" s="12">
        <v>391</v>
      </c>
      <c r="Y24" s="12">
        <v>433</v>
      </c>
      <c r="Z24" s="12">
        <v>255</v>
      </c>
      <c r="AA24" s="12">
        <v>164</v>
      </c>
      <c r="AB24" s="12">
        <v>333</v>
      </c>
      <c r="AC24" s="12">
        <v>592</v>
      </c>
      <c r="AD24" s="12">
        <v>347</v>
      </c>
      <c r="AE24" s="12">
        <v>354</v>
      </c>
      <c r="AF24" s="12">
        <v>389</v>
      </c>
      <c r="AG24" s="12">
        <v>556</v>
      </c>
      <c r="AH24" s="12">
        <v>399</v>
      </c>
      <c r="AI24" s="12">
        <v>239</v>
      </c>
      <c r="AJ24" s="12">
        <v>697</v>
      </c>
      <c r="AK24" s="12">
        <v>172</v>
      </c>
      <c r="AL24" s="12">
        <v>474</v>
      </c>
      <c r="AM24" s="12">
        <v>490</v>
      </c>
      <c r="AN24" s="12">
        <v>443</v>
      </c>
      <c r="AO24" s="12">
        <v>602</v>
      </c>
    </row>
    <row r="25" spans="1:41" x14ac:dyDescent="0.35">
      <c r="A25" s="19"/>
      <c r="B25" s="13" t="s">
        <v>490</v>
      </c>
      <c r="C25" s="15">
        <v>0.42</v>
      </c>
      <c r="D25" s="15">
        <v>0.45</v>
      </c>
      <c r="E25" s="15">
        <v>0.52</v>
      </c>
      <c r="F25" s="15">
        <v>0.47</v>
      </c>
      <c r="G25" s="15">
        <v>0.28999999999999998</v>
      </c>
      <c r="H25" s="15">
        <v>0.44</v>
      </c>
      <c r="I25" s="15">
        <v>0.48</v>
      </c>
      <c r="J25" s="15">
        <v>0.67</v>
      </c>
      <c r="K25" s="15">
        <v>0.49</v>
      </c>
      <c r="L25" s="15">
        <v>0.33</v>
      </c>
      <c r="M25" s="15">
        <v>0.62</v>
      </c>
      <c r="N25" s="15">
        <v>0.5</v>
      </c>
      <c r="O25" s="15">
        <v>0.48</v>
      </c>
      <c r="P25" s="15">
        <v>0.33</v>
      </c>
      <c r="Q25" s="15">
        <v>0.42</v>
      </c>
      <c r="R25" s="15">
        <v>0.55000000000000004</v>
      </c>
      <c r="S25" s="15">
        <v>0.45</v>
      </c>
      <c r="T25" s="15">
        <v>0.4</v>
      </c>
      <c r="U25" s="15">
        <v>0.42</v>
      </c>
      <c r="V25" s="15">
        <v>0.41</v>
      </c>
      <c r="W25" s="15">
        <v>0.39</v>
      </c>
      <c r="X25" s="15">
        <v>0.39</v>
      </c>
      <c r="Y25" s="15">
        <v>0.43</v>
      </c>
      <c r="Z25" s="15">
        <v>0.25</v>
      </c>
      <c r="AA25" s="15">
        <v>0.16</v>
      </c>
      <c r="AB25" s="15">
        <v>0.32</v>
      </c>
      <c r="AC25" s="15">
        <v>0.59</v>
      </c>
      <c r="AD25" s="15">
        <v>0.35</v>
      </c>
      <c r="AE25" s="15">
        <v>0.35</v>
      </c>
      <c r="AF25" s="15">
        <v>0.37</v>
      </c>
      <c r="AG25" s="15">
        <v>0.54</v>
      </c>
      <c r="AH25" s="15">
        <v>0.39</v>
      </c>
      <c r="AI25" s="15">
        <v>0.45</v>
      </c>
      <c r="AJ25" s="15">
        <v>0.68</v>
      </c>
      <c r="AK25" s="15">
        <v>0.17</v>
      </c>
      <c r="AL25" s="15">
        <v>0.47</v>
      </c>
      <c r="AM25" s="15">
        <v>0.47</v>
      </c>
      <c r="AN25" s="15">
        <v>0.45</v>
      </c>
      <c r="AO25" s="15">
        <v>0.6</v>
      </c>
    </row>
  </sheetData>
  <mergeCells count="10">
    <mergeCell ref="A22:A25"/>
    <mergeCell ref="B4:F4"/>
    <mergeCell ref="H3:L3"/>
    <mergeCell ref="A10:A21"/>
    <mergeCell ref="C8:AO8"/>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Q25"/>
  <sheetViews>
    <sheetView workbookViewId="0">
      <pane xSplit="3" ySplit="9" topLeftCell="D10" activePane="bottomRight" state="frozen"/>
      <selection pane="topRight"/>
      <selection pane="bottomLeft"/>
      <selection pane="bottomRight" activeCell="B4" sqref="B4:F4"/>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1175</v>
      </c>
      <c r="C3" s="18"/>
      <c r="D3" s="18"/>
      <c r="E3" s="18"/>
      <c r="F3" s="18"/>
      <c r="H3" s="18" t="s">
        <v>1176</v>
      </c>
      <c r="I3" s="18"/>
      <c r="J3" s="18"/>
      <c r="K3" s="18"/>
      <c r="L3" s="18"/>
    </row>
    <row r="4" spans="1:43" ht="27" customHeight="1" x14ac:dyDescent="0.35">
      <c r="B4" s="18" t="s">
        <v>1177</v>
      </c>
      <c r="C4" s="18"/>
      <c r="D4" s="18"/>
      <c r="E4" s="18"/>
      <c r="F4" s="18"/>
      <c r="H4" s="18" t="s">
        <v>1178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9404</v>
      </c>
      <c r="D12" s="12">
        <v>386</v>
      </c>
      <c r="E12" s="12">
        <v>135</v>
      </c>
      <c r="F12" s="12">
        <v>381</v>
      </c>
      <c r="G12" s="12">
        <v>675</v>
      </c>
      <c r="H12" s="12">
        <v>520</v>
      </c>
      <c r="I12" s="12">
        <v>610</v>
      </c>
      <c r="J12" s="12">
        <v>90</v>
      </c>
      <c r="K12" s="12">
        <v>367</v>
      </c>
      <c r="L12" s="12">
        <v>578</v>
      </c>
      <c r="M12" s="12">
        <v>162</v>
      </c>
      <c r="N12" s="12">
        <v>385</v>
      </c>
      <c r="O12" s="12">
        <v>341</v>
      </c>
      <c r="P12" s="12">
        <v>307</v>
      </c>
      <c r="Q12" s="12">
        <v>235</v>
      </c>
      <c r="R12" s="12">
        <v>50</v>
      </c>
      <c r="S12" s="12">
        <v>466</v>
      </c>
      <c r="T12" s="12">
        <v>448</v>
      </c>
      <c r="U12" s="12">
        <v>200</v>
      </c>
      <c r="V12" s="12">
        <v>131</v>
      </c>
      <c r="W12" s="12">
        <v>152</v>
      </c>
      <c r="X12" s="12">
        <v>581</v>
      </c>
      <c r="Y12" s="12">
        <v>382</v>
      </c>
      <c r="Z12" s="12">
        <v>401</v>
      </c>
      <c r="AA12" s="12">
        <v>306</v>
      </c>
      <c r="AB12" s="12">
        <v>151</v>
      </c>
      <c r="AC12" s="12">
        <v>252</v>
      </c>
      <c r="AD12" s="12">
        <v>350</v>
      </c>
      <c r="AE12" s="12">
        <v>687</v>
      </c>
      <c r="AF12" s="12">
        <v>732</v>
      </c>
      <c r="AG12" s="12">
        <v>243</v>
      </c>
      <c r="AH12" s="12">
        <v>156</v>
      </c>
      <c r="AI12" s="12">
        <v>86</v>
      </c>
      <c r="AJ12" s="12">
        <v>113</v>
      </c>
      <c r="AK12" s="12">
        <v>425</v>
      </c>
      <c r="AL12" s="12">
        <v>283</v>
      </c>
      <c r="AM12" s="12">
        <v>398</v>
      </c>
      <c r="AN12" s="12">
        <v>208</v>
      </c>
      <c r="AO12" s="12">
        <v>623</v>
      </c>
      <c r="AP12" s="12">
        <v>113</v>
      </c>
      <c r="AQ12" s="12">
        <v>381</v>
      </c>
    </row>
    <row r="13" spans="1:43" x14ac:dyDescent="0.35">
      <c r="A13" s="19"/>
      <c r="B13" s="13" t="s">
        <v>761</v>
      </c>
      <c r="C13" s="15">
        <v>0.36</v>
      </c>
      <c r="D13" s="15">
        <v>0.38</v>
      </c>
      <c r="E13" s="15">
        <v>0.13</v>
      </c>
      <c r="F13" s="15">
        <v>0.34</v>
      </c>
      <c r="G13" s="15">
        <v>0.67</v>
      </c>
      <c r="H13" s="15">
        <v>0.43</v>
      </c>
      <c r="I13" s="15">
        <v>0.4</v>
      </c>
      <c r="J13" s="15">
        <v>0.3</v>
      </c>
      <c r="K13" s="15">
        <v>0.37</v>
      </c>
      <c r="L13" s="15">
        <v>0.57999999999999996</v>
      </c>
      <c r="M13" s="15">
        <v>0.16</v>
      </c>
      <c r="N13" s="15">
        <v>0.38</v>
      </c>
      <c r="O13" s="15">
        <v>0.34</v>
      </c>
      <c r="P13" s="15">
        <v>0.31</v>
      </c>
      <c r="Q13" s="15">
        <v>0.23</v>
      </c>
      <c r="R13" s="15">
        <v>0.1</v>
      </c>
      <c r="S13" s="15">
        <v>0.47</v>
      </c>
      <c r="T13" s="15">
        <v>0.45</v>
      </c>
      <c r="U13" s="15">
        <v>0.4</v>
      </c>
      <c r="V13" s="15">
        <v>0.13</v>
      </c>
      <c r="W13" s="15">
        <v>0.3</v>
      </c>
      <c r="X13" s="15">
        <v>0.57999999999999996</v>
      </c>
      <c r="Y13" s="15">
        <v>0.38</v>
      </c>
      <c r="Z13" s="15">
        <v>0.39</v>
      </c>
      <c r="AA13" s="15">
        <v>0.3</v>
      </c>
      <c r="AB13" s="15">
        <v>0.14000000000000001</v>
      </c>
      <c r="AC13" s="15">
        <v>0.25</v>
      </c>
      <c r="AD13" s="15">
        <v>0.35</v>
      </c>
      <c r="AE13" s="15">
        <v>0.68</v>
      </c>
      <c r="AF13" s="15">
        <v>0.70000000000000007</v>
      </c>
      <c r="AG13" s="15">
        <v>0.23</v>
      </c>
      <c r="AH13" s="15">
        <v>0.15</v>
      </c>
      <c r="AI13" s="15">
        <v>0.16</v>
      </c>
      <c r="AJ13" s="15">
        <v>0.11</v>
      </c>
      <c r="AK13" s="15">
        <v>0.42</v>
      </c>
      <c r="AL13" s="15">
        <v>0.28000000000000003</v>
      </c>
      <c r="AM13" s="15">
        <v>0.38</v>
      </c>
      <c r="AN13" s="15">
        <v>0.21</v>
      </c>
      <c r="AO13" s="15">
        <v>0.62</v>
      </c>
      <c r="AP13" s="15">
        <v>0.22</v>
      </c>
      <c r="AQ13" s="15">
        <v>0.38</v>
      </c>
    </row>
    <row r="14" spans="1:43" x14ac:dyDescent="0.35">
      <c r="A14" s="19"/>
      <c r="B14" s="11" t="s">
        <v>762</v>
      </c>
      <c r="C14" s="12">
        <v>9846</v>
      </c>
      <c r="D14" s="12">
        <v>376</v>
      </c>
      <c r="E14" s="12">
        <v>271</v>
      </c>
      <c r="F14" s="12">
        <v>341</v>
      </c>
      <c r="G14" s="12">
        <v>223</v>
      </c>
      <c r="H14" s="12">
        <v>443</v>
      </c>
      <c r="I14" s="12">
        <v>530</v>
      </c>
      <c r="J14" s="12">
        <v>87</v>
      </c>
      <c r="K14" s="12">
        <v>315</v>
      </c>
      <c r="L14" s="12">
        <v>305</v>
      </c>
      <c r="M14" s="12">
        <v>322</v>
      </c>
      <c r="N14" s="12">
        <v>348</v>
      </c>
      <c r="O14" s="12">
        <v>374</v>
      </c>
      <c r="P14" s="12">
        <v>450</v>
      </c>
      <c r="Q14" s="12">
        <v>459</v>
      </c>
      <c r="R14" s="12">
        <v>100</v>
      </c>
      <c r="S14" s="12">
        <v>247</v>
      </c>
      <c r="T14" s="12">
        <v>373</v>
      </c>
      <c r="U14" s="12">
        <v>177</v>
      </c>
      <c r="V14" s="12">
        <v>371</v>
      </c>
      <c r="W14" s="12">
        <v>226</v>
      </c>
      <c r="X14" s="12">
        <v>266</v>
      </c>
      <c r="Y14" s="12">
        <v>310</v>
      </c>
      <c r="Z14" s="12">
        <v>482</v>
      </c>
      <c r="AA14" s="12">
        <v>607</v>
      </c>
      <c r="AB14" s="12">
        <v>479</v>
      </c>
      <c r="AC14" s="12">
        <v>330</v>
      </c>
      <c r="AD14" s="12">
        <v>334</v>
      </c>
      <c r="AE14" s="12">
        <v>209</v>
      </c>
      <c r="AF14" s="12">
        <v>216</v>
      </c>
      <c r="AG14" s="12">
        <v>421</v>
      </c>
      <c r="AH14" s="12">
        <v>334</v>
      </c>
      <c r="AI14" s="12">
        <v>98</v>
      </c>
      <c r="AJ14" s="12">
        <v>197</v>
      </c>
      <c r="AK14" s="12">
        <v>360</v>
      </c>
      <c r="AL14" s="12">
        <v>188</v>
      </c>
      <c r="AM14" s="12">
        <v>374</v>
      </c>
      <c r="AN14" s="12">
        <v>369</v>
      </c>
      <c r="AO14" s="12">
        <v>202</v>
      </c>
      <c r="AP14" s="12">
        <v>150</v>
      </c>
      <c r="AQ14" s="12">
        <v>260</v>
      </c>
    </row>
    <row r="15" spans="1:43" x14ac:dyDescent="0.35">
      <c r="A15" s="19"/>
      <c r="B15" s="13" t="s">
        <v>763</v>
      </c>
      <c r="C15" s="15">
        <v>0.37</v>
      </c>
      <c r="D15" s="15">
        <v>0.37</v>
      </c>
      <c r="E15" s="15">
        <v>0.26</v>
      </c>
      <c r="F15" s="15">
        <v>0.31</v>
      </c>
      <c r="G15" s="15">
        <v>0.22</v>
      </c>
      <c r="H15" s="15">
        <v>0.36</v>
      </c>
      <c r="I15" s="15">
        <v>0.35</v>
      </c>
      <c r="J15" s="15">
        <v>0.28999999999999998</v>
      </c>
      <c r="K15" s="15">
        <v>0.31</v>
      </c>
      <c r="L15" s="15">
        <v>0.3</v>
      </c>
      <c r="M15" s="15">
        <v>0.32</v>
      </c>
      <c r="N15" s="15">
        <v>0.35</v>
      </c>
      <c r="O15" s="15">
        <v>0.37</v>
      </c>
      <c r="P15" s="15">
        <v>0.45</v>
      </c>
      <c r="Q15" s="15">
        <v>0.45</v>
      </c>
      <c r="R15" s="15">
        <v>0.2</v>
      </c>
      <c r="S15" s="15">
        <v>0.25</v>
      </c>
      <c r="T15" s="15">
        <v>0.37</v>
      </c>
      <c r="U15" s="15">
        <v>0.35</v>
      </c>
      <c r="V15" s="15">
        <v>0.36</v>
      </c>
      <c r="W15" s="15">
        <v>0.44</v>
      </c>
      <c r="X15" s="15">
        <v>0.26</v>
      </c>
      <c r="Y15" s="15">
        <v>0.31</v>
      </c>
      <c r="Z15" s="15">
        <v>0.47</v>
      </c>
      <c r="AA15" s="15">
        <v>0.59</v>
      </c>
      <c r="AB15" s="15">
        <v>0.46</v>
      </c>
      <c r="AC15" s="15">
        <v>0.33</v>
      </c>
      <c r="AD15" s="15">
        <v>0.33</v>
      </c>
      <c r="AE15" s="15">
        <v>0.21</v>
      </c>
      <c r="AF15" s="15">
        <v>0.21</v>
      </c>
      <c r="AG15" s="15">
        <v>0.41</v>
      </c>
      <c r="AH15" s="15">
        <v>0.33</v>
      </c>
      <c r="AI15" s="15">
        <v>0.19</v>
      </c>
      <c r="AJ15" s="15">
        <v>0.19</v>
      </c>
      <c r="AK15" s="15">
        <v>0.36</v>
      </c>
      <c r="AL15" s="15">
        <v>0.18</v>
      </c>
      <c r="AM15" s="15">
        <v>0.36</v>
      </c>
      <c r="AN15" s="15">
        <v>0.37</v>
      </c>
      <c r="AO15" s="15">
        <v>0.2</v>
      </c>
      <c r="AP15" s="15">
        <v>0.28999999999999998</v>
      </c>
      <c r="AQ15" s="15">
        <v>0.26</v>
      </c>
    </row>
    <row r="16" spans="1:43" x14ac:dyDescent="0.35">
      <c r="A16" s="19"/>
      <c r="B16" s="11" t="s">
        <v>764</v>
      </c>
      <c r="C16" s="12">
        <v>3742</v>
      </c>
      <c r="D16" s="12">
        <v>163</v>
      </c>
      <c r="E16" s="12">
        <v>238</v>
      </c>
      <c r="F16" s="12">
        <v>254</v>
      </c>
      <c r="G16" s="12">
        <v>54</v>
      </c>
      <c r="H16" s="12">
        <v>118</v>
      </c>
      <c r="I16" s="12">
        <v>174</v>
      </c>
      <c r="J16" s="12">
        <v>56</v>
      </c>
      <c r="K16" s="12">
        <v>149</v>
      </c>
      <c r="L16" s="12">
        <v>50</v>
      </c>
      <c r="M16" s="12">
        <v>287</v>
      </c>
      <c r="N16" s="12">
        <v>126</v>
      </c>
      <c r="O16" s="12">
        <v>128</v>
      </c>
      <c r="P16" s="12">
        <v>166</v>
      </c>
      <c r="Q16" s="12">
        <v>203</v>
      </c>
      <c r="R16" s="12">
        <v>165</v>
      </c>
      <c r="S16" s="12">
        <v>122</v>
      </c>
      <c r="T16" s="12">
        <v>99</v>
      </c>
      <c r="U16" s="12">
        <v>63</v>
      </c>
      <c r="V16" s="12">
        <v>285</v>
      </c>
      <c r="W16" s="12">
        <v>72</v>
      </c>
      <c r="X16" s="12">
        <v>94</v>
      </c>
      <c r="Y16" s="12">
        <v>131</v>
      </c>
      <c r="Z16" s="12">
        <v>98</v>
      </c>
      <c r="AA16" s="12">
        <v>40</v>
      </c>
      <c r="AB16" s="12">
        <v>245</v>
      </c>
      <c r="AC16" s="12">
        <v>236</v>
      </c>
      <c r="AD16" s="12">
        <v>157</v>
      </c>
      <c r="AE16" s="12">
        <v>53</v>
      </c>
      <c r="AF16" s="12">
        <v>49</v>
      </c>
      <c r="AG16" s="12">
        <v>246</v>
      </c>
      <c r="AH16" s="12">
        <v>280</v>
      </c>
      <c r="AI16" s="12">
        <v>118</v>
      </c>
      <c r="AJ16" s="12">
        <v>292</v>
      </c>
      <c r="AK16" s="12">
        <v>137</v>
      </c>
      <c r="AL16" s="12">
        <v>153</v>
      </c>
      <c r="AM16" s="12">
        <v>131</v>
      </c>
      <c r="AN16" s="12">
        <v>280</v>
      </c>
      <c r="AO16" s="12">
        <v>44</v>
      </c>
      <c r="AP16" s="12">
        <v>163</v>
      </c>
      <c r="AQ16" s="12">
        <v>95</v>
      </c>
    </row>
    <row r="17" spans="1:43" x14ac:dyDescent="0.35">
      <c r="A17" s="19"/>
      <c r="B17" s="13" t="s">
        <v>765</v>
      </c>
      <c r="C17" s="15">
        <v>0.14000000000000001</v>
      </c>
      <c r="D17" s="15">
        <v>0.16</v>
      </c>
      <c r="E17" s="15">
        <v>0.23</v>
      </c>
      <c r="F17" s="15">
        <v>0.23</v>
      </c>
      <c r="G17" s="15">
        <v>0.05</v>
      </c>
      <c r="H17" s="15">
        <v>0.1</v>
      </c>
      <c r="I17" s="15">
        <v>0.11</v>
      </c>
      <c r="J17" s="15">
        <v>0.19</v>
      </c>
      <c r="K17" s="15">
        <v>0.15</v>
      </c>
      <c r="L17" s="15">
        <v>0.05</v>
      </c>
      <c r="M17" s="15">
        <v>0.28999999999999998</v>
      </c>
      <c r="N17" s="15">
        <v>0.13</v>
      </c>
      <c r="O17" s="15">
        <v>0.13</v>
      </c>
      <c r="P17" s="15">
        <v>0.16</v>
      </c>
      <c r="Q17" s="15">
        <v>0.2</v>
      </c>
      <c r="R17" s="15">
        <v>0.33</v>
      </c>
      <c r="S17" s="15">
        <v>0.12</v>
      </c>
      <c r="T17" s="15">
        <v>0.1</v>
      </c>
      <c r="U17" s="15">
        <v>0.12</v>
      </c>
      <c r="V17" s="15">
        <v>0.28000000000000003</v>
      </c>
      <c r="W17" s="15">
        <v>0.14000000000000001</v>
      </c>
      <c r="X17" s="15">
        <v>0.09</v>
      </c>
      <c r="Y17" s="15">
        <v>0.13</v>
      </c>
      <c r="Z17" s="15">
        <v>0.09</v>
      </c>
      <c r="AA17" s="15">
        <v>0.04</v>
      </c>
      <c r="AB17" s="15">
        <v>0.23</v>
      </c>
      <c r="AC17" s="15">
        <v>0.23</v>
      </c>
      <c r="AD17" s="15">
        <v>0.16</v>
      </c>
      <c r="AE17" s="15">
        <v>0.05</v>
      </c>
      <c r="AF17" s="15">
        <v>0.04</v>
      </c>
      <c r="AG17" s="15">
        <v>0.24</v>
      </c>
      <c r="AH17" s="15">
        <v>0.28000000000000003</v>
      </c>
      <c r="AI17" s="15">
        <v>0.23</v>
      </c>
      <c r="AJ17" s="15">
        <v>0.28000000000000003</v>
      </c>
      <c r="AK17" s="15">
        <v>0.14000000000000001</v>
      </c>
      <c r="AL17" s="15">
        <v>0.15</v>
      </c>
      <c r="AM17" s="15">
        <v>0.13</v>
      </c>
      <c r="AN17" s="15">
        <v>0.28000000000000003</v>
      </c>
      <c r="AO17" s="15">
        <v>0.04</v>
      </c>
      <c r="AP17" s="15">
        <v>0.31</v>
      </c>
      <c r="AQ17" s="15">
        <v>0.09</v>
      </c>
    </row>
    <row r="18" spans="1:43" x14ac:dyDescent="0.35">
      <c r="A18" s="19"/>
      <c r="B18" s="11" t="s">
        <v>766</v>
      </c>
      <c r="C18" s="12">
        <v>2005</v>
      </c>
      <c r="D18" s="12">
        <v>68</v>
      </c>
      <c r="E18" s="12">
        <v>233</v>
      </c>
      <c r="F18" s="12">
        <v>84</v>
      </c>
      <c r="G18" s="12">
        <v>16</v>
      </c>
      <c r="H18" s="12">
        <v>86</v>
      </c>
      <c r="I18" s="12">
        <v>131</v>
      </c>
      <c r="J18" s="12">
        <v>46</v>
      </c>
      <c r="K18" s="12">
        <v>92</v>
      </c>
      <c r="L18" s="12">
        <v>19</v>
      </c>
      <c r="M18" s="12">
        <v>164</v>
      </c>
      <c r="N18" s="12">
        <v>54</v>
      </c>
      <c r="O18" s="12">
        <v>84</v>
      </c>
      <c r="P18" s="12">
        <v>48</v>
      </c>
      <c r="Q18" s="12">
        <v>77</v>
      </c>
      <c r="R18" s="12">
        <v>149</v>
      </c>
      <c r="S18" s="12">
        <v>71</v>
      </c>
      <c r="T18" s="12">
        <v>33</v>
      </c>
      <c r="U18" s="12">
        <v>28</v>
      </c>
      <c r="V18" s="12">
        <v>190</v>
      </c>
      <c r="W18" s="12">
        <v>39</v>
      </c>
      <c r="X18" s="12">
        <v>43</v>
      </c>
      <c r="Y18" s="12">
        <v>142</v>
      </c>
      <c r="Z18" s="12">
        <v>28</v>
      </c>
      <c r="AA18" s="12">
        <v>5</v>
      </c>
      <c r="AB18" s="12">
        <v>99</v>
      </c>
      <c r="AC18" s="12">
        <v>159</v>
      </c>
      <c r="AD18" s="12">
        <v>125</v>
      </c>
      <c r="AE18" s="12">
        <v>24</v>
      </c>
      <c r="AF18" s="12">
        <v>29</v>
      </c>
      <c r="AG18" s="12">
        <v>70</v>
      </c>
      <c r="AH18" s="12">
        <v>193</v>
      </c>
      <c r="AI18" s="12">
        <v>164</v>
      </c>
      <c r="AJ18" s="12">
        <v>409</v>
      </c>
      <c r="AK18" s="12">
        <v>22</v>
      </c>
      <c r="AL18" s="12">
        <v>240</v>
      </c>
      <c r="AM18" s="12">
        <v>40</v>
      </c>
      <c r="AN18" s="12">
        <v>129</v>
      </c>
      <c r="AO18" s="12">
        <v>20</v>
      </c>
      <c r="AP18" s="12">
        <v>95</v>
      </c>
      <c r="AQ18" s="12">
        <v>129</v>
      </c>
    </row>
    <row r="19" spans="1:43" x14ac:dyDescent="0.35">
      <c r="A19" s="19"/>
      <c r="B19" s="13" t="s">
        <v>767</v>
      </c>
      <c r="C19" s="15">
        <v>0.08</v>
      </c>
      <c r="D19" s="15">
        <v>7.0000000000000007E-2</v>
      </c>
      <c r="E19" s="15">
        <v>0.23</v>
      </c>
      <c r="F19" s="15">
        <v>0.08</v>
      </c>
      <c r="G19" s="15">
        <v>0.02</v>
      </c>
      <c r="H19" s="15">
        <v>7.0000000000000007E-2</v>
      </c>
      <c r="I19" s="15">
        <v>0.09</v>
      </c>
      <c r="J19" s="15">
        <v>0.16</v>
      </c>
      <c r="K19" s="15">
        <v>0.09</v>
      </c>
      <c r="L19" s="15">
        <v>0.02</v>
      </c>
      <c r="M19" s="15">
        <v>0.16</v>
      </c>
      <c r="N19" s="15">
        <v>0.05</v>
      </c>
      <c r="O19" s="15">
        <v>0.08</v>
      </c>
      <c r="P19" s="15">
        <v>0.05</v>
      </c>
      <c r="Q19" s="15">
        <v>7.0000000000000007E-2</v>
      </c>
      <c r="R19" s="15">
        <v>0.28999999999999998</v>
      </c>
      <c r="S19" s="15">
        <v>7.0000000000000007E-2</v>
      </c>
      <c r="T19" s="15">
        <v>0.03</v>
      </c>
      <c r="U19" s="15">
        <v>0.06</v>
      </c>
      <c r="V19" s="15">
        <v>0.19</v>
      </c>
      <c r="W19" s="15">
        <v>0.08</v>
      </c>
      <c r="X19" s="15">
        <v>0.04</v>
      </c>
      <c r="Y19" s="15">
        <v>0.14000000000000001</v>
      </c>
      <c r="Z19" s="15">
        <v>0.03</v>
      </c>
      <c r="AA19" s="14" t="s">
        <v>475</v>
      </c>
      <c r="AB19" s="15">
        <v>0.1</v>
      </c>
      <c r="AC19" s="15">
        <v>0.16</v>
      </c>
      <c r="AD19" s="15">
        <v>0.12</v>
      </c>
      <c r="AE19" s="15">
        <v>0.02</v>
      </c>
      <c r="AF19" s="15">
        <v>0.03</v>
      </c>
      <c r="AG19" s="15">
        <v>7.0000000000000007E-2</v>
      </c>
      <c r="AH19" s="15">
        <v>0.19</v>
      </c>
      <c r="AI19" s="15">
        <v>0.31</v>
      </c>
      <c r="AJ19" s="15">
        <v>0.39</v>
      </c>
      <c r="AK19" s="15">
        <v>0.02</v>
      </c>
      <c r="AL19" s="15">
        <v>0.24</v>
      </c>
      <c r="AM19" s="15">
        <v>0.04</v>
      </c>
      <c r="AN19" s="15">
        <v>0.13</v>
      </c>
      <c r="AO19" s="15">
        <v>0.02</v>
      </c>
      <c r="AP19" s="15">
        <v>0.18</v>
      </c>
      <c r="AQ19" s="15">
        <v>0.13</v>
      </c>
    </row>
    <row r="20" spans="1:43" x14ac:dyDescent="0.35">
      <c r="A20" s="19"/>
      <c r="B20" s="11" t="s">
        <v>485</v>
      </c>
      <c r="C20" s="12">
        <v>1449</v>
      </c>
      <c r="D20" s="12">
        <v>19</v>
      </c>
      <c r="E20" s="12">
        <v>154</v>
      </c>
      <c r="F20" s="12">
        <v>42</v>
      </c>
      <c r="G20" s="12">
        <v>38</v>
      </c>
      <c r="H20" s="12">
        <v>54</v>
      </c>
      <c r="I20" s="12">
        <v>70</v>
      </c>
      <c r="J20" s="12">
        <v>17</v>
      </c>
      <c r="K20" s="12">
        <v>79</v>
      </c>
      <c r="L20" s="12">
        <v>51</v>
      </c>
      <c r="M20" s="12">
        <v>75</v>
      </c>
      <c r="N20" s="12">
        <v>89</v>
      </c>
      <c r="O20" s="12">
        <v>74</v>
      </c>
      <c r="P20" s="12">
        <v>34</v>
      </c>
      <c r="Q20" s="12">
        <v>53</v>
      </c>
      <c r="R20" s="12">
        <v>40</v>
      </c>
      <c r="S20" s="12">
        <v>95</v>
      </c>
      <c r="T20" s="12">
        <v>53</v>
      </c>
      <c r="U20" s="12">
        <v>36</v>
      </c>
      <c r="V20" s="12">
        <v>38</v>
      </c>
      <c r="W20" s="12">
        <v>20</v>
      </c>
      <c r="X20" s="12">
        <v>26</v>
      </c>
      <c r="Y20" s="12">
        <v>38</v>
      </c>
      <c r="Z20" s="12">
        <v>21</v>
      </c>
      <c r="AA20" s="12">
        <v>74</v>
      </c>
      <c r="AB20" s="12">
        <v>76</v>
      </c>
      <c r="AC20" s="12">
        <v>27</v>
      </c>
      <c r="AD20" s="12">
        <v>40</v>
      </c>
      <c r="AE20" s="12">
        <v>39</v>
      </c>
      <c r="AF20" s="12">
        <v>18</v>
      </c>
      <c r="AG20" s="12">
        <v>54</v>
      </c>
      <c r="AH20" s="12">
        <v>50</v>
      </c>
      <c r="AI20" s="12">
        <v>57</v>
      </c>
      <c r="AJ20" s="12">
        <v>25</v>
      </c>
      <c r="AK20" s="12">
        <v>63</v>
      </c>
      <c r="AL20" s="12">
        <v>148</v>
      </c>
      <c r="AM20" s="12">
        <v>98</v>
      </c>
      <c r="AN20" s="12">
        <v>17</v>
      </c>
      <c r="AO20" s="12">
        <v>116</v>
      </c>
      <c r="AP20" s="12">
        <v>3</v>
      </c>
      <c r="AQ20" s="12">
        <v>137</v>
      </c>
    </row>
    <row r="21" spans="1:43" x14ac:dyDescent="0.35">
      <c r="A21" s="19"/>
      <c r="B21" s="13" t="s">
        <v>486</v>
      </c>
      <c r="C21" s="15">
        <v>0.05</v>
      </c>
      <c r="D21" s="15">
        <v>0.02</v>
      </c>
      <c r="E21" s="15">
        <v>0.15</v>
      </c>
      <c r="F21" s="15">
        <v>0.04</v>
      </c>
      <c r="G21" s="15">
        <v>0.04</v>
      </c>
      <c r="H21" s="15">
        <v>0.04</v>
      </c>
      <c r="I21" s="15">
        <v>0.05</v>
      </c>
      <c r="J21" s="15">
        <v>0.06</v>
      </c>
      <c r="K21" s="15">
        <v>0.08</v>
      </c>
      <c r="L21" s="15">
        <v>0.05</v>
      </c>
      <c r="M21" s="15">
        <v>7.0000000000000007E-2</v>
      </c>
      <c r="N21" s="15">
        <v>0.09</v>
      </c>
      <c r="O21" s="15">
        <v>0.08</v>
      </c>
      <c r="P21" s="15">
        <v>0.03</v>
      </c>
      <c r="Q21" s="15">
        <v>0.05</v>
      </c>
      <c r="R21" s="15">
        <v>0.08</v>
      </c>
      <c r="S21" s="15">
        <v>0.09</v>
      </c>
      <c r="T21" s="15">
        <v>0.05</v>
      </c>
      <c r="U21" s="15">
        <v>7.0000000000000007E-2</v>
      </c>
      <c r="V21" s="15">
        <v>0.04</v>
      </c>
      <c r="W21" s="15">
        <v>0.04</v>
      </c>
      <c r="X21" s="15">
        <v>0.03</v>
      </c>
      <c r="Y21" s="15">
        <v>0.04</v>
      </c>
      <c r="Z21" s="15">
        <v>0.02</v>
      </c>
      <c r="AA21" s="15">
        <v>7.0000000000000007E-2</v>
      </c>
      <c r="AB21" s="15">
        <v>7.0000000000000007E-2</v>
      </c>
      <c r="AC21" s="15">
        <v>0.03</v>
      </c>
      <c r="AD21" s="15">
        <v>0.04</v>
      </c>
      <c r="AE21" s="15">
        <v>0.04</v>
      </c>
      <c r="AF21" s="15">
        <v>0.02</v>
      </c>
      <c r="AG21" s="15">
        <v>0.05</v>
      </c>
      <c r="AH21" s="15">
        <v>0.05</v>
      </c>
      <c r="AI21" s="15">
        <v>0.11</v>
      </c>
      <c r="AJ21" s="15">
        <v>0.03</v>
      </c>
      <c r="AK21" s="15">
        <v>0.06</v>
      </c>
      <c r="AL21" s="15">
        <v>0.15</v>
      </c>
      <c r="AM21" s="15">
        <v>0.09</v>
      </c>
      <c r="AN21" s="15">
        <v>0.01</v>
      </c>
      <c r="AO21" s="15">
        <v>0.12</v>
      </c>
      <c r="AP21" s="14" t="s">
        <v>475</v>
      </c>
      <c r="AQ21" s="15">
        <v>0.14000000000000001</v>
      </c>
    </row>
    <row r="22" spans="1:43" x14ac:dyDescent="0.35">
      <c r="A22" s="19"/>
      <c r="B22" s="11" t="s">
        <v>768</v>
      </c>
      <c r="C22" s="12">
        <v>19250</v>
      </c>
      <c r="D22" s="12">
        <v>762</v>
      </c>
      <c r="E22" s="12">
        <v>406</v>
      </c>
      <c r="F22" s="12">
        <v>722</v>
      </c>
      <c r="G22" s="12">
        <v>898</v>
      </c>
      <c r="H22" s="12">
        <v>963</v>
      </c>
      <c r="I22" s="12">
        <v>1140</v>
      </c>
      <c r="J22" s="12">
        <v>177</v>
      </c>
      <c r="K22" s="12">
        <v>682</v>
      </c>
      <c r="L22" s="12">
        <v>883</v>
      </c>
      <c r="M22" s="12">
        <v>484</v>
      </c>
      <c r="N22" s="12">
        <v>733</v>
      </c>
      <c r="O22" s="12">
        <v>715</v>
      </c>
      <c r="P22" s="12">
        <v>757</v>
      </c>
      <c r="Q22" s="12">
        <v>694</v>
      </c>
      <c r="R22" s="12">
        <v>150</v>
      </c>
      <c r="S22" s="12">
        <v>713</v>
      </c>
      <c r="T22" s="12">
        <v>821</v>
      </c>
      <c r="U22" s="12">
        <v>377</v>
      </c>
      <c r="V22" s="12">
        <v>502</v>
      </c>
      <c r="W22" s="12">
        <v>378</v>
      </c>
      <c r="X22" s="12">
        <v>847</v>
      </c>
      <c r="Y22" s="12">
        <v>692</v>
      </c>
      <c r="Z22" s="12">
        <v>883</v>
      </c>
      <c r="AA22" s="12">
        <v>913</v>
      </c>
      <c r="AB22" s="12">
        <v>630</v>
      </c>
      <c r="AC22" s="12">
        <v>582</v>
      </c>
      <c r="AD22" s="12">
        <v>684</v>
      </c>
      <c r="AE22" s="12">
        <v>896</v>
      </c>
      <c r="AF22" s="12">
        <v>948</v>
      </c>
      <c r="AG22" s="12">
        <v>664</v>
      </c>
      <c r="AH22" s="12">
        <v>490</v>
      </c>
      <c r="AI22" s="12">
        <v>184</v>
      </c>
      <c r="AJ22" s="12">
        <v>310</v>
      </c>
      <c r="AK22" s="12">
        <v>785</v>
      </c>
      <c r="AL22" s="12">
        <v>471</v>
      </c>
      <c r="AM22" s="12">
        <v>772</v>
      </c>
      <c r="AN22" s="12">
        <v>577</v>
      </c>
      <c r="AO22" s="12">
        <v>825</v>
      </c>
      <c r="AP22" s="12">
        <v>263</v>
      </c>
      <c r="AQ22" s="12">
        <v>641</v>
      </c>
    </row>
    <row r="23" spans="1:43" x14ac:dyDescent="0.35">
      <c r="A23" s="19"/>
      <c r="B23" s="13" t="s">
        <v>769</v>
      </c>
      <c r="C23" s="15">
        <v>0.73</v>
      </c>
      <c r="D23" s="15">
        <v>0.75</v>
      </c>
      <c r="E23" s="15">
        <v>0.39</v>
      </c>
      <c r="F23" s="15">
        <v>0.65</v>
      </c>
      <c r="G23" s="15">
        <v>0.89</v>
      </c>
      <c r="H23" s="15">
        <v>0.79</v>
      </c>
      <c r="I23" s="15">
        <v>0.75</v>
      </c>
      <c r="J23" s="15">
        <v>0.59</v>
      </c>
      <c r="K23" s="15">
        <v>0.68</v>
      </c>
      <c r="L23" s="15">
        <v>0.88</v>
      </c>
      <c r="M23" s="15">
        <v>0.48</v>
      </c>
      <c r="N23" s="15">
        <v>0.73</v>
      </c>
      <c r="O23" s="15">
        <v>0.71</v>
      </c>
      <c r="P23" s="15">
        <v>0.76</v>
      </c>
      <c r="Q23" s="15">
        <v>0.68</v>
      </c>
      <c r="R23" s="15">
        <v>0.3</v>
      </c>
      <c r="S23" s="15">
        <v>0.72</v>
      </c>
      <c r="T23" s="15">
        <v>0.82000000000000006</v>
      </c>
      <c r="U23" s="15">
        <v>0.75</v>
      </c>
      <c r="V23" s="15">
        <v>0.49</v>
      </c>
      <c r="W23" s="15">
        <v>0.74</v>
      </c>
      <c r="X23" s="15">
        <v>0.84</v>
      </c>
      <c r="Y23" s="15">
        <v>0.69000000000000006</v>
      </c>
      <c r="Z23" s="15">
        <v>0.86</v>
      </c>
      <c r="AA23" s="15">
        <v>0.89</v>
      </c>
      <c r="AB23" s="15">
        <v>0.6</v>
      </c>
      <c r="AC23" s="15">
        <v>0.57999999999999996</v>
      </c>
      <c r="AD23" s="15">
        <v>0.68</v>
      </c>
      <c r="AE23" s="15">
        <v>0.89</v>
      </c>
      <c r="AF23" s="15">
        <v>0.91</v>
      </c>
      <c r="AG23" s="15">
        <v>0.64</v>
      </c>
      <c r="AH23" s="15">
        <v>0.48</v>
      </c>
      <c r="AI23" s="15">
        <v>0.35</v>
      </c>
      <c r="AJ23" s="15">
        <v>0.3</v>
      </c>
      <c r="AK23" s="15">
        <v>0.78</v>
      </c>
      <c r="AL23" s="15">
        <v>0.46</v>
      </c>
      <c r="AM23" s="15">
        <v>0.74</v>
      </c>
      <c r="AN23" s="15">
        <v>0.57999999999999996</v>
      </c>
      <c r="AO23" s="15">
        <v>0.82000000000000006</v>
      </c>
      <c r="AP23" s="15">
        <v>0.51</v>
      </c>
      <c r="AQ23" s="15">
        <v>0.64</v>
      </c>
    </row>
    <row r="24" spans="1:43" x14ac:dyDescent="0.35">
      <c r="A24" s="19"/>
      <c r="B24" s="11" t="s">
        <v>770</v>
      </c>
      <c r="C24" s="12">
        <v>5747</v>
      </c>
      <c r="D24" s="12">
        <v>231</v>
      </c>
      <c r="E24" s="12">
        <v>471</v>
      </c>
      <c r="F24" s="12">
        <v>338</v>
      </c>
      <c r="G24" s="12">
        <v>70</v>
      </c>
      <c r="H24" s="12">
        <v>204</v>
      </c>
      <c r="I24" s="12">
        <v>305</v>
      </c>
      <c r="J24" s="12">
        <v>102</v>
      </c>
      <c r="K24" s="12">
        <v>241</v>
      </c>
      <c r="L24" s="12">
        <v>69</v>
      </c>
      <c r="M24" s="12">
        <v>451</v>
      </c>
      <c r="N24" s="12">
        <v>180</v>
      </c>
      <c r="O24" s="12">
        <v>212</v>
      </c>
      <c r="P24" s="12">
        <v>214</v>
      </c>
      <c r="Q24" s="12">
        <v>280</v>
      </c>
      <c r="R24" s="12">
        <v>314</v>
      </c>
      <c r="S24" s="12">
        <v>193</v>
      </c>
      <c r="T24" s="12">
        <v>132</v>
      </c>
      <c r="U24" s="12">
        <v>91</v>
      </c>
      <c r="V24" s="12">
        <v>475</v>
      </c>
      <c r="W24" s="12">
        <v>111</v>
      </c>
      <c r="X24" s="12">
        <v>137</v>
      </c>
      <c r="Y24" s="12">
        <v>273</v>
      </c>
      <c r="Z24" s="12">
        <v>126</v>
      </c>
      <c r="AA24" s="12">
        <v>45</v>
      </c>
      <c r="AB24" s="12">
        <v>344</v>
      </c>
      <c r="AC24" s="12">
        <v>395</v>
      </c>
      <c r="AD24" s="12">
        <v>282</v>
      </c>
      <c r="AE24" s="12">
        <v>77</v>
      </c>
      <c r="AF24" s="12">
        <v>78</v>
      </c>
      <c r="AG24" s="12">
        <v>316</v>
      </c>
      <c r="AH24" s="12">
        <v>473</v>
      </c>
      <c r="AI24" s="12">
        <v>282</v>
      </c>
      <c r="AJ24" s="12">
        <v>701</v>
      </c>
      <c r="AK24" s="12">
        <v>159</v>
      </c>
      <c r="AL24" s="12">
        <v>393</v>
      </c>
      <c r="AM24" s="12">
        <v>171</v>
      </c>
      <c r="AN24" s="12">
        <v>409</v>
      </c>
      <c r="AO24" s="12">
        <v>64</v>
      </c>
      <c r="AP24" s="12">
        <v>258</v>
      </c>
      <c r="AQ24" s="12">
        <v>224</v>
      </c>
    </row>
    <row r="25" spans="1:43" x14ac:dyDescent="0.35">
      <c r="A25" s="19"/>
      <c r="B25" s="13" t="s">
        <v>771</v>
      </c>
      <c r="C25" s="15">
        <v>0.22</v>
      </c>
      <c r="D25" s="15">
        <v>0.23</v>
      </c>
      <c r="E25" s="15">
        <v>0.46</v>
      </c>
      <c r="F25" s="15">
        <v>0.31</v>
      </c>
      <c r="G25" s="15">
        <v>7.0000000000000007E-2</v>
      </c>
      <c r="H25" s="15">
        <v>0.17</v>
      </c>
      <c r="I25" s="15">
        <v>0.2</v>
      </c>
      <c r="J25" s="15">
        <v>0.35</v>
      </c>
      <c r="K25" s="15">
        <v>0.24</v>
      </c>
      <c r="L25" s="15">
        <v>7.0000000000000007E-2</v>
      </c>
      <c r="M25" s="15">
        <v>0.45</v>
      </c>
      <c r="N25" s="15">
        <v>0.18</v>
      </c>
      <c r="O25" s="15">
        <v>0.21</v>
      </c>
      <c r="P25" s="15">
        <v>0.21</v>
      </c>
      <c r="Q25" s="15">
        <v>0.27</v>
      </c>
      <c r="R25" s="15">
        <v>0.62</v>
      </c>
      <c r="S25" s="15">
        <v>0.19</v>
      </c>
      <c r="T25" s="15">
        <v>0.13</v>
      </c>
      <c r="U25" s="15">
        <v>0.18</v>
      </c>
      <c r="V25" s="15">
        <v>0.47</v>
      </c>
      <c r="W25" s="15">
        <v>0.22</v>
      </c>
      <c r="X25" s="15">
        <v>0.13</v>
      </c>
      <c r="Y25" s="15">
        <v>0.27</v>
      </c>
      <c r="Z25" s="15">
        <v>0.12</v>
      </c>
      <c r="AA25" s="15">
        <v>0.04</v>
      </c>
      <c r="AB25" s="15">
        <v>0.33</v>
      </c>
      <c r="AC25" s="15">
        <v>0.39</v>
      </c>
      <c r="AD25" s="15">
        <v>0.28000000000000003</v>
      </c>
      <c r="AE25" s="15">
        <v>7.0000000000000007E-2</v>
      </c>
      <c r="AF25" s="15">
        <v>7.0000000000000007E-2</v>
      </c>
      <c r="AG25" s="15">
        <v>0.31</v>
      </c>
      <c r="AH25" s="15">
        <v>0.47</v>
      </c>
      <c r="AI25" s="15">
        <v>0.54</v>
      </c>
      <c r="AJ25" s="15">
        <v>0.67</v>
      </c>
      <c r="AK25" s="15">
        <v>0.16</v>
      </c>
      <c r="AL25" s="15">
        <v>0.39</v>
      </c>
      <c r="AM25" s="15">
        <v>0.17</v>
      </c>
      <c r="AN25" s="15">
        <v>0.41</v>
      </c>
      <c r="AO25" s="15">
        <v>0.06</v>
      </c>
      <c r="AP25" s="15">
        <v>0.49</v>
      </c>
      <c r="AQ25" s="15">
        <v>0.22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1179</v>
      </c>
      <c r="C3" s="18"/>
      <c r="D3" s="18"/>
      <c r="E3" s="18"/>
      <c r="F3" s="18"/>
      <c r="H3" s="18" t="s">
        <v>1180</v>
      </c>
      <c r="I3" s="18"/>
      <c r="J3" s="18"/>
      <c r="K3" s="18"/>
      <c r="L3" s="18"/>
    </row>
    <row r="4" spans="1:43" ht="27" customHeight="1" x14ac:dyDescent="0.35">
      <c r="B4" s="18" t="s">
        <v>1181</v>
      </c>
      <c r="C4" s="18"/>
      <c r="D4" s="18"/>
      <c r="E4" s="18"/>
      <c r="F4" s="18"/>
      <c r="H4" s="18" t="s">
        <v>1182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4855</v>
      </c>
      <c r="D12" s="12">
        <v>153</v>
      </c>
      <c r="E12" s="12">
        <v>63</v>
      </c>
      <c r="F12" s="12">
        <v>107</v>
      </c>
      <c r="G12" s="12">
        <v>573</v>
      </c>
      <c r="H12" s="12">
        <v>281</v>
      </c>
      <c r="I12" s="12">
        <v>321</v>
      </c>
      <c r="J12" s="12">
        <v>41</v>
      </c>
      <c r="K12" s="12">
        <v>231</v>
      </c>
      <c r="L12" s="12">
        <v>298</v>
      </c>
      <c r="M12" s="12">
        <v>44</v>
      </c>
      <c r="N12" s="12">
        <v>162</v>
      </c>
      <c r="O12" s="12">
        <v>149</v>
      </c>
      <c r="P12" s="12">
        <v>211</v>
      </c>
      <c r="Q12" s="12">
        <v>93</v>
      </c>
      <c r="R12" s="12">
        <v>24</v>
      </c>
      <c r="S12" s="12">
        <v>383</v>
      </c>
      <c r="T12" s="12">
        <v>353</v>
      </c>
      <c r="U12" s="12">
        <v>136</v>
      </c>
      <c r="V12" s="12">
        <v>90</v>
      </c>
      <c r="W12" s="12">
        <v>75</v>
      </c>
      <c r="X12" s="12">
        <v>399</v>
      </c>
      <c r="Y12" s="12">
        <v>219</v>
      </c>
      <c r="Z12" s="12">
        <v>169</v>
      </c>
      <c r="AA12" s="12">
        <v>131</v>
      </c>
      <c r="AB12" s="12">
        <v>71</v>
      </c>
      <c r="AC12" s="12">
        <v>120</v>
      </c>
      <c r="AD12" s="12">
        <v>132</v>
      </c>
      <c r="AE12" s="12">
        <v>550</v>
      </c>
      <c r="AF12" s="12">
        <v>719</v>
      </c>
      <c r="AG12" s="12">
        <v>151</v>
      </c>
      <c r="AH12" s="12">
        <v>115</v>
      </c>
      <c r="AI12" s="12">
        <v>77</v>
      </c>
      <c r="AJ12" s="12">
        <v>40</v>
      </c>
      <c r="AK12" s="12">
        <v>410</v>
      </c>
      <c r="AL12" s="12">
        <v>241</v>
      </c>
      <c r="AM12" s="12">
        <v>270</v>
      </c>
      <c r="AN12" s="12">
        <v>129</v>
      </c>
      <c r="AO12" s="12">
        <v>568</v>
      </c>
      <c r="AP12" s="12">
        <v>174</v>
      </c>
      <c r="AQ12" s="12">
        <v>330</v>
      </c>
    </row>
    <row r="13" spans="1:43" x14ac:dyDescent="0.35">
      <c r="A13" s="19"/>
      <c r="B13" s="13" t="s">
        <v>761</v>
      </c>
      <c r="C13" s="15">
        <v>0.18</v>
      </c>
      <c r="D13" s="15">
        <v>0.15</v>
      </c>
      <c r="E13" s="15">
        <v>0.06</v>
      </c>
      <c r="F13" s="15">
        <v>0.1</v>
      </c>
      <c r="G13" s="15">
        <v>0.57000000000000006</v>
      </c>
      <c r="H13" s="15">
        <v>0.23</v>
      </c>
      <c r="I13" s="15">
        <v>0.21</v>
      </c>
      <c r="J13" s="15">
        <v>0.14000000000000001</v>
      </c>
      <c r="K13" s="15">
        <v>0.23</v>
      </c>
      <c r="L13" s="15">
        <v>0.3</v>
      </c>
      <c r="M13" s="15">
        <v>0.04</v>
      </c>
      <c r="N13" s="15">
        <v>0.16</v>
      </c>
      <c r="O13" s="15">
        <v>0.15</v>
      </c>
      <c r="P13" s="15">
        <v>0.21</v>
      </c>
      <c r="Q13" s="15">
        <v>0.09</v>
      </c>
      <c r="R13" s="15">
        <v>0.05</v>
      </c>
      <c r="S13" s="15">
        <v>0.38</v>
      </c>
      <c r="T13" s="15">
        <v>0.35</v>
      </c>
      <c r="U13" s="15">
        <v>0.27</v>
      </c>
      <c r="V13" s="15">
        <v>0.09</v>
      </c>
      <c r="W13" s="15">
        <v>0.15</v>
      </c>
      <c r="X13" s="15">
        <v>0.4</v>
      </c>
      <c r="Y13" s="15">
        <v>0.22</v>
      </c>
      <c r="Z13" s="15">
        <v>0.16</v>
      </c>
      <c r="AA13" s="15">
        <v>0.13</v>
      </c>
      <c r="AB13" s="15">
        <v>7.0000000000000007E-2</v>
      </c>
      <c r="AC13" s="15">
        <v>0.12</v>
      </c>
      <c r="AD13" s="15">
        <v>0.13</v>
      </c>
      <c r="AE13" s="15">
        <v>0.54</v>
      </c>
      <c r="AF13" s="15">
        <v>0.69000000000000006</v>
      </c>
      <c r="AG13" s="15">
        <v>0.14000000000000001</v>
      </c>
      <c r="AH13" s="15">
        <v>0.11</v>
      </c>
      <c r="AI13" s="15">
        <v>0.15</v>
      </c>
      <c r="AJ13" s="15">
        <v>0.04</v>
      </c>
      <c r="AK13" s="15">
        <v>0.41</v>
      </c>
      <c r="AL13" s="15">
        <v>0.24</v>
      </c>
      <c r="AM13" s="15">
        <v>0.26</v>
      </c>
      <c r="AN13" s="15">
        <v>0.13</v>
      </c>
      <c r="AO13" s="15">
        <v>0.57000000000000006</v>
      </c>
      <c r="AP13" s="15">
        <v>0.33</v>
      </c>
      <c r="AQ13" s="15">
        <v>0.33</v>
      </c>
    </row>
    <row r="14" spans="1:43" x14ac:dyDescent="0.35">
      <c r="A14" s="19"/>
      <c r="B14" s="11" t="s">
        <v>762</v>
      </c>
      <c r="C14" s="12">
        <v>10358</v>
      </c>
      <c r="D14" s="12">
        <v>451</v>
      </c>
      <c r="E14" s="12">
        <v>211</v>
      </c>
      <c r="F14" s="12">
        <v>261</v>
      </c>
      <c r="G14" s="12">
        <v>321</v>
      </c>
      <c r="H14" s="12">
        <v>562</v>
      </c>
      <c r="I14" s="12">
        <v>639</v>
      </c>
      <c r="J14" s="12">
        <v>76</v>
      </c>
      <c r="K14" s="12">
        <v>407</v>
      </c>
      <c r="L14" s="12">
        <v>394</v>
      </c>
      <c r="M14" s="12">
        <v>235</v>
      </c>
      <c r="N14" s="12">
        <v>336</v>
      </c>
      <c r="O14" s="12">
        <v>376</v>
      </c>
      <c r="P14" s="12">
        <v>481</v>
      </c>
      <c r="Q14" s="12">
        <v>404</v>
      </c>
      <c r="R14" s="12">
        <v>81</v>
      </c>
      <c r="S14" s="12">
        <v>294</v>
      </c>
      <c r="T14" s="12">
        <v>424</v>
      </c>
      <c r="U14" s="12">
        <v>164</v>
      </c>
      <c r="V14" s="12">
        <v>320</v>
      </c>
      <c r="W14" s="12">
        <v>192</v>
      </c>
      <c r="X14" s="12">
        <v>398</v>
      </c>
      <c r="Y14" s="12">
        <v>328</v>
      </c>
      <c r="Z14" s="12">
        <v>599</v>
      </c>
      <c r="AA14" s="12">
        <v>678</v>
      </c>
      <c r="AB14" s="12">
        <v>390</v>
      </c>
      <c r="AC14" s="12">
        <v>305</v>
      </c>
      <c r="AD14" s="12">
        <v>309</v>
      </c>
      <c r="AE14" s="12">
        <v>345</v>
      </c>
      <c r="AF14" s="12">
        <v>249</v>
      </c>
      <c r="AG14" s="12">
        <v>422</v>
      </c>
      <c r="AH14" s="12">
        <v>271</v>
      </c>
      <c r="AI14" s="12">
        <v>132</v>
      </c>
      <c r="AJ14" s="12">
        <v>166</v>
      </c>
      <c r="AK14" s="12">
        <v>419</v>
      </c>
      <c r="AL14" s="12">
        <v>189</v>
      </c>
      <c r="AM14" s="12">
        <v>442</v>
      </c>
      <c r="AN14" s="12">
        <v>308</v>
      </c>
      <c r="AO14" s="12">
        <v>266</v>
      </c>
      <c r="AP14" s="12">
        <v>182</v>
      </c>
      <c r="AQ14" s="12">
        <v>304</v>
      </c>
    </row>
    <row r="15" spans="1:43" x14ac:dyDescent="0.35">
      <c r="A15" s="19"/>
      <c r="B15" s="13" t="s">
        <v>763</v>
      </c>
      <c r="C15" s="15">
        <v>0.39</v>
      </c>
      <c r="D15" s="15">
        <v>0.44</v>
      </c>
      <c r="E15" s="15">
        <v>0.21</v>
      </c>
      <c r="F15" s="15">
        <v>0.24</v>
      </c>
      <c r="G15" s="15">
        <v>0.32</v>
      </c>
      <c r="H15" s="15">
        <v>0.46</v>
      </c>
      <c r="I15" s="15">
        <v>0.42</v>
      </c>
      <c r="J15" s="15">
        <v>0.26</v>
      </c>
      <c r="K15" s="15">
        <v>0.41</v>
      </c>
      <c r="L15" s="15">
        <v>0.39</v>
      </c>
      <c r="M15" s="15">
        <v>0.23</v>
      </c>
      <c r="N15" s="15">
        <v>0.34</v>
      </c>
      <c r="O15" s="15">
        <v>0.38</v>
      </c>
      <c r="P15" s="15">
        <v>0.48</v>
      </c>
      <c r="Q15" s="15">
        <v>0.39</v>
      </c>
      <c r="R15" s="15">
        <v>0.16</v>
      </c>
      <c r="S15" s="15">
        <v>0.28999999999999998</v>
      </c>
      <c r="T15" s="15">
        <v>0.42</v>
      </c>
      <c r="U15" s="15">
        <v>0.33</v>
      </c>
      <c r="V15" s="15">
        <v>0.32</v>
      </c>
      <c r="W15" s="15">
        <v>0.38</v>
      </c>
      <c r="X15" s="15">
        <v>0.39</v>
      </c>
      <c r="Y15" s="15">
        <v>0.33</v>
      </c>
      <c r="Z15" s="15">
        <v>0.57999999999999996</v>
      </c>
      <c r="AA15" s="15">
        <v>0.66</v>
      </c>
      <c r="AB15" s="15">
        <v>0.37</v>
      </c>
      <c r="AC15" s="15">
        <v>0.3</v>
      </c>
      <c r="AD15" s="15">
        <v>0.31</v>
      </c>
      <c r="AE15" s="15">
        <v>0.34</v>
      </c>
      <c r="AF15" s="15">
        <v>0.24</v>
      </c>
      <c r="AG15" s="15">
        <v>0.41</v>
      </c>
      <c r="AH15" s="15">
        <v>0.27</v>
      </c>
      <c r="AI15" s="15">
        <v>0.25</v>
      </c>
      <c r="AJ15" s="15">
        <v>0.16</v>
      </c>
      <c r="AK15" s="15">
        <v>0.42</v>
      </c>
      <c r="AL15" s="15">
        <v>0.19</v>
      </c>
      <c r="AM15" s="15">
        <v>0.42</v>
      </c>
      <c r="AN15" s="15">
        <v>0.31</v>
      </c>
      <c r="AO15" s="15">
        <v>0.26</v>
      </c>
      <c r="AP15" s="15">
        <v>0.35</v>
      </c>
      <c r="AQ15" s="15">
        <v>0.3</v>
      </c>
    </row>
    <row r="16" spans="1:43" x14ac:dyDescent="0.35">
      <c r="A16" s="19"/>
      <c r="B16" s="11" t="s">
        <v>764</v>
      </c>
      <c r="C16" s="12">
        <v>5758</v>
      </c>
      <c r="D16" s="12">
        <v>260</v>
      </c>
      <c r="E16" s="12">
        <v>281</v>
      </c>
      <c r="F16" s="12">
        <v>353</v>
      </c>
      <c r="G16" s="12">
        <v>61</v>
      </c>
      <c r="H16" s="12">
        <v>213</v>
      </c>
      <c r="I16" s="12">
        <v>304</v>
      </c>
      <c r="J16" s="12">
        <v>91</v>
      </c>
      <c r="K16" s="12">
        <v>194</v>
      </c>
      <c r="L16" s="12">
        <v>159</v>
      </c>
      <c r="M16" s="12">
        <v>270</v>
      </c>
      <c r="N16" s="12">
        <v>258</v>
      </c>
      <c r="O16" s="12">
        <v>232</v>
      </c>
      <c r="P16" s="12">
        <v>209</v>
      </c>
      <c r="Q16" s="12">
        <v>280</v>
      </c>
      <c r="R16" s="12">
        <v>147</v>
      </c>
      <c r="S16" s="12">
        <v>168</v>
      </c>
      <c r="T16" s="12">
        <v>132</v>
      </c>
      <c r="U16" s="12">
        <v>101</v>
      </c>
      <c r="V16" s="12">
        <v>325</v>
      </c>
      <c r="W16" s="12">
        <v>144</v>
      </c>
      <c r="X16" s="12">
        <v>128</v>
      </c>
      <c r="Y16" s="12">
        <v>146</v>
      </c>
      <c r="Z16" s="12">
        <v>160</v>
      </c>
      <c r="AA16" s="12">
        <v>108</v>
      </c>
      <c r="AB16" s="12">
        <v>309</v>
      </c>
      <c r="AC16" s="12">
        <v>295</v>
      </c>
      <c r="AD16" s="12">
        <v>257</v>
      </c>
      <c r="AE16" s="12">
        <v>69</v>
      </c>
      <c r="AF16" s="12">
        <v>39</v>
      </c>
      <c r="AG16" s="12">
        <v>276</v>
      </c>
      <c r="AH16" s="12">
        <v>258</v>
      </c>
      <c r="AI16" s="12">
        <v>131</v>
      </c>
      <c r="AJ16" s="12">
        <v>290</v>
      </c>
      <c r="AK16" s="12">
        <v>107</v>
      </c>
      <c r="AL16" s="12">
        <v>165</v>
      </c>
      <c r="AM16" s="12">
        <v>170</v>
      </c>
      <c r="AN16" s="12">
        <v>321</v>
      </c>
      <c r="AO16" s="12">
        <v>52</v>
      </c>
      <c r="AP16" s="12">
        <v>103</v>
      </c>
      <c r="AQ16" s="12">
        <v>78</v>
      </c>
    </row>
    <row r="17" spans="1:43" x14ac:dyDescent="0.35">
      <c r="A17" s="19"/>
      <c r="B17" s="13" t="s">
        <v>765</v>
      </c>
      <c r="C17" s="15">
        <v>0.22</v>
      </c>
      <c r="D17" s="15">
        <v>0.26</v>
      </c>
      <c r="E17" s="15">
        <v>0.27</v>
      </c>
      <c r="F17" s="15">
        <v>0.32</v>
      </c>
      <c r="G17" s="15">
        <v>0.06</v>
      </c>
      <c r="H17" s="15">
        <v>0.17</v>
      </c>
      <c r="I17" s="15">
        <v>0.2</v>
      </c>
      <c r="J17" s="15">
        <v>0.31</v>
      </c>
      <c r="K17" s="15">
        <v>0.19</v>
      </c>
      <c r="L17" s="15">
        <v>0.16</v>
      </c>
      <c r="M17" s="15">
        <v>0.27</v>
      </c>
      <c r="N17" s="15">
        <v>0.26</v>
      </c>
      <c r="O17" s="15">
        <v>0.23</v>
      </c>
      <c r="P17" s="15">
        <v>0.21</v>
      </c>
      <c r="Q17" s="15">
        <v>0.27</v>
      </c>
      <c r="R17" s="15">
        <v>0.28999999999999998</v>
      </c>
      <c r="S17" s="15">
        <v>0.17</v>
      </c>
      <c r="T17" s="15">
        <v>0.13</v>
      </c>
      <c r="U17" s="15">
        <v>0.2</v>
      </c>
      <c r="V17" s="15">
        <v>0.32</v>
      </c>
      <c r="W17" s="15">
        <v>0.28000000000000003</v>
      </c>
      <c r="X17" s="15">
        <v>0.13</v>
      </c>
      <c r="Y17" s="15">
        <v>0.14000000000000001</v>
      </c>
      <c r="Z17" s="15">
        <v>0.16</v>
      </c>
      <c r="AA17" s="15">
        <v>0.1</v>
      </c>
      <c r="AB17" s="15">
        <v>0.28999999999999998</v>
      </c>
      <c r="AC17" s="15">
        <v>0.28999999999999998</v>
      </c>
      <c r="AD17" s="15">
        <v>0.26</v>
      </c>
      <c r="AE17" s="15">
        <v>7.0000000000000007E-2</v>
      </c>
      <c r="AF17" s="15">
        <v>0.04</v>
      </c>
      <c r="AG17" s="15">
        <v>0.27</v>
      </c>
      <c r="AH17" s="15">
        <v>0.26</v>
      </c>
      <c r="AI17" s="15">
        <v>0.25</v>
      </c>
      <c r="AJ17" s="15">
        <v>0.28000000000000003</v>
      </c>
      <c r="AK17" s="15">
        <v>0.11</v>
      </c>
      <c r="AL17" s="15">
        <v>0.16</v>
      </c>
      <c r="AM17" s="15">
        <v>0.16</v>
      </c>
      <c r="AN17" s="15">
        <v>0.32</v>
      </c>
      <c r="AO17" s="15">
        <v>0.05</v>
      </c>
      <c r="AP17" s="15">
        <v>0.2</v>
      </c>
      <c r="AQ17" s="15">
        <v>0.08</v>
      </c>
    </row>
    <row r="18" spans="1:43" x14ac:dyDescent="0.35">
      <c r="A18" s="19"/>
      <c r="B18" s="11" t="s">
        <v>766</v>
      </c>
      <c r="C18" s="12">
        <v>4337</v>
      </c>
      <c r="D18" s="12">
        <v>120</v>
      </c>
      <c r="E18" s="12">
        <v>402</v>
      </c>
      <c r="F18" s="12">
        <v>342</v>
      </c>
      <c r="G18" s="12">
        <v>24</v>
      </c>
      <c r="H18" s="12">
        <v>121</v>
      </c>
      <c r="I18" s="12">
        <v>201</v>
      </c>
      <c r="J18" s="12">
        <v>80</v>
      </c>
      <c r="K18" s="12">
        <v>116</v>
      </c>
      <c r="L18" s="12">
        <v>79</v>
      </c>
      <c r="M18" s="12">
        <v>429</v>
      </c>
      <c r="N18" s="12">
        <v>174</v>
      </c>
      <c r="O18" s="12">
        <v>164</v>
      </c>
      <c r="P18" s="12">
        <v>84</v>
      </c>
      <c r="Q18" s="12">
        <v>224</v>
      </c>
      <c r="R18" s="12">
        <v>226</v>
      </c>
      <c r="S18" s="12">
        <v>89</v>
      </c>
      <c r="T18" s="12">
        <v>62</v>
      </c>
      <c r="U18" s="12">
        <v>86</v>
      </c>
      <c r="V18" s="12">
        <v>258</v>
      </c>
      <c r="W18" s="12">
        <v>87</v>
      </c>
      <c r="X18" s="12">
        <v>73</v>
      </c>
      <c r="Y18" s="12">
        <v>273</v>
      </c>
      <c r="Z18" s="12">
        <v>72</v>
      </c>
      <c r="AA18" s="12">
        <v>46</v>
      </c>
      <c r="AB18" s="12">
        <v>242</v>
      </c>
      <c r="AC18" s="12">
        <v>257</v>
      </c>
      <c r="AD18" s="12">
        <v>286</v>
      </c>
      <c r="AE18" s="12">
        <v>27</v>
      </c>
      <c r="AF18" s="12">
        <v>28</v>
      </c>
      <c r="AG18" s="12">
        <v>139</v>
      </c>
      <c r="AH18" s="12">
        <v>355</v>
      </c>
      <c r="AI18" s="12">
        <v>115</v>
      </c>
      <c r="AJ18" s="12">
        <v>532</v>
      </c>
      <c r="AK18" s="12">
        <v>25</v>
      </c>
      <c r="AL18" s="12">
        <v>310</v>
      </c>
      <c r="AM18" s="12">
        <v>59</v>
      </c>
      <c r="AN18" s="12">
        <v>231</v>
      </c>
      <c r="AO18" s="12">
        <v>28</v>
      </c>
      <c r="AP18" s="12">
        <v>62</v>
      </c>
      <c r="AQ18" s="12">
        <v>174</v>
      </c>
    </row>
    <row r="19" spans="1:43" x14ac:dyDescent="0.35">
      <c r="A19" s="19"/>
      <c r="B19" s="13" t="s">
        <v>767</v>
      </c>
      <c r="C19" s="15">
        <v>0.17</v>
      </c>
      <c r="D19" s="15">
        <v>0.12</v>
      </c>
      <c r="E19" s="15">
        <v>0.39</v>
      </c>
      <c r="F19" s="15">
        <v>0.31</v>
      </c>
      <c r="G19" s="15">
        <v>0.02</v>
      </c>
      <c r="H19" s="15">
        <v>0.1</v>
      </c>
      <c r="I19" s="15">
        <v>0.13</v>
      </c>
      <c r="J19" s="15">
        <v>0.27</v>
      </c>
      <c r="K19" s="15">
        <v>0.12</v>
      </c>
      <c r="L19" s="15">
        <v>0.08</v>
      </c>
      <c r="M19" s="15">
        <v>0.43</v>
      </c>
      <c r="N19" s="15">
        <v>0.17</v>
      </c>
      <c r="O19" s="15">
        <v>0.16</v>
      </c>
      <c r="P19" s="15">
        <v>0.08</v>
      </c>
      <c r="Q19" s="15">
        <v>0.22</v>
      </c>
      <c r="R19" s="15">
        <v>0.45</v>
      </c>
      <c r="S19" s="15">
        <v>0.09</v>
      </c>
      <c r="T19" s="15">
        <v>0.06</v>
      </c>
      <c r="U19" s="15">
        <v>0.17</v>
      </c>
      <c r="V19" s="15">
        <v>0.25</v>
      </c>
      <c r="W19" s="15">
        <v>0.17</v>
      </c>
      <c r="X19" s="15">
        <v>7.0000000000000007E-2</v>
      </c>
      <c r="Y19" s="15">
        <v>0.27</v>
      </c>
      <c r="Z19" s="15">
        <v>7.0000000000000007E-2</v>
      </c>
      <c r="AA19" s="15">
        <v>0.04</v>
      </c>
      <c r="AB19" s="15">
        <v>0.23</v>
      </c>
      <c r="AC19" s="15">
        <v>0.26</v>
      </c>
      <c r="AD19" s="15">
        <v>0.28000000000000003</v>
      </c>
      <c r="AE19" s="15">
        <v>0.03</v>
      </c>
      <c r="AF19" s="15">
        <v>0.02</v>
      </c>
      <c r="AG19" s="15">
        <v>0.13</v>
      </c>
      <c r="AH19" s="15">
        <v>0.35</v>
      </c>
      <c r="AI19" s="15">
        <v>0.22</v>
      </c>
      <c r="AJ19" s="15">
        <v>0.51</v>
      </c>
      <c r="AK19" s="15">
        <v>0.02</v>
      </c>
      <c r="AL19" s="15">
        <v>0.31</v>
      </c>
      <c r="AM19" s="15">
        <v>0.06</v>
      </c>
      <c r="AN19" s="15">
        <v>0.23</v>
      </c>
      <c r="AO19" s="15">
        <v>0.03</v>
      </c>
      <c r="AP19" s="15">
        <v>0.12</v>
      </c>
      <c r="AQ19" s="15">
        <v>0.17</v>
      </c>
    </row>
    <row r="20" spans="1:43" x14ac:dyDescent="0.35">
      <c r="A20" s="19"/>
      <c r="B20" s="11" t="s">
        <v>485</v>
      </c>
      <c r="C20" s="12">
        <v>1136</v>
      </c>
      <c r="D20" s="12">
        <v>28</v>
      </c>
      <c r="E20" s="12">
        <v>74</v>
      </c>
      <c r="F20" s="12">
        <v>39</v>
      </c>
      <c r="G20" s="12">
        <v>27</v>
      </c>
      <c r="H20" s="12">
        <v>44</v>
      </c>
      <c r="I20" s="12">
        <v>51</v>
      </c>
      <c r="J20" s="12">
        <v>7</v>
      </c>
      <c r="K20" s="12">
        <v>54</v>
      </c>
      <c r="L20" s="12">
        <v>72</v>
      </c>
      <c r="M20" s="12">
        <v>32</v>
      </c>
      <c r="N20" s="12">
        <v>72</v>
      </c>
      <c r="O20" s="12">
        <v>79</v>
      </c>
      <c r="P20" s="12">
        <v>19</v>
      </c>
      <c r="Q20" s="12">
        <v>26</v>
      </c>
      <c r="R20" s="12">
        <v>26</v>
      </c>
      <c r="S20" s="12">
        <v>68</v>
      </c>
      <c r="T20" s="12">
        <v>36</v>
      </c>
      <c r="U20" s="12">
        <v>17</v>
      </c>
      <c r="V20" s="12">
        <v>22</v>
      </c>
      <c r="W20" s="12">
        <v>9</v>
      </c>
      <c r="X20" s="12">
        <v>11</v>
      </c>
      <c r="Y20" s="12">
        <v>37</v>
      </c>
      <c r="Z20" s="12">
        <v>30</v>
      </c>
      <c r="AA20" s="12">
        <v>69</v>
      </c>
      <c r="AB20" s="12">
        <v>38</v>
      </c>
      <c r="AC20" s="12">
        <v>27</v>
      </c>
      <c r="AD20" s="12">
        <v>22</v>
      </c>
      <c r="AE20" s="12">
        <v>22</v>
      </c>
      <c r="AF20" s="12">
        <v>9</v>
      </c>
      <c r="AG20" s="12">
        <v>47</v>
      </c>
      <c r="AH20" s="12">
        <v>14</v>
      </c>
      <c r="AI20" s="12">
        <v>68</v>
      </c>
      <c r="AJ20" s="12">
        <v>8</v>
      </c>
      <c r="AK20" s="12">
        <v>46</v>
      </c>
      <c r="AL20" s="12">
        <v>107</v>
      </c>
      <c r="AM20" s="12">
        <v>99</v>
      </c>
      <c r="AN20" s="12">
        <v>15</v>
      </c>
      <c r="AO20" s="12">
        <v>91</v>
      </c>
      <c r="AP20" s="12">
        <v>2</v>
      </c>
      <c r="AQ20" s="12">
        <v>117</v>
      </c>
    </row>
    <row r="21" spans="1:43" x14ac:dyDescent="0.35">
      <c r="A21" s="19"/>
      <c r="B21" s="13" t="s">
        <v>486</v>
      </c>
      <c r="C21" s="15">
        <v>0.04</v>
      </c>
      <c r="D21" s="15">
        <v>0.03</v>
      </c>
      <c r="E21" s="15">
        <v>7.0000000000000007E-2</v>
      </c>
      <c r="F21" s="15">
        <v>0.03</v>
      </c>
      <c r="G21" s="15">
        <v>0.03</v>
      </c>
      <c r="H21" s="15">
        <v>0.04</v>
      </c>
      <c r="I21" s="15">
        <v>0.04</v>
      </c>
      <c r="J21" s="15">
        <v>0.02</v>
      </c>
      <c r="K21" s="15">
        <v>0.05</v>
      </c>
      <c r="L21" s="15">
        <v>7.0000000000000007E-2</v>
      </c>
      <c r="M21" s="15">
        <v>0.03</v>
      </c>
      <c r="N21" s="15">
        <v>7.0000000000000007E-2</v>
      </c>
      <c r="O21" s="15">
        <v>0.08</v>
      </c>
      <c r="P21" s="15">
        <v>0.02</v>
      </c>
      <c r="Q21" s="15">
        <v>0.03</v>
      </c>
      <c r="R21" s="15">
        <v>0.05</v>
      </c>
      <c r="S21" s="15">
        <v>7.0000000000000007E-2</v>
      </c>
      <c r="T21" s="15">
        <v>0.04</v>
      </c>
      <c r="U21" s="15">
        <v>0.03</v>
      </c>
      <c r="V21" s="15">
        <v>0.02</v>
      </c>
      <c r="W21" s="15">
        <v>0.02</v>
      </c>
      <c r="X21" s="15">
        <v>0.01</v>
      </c>
      <c r="Y21" s="15">
        <v>0.04</v>
      </c>
      <c r="Z21" s="15">
        <v>0.03</v>
      </c>
      <c r="AA21" s="15">
        <v>7.0000000000000007E-2</v>
      </c>
      <c r="AB21" s="15">
        <v>0.04</v>
      </c>
      <c r="AC21" s="15">
        <v>0.03</v>
      </c>
      <c r="AD21" s="15">
        <v>0.02</v>
      </c>
      <c r="AE21" s="15">
        <v>0.02</v>
      </c>
      <c r="AF21" s="15">
        <v>0.01</v>
      </c>
      <c r="AG21" s="15">
        <v>0.05</v>
      </c>
      <c r="AH21" s="15">
        <v>0.01</v>
      </c>
      <c r="AI21" s="15">
        <v>0.13</v>
      </c>
      <c r="AJ21" s="15">
        <v>0.01</v>
      </c>
      <c r="AK21" s="15">
        <v>0.04</v>
      </c>
      <c r="AL21" s="15">
        <v>0.1</v>
      </c>
      <c r="AM21" s="15">
        <v>0.1</v>
      </c>
      <c r="AN21" s="15">
        <v>0.01</v>
      </c>
      <c r="AO21" s="15">
        <v>0.09</v>
      </c>
      <c r="AP21" s="14" t="s">
        <v>475</v>
      </c>
      <c r="AQ21" s="15">
        <v>0.12</v>
      </c>
    </row>
    <row r="22" spans="1:43" x14ac:dyDescent="0.35">
      <c r="A22" s="19"/>
      <c r="B22" s="11" t="s">
        <v>768</v>
      </c>
      <c r="C22" s="12">
        <v>15213</v>
      </c>
      <c r="D22" s="12">
        <v>604</v>
      </c>
      <c r="E22" s="12">
        <v>274</v>
      </c>
      <c r="F22" s="12">
        <v>368</v>
      </c>
      <c r="G22" s="12">
        <v>894</v>
      </c>
      <c r="H22" s="12">
        <v>843</v>
      </c>
      <c r="I22" s="12">
        <v>960</v>
      </c>
      <c r="J22" s="12">
        <v>117</v>
      </c>
      <c r="K22" s="12">
        <v>638</v>
      </c>
      <c r="L22" s="12">
        <v>692</v>
      </c>
      <c r="M22" s="12">
        <v>279</v>
      </c>
      <c r="N22" s="12">
        <v>498</v>
      </c>
      <c r="O22" s="12">
        <v>525</v>
      </c>
      <c r="P22" s="12">
        <v>692</v>
      </c>
      <c r="Q22" s="12">
        <v>497</v>
      </c>
      <c r="R22" s="12">
        <v>105</v>
      </c>
      <c r="S22" s="12">
        <v>677</v>
      </c>
      <c r="T22" s="12">
        <v>777</v>
      </c>
      <c r="U22" s="12">
        <v>300</v>
      </c>
      <c r="V22" s="12">
        <v>410</v>
      </c>
      <c r="W22" s="12">
        <v>267</v>
      </c>
      <c r="X22" s="12">
        <v>797</v>
      </c>
      <c r="Y22" s="12">
        <v>547</v>
      </c>
      <c r="Z22" s="12">
        <v>768</v>
      </c>
      <c r="AA22" s="12">
        <v>809</v>
      </c>
      <c r="AB22" s="12">
        <v>461</v>
      </c>
      <c r="AC22" s="12">
        <v>425</v>
      </c>
      <c r="AD22" s="12">
        <v>441</v>
      </c>
      <c r="AE22" s="12">
        <v>895</v>
      </c>
      <c r="AF22" s="12">
        <v>968</v>
      </c>
      <c r="AG22" s="12">
        <v>573</v>
      </c>
      <c r="AH22" s="12">
        <v>386</v>
      </c>
      <c r="AI22" s="12">
        <v>209</v>
      </c>
      <c r="AJ22" s="12">
        <v>206</v>
      </c>
      <c r="AK22" s="12">
        <v>829</v>
      </c>
      <c r="AL22" s="12">
        <v>430</v>
      </c>
      <c r="AM22" s="12">
        <v>712</v>
      </c>
      <c r="AN22" s="12">
        <v>437</v>
      </c>
      <c r="AO22" s="12">
        <v>834</v>
      </c>
      <c r="AP22" s="12">
        <v>356</v>
      </c>
      <c r="AQ22" s="12">
        <v>634</v>
      </c>
    </row>
    <row r="23" spans="1:43" x14ac:dyDescent="0.35">
      <c r="A23" s="19"/>
      <c r="B23" s="13" t="s">
        <v>769</v>
      </c>
      <c r="C23" s="15">
        <v>0.57000000000000006</v>
      </c>
      <c r="D23" s="15">
        <v>0.59</v>
      </c>
      <c r="E23" s="15">
        <v>0.27</v>
      </c>
      <c r="F23" s="15">
        <v>0.34</v>
      </c>
      <c r="G23" s="15">
        <v>0.89</v>
      </c>
      <c r="H23" s="15">
        <v>0.69000000000000006</v>
      </c>
      <c r="I23" s="15">
        <v>0.63</v>
      </c>
      <c r="J23" s="15">
        <v>0.4</v>
      </c>
      <c r="K23" s="15">
        <v>0.64</v>
      </c>
      <c r="L23" s="15">
        <v>0.69000000000000006</v>
      </c>
      <c r="M23" s="15">
        <v>0.27</v>
      </c>
      <c r="N23" s="15">
        <v>0.5</v>
      </c>
      <c r="O23" s="15">
        <v>0.53</v>
      </c>
      <c r="P23" s="15">
        <v>0.69000000000000006</v>
      </c>
      <c r="Q23" s="15">
        <v>0.48</v>
      </c>
      <c r="R23" s="15">
        <v>0.21</v>
      </c>
      <c r="S23" s="15">
        <v>0.67</v>
      </c>
      <c r="T23" s="15">
        <v>0.77</v>
      </c>
      <c r="U23" s="15">
        <v>0.6</v>
      </c>
      <c r="V23" s="15">
        <v>0.41</v>
      </c>
      <c r="W23" s="15">
        <v>0.53</v>
      </c>
      <c r="X23" s="15">
        <v>0.79</v>
      </c>
      <c r="Y23" s="15">
        <v>0.55000000000000004</v>
      </c>
      <c r="Z23" s="15">
        <v>0.74</v>
      </c>
      <c r="AA23" s="15">
        <v>0.79</v>
      </c>
      <c r="AB23" s="15">
        <v>0.44</v>
      </c>
      <c r="AC23" s="15">
        <v>0.42</v>
      </c>
      <c r="AD23" s="15">
        <v>0.44</v>
      </c>
      <c r="AE23" s="15">
        <v>0.88</v>
      </c>
      <c r="AF23" s="15">
        <v>0.93</v>
      </c>
      <c r="AG23" s="15">
        <v>0.55000000000000004</v>
      </c>
      <c r="AH23" s="15">
        <v>0.38</v>
      </c>
      <c r="AI23" s="15">
        <v>0.4</v>
      </c>
      <c r="AJ23" s="15">
        <v>0.2</v>
      </c>
      <c r="AK23" s="15">
        <v>0.83000000000000007</v>
      </c>
      <c r="AL23" s="15">
        <v>0.43</v>
      </c>
      <c r="AM23" s="15">
        <v>0.68</v>
      </c>
      <c r="AN23" s="15">
        <v>0.44</v>
      </c>
      <c r="AO23" s="15">
        <v>0.83000000000000007</v>
      </c>
      <c r="AP23" s="15">
        <v>0.68</v>
      </c>
      <c r="AQ23" s="15">
        <v>0.63</v>
      </c>
    </row>
    <row r="24" spans="1:43" x14ac:dyDescent="0.35">
      <c r="A24" s="19"/>
      <c r="B24" s="11" t="s">
        <v>770</v>
      </c>
      <c r="C24" s="12">
        <v>10095</v>
      </c>
      <c r="D24" s="12">
        <v>380</v>
      </c>
      <c r="E24" s="12">
        <v>683</v>
      </c>
      <c r="F24" s="12">
        <v>695</v>
      </c>
      <c r="G24" s="12">
        <v>85</v>
      </c>
      <c r="H24" s="12">
        <v>334</v>
      </c>
      <c r="I24" s="12">
        <v>505</v>
      </c>
      <c r="J24" s="12">
        <v>171</v>
      </c>
      <c r="K24" s="12">
        <v>310</v>
      </c>
      <c r="L24" s="12">
        <v>238</v>
      </c>
      <c r="M24" s="12">
        <v>699</v>
      </c>
      <c r="N24" s="12">
        <v>432</v>
      </c>
      <c r="O24" s="12">
        <v>396</v>
      </c>
      <c r="P24" s="12">
        <v>293</v>
      </c>
      <c r="Q24" s="12">
        <v>504</v>
      </c>
      <c r="R24" s="12">
        <v>373</v>
      </c>
      <c r="S24" s="12">
        <v>257</v>
      </c>
      <c r="T24" s="12">
        <v>194</v>
      </c>
      <c r="U24" s="12">
        <v>187</v>
      </c>
      <c r="V24" s="12">
        <v>583</v>
      </c>
      <c r="W24" s="12">
        <v>231</v>
      </c>
      <c r="X24" s="12">
        <v>201</v>
      </c>
      <c r="Y24" s="12">
        <v>419</v>
      </c>
      <c r="Z24" s="12">
        <v>232</v>
      </c>
      <c r="AA24" s="12">
        <v>154</v>
      </c>
      <c r="AB24" s="12">
        <v>551</v>
      </c>
      <c r="AC24" s="12">
        <v>552</v>
      </c>
      <c r="AD24" s="12">
        <v>543</v>
      </c>
      <c r="AE24" s="12">
        <v>96</v>
      </c>
      <c r="AF24" s="12">
        <v>67</v>
      </c>
      <c r="AG24" s="12">
        <v>415</v>
      </c>
      <c r="AH24" s="12">
        <v>613</v>
      </c>
      <c r="AI24" s="12">
        <v>246</v>
      </c>
      <c r="AJ24" s="12">
        <v>822</v>
      </c>
      <c r="AK24" s="12">
        <v>132</v>
      </c>
      <c r="AL24" s="12">
        <v>475</v>
      </c>
      <c r="AM24" s="12">
        <v>229</v>
      </c>
      <c r="AN24" s="12">
        <v>552</v>
      </c>
      <c r="AO24" s="12">
        <v>80</v>
      </c>
      <c r="AP24" s="12">
        <v>165</v>
      </c>
      <c r="AQ24" s="12">
        <v>252</v>
      </c>
    </row>
    <row r="25" spans="1:43" x14ac:dyDescent="0.35">
      <c r="A25" s="19"/>
      <c r="B25" s="13" t="s">
        <v>771</v>
      </c>
      <c r="C25" s="15">
        <v>0.39</v>
      </c>
      <c r="D25" s="15">
        <v>0.38</v>
      </c>
      <c r="E25" s="15">
        <v>0.66</v>
      </c>
      <c r="F25" s="15">
        <v>0.63</v>
      </c>
      <c r="G25" s="15">
        <v>0.08</v>
      </c>
      <c r="H25" s="15">
        <v>0.27</v>
      </c>
      <c r="I25" s="15">
        <v>0.33</v>
      </c>
      <c r="J25" s="15">
        <v>0.57999999999999996</v>
      </c>
      <c r="K25" s="15">
        <v>0.31</v>
      </c>
      <c r="L25" s="15">
        <v>0.24</v>
      </c>
      <c r="M25" s="15">
        <v>0.70000000000000007</v>
      </c>
      <c r="N25" s="15">
        <v>0.43</v>
      </c>
      <c r="O25" s="15">
        <v>0.39</v>
      </c>
      <c r="P25" s="15">
        <v>0.28999999999999998</v>
      </c>
      <c r="Q25" s="15">
        <v>0.49</v>
      </c>
      <c r="R25" s="15">
        <v>0.74</v>
      </c>
      <c r="S25" s="15">
        <v>0.26</v>
      </c>
      <c r="T25" s="15">
        <v>0.19</v>
      </c>
      <c r="U25" s="15">
        <v>0.37</v>
      </c>
      <c r="V25" s="15">
        <v>0.57000000000000006</v>
      </c>
      <c r="W25" s="15">
        <v>0.45</v>
      </c>
      <c r="X25" s="15">
        <v>0.2</v>
      </c>
      <c r="Y25" s="15">
        <v>0.41</v>
      </c>
      <c r="Z25" s="15">
        <v>0.23</v>
      </c>
      <c r="AA25" s="15">
        <v>0.14000000000000001</v>
      </c>
      <c r="AB25" s="15">
        <v>0.52</v>
      </c>
      <c r="AC25" s="15">
        <v>0.55000000000000004</v>
      </c>
      <c r="AD25" s="15">
        <v>0.54</v>
      </c>
      <c r="AE25" s="15">
        <v>0.1</v>
      </c>
      <c r="AF25" s="15">
        <v>0.06</v>
      </c>
      <c r="AG25" s="15">
        <v>0.4</v>
      </c>
      <c r="AH25" s="15">
        <v>0.61</v>
      </c>
      <c r="AI25" s="15">
        <v>0.47</v>
      </c>
      <c r="AJ25" s="15">
        <v>0.79</v>
      </c>
      <c r="AK25" s="15">
        <v>0.13</v>
      </c>
      <c r="AL25" s="15">
        <v>0.47</v>
      </c>
      <c r="AM25" s="15">
        <v>0.22</v>
      </c>
      <c r="AN25" s="15">
        <v>0.55000000000000004</v>
      </c>
      <c r="AO25" s="15">
        <v>0.08</v>
      </c>
      <c r="AP25" s="15">
        <v>0.32</v>
      </c>
      <c r="AQ25" s="15">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1183</v>
      </c>
      <c r="C3" s="18"/>
      <c r="D3" s="18"/>
      <c r="E3" s="18"/>
      <c r="F3" s="18"/>
      <c r="H3" s="18" t="s">
        <v>1184</v>
      </c>
      <c r="I3" s="18"/>
      <c r="J3" s="18"/>
      <c r="K3" s="18"/>
      <c r="L3" s="18"/>
    </row>
    <row r="4" spans="1:43" ht="27" customHeight="1" x14ac:dyDescent="0.35">
      <c r="B4" s="18" t="s">
        <v>1185</v>
      </c>
      <c r="C4" s="18"/>
      <c r="D4" s="18"/>
      <c r="E4" s="18"/>
      <c r="F4" s="18"/>
      <c r="H4" s="18" t="s">
        <v>1186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8665</v>
      </c>
      <c r="D12" s="12">
        <v>281</v>
      </c>
      <c r="E12" s="12">
        <v>192</v>
      </c>
      <c r="F12" s="12">
        <v>122</v>
      </c>
      <c r="G12" s="12">
        <v>642</v>
      </c>
      <c r="H12" s="12">
        <v>364</v>
      </c>
      <c r="I12" s="12">
        <v>421</v>
      </c>
      <c r="J12" s="12">
        <v>57</v>
      </c>
      <c r="K12" s="12">
        <v>237</v>
      </c>
      <c r="L12" s="12">
        <v>401</v>
      </c>
      <c r="M12" s="12">
        <v>327</v>
      </c>
      <c r="N12" s="12">
        <v>566</v>
      </c>
      <c r="O12" s="12">
        <v>334</v>
      </c>
      <c r="P12" s="12">
        <v>275</v>
      </c>
      <c r="Q12" s="12">
        <v>251</v>
      </c>
      <c r="R12" s="12">
        <v>151</v>
      </c>
      <c r="S12" s="12">
        <v>423</v>
      </c>
      <c r="T12" s="12">
        <v>368</v>
      </c>
      <c r="U12" s="12">
        <v>265</v>
      </c>
      <c r="V12" s="12">
        <v>191</v>
      </c>
      <c r="W12" s="12">
        <v>165</v>
      </c>
      <c r="X12" s="12">
        <v>503</v>
      </c>
      <c r="Y12" s="12">
        <v>350</v>
      </c>
      <c r="Z12" s="12">
        <v>198</v>
      </c>
      <c r="AA12" s="12">
        <v>215</v>
      </c>
      <c r="AB12" s="12">
        <v>152</v>
      </c>
      <c r="AC12" s="12">
        <v>274</v>
      </c>
      <c r="AD12" s="12">
        <v>391</v>
      </c>
      <c r="AE12" s="12">
        <v>639</v>
      </c>
      <c r="AF12" s="12">
        <v>812</v>
      </c>
      <c r="AG12" s="12">
        <v>189</v>
      </c>
      <c r="AH12" s="12">
        <v>378</v>
      </c>
      <c r="AI12" s="12">
        <v>115</v>
      </c>
      <c r="AJ12" s="12">
        <v>428</v>
      </c>
      <c r="AK12" s="12">
        <v>523</v>
      </c>
      <c r="AL12" s="12">
        <v>423</v>
      </c>
      <c r="AM12" s="12">
        <v>369</v>
      </c>
      <c r="AN12" s="12">
        <v>313</v>
      </c>
      <c r="AO12" s="12">
        <v>664</v>
      </c>
      <c r="AP12" s="12">
        <v>245</v>
      </c>
      <c r="AQ12" s="12">
        <v>578</v>
      </c>
    </row>
    <row r="13" spans="1:43" x14ac:dyDescent="0.35">
      <c r="A13" s="19"/>
      <c r="B13" s="13" t="s">
        <v>761</v>
      </c>
      <c r="C13" s="15">
        <v>0.33</v>
      </c>
      <c r="D13" s="15">
        <v>0.28000000000000003</v>
      </c>
      <c r="E13" s="15">
        <v>0.19</v>
      </c>
      <c r="F13" s="15">
        <v>0.11</v>
      </c>
      <c r="G13" s="15">
        <v>0.64</v>
      </c>
      <c r="H13" s="15">
        <v>0.3</v>
      </c>
      <c r="I13" s="15">
        <v>0.28000000000000003</v>
      </c>
      <c r="J13" s="15">
        <v>0.19</v>
      </c>
      <c r="K13" s="15">
        <v>0.24</v>
      </c>
      <c r="L13" s="15">
        <v>0.4</v>
      </c>
      <c r="M13" s="15">
        <v>0.32</v>
      </c>
      <c r="N13" s="15">
        <v>0.56000000000000005</v>
      </c>
      <c r="O13" s="15">
        <v>0.33</v>
      </c>
      <c r="P13" s="15">
        <v>0.27</v>
      </c>
      <c r="Q13" s="15">
        <v>0.25</v>
      </c>
      <c r="R13" s="15">
        <v>0.3</v>
      </c>
      <c r="S13" s="15">
        <v>0.42</v>
      </c>
      <c r="T13" s="15">
        <v>0.37</v>
      </c>
      <c r="U13" s="15">
        <v>0.53</v>
      </c>
      <c r="V13" s="15">
        <v>0.19</v>
      </c>
      <c r="W13" s="15">
        <v>0.33</v>
      </c>
      <c r="X13" s="15">
        <v>0.5</v>
      </c>
      <c r="Y13" s="15">
        <v>0.35</v>
      </c>
      <c r="Z13" s="15">
        <v>0.19</v>
      </c>
      <c r="AA13" s="15">
        <v>0.21</v>
      </c>
      <c r="AB13" s="15">
        <v>0.15</v>
      </c>
      <c r="AC13" s="15">
        <v>0.27</v>
      </c>
      <c r="AD13" s="15">
        <v>0.39</v>
      </c>
      <c r="AE13" s="15">
        <v>0.63</v>
      </c>
      <c r="AF13" s="15">
        <v>0.78</v>
      </c>
      <c r="AG13" s="15">
        <v>0.18</v>
      </c>
      <c r="AH13" s="15">
        <v>0.37</v>
      </c>
      <c r="AI13" s="15">
        <v>0.22</v>
      </c>
      <c r="AJ13" s="15">
        <v>0.41</v>
      </c>
      <c r="AK13" s="15">
        <v>0.52</v>
      </c>
      <c r="AL13" s="15">
        <v>0.42</v>
      </c>
      <c r="AM13" s="15">
        <v>0.35</v>
      </c>
      <c r="AN13" s="15">
        <v>0.31</v>
      </c>
      <c r="AO13" s="15">
        <v>0.66</v>
      </c>
      <c r="AP13" s="15">
        <v>0.47</v>
      </c>
      <c r="AQ13" s="15">
        <v>0.57999999999999996</v>
      </c>
    </row>
    <row r="14" spans="1:43" x14ac:dyDescent="0.35">
      <c r="A14" s="19"/>
      <c r="B14" s="11" t="s">
        <v>762</v>
      </c>
      <c r="C14" s="12">
        <v>12624</v>
      </c>
      <c r="D14" s="12">
        <v>525</v>
      </c>
      <c r="E14" s="12">
        <v>454</v>
      </c>
      <c r="F14" s="12">
        <v>443</v>
      </c>
      <c r="G14" s="12">
        <v>288</v>
      </c>
      <c r="H14" s="12">
        <v>664</v>
      </c>
      <c r="I14" s="12">
        <v>796</v>
      </c>
      <c r="J14" s="12">
        <v>133</v>
      </c>
      <c r="K14" s="12">
        <v>562</v>
      </c>
      <c r="L14" s="12">
        <v>453</v>
      </c>
      <c r="M14" s="12">
        <v>525</v>
      </c>
      <c r="N14" s="12">
        <v>348</v>
      </c>
      <c r="O14" s="12">
        <v>465</v>
      </c>
      <c r="P14" s="12">
        <v>533</v>
      </c>
      <c r="Q14" s="12">
        <v>547</v>
      </c>
      <c r="R14" s="12">
        <v>229</v>
      </c>
      <c r="S14" s="12">
        <v>452</v>
      </c>
      <c r="T14" s="12">
        <v>518</v>
      </c>
      <c r="U14" s="12">
        <v>187</v>
      </c>
      <c r="V14" s="12">
        <v>530</v>
      </c>
      <c r="W14" s="12">
        <v>280</v>
      </c>
      <c r="X14" s="12">
        <v>380</v>
      </c>
      <c r="Y14" s="12">
        <v>355</v>
      </c>
      <c r="Z14" s="12">
        <v>617</v>
      </c>
      <c r="AA14" s="12">
        <v>749</v>
      </c>
      <c r="AB14" s="12">
        <v>509</v>
      </c>
      <c r="AC14" s="12">
        <v>451</v>
      </c>
      <c r="AD14" s="12">
        <v>487</v>
      </c>
      <c r="AE14" s="12">
        <v>322</v>
      </c>
      <c r="AF14" s="12">
        <v>208</v>
      </c>
      <c r="AG14" s="12">
        <v>428</v>
      </c>
      <c r="AH14" s="12">
        <v>428</v>
      </c>
      <c r="AI14" s="12">
        <v>137</v>
      </c>
      <c r="AJ14" s="12">
        <v>409</v>
      </c>
      <c r="AK14" s="12">
        <v>420</v>
      </c>
      <c r="AL14" s="12">
        <v>296</v>
      </c>
      <c r="AM14" s="12">
        <v>473</v>
      </c>
      <c r="AN14" s="12">
        <v>437</v>
      </c>
      <c r="AO14" s="12">
        <v>246</v>
      </c>
      <c r="AP14" s="12">
        <v>146</v>
      </c>
      <c r="AQ14" s="12">
        <v>305</v>
      </c>
    </row>
    <row r="15" spans="1:43" x14ac:dyDescent="0.35">
      <c r="A15" s="19"/>
      <c r="B15" s="13" t="s">
        <v>763</v>
      </c>
      <c r="C15" s="15">
        <v>0.48</v>
      </c>
      <c r="D15" s="15">
        <v>0.52</v>
      </c>
      <c r="E15" s="15">
        <v>0.44</v>
      </c>
      <c r="F15" s="15">
        <v>0.4</v>
      </c>
      <c r="G15" s="15">
        <v>0.28999999999999998</v>
      </c>
      <c r="H15" s="15">
        <v>0.54</v>
      </c>
      <c r="I15" s="15">
        <v>0.52</v>
      </c>
      <c r="J15" s="15">
        <v>0.45</v>
      </c>
      <c r="K15" s="15">
        <v>0.56000000000000005</v>
      </c>
      <c r="L15" s="15">
        <v>0.45</v>
      </c>
      <c r="M15" s="15">
        <v>0.52</v>
      </c>
      <c r="N15" s="15">
        <v>0.35</v>
      </c>
      <c r="O15" s="15">
        <v>0.46</v>
      </c>
      <c r="P15" s="15">
        <v>0.53</v>
      </c>
      <c r="Q15" s="15">
        <v>0.53</v>
      </c>
      <c r="R15" s="15">
        <v>0.45</v>
      </c>
      <c r="S15" s="15">
        <v>0.45</v>
      </c>
      <c r="T15" s="15">
        <v>0.51</v>
      </c>
      <c r="U15" s="15">
        <v>0.37</v>
      </c>
      <c r="V15" s="15">
        <v>0.52</v>
      </c>
      <c r="W15" s="15">
        <v>0.55000000000000004</v>
      </c>
      <c r="X15" s="15">
        <v>0.38</v>
      </c>
      <c r="Y15" s="15">
        <v>0.35</v>
      </c>
      <c r="Z15" s="15">
        <v>0.6</v>
      </c>
      <c r="AA15" s="15">
        <v>0.72</v>
      </c>
      <c r="AB15" s="15">
        <v>0.48</v>
      </c>
      <c r="AC15" s="15">
        <v>0.45</v>
      </c>
      <c r="AD15" s="15">
        <v>0.48</v>
      </c>
      <c r="AE15" s="15">
        <v>0.32</v>
      </c>
      <c r="AF15" s="15">
        <v>0.2</v>
      </c>
      <c r="AG15" s="15">
        <v>0.41</v>
      </c>
      <c r="AH15" s="15">
        <v>0.42</v>
      </c>
      <c r="AI15" s="15">
        <v>0.26</v>
      </c>
      <c r="AJ15" s="15">
        <v>0.4</v>
      </c>
      <c r="AK15" s="15">
        <v>0.42</v>
      </c>
      <c r="AL15" s="15">
        <v>0.28999999999999998</v>
      </c>
      <c r="AM15" s="15">
        <v>0.45</v>
      </c>
      <c r="AN15" s="15">
        <v>0.44</v>
      </c>
      <c r="AO15" s="15">
        <v>0.24</v>
      </c>
      <c r="AP15" s="15">
        <v>0.28000000000000003</v>
      </c>
      <c r="AQ15" s="15">
        <v>0.3</v>
      </c>
    </row>
    <row r="16" spans="1:43" x14ac:dyDescent="0.35">
      <c r="A16" s="19"/>
      <c r="B16" s="11" t="s">
        <v>764</v>
      </c>
      <c r="C16" s="12">
        <v>3108</v>
      </c>
      <c r="D16" s="12">
        <v>139</v>
      </c>
      <c r="E16" s="12">
        <v>201</v>
      </c>
      <c r="F16" s="12">
        <v>321</v>
      </c>
      <c r="G16" s="12">
        <v>37</v>
      </c>
      <c r="H16" s="12">
        <v>117</v>
      </c>
      <c r="I16" s="12">
        <v>185</v>
      </c>
      <c r="J16" s="12">
        <v>68</v>
      </c>
      <c r="K16" s="12">
        <v>104</v>
      </c>
      <c r="L16" s="12">
        <v>79</v>
      </c>
      <c r="M16" s="12">
        <v>114</v>
      </c>
      <c r="N16" s="12">
        <v>67</v>
      </c>
      <c r="O16" s="12">
        <v>99</v>
      </c>
      <c r="P16" s="12">
        <v>146</v>
      </c>
      <c r="Q16" s="12">
        <v>128</v>
      </c>
      <c r="R16" s="12">
        <v>54</v>
      </c>
      <c r="S16" s="12">
        <v>74</v>
      </c>
      <c r="T16" s="12">
        <v>80</v>
      </c>
      <c r="U16" s="12">
        <v>31</v>
      </c>
      <c r="V16" s="12">
        <v>168</v>
      </c>
      <c r="W16" s="12">
        <v>42</v>
      </c>
      <c r="X16" s="12">
        <v>86</v>
      </c>
      <c r="Y16" s="12">
        <v>146</v>
      </c>
      <c r="Z16" s="12">
        <v>149</v>
      </c>
      <c r="AA16" s="12">
        <v>28</v>
      </c>
      <c r="AB16" s="12">
        <v>268</v>
      </c>
      <c r="AC16" s="12">
        <v>206</v>
      </c>
      <c r="AD16" s="12">
        <v>87</v>
      </c>
      <c r="AE16" s="12">
        <v>29</v>
      </c>
      <c r="AF16" s="12">
        <v>16</v>
      </c>
      <c r="AG16" s="12">
        <v>277</v>
      </c>
      <c r="AH16" s="12">
        <v>137</v>
      </c>
      <c r="AI16" s="12">
        <v>116</v>
      </c>
      <c r="AJ16" s="12">
        <v>127</v>
      </c>
      <c r="AK16" s="12">
        <v>42</v>
      </c>
      <c r="AL16" s="12">
        <v>105</v>
      </c>
      <c r="AM16" s="12">
        <v>92</v>
      </c>
      <c r="AN16" s="12">
        <v>199</v>
      </c>
      <c r="AO16" s="12">
        <v>25</v>
      </c>
      <c r="AP16" s="12">
        <v>84</v>
      </c>
      <c r="AQ16" s="12">
        <v>35</v>
      </c>
    </row>
    <row r="17" spans="1:43" x14ac:dyDescent="0.35">
      <c r="A17" s="19"/>
      <c r="B17" s="13" t="s">
        <v>765</v>
      </c>
      <c r="C17" s="15">
        <v>0.12</v>
      </c>
      <c r="D17" s="15">
        <v>0.14000000000000001</v>
      </c>
      <c r="E17" s="15">
        <v>0.19</v>
      </c>
      <c r="F17" s="15">
        <v>0.28999999999999998</v>
      </c>
      <c r="G17" s="15">
        <v>0.04</v>
      </c>
      <c r="H17" s="15">
        <v>0.1</v>
      </c>
      <c r="I17" s="15">
        <v>0.12</v>
      </c>
      <c r="J17" s="15">
        <v>0.23</v>
      </c>
      <c r="K17" s="15">
        <v>0.1</v>
      </c>
      <c r="L17" s="15">
        <v>0.08</v>
      </c>
      <c r="M17" s="15">
        <v>0.11</v>
      </c>
      <c r="N17" s="15">
        <v>7.0000000000000007E-2</v>
      </c>
      <c r="O17" s="15">
        <v>0.1</v>
      </c>
      <c r="P17" s="15">
        <v>0.15</v>
      </c>
      <c r="Q17" s="15">
        <v>0.12</v>
      </c>
      <c r="R17" s="15">
        <v>0.11</v>
      </c>
      <c r="S17" s="15">
        <v>7.0000000000000007E-2</v>
      </c>
      <c r="T17" s="15">
        <v>0.08</v>
      </c>
      <c r="U17" s="15">
        <v>0.06</v>
      </c>
      <c r="V17" s="15">
        <v>0.17</v>
      </c>
      <c r="W17" s="15">
        <v>0.08</v>
      </c>
      <c r="X17" s="15">
        <v>0.08</v>
      </c>
      <c r="Y17" s="15">
        <v>0.15</v>
      </c>
      <c r="Z17" s="15">
        <v>0.14000000000000001</v>
      </c>
      <c r="AA17" s="15">
        <v>0.03</v>
      </c>
      <c r="AB17" s="15">
        <v>0.26</v>
      </c>
      <c r="AC17" s="15">
        <v>0.2</v>
      </c>
      <c r="AD17" s="15">
        <v>0.09</v>
      </c>
      <c r="AE17" s="15">
        <v>0.03</v>
      </c>
      <c r="AF17" s="15">
        <v>0.01</v>
      </c>
      <c r="AG17" s="15">
        <v>0.27</v>
      </c>
      <c r="AH17" s="15">
        <v>0.14000000000000001</v>
      </c>
      <c r="AI17" s="15">
        <v>0.22</v>
      </c>
      <c r="AJ17" s="15">
        <v>0.12</v>
      </c>
      <c r="AK17" s="15">
        <v>0.04</v>
      </c>
      <c r="AL17" s="15">
        <v>0.11</v>
      </c>
      <c r="AM17" s="15">
        <v>0.09</v>
      </c>
      <c r="AN17" s="15">
        <v>0.2</v>
      </c>
      <c r="AO17" s="15">
        <v>0.03</v>
      </c>
      <c r="AP17" s="15">
        <v>0.16</v>
      </c>
      <c r="AQ17" s="15">
        <v>0.04</v>
      </c>
    </row>
    <row r="18" spans="1:43" x14ac:dyDescent="0.35">
      <c r="A18" s="19"/>
      <c r="B18" s="11" t="s">
        <v>766</v>
      </c>
      <c r="C18" s="12">
        <v>1456</v>
      </c>
      <c r="D18" s="12">
        <v>56</v>
      </c>
      <c r="E18" s="12">
        <v>102</v>
      </c>
      <c r="F18" s="12">
        <v>186</v>
      </c>
      <c r="G18" s="12">
        <v>13</v>
      </c>
      <c r="H18" s="12">
        <v>47</v>
      </c>
      <c r="I18" s="12">
        <v>75</v>
      </c>
      <c r="J18" s="12">
        <v>28</v>
      </c>
      <c r="K18" s="12">
        <v>65</v>
      </c>
      <c r="L18" s="12">
        <v>47</v>
      </c>
      <c r="M18" s="12">
        <v>29</v>
      </c>
      <c r="N18" s="12">
        <v>11</v>
      </c>
      <c r="O18" s="12">
        <v>66</v>
      </c>
      <c r="P18" s="12">
        <v>34</v>
      </c>
      <c r="Q18" s="12">
        <v>89</v>
      </c>
      <c r="R18" s="12">
        <v>63</v>
      </c>
      <c r="S18" s="12">
        <v>28</v>
      </c>
      <c r="T18" s="12">
        <v>17</v>
      </c>
      <c r="U18" s="12">
        <v>13</v>
      </c>
      <c r="V18" s="12">
        <v>110</v>
      </c>
      <c r="W18" s="12">
        <v>17</v>
      </c>
      <c r="X18" s="12">
        <v>35</v>
      </c>
      <c r="Y18" s="12">
        <v>140</v>
      </c>
      <c r="Z18" s="12">
        <v>37</v>
      </c>
      <c r="AA18" s="12">
        <v>2</v>
      </c>
      <c r="AB18" s="12">
        <v>89</v>
      </c>
      <c r="AC18" s="12">
        <v>66</v>
      </c>
      <c r="AD18" s="12">
        <v>30</v>
      </c>
      <c r="AE18" s="12">
        <v>10</v>
      </c>
      <c r="AF18" s="12">
        <v>1</v>
      </c>
      <c r="AG18" s="12">
        <v>110</v>
      </c>
      <c r="AH18" s="12">
        <v>64</v>
      </c>
      <c r="AI18" s="12">
        <v>95</v>
      </c>
      <c r="AJ18" s="12">
        <v>62</v>
      </c>
      <c r="AK18" s="12">
        <v>10</v>
      </c>
      <c r="AL18" s="12">
        <v>124</v>
      </c>
      <c r="AM18" s="12">
        <v>37</v>
      </c>
      <c r="AN18" s="12">
        <v>43</v>
      </c>
      <c r="AO18" s="12">
        <v>13</v>
      </c>
      <c r="AP18" s="12">
        <v>47</v>
      </c>
      <c r="AQ18" s="12">
        <v>44</v>
      </c>
    </row>
    <row r="19" spans="1:43" x14ac:dyDescent="0.35">
      <c r="A19" s="19"/>
      <c r="B19" s="13" t="s">
        <v>767</v>
      </c>
      <c r="C19" s="15">
        <v>0.05</v>
      </c>
      <c r="D19" s="15">
        <v>0.05</v>
      </c>
      <c r="E19" s="15">
        <v>0.1</v>
      </c>
      <c r="F19" s="15">
        <v>0.17</v>
      </c>
      <c r="G19" s="15">
        <v>0.01</v>
      </c>
      <c r="H19" s="15">
        <v>0.04</v>
      </c>
      <c r="I19" s="15">
        <v>0.05</v>
      </c>
      <c r="J19" s="15">
        <v>0.1</v>
      </c>
      <c r="K19" s="15">
        <v>7.0000000000000007E-2</v>
      </c>
      <c r="L19" s="15">
        <v>0.05</v>
      </c>
      <c r="M19" s="15">
        <v>0.03</v>
      </c>
      <c r="N19" s="15">
        <v>0.01</v>
      </c>
      <c r="O19" s="15">
        <v>7.0000000000000007E-2</v>
      </c>
      <c r="P19" s="15">
        <v>0.03</v>
      </c>
      <c r="Q19" s="15">
        <v>0.09</v>
      </c>
      <c r="R19" s="15">
        <v>0.13</v>
      </c>
      <c r="S19" s="15">
        <v>0.03</v>
      </c>
      <c r="T19" s="15">
        <v>0.02</v>
      </c>
      <c r="U19" s="15">
        <v>0.03</v>
      </c>
      <c r="V19" s="15">
        <v>0.11</v>
      </c>
      <c r="W19" s="15">
        <v>0.03</v>
      </c>
      <c r="X19" s="15">
        <v>0.03</v>
      </c>
      <c r="Y19" s="15">
        <v>0.14000000000000001</v>
      </c>
      <c r="Z19" s="15">
        <v>0.04</v>
      </c>
      <c r="AA19" s="14" t="s">
        <v>475</v>
      </c>
      <c r="AB19" s="15">
        <v>0.08</v>
      </c>
      <c r="AC19" s="15">
        <v>7.0000000000000007E-2</v>
      </c>
      <c r="AD19" s="15">
        <v>0.03</v>
      </c>
      <c r="AE19" s="15">
        <v>0.01</v>
      </c>
      <c r="AF19" s="14" t="s">
        <v>475</v>
      </c>
      <c r="AG19" s="15">
        <v>0.11</v>
      </c>
      <c r="AH19" s="15">
        <v>0.06</v>
      </c>
      <c r="AI19" s="15">
        <v>0.18</v>
      </c>
      <c r="AJ19" s="15">
        <v>0.06</v>
      </c>
      <c r="AK19" s="15">
        <v>0.01</v>
      </c>
      <c r="AL19" s="15">
        <v>0.12</v>
      </c>
      <c r="AM19" s="15">
        <v>0.04</v>
      </c>
      <c r="AN19" s="15">
        <v>0.04</v>
      </c>
      <c r="AO19" s="15">
        <v>0.01</v>
      </c>
      <c r="AP19" s="15">
        <v>0.09</v>
      </c>
      <c r="AQ19" s="15">
        <v>0.04</v>
      </c>
    </row>
    <row r="20" spans="1:43" x14ac:dyDescent="0.35">
      <c r="A20" s="19"/>
      <c r="B20" s="11" t="s">
        <v>485</v>
      </c>
      <c r="C20" s="12">
        <v>592</v>
      </c>
      <c r="D20" s="12">
        <v>12</v>
      </c>
      <c r="E20" s="12">
        <v>81</v>
      </c>
      <c r="F20" s="12">
        <v>31</v>
      </c>
      <c r="G20" s="12">
        <v>26</v>
      </c>
      <c r="H20" s="12">
        <v>29</v>
      </c>
      <c r="I20" s="12">
        <v>39</v>
      </c>
      <c r="J20" s="12">
        <v>9</v>
      </c>
      <c r="K20" s="12">
        <v>34</v>
      </c>
      <c r="L20" s="12">
        <v>22</v>
      </c>
      <c r="M20" s="12">
        <v>14</v>
      </c>
      <c r="N20" s="12">
        <v>11</v>
      </c>
      <c r="O20" s="12">
        <v>38</v>
      </c>
      <c r="P20" s="12">
        <v>15</v>
      </c>
      <c r="Q20" s="12">
        <v>12</v>
      </c>
      <c r="R20" s="12">
        <v>7</v>
      </c>
      <c r="S20" s="12">
        <v>26</v>
      </c>
      <c r="T20" s="12">
        <v>23</v>
      </c>
      <c r="U20" s="12">
        <v>8</v>
      </c>
      <c r="V20" s="12">
        <v>15</v>
      </c>
      <c r="W20" s="12">
        <v>4</v>
      </c>
      <c r="X20" s="12">
        <v>6</v>
      </c>
      <c r="Y20" s="12">
        <v>12</v>
      </c>
      <c r="Z20" s="12">
        <v>30</v>
      </c>
      <c r="AA20" s="12">
        <v>39</v>
      </c>
      <c r="AB20" s="12">
        <v>33</v>
      </c>
      <c r="AC20" s="12">
        <v>6</v>
      </c>
      <c r="AD20" s="12">
        <v>10</v>
      </c>
      <c r="AE20" s="12">
        <v>12</v>
      </c>
      <c r="AF20" s="12">
        <v>6</v>
      </c>
      <c r="AG20" s="12">
        <v>31</v>
      </c>
      <c r="AH20" s="12">
        <v>7</v>
      </c>
      <c r="AI20" s="12">
        <v>60</v>
      </c>
      <c r="AJ20" s="12">
        <v>11</v>
      </c>
      <c r="AK20" s="12">
        <v>12</v>
      </c>
      <c r="AL20" s="12">
        <v>64</v>
      </c>
      <c r="AM20" s="12">
        <v>69</v>
      </c>
      <c r="AN20" s="12">
        <v>11</v>
      </c>
      <c r="AO20" s="12">
        <v>57</v>
      </c>
      <c r="AP20" s="12">
        <v>2</v>
      </c>
      <c r="AQ20" s="12">
        <v>40</v>
      </c>
    </row>
    <row r="21" spans="1:43" x14ac:dyDescent="0.35">
      <c r="A21" s="19"/>
      <c r="B21" s="13" t="s">
        <v>486</v>
      </c>
      <c r="C21" s="15">
        <v>0.02</v>
      </c>
      <c r="D21" s="15">
        <v>0.01</v>
      </c>
      <c r="E21" s="15">
        <v>0.08</v>
      </c>
      <c r="F21" s="15">
        <v>0.03</v>
      </c>
      <c r="G21" s="15">
        <v>0.02</v>
      </c>
      <c r="H21" s="15">
        <v>0.02</v>
      </c>
      <c r="I21" s="15">
        <v>0.03</v>
      </c>
      <c r="J21" s="15">
        <v>0.03</v>
      </c>
      <c r="K21" s="15">
        <v>0.03</v>
      </c>
      <c r="L21" s="15">
        <v>0.02</v>
      </c>
      <c r="M21" s="15">
        <v>0.02</v>
      </c>
      <c r="N21" s="15">
        <v>0.01</v>
      </c>
      <c r="O21" s="15">
        <v>0.04</v>
      </c>
      <c r="P21" s="15">
        <v>0.02</v>
      </c>
      <c r="Q21" s="15">
        <v>0.01</v>
      </c>
      <c r="R21" s="15">
        <v>0.01</v>
      </c>
      <c r="S21" s="15">
        <v>0.03</v>
      </c>
      <c r="T21" s="15">
        <v>0.02</v>
      </c>
      <c r="U21" s="15">
        <v>0.01</v>
      </c>
      <c r="V21" s="15">
        <v>0.01</v>
      </c>
      <c r="W21" s="15">
        <v>0.01</v>
      </c>
      <c r="X21" s="15">
        <v>0.01</v>
      </c>
      <c r="Y21" s="15">
        <v>0.01</v>
      </c>
      <c r="Z21" s="15">
        <v>0.03</v>
      </c>
      <c r="AA21" s="15">
        <v>0.04</v>
      </c>
      <c r="AB21" s="15">
        <v>0.03</v>
      </c>
      <c r="AC21" s="15">
        <v>0.01</v>
      </c>
      <c r="AD21" s="15">
        <v>0.01</v>
      </c>
      <c r="AE21" s="15">
        <v>0.01</v>
      </c>
      <c r="AF21" s="15">
        <v>0.01</v>
      </c>
      <c r="AG21" s="15">
        <v>0.03</v>
      </c>
      <c r="AH21" s="15">
        <v>0.01</v>
      </c>
      <c r="AI21" s="15">
        <v>0.12</v>
      </c>
      <c r="AJ21" s="15">
        <v>0.01</v>
      </c>
      <c r="AK21" s="15">
        <v>0.01</v>
      </c>
      <c r="AL21" s="15">
        <v>0.06</v>
      </c>
      <c r="AM21" s="15">
        <v>7.0000000000000007E-2</v>
      </c>
      <c r="AN21" s="15">
        <v>0.01</v>
      </c>
      <c r="AO21" s="15">
        <v>0.06</v>
      </c>
      <c r="AP21" s="14" t="s">
        <v>475</v>
      </c>
      <c r="AQ21" s="15">
        <v>0.04</v>
      </c>
    </row>
    <row r="22" spans="1:43" x14ac:dyDescent="0.35">
      <c r="A22" s="19"/>
      <c r="B22" s="11" t="s">
        <v>768</v>
      </c>
      <c r="C22" s="12">
        <v>21289</v>
      </c>
      <c r="D22" s="12">
        <v>806</v>
      </c>
      <c r="E22" s="12">
        <v>646</v>
      </c>
      <c r="F22" s="12">
        <v>565</v>
      </c>
      <c r="G22" s="12">
        <v>930</v>
      </c>
      <c r="H22" s="12">
        <v>1028</v>
      </c>
      <c r="I22" s="12">
        <v>1217</v>
      </c>
      <c r="J22" s="12">
        <v>190</v>
      </c>
      <c r="K22" s="12">
        <v>799</v>
      </c>
      <c r="L22" s="12">
        <v>854</v>
      </c>
      <c r="M22" s="12">
        <v>852</v>
      </c>
      <c r="N22" s="12">
        <v>914</v>
      </c>
      <c r="O22" s="12">
        <v>799</v>
      </c>
      <c r="P22" s="12">
        <v>808</v>
      </c>
      <c r="Q22" s="12">
        <v>798</v>
      </c>
      <c r="R22" s="12">
        <v>380</v>
      </c>
      <c r="S22" s="12">
        <v>875</v>
      </c>
      <c r="T22" s="12">
        <v>886</v>
      </c>
      <c r="U22" s="12">
        <v>452</v>
      </c>
      <c r="V22" s="12">
        <v>721</v>
      </c>
      <c r="W22" s="12">
        <v>445</v>
      </c>
      <c r="X22" s="12">
        <v>883</v>
      </c>
      <c r="Y22" s="12">
        <v>705</v>
      </c>
      <c r="Z22" s="12">
        <v>815</v>
      </c>
      <c r="AA22" s="12">
        <v>964</v>
      </c>
      <c r="AB22" s="12">
        <v>661</v>
      </c>
      <c r="AC22" s="12">
        <v>725</v>
      </c>
      <c r="AD22" s="12">
        <v>878</v>
      </c>
      <c r="AE22" s="12">
        <v>961</v>
      </c>
      <c r="AF22" s="12">
        <v>1020</v>
      </c>
      <c r="AG22" s="12">
        <v>617</v>
      </c>
      <c r="AH22" s="12">
        <v>806</v>
      </c>
      <c r="AI22" s="12">
        <v>252</v>
      </c>
      <c r="AJ22" s="12">
        <v>837</v>
      </c>
      <c r="AK22" s="12">
        <v>943</v>
      </c>
      <c r="AL22" s="12">
        <v>719</v>
      </c>
      <c r="AM22" s="12">
        <v>842</v>
      </c>
      <c r="AN22" s="12">
        <v>750</v>
      </c>
      <c r="AO22" s="12">
        <v>910</v>
      </c>
      <c r="AP22" s="12">
        <v>391</v>
      </c>
      <c r="AQ22" s="12">
        <v>883</v>
      </c>
    </row>
    <row r="23" spans="1:43" x14ac:dyDescent="0.35">
      <c r="A23" s="19"/>
      <c r="B23" s="13" t="s">
        <v>769</v>
      </c>
      <c r="C23" s="15">
        <v>0.81</v>
      </c>
      <c r="D23" s="15">
        <v>0.8</v>
      </c>
      <c r="E23" s="15">
        <v>0.63</v>
      </c>
      <c r="F23" s="15">
        <v>0.51</v>
      </c>
      <c r="G23" s="15">
        <v>0.93</v>
      </c>
      <c r="H23" s="15">
        <v>0.84</v>
      </c>
      <c r="I23" s="15">
        <v>0.8</v>
      </c>
      <c r="J23" s="15">
        <v>0.64</v>
      </c>
      <c r="K23" s="15">
        <v>0.8</v>
      </c>
      <c r="L23" s="15">
        <v>0.85</v>
      </c>
      <c r="M23" s="15">
        <v>0.84</v>
      </c>
      <c r="N23" s="15">
        <v>0.91</v>
      </c>
      <c r="O23" s="15">
        <v>0.79</v>
      </c>
      <c r="P23" s="15">
        <v>0.8</v>
      </c>
      <c r="Q23" s="15">
        <v>0.78</v>
      </c>
      <c r="R23" s="15">
        <v>0.75</v>
      </c>
      <c r="S23" s="15">
        <v>0.87</v>
      </c>
      <c r="T23" s="15">
        <v>0.88</v>
      </c>
      <c r="U23" s="15">
        <v>0.9</v>
      </c>
      <c r="V23" s="15">
        <v>0.71</v>
      </c>
      <c r="W23" s="15">
        <v>0.88</v>
      </c>
      <c r="X23" s="15">
        <v>0.88</v>
      </c>
      <c r="Y23" s="15">
        <v>0.70000000000000007</v>
      </c>
      <c r="Z23" s="15">
        <v>0.79</v>
      </c>
      <c r="AA23" s="15">
        <v>0.93</v>
      </c>
      <c r="AB23" s="15">
        <v>0.63</v>
      </c>
      <c r="AC23" s="15">
        <v>0.72</v>
      </c>
      <c r="AD23" s="15">
        <v>0.87</v>
      </c>
      <c r="AE23" s="15">
        <v>0.95000000000000007</v>
      </c>
      <c r="AF23" s="15">
        <v>0.98</v>
      </c>
      <c r="AG23" s="15">
        <v>0.59</v>
      </c>
      <c r="AH23" s="15">
        <v>0.79</v>
      </c>
      <c r="AI23" s="15">
        <v>0.48</v>
      </c>
      <c r="AJ23" s="15">
        <v>0.81</v>
      </c>
      <c r="AK23" s="15">
        <v>0.94000000000000006</v>
      </c>
      <c r="AL23" s="15">
        <v>0.71</v>
      </c>
      <c r="AM23" s="15">
        <v>0.8</v>
      </c>
      <c r="AN23" s="15">
        <v>0.75</v>
      </c>
      <c r="AO23" s="15">
        <v>0.9</v>
      </c>
      <c r="AP23" s="15">
        <v>0.75</v>
      </c>
      <c r="AQ23" s="15">
        <v>0.88</v>
      </c>
    </row>
    <row r="24" spans="1:43" x14ac:dyDescent="0.35">
      <c r="A24" s="19"/>
      <c r="B24" s="11" t="s">
        <v>770</v>
      </c>
      <c r="C24" s="12">
        <v>4564</v>
      </c>
      <c r="D24" s="12">
        <v>195</v>
      </c>
      <c r="E24" s="12">
        <v>303</v>
      </c>
      <c r="F24" s="12">
        <v>507</v>
      </c>
      <c r="G24" s="12">
        <v>50</v>
      </c>
      <c r="H24" s="12">
        <v>164</v>
      </c>
      <c r="I24" s="12">
        <v>260</v>
      </c>
      <c r="J24" s="12">
        <v>96</v>
      </c>
      <c r="K24" s="12">
        <v>169</v>
      </c>
      <c r="L24" s="12">
        <v>126</v>
      </c>
      <c r="M24" s="12">
        <v>143</v>
      </c>
      <c r="N24" s="12">
        <v>78</v>
      </c>
      <c r="O24" s="12">
        <v>165</v>
      </c>
      <c r="P24" s="12">
        <v>180</v>
      </c>
      <c r="Q24" s="12">
        <v>217</v>
      </c>
      <c r="R24" s="12">
        <v>117</v>
      </c>
      <c r="S24" s="12">
        <v>102</v>
      </c>
      <c r="T24" s="12">
        <v>97</v>
      </c>
      <c r="U24" s="12">
        <v>44</v>
      </c>
      <c r="V24" s="12">
        <v>278</v>
      </c>
      <c r="W24" s="12">
        <v>59</v>
      </c>
      <c r="X24" s="12">
        <v>121</v>
      </c>
      <c r="Y24" s="12">
        <v>286</v>
      </c>
      <c r="Z24" s="12">
        <v>186</v>
      </c>
      <c r="AA24" s="12">
        <v>30</v>
      </c>
      <c r="AB24" s="12">
        <v>357</v>
      </c>
      <c r="AC24" s="12">
        <v>272</v>
      </c>
      <c r="AD24" s="12">
        <v>117</v>
      </c>
      <c r="AE24" s="12">
        <v>39</v>
      </c>
      <c r="AF24" s="12">
        <v>17</v>
      </c>
      <c r="AG24" s="12">
        <v>387</v>
      </c>
      <c r="AH24" s="12">
        <v>201</v>
      </c>
      <c r="AI24" s="12">
        <v>211</v>
      </c>
      <c r="AJ24" s="12">
        <v>189</v>
      </c>
      <c r="AK24" s="12">
        <v>52</v>
      </c>
      <c r="AL24" s="12">
        <v>229</v>
      </c>
      <c r="AM24" s="12">
        <v>129</v>
      </c>
      <c r="AN24" s="12">
        <v>242</v>
      </c>
      <c r="AO24" s="12">
        <v>38</v>
      </c>
      <c r="AP24" s="12">
        <v>131</v>
      </c>
      <c r="AQ24" s="12">
        <v>79</v>
      </c>
    </row>
    <row r="25" spans="1:43" x14ac:dyDescent="0.35">
      <c r="A25" s="19"/>
      <c r="B25" s="13" t="s">
        <v>771</v>
      </c>
      <c r="C25" s="15">
        <v>0.17</v>
      </c>
      <c r="D25" s="15">
        <v>0.19</v>
      </c>
      <c r="E25" s="15">
        <v>0.28999999999999998</v>
      </c>
      <c r="F25" s="15">
        <v>0.46</v>
      </c>
      <c r="G25" s="15">
        <v>0.05</v>
      </c>
      <c r="H25" s="15">
        <v>0.14000000000000001</v>
      </c>
      <c r="I25" s="15">
        <v>0.17</v>
      </c>
      <c r="J25" s="15">
        <v>0.33</v>
      </c>
      <c r="K25" s="15">
        <v>0.17</v>
      </c>
      <c r="L25" s="15">
        <v>0.13</v>
      </c>
      <c r="M25" s="15">
        <v>0.14000000000000001</v>
      </c>
      <c r="N25" s="15">
        <v>0.08</v>
      </c>
      <c r="O25" s="15">
        <v>0.17</v>
      </c>
      <c r="P25" s="15">
        <v>0.18</v>
      </c>
      <c r="Q25" s="15">
        <v>0.21</v>
      </c>
      <c r="R25" s="15">
        <v>0.24</v>
      </c>
      <c r="S25" s="15">
        <v>0.1</v>
      </c>
      <c r="T25" s="15">
        <v>0.1</v>
      </c>
      <c r="U25" s="15">
        <v>0.09</v>
      </c>
      <c r="V25" s="15">
        <v>0.28000000000000003</v>
      </c>
      <c r="W25" s="15">
        <v>0.11</v>
      </c>
      <c r="X25" s="15">
        <v>0.11</v>
      </c>
      <c r="Y25" s="15">
        <v>0.28999999999999998</v>
      </c>
      <c r="Z25" s="15">
        <v>0.18</v>
      </c>
      <c r="AA25" s="15">
        <v>0.03</v>
      </c>
      <c r="AB25" s="15">
        <v>0.34</v>
      </c>
      <c r="AC25" s="15">
        <v>0.27</v>
      </c>
      <c r="AD25" s="15">
        <v>0.12</v>
      </c>
      <c r="AE25" s="15">
        <v>0.04</v>
      </c>
      <c r="AF25" s="15">
        <v>0.01</v>
      </c>
      <c r="AG25" s="15">
        <v>0.38</v>
      </c>
      <c r="AH25" s="15">
        <v>0.2</v>
      </c>
      <c r="AI25" s="15">
        <v>0.4</v>
      </c>
      <c r="AJ25" s="15">
        <v>0.18</v>
      </c>
      <c r="AK25" s="15">
        <v>0.05</v>
      </c>
      <c r="AL25" s="15">
        <v>0.23</v>
      </c>
      <c r="AM25" s="15">
        <v>0.13</v>
      </c>
      <c r="AN25" s="15">
        <v>0.24</v>
      </c>
      <c r="AO25" s="15">
        <v>0.04</v>
      </c>
      <c r="AP25" s="15">
        <v>0.25</v>
      </c>
      <c r="AQ25" s="15">
        <v>0.08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1187</v>
      </c>
      <c r="C3" s="18"/>
      <c r="D3" s="18"/>
      <c r="E3" s="18"/>
      <c r="F3" s="18"/>
      <c r="H3" s="18" t="s">
        <v>1188</v>
      </c>
      <c r="I3" s="18"/>
      <c r="J3" s="18"/>
      <c r="K3" s="18"/>
      <c r="L3" s="18"/>
    </row>
    <row r="4" spans="1:43" ht="27" customHeight="1" x14ac:dyDescent="0.35">
      <c r="B4" s="18" t="s">
        <v>1189</v>
      </c>
      <c r="C4" s="18"/>
      <c r="D4" s="18"/>
      <c r="E4" s="18"/>
      <c r="F4" s="18"/>
      <c r="H4" s="18" t="s">
        <v>1190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HYPERLINK("#Content!A128","&lt;&lt;Back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7833</v>
      </c>
      <c r="D12" s="12">
        <v>230</v>
      </c>
      <c r="E12" s="12">
        <v>164</v>
      </c>
      <c r="F12" s="12">
        <v>166</v>
      </c>
      <c r="G12" s="12">
        <v>688</v>
      </c>
      <c r="H12" s="12">
        <v>426</v>
      </c>
      <c r="I12" s="12">
        <v>505</v>
      </c>
      <c r="J12" s="12">
        <v>79</v>
      </c>
      <c r="K12" s="12">
        <v>243</v>
      </c>
      <c r="L12" s="12">
        <v>411</v>
      </c>
      <c r="M12" s="12">
        <v>206</v>
      </c>
      <c r="N12" s="12">
        <v>421</v>
      </c>
      <c r="O12" s="12">
        <v>259</v>
      </c>
      <c r="P12" s="12">
        <v>276</v>
      </c>
      <c r="Q12" s="12">
        <v>190</v>
      </c>
      <c r="R12" s="12">
        <v>129</v>
      </c>
      <c r="S12" s="12">
        <v>440</v>
      </c>
      <c r="T12" s="12">
        <v>371</v>
      </c>
      <c r="U12" s="12">
        <v>241</v>
      </c>
      <c r="V12" s="12">
        <v>167</v>
      </c>
      <c r="W12" s="12">
        <v>165</v>
      </c>
      <c r="X12" s="12">
        <v>496</v>
      </c>
      <c r="Y12" s="12">
        <v>379</v>
      </c>
      <c r="Z12" s="12">
        <v>204</v>
      </c>
      <c r="AA12" s="12">
        <v>219</v>
      </c>
      <c r="AB12" s="12">
        <v>78</v>
      </c>
      <c r="AC12" s="12">
        <v>276</v>
      </c>
      <c r="AD12" s="12">
        <v>364</v>
      </c>
      <c r="AE12" s="12">
        <v>636</v>
      </c>
      <c r="AF12" s="12">
        <v>771</v>
      </c>
      <c r="AG12" s="12">
        <v>191</v>
      </c>
      <c r="AH12" s="12">
        <v>382</v>
      </c>
      <c r="AI12" s="12">
        <v>125</v>
      </c>
      <c r="AJ12" s="12">
        <v>291</v>
      </c>
      <c r="AK12" s="12">
        <v>521</v>
      </c>
      <c r="AL12" s="12">
        <v>426</v>
      </c>
      <c r="AM12" s="12">
        <v>393</v>
      </c>
      <c r="AN12" s="12">
        <v>309</v>
      </c>
      <c r="AO12" s="12">
        <v>665</v>
      </c>
      <c r="AP12" s="12">
        <v>247</v>
      </c>
      <c r="AQ12" s="12">
        <v>577</v>
      </c>
    </row>
    <row r="13" spans="1:43" x14ac:dyDescent="0.35">
      <c r="A13" s="19"/>
      <c r="B13" s="13" t="s">
        <v>761</v>
      </c>
      <c r="C13" s="15">
        <v>0.3</v>
      </c>
      <c r="D13" s="15">
        <v>0.23</v>
      </c>
      <c r="E13" s="15">
        <v>0.16</v>
      </c>
      <c r="F13" s="15">
        <v>0.15</v>
      </c>
      <c r="G13" s="15">
        <v>0.69000000000000006</v>
      </c>
      <c r="H13" s="15">
        <v>0.35</v>
      </c>
      <c r="I13" s="15">
        <v>0.34</v>
      </c>
      <c r="J13" s="15">
        <v>0.27</v>
      </c>
      <c r="K13" s="15">
        <v>0.24</v>
      </c>
      <c r="L13" s="15">
        <v>0.41</v>
      </c>
      <c r="M13" s="15">
        <v>0.2</v>
      </c>
      <c r="N13" s="15">
        <v>0.42</v>
      </c>
      <c r="O13" s="15">
        <v>0.26</v>
      </c>
      <c r="P13" s="15">
        <v>0.27</v>
      </c>
      <c r="Q13" s="15">
        <v>0.19</v>
      </c>
      <c r="R13" s="15">
        <v>0.26</v>
      </c>
      <c r="S13" s="15">
        <v>0.44</v>
      </c>
      <c r="T13" s="15">
        <v>0.37</v>
      </c>
      <c r="U13" s="15">
        <v>0.48</v>
      </c>
      <c r="V13" s="15">
        <v>0.16</v>
      </c>
      <c r="W13" s="15">
        <v>0.32</v>
      </c>
      <c r="X13" s="15">
        <v>0.49</v>
      </c>
      <c r="Y13" s="15">
        <v>0.38</v>
      </c>
      <c r="Z13" s="15">
        <v>0.2</v>
      </c>
      <c r="AA13" s="15">
        <v>0.21</v>
      </c>
      <c r="AB13" s="15">
        <v>7.0000000000000007E-2</v>
      </c>
      <c r="AC13" s="15">
        <v>0.27</v>
      </c>
      <c r="AD13" s="15">
        <v>0.36</v>
      </c>
      <c r="AE13" s="15">
        <v>0.63</v>
      </c>
      <c r="AF13" s="15">
        <v>0.74</v>
      </c>
      <c r="AG13" s="15">
        <v>0.18</v>
      </c>
      <c r="AH13" s="15">
        <v>0.38</v>
      </c>
      <c r="AI13" s="15">
        <v>0.24</v>
      </c>
      <c r="AJ13" s="15">
        <v>0.28000000000000003</v>
      </c>
      <c r="AK13" s="15">
        <v>0.52</v>
      </c>
      <c r="AL13" s="15">
        <v>0.42</v>
      </c>
      <c r="AM13" s="15">
        <v>0.38</v>
      </c>
      <c r="AN13" s="15">
        <v>0.31</v>
      </c>
      <c r="AO13" s="15">
        <v>0.66</v>
      </c>
      <c r="AP13" s="15">
        <v>0.47</v>
      </c>
      <c r="AQ13" s="15">
        <v>0.57999999999999996</v>
      </c>
    </row>
    <row r="14" spans="1:43" x14ac:dyDescent="0.35">
      <c r="A14" s="19"/>
      <c r="B14" s="11" t="s">
        <v>762</v>
      </c>
      <c r="C14" s="12">
        <v>12519</v>
      </c>
      <c r="D14" s="12">
        <v>498</v>
      </c>
      <c r="E14" s="12">
        <v>462</v>
      </c>
      <c r="F14" s="12">
        <v>442</v>
      </c>
      <c r="G14" s="12">
        <v>252</v>
      </c>
      <c r="H14" s="12">
        <v>615</v>
      </c>
      <c r="I14" s="12">
        <v>732</v>
      </c>
      <c r="J14" s="12">
        <v>117</v>
      </c>
      <c r="K14" s="12">
        <v>476</v>
      </c>
      <c r="L14" s="12">
        <v>468</v>
      </c>
      <c r="M14" s="12">
        <v>506</v>
      </c>
      <c r="N14" s="12">
        <v>408</v>
      </c>
      <c r="O14" s="12">
        <v>468</v>
      </c>
      <c r="P14" s="12">
        <v>520</v>
      </c>
      <c r="Q14" s="12">
        <v>559</v>
      </c>
      <c r="R14" s="12">
        <v>187</v>
      </c>
      <c r="S14" s="12">
        <v>389</v>
      </c>
      <c r="T14" s="12">
        <v>481</v>
      </c>
      <c r="U14" s="12">
        <v>175</v>
      </c>
      <c r="V14" s="12">
        <v>502</v>
      </c>
      <c r="W14" s="12">
        <v>272</v>
      </c>
      <c r="X14" s="12">
        <v>367</v>
      </c>
      <c r="Y14" s="12">
        <v>337</v>
      </c>
      <c r="Z14" s="12">
        <v>630</v>
      </c>
      <c r="AA14" s="12">
        <v>703</v>
      </c>
      <c r="AB14" s="12">
        <v>493</v>
      </c>
      <c r="AC14" s="12">
        <v>451</v>
      </c>
      <c r="AD14" s="12">
        <v>451</v>
      </c>
      <c r="AE14" s="12">
        <v>299</v>
      </c>
      <c r="AF14" s="12">
        <v>240</v>
      </c>
      <c r="AG14" s="12">
        <v>431</v>
      </c>
      <c r="AH14" s="12">
        <v>453</v>
      </c>
      <c r="AI14" s="12">
        <v>147</v>
      </c>
      <c r="AJ14" s="12">
        <v>421</v>
      </c>
      <c r="AK14" s="12">
        <v>420</v>
      </c>
      <c r="AL14" s="12">
        <v>321</v>
      </c>
      <c r="AM14" s="12">
        <v>461</v>
      </c>
      <c r="AN14" s="12">
        <v>373</v>
      </c>
      <c r="AO14" s="12">
        <v>238</v>
      </c>
      <c r="AP14" s="12">
        <v>181</v>
      </c>
      <c r="AQ14" s="12">
        <v>300</v>
      </c>
    </row>
    <row r="15" spans="1:43" x14ac:dyDescent="0.35">
      <c r="A15" s="19"/>
      <c r="B15" s="13" t="s">
        <v>763</v>
      </c>
      <c r="C15" s="15">
        <v>0.47</v>
      </c>
      <c r="D15" s="15">
        <v>0.49</v>
      </c>
      <c r="E15" s="15">
        <v>0.45</v>
      </c>
      <c r="F15" s="15">
        <v>0.4</v>
      </c>
      <c r="G15" s="15">
        <v>0.25</v>
      </c>
      <c r="H15" s="15">
        <v>0.5</v>
      </c>
      <c r="I15" s="15">
        <v>0.48</v>
      </c>
      <c r="J15" s="15">
        <v>0.4</v>
      </c>
      <c r="K15" s="15">
        <v>0.48</v>
      </c>
      <c r="L15" s="15">
        <v>0.47</v>
      </c>
      <c r="M15" s="15">
        <v>0.5</v>
      </c>
      <c r="N15" s="15">
        <v>0.41</v>
      </c>
      <c r="O15" s="15">
        <v>0.47</v>
      </c>
      <c r="P15" s="15">
        <v>0.52</v>
      </c>
      <c r="Q15" s="15">
        <v>0.54</v>
      </c>
      <c r="R15" s="15">
        <v>0.37</v>
      </c>
      <c r="S15" s="15">
        <v>0.39</v>
      </c>
      <c r="T15" s="15">
        <v>0.48</v>
      </c>
      <c r="U15" s="15">
        <v>0.35</v>
      </c>
      <c r="V15" s="15">
        <v>0.5</v>
      </c>
      <c r="W15" s="15">
        <v>0.54</v>
      </c>
      <c r="X15" s="15">
        <v>0.36</v>
      </c>
      <c r="Y15" s="15">
        <v>0.34</v>
      </c>
      <c r="Z15" s="15">
        <v>0.61</v>
      </c>
      <c r="AA15" s="15">
        <v>0.68</v>
      </c>
      <c r="AB15" s="15">
        <v>0.47</v>
      </c>
      <c r="AC15" s="15">
        <v>0.45</v>
      </c>
      <c r="AD15" s="15">
        <v>0.45</v>
      </c>
      <c r="AE15" s="15">
        <v>0.3</v>
      </c>
      <c r="AF15" s="15">
        <v>0.23</v>
      </c>
      <c r="AG15" s="15">
        <v>0.42</v>
      </c>
      <c r="AH15" s="15">
        <v>0.45</v>
      </c>
      <c r="AI15" s="15">
        <v>0.28000000000000003</v>
      </c>
      <c r="AJ15" s="15">
        <v>0.41</v>
      </c>
      <c r="AK15" s="15">
        <v>0.42</v>
      </c>
      <c r="AL15" s="15">
        <v>0.32</v>
      </c>
      <c r="AM15" s="15">
        <v>0.44</v>
      </c>
      <c r="AN15" s="15">
        <v>0.37</v>
      </c>
      <c r="AO15" s="15">
        <v>0.24</v>
      </c>
      <c r="AP15" s="15">
        <v>0.35</v>
      </c>
      <c r="AQ15" s="15">
        <v>0.3</v>
      </c>
    </row>
    <row r="16" spans="1:43" x14ac:dyDescent="0.35">
      <c r="A16" s="19"/>
      <c r="B16" s="11" t="s">
        <v>764</v>
      </c>
      <c r="C16" s="12">
        <v>3476</v>
      </c>
      <c r="D16" s="12">
        <v>185</v>
      </c>
      <c r="E16" s="12">
        <v>193</v>
      </c>
      <c r="F16" s="12">
        <v>274</v>
      </c>
      <c r="G16" s="12">
        <v>40</v>
      </c>
      <c r="H16" s="12">
        <v>112</v>
      </c>
      <c r="I16" s="12">
        <v>172</v>
      </c>
      <c r="J16" s="12">
        <v>60</v>
      </c>
      <c r="K16" s="12">
        <v>174</v>
      </c>
      <c r="L16" s="12">
        <v>67</v>
      </c>
      <c r="M16" s="12">
        <v>190</v>
      </c>
      <c r="N16" s="12">
        <v>101</v>
      </c>
      <c r="O16" s="12">
        <v>133</v>
      </c>
      <c r="P16" s="12">
        <v>151</v>
      </c>
      <c r="Q16" s="12">
        <v>157</v>
      </c>
      <c r="R16" s="12">
        <v>88</v>
      </c>
      <c r="S16" s="12">
        <v>75</v>
      </c>
      <c r="T16" s="12">
        <v>111</v>
      </c>
      <c r="U16" s="12">
        <v>41</v>
      </c>
      <c r="V16" s="12">
        <v>199</v>
      </c>
      <c r="W16" s="12">
        <v>50</v>
      </c>
      <c r="X16" s="12">
        <v>90</v>
      </c>
      <c r="Y16" s="12">
        <v>116</v>
      </c>
      <c r="Z16" s="12">
        <v>137</v>
      </c>
      <c r="AA16" s="12">
        <v>61</v>
      </c>
      <c r="AB16" s="12">
        <v>269</v>
      </c>
      <c r="AC16" s="12">
        <v>175</v>
      </c>
      <c r="AD16" s="12">
        <v>121</v>
      </c>
      <c r="AE16" s="12">
        <v>52</v>
      </c>
      <c r="AF16" s="12">
        <v>16</v>
      </c>
      <c r="AG16" s="12">
        <v>261</v>
      </c>
      <c r="AH16" s="12">
        <v>119</v>
      </c>
      <c r="AI16" s="12">
        <v>97</v>
      </c>
      <c r="AJ16" s="12">
        <v>180</v>
      </c>
      <c r="AK16" s="12">
        <v>43</v>
      </c>
      <c r="AL16" s="12">
        <v>99</v>
      </c>
      <c r="AM16" s="12">
        <v>98</v>
      </c>
      <c r="AN16" s="12">
        <v>218</v>
      </c>
      <c r="AO16" s="12">
        <v>28</v>
      </c>
      <c r="AP16" s="12">
        <v>54</v>
      </c>
      <c r="AQ16" s="12">
        <v>22</v>
      </c>
    </row>
    <row r="17" spans="1:43" x14ac:dyDescent="0.35">
      <c r="A17" s="19"/>
      <c r="B17" s="13" t="s">
        <v>765</v>
      </c>
      <c r="C17" s="15">
        <v>0.13</v>
      </c>
      <c r="D17" s="15">
        <v>0.18</v>
      </c>
      <c r="E17" s="15">
        <v>0.19</v>
      </c>
      <c r="F17" s="15">
        <v>0.25</v>
      </c>
      <c r="G17" s="15">
        <v>0.04</v>
      </c>
      <c r="H17" s="15">
        <v>0.09</v>
      </c>
      <c r="I17" s="15">
        <v>0.11</v>
      </c>
      <c r="J17" s="15">
        <v>0.2</v>
      </c>
      <c r="K17" s="15">
        <v>0.17</v>
      </c>
      <c r="L17" s="15">
        <v>7.0000000000000007E-2</v>
      </c>
      <c r="M17" s="15">
        <v>0.19</v>
      </c>
      <c r="N17" s="15">
        <v>0.1</v>
      </c>
      <c r="O17" s="15">
        <v>0.13</v>
      </c>
      <c r="P17" s="15">
        <v>0.15</v>
      </c>
      <c r="Q17" s="15">
        <v>0.15</v>
      </c>
      <c r="R17" s="15">
        <v>0.17</v>
      </c>
      <c r="S17" s="15">
        <v>7.0000000000000007E-2</v>
      </c>
      <c r="T17" s="15">
        <v>0.11</v>
      </c>
      <c r="U17" s="15">
        <v>0.08</v>
      </c>
      <c r="V17" s="15">
        <v>0.2</v>
      </c>
      <c r="W17" s="15">
        <v>0.1</v>
      </c>
      <c r="X17" s="15">
        <v>0.09</v>
      </c>
      <c r="Y17" s="15">
        <v>0.11</v>
      </c>
      <c r="Z17" s="15">
        <v>0.13</v>
      </c>
      <c r="AA17" s="15">
        <v>0.06</v>
      </c>
      <c r="AB17" s="15">
        <v>0.26</v>
      </c>
      <c r="AC17" s="15">
        <v>0.18</v>
      </c>
      <c r="AD17" s="15">
        <v>0.12</v>
      </c>
      <c r="AE17" s="15">
        <v>0.05</v>
      </c>
      <c r="AF17" s="15">
        <v>0.02</v>
      </c>
      <c r="AG17" s="15">
        <v>0.25</v>
      </c>
      <c r="AH17" s="15">
        <v>0.12</v>
      </c>
      <c r="AI17" s="15">
        <v>0.19</v>
      </c>
      <c r="AJ17" s="15">
        <v>0.17</v>
      </c>
      <c r="AK17" s="15">
        <v>0.04</v>
      </c>
      <c r="AL17" s="15">
        <v>0.1</v>
      </c>
      <c r="AM17" s="15">
        <v>0.1</v>
      </c>
      <c r="AN17" s="15">
        <v>0.22</v>
      </c>
      <c r="AO17" s="15">
        <v>0.03</v>
      </c>
      <c r="AP17" s="15">
        <v>0.1</v>
      </c>
      <c r="AQ17" s="15">
        <v>0.02</v>
      </c>
    </row>
    <row r="18" spans="1:43" x14ac:dyDescent="0.35">
      <c r="A18" s="19"/>
      <c r="B18" s="11" t="s">
        <v>766</v>
      </c>
      <c r="C18" s="12">
        <v>2016</v>
      </c>
      <c r="D18" s="12">
        <v>86</v>
      </c>
      <c r="E18" s="12">
        <v>157</v>
      </c>
      <c r="F18" s="12">
        <v>191</v>
      </c>
      <c r="G18" s="12">
        <v>13</v>
      </c>
      <c r="H18" s="12">
        <v>55</v>
      </c>
      <c r="I18" s="12">
        <v>89</v>
      </c>
      <c r="J18" s="12">
        <v>33</v>
      </c>
      <c r="K18" s="12">
        <v>82</v>
      </c>
      <c r="L18" s="12">
        <v>36</v>
      </c>
      <c r="M18" s="12">
        <v>83</v>
      </c>
      <c r="N18" s="12">
        <v>48</v>
      </c>
      <c r="O18" s="12">
        <v>103</v>
      </c>
      <c r="P18" s="12">
        <v>46</v>
      </c>
      <c r="Q18" s="12">
        <v>99</v>
      </c>
      <c r="R18" s="12">
        <v>92</v>
      </c>
      <c r="S18" s="12">
        <v>56</v>
      </c>
      <c r="T18" s="12">
        <v>19</v>
      </c>
      <c r="U18" s="12">
        <v>33</v>
      </c>
      <c r="V18" s="12">
        <v>133</v>
      </c>
      <c r="W18" s="12">
        <v>17</v>
      </c>
      <c r="X18" s="12">
        <v>47</v>
      </c>
      <c r="Y18" s="12">
        <v>158</v>
      </c>
      <c r="Z18" s="12">
        <v>37</v>
      </c>
      <c r="AA18" s="12">
        <v>5</v>
      </c>
      <c r="AB18" s="12">
        <v>173</v>
      </c>
      <c r="AC18" s="12">
        <v>92</v>
      </c>
      <c r="AD18" s="12">
        <v>66</v>
      </c>
      <c r="AE18" s="12">
        <v>12</v>
      </c>
      <c r="AF18" s="12">
        <v>11</v>
      </c>
      <c r="AG18" s="12">
        <v>122</v>
      </c>
      <c r="AH18" s="12">
        <v>56</v>
      </c>
      <c r="AI18" s="12">
        <v>96</v>
      </c>
      <c r="AJ18" s="12">
        <v>138</v>
      </c>
      <c r="AK18" s="12">
        <v>9</v>
      </c>
      <c r="AL18" s="12">
        <v>107</v>
      </c>
      <c r="AM18" s="12">
        <v>32</v>
      </c>
      <c r="AN18" s="12">
        <v>89</v>
      </c>
      <c r="AO18" s="12">
        <v>15</v>
      </c>
      <c r="AP18" s="12">
        <v>41</v>
      </c>
      <c r="AQ18" s="12">
        <v>49</v>
      </c>
    </row>
    <row r="19" spans="1:43" x14ac:dyDescent="0.35">
      <c r="A19" s="19"/>
      <c r="B19" s="13" t="s">
        <v>767</v>
      </c>
      <c r="C19" s="15">
        <v>0.08</v>
      </c>
      <c r="D19" s="15">
        <v>0.09</v>
      </c>
      <c r="E19" s="15">
        <v>0.15</v>
      </c>
      <c r="F19" s="15">
        <v>0.17</v>
      </c>
      <c r="G19" s="15">
        <v>0.01</v>
      </c>
      <c r="H19" s="15">
        <v>0.05</v>
      </c>
      <c r="I19" s="15">
        <v>0.06</v>
      </c>
      <c r="J19" s="15">
        <v>0.11</v>
      </c>
      <c r="K19" s="15">
        <v>0.08</v>
      </c>
      <c r="L19" s="15">
        <v>0.03</v>
      </c>
      <c r="M19" s="15">
        <v>0.08</v>
      </c>
      <c r="N19" s="15">
        <v>0.05</v>
      </c>
      <c r="O19" s="15">
        <v>0.1</v>
      </c>
      <c r="P19" s="15">
        <v>0.05</v>
      </c>
      <c r="Q19" s="15">
        <v>0.1</v>
      </c>
      <c r="R19" s="15">
        <v>0.18</v>
      </c>
      <c r="S19" s="15">
        <v>0.06</v>
      </c>
      <c r="T19" s="15">
        <v>0.02</v>
      </c>
      <c r="U19" s="15">
        <v>0.06</v>
      </c>
      <c r="V19" s="15">
        <v>0.13</v>
      </c>
      <c r="W19" s="15">
        <v>0.03</v>
      </c>
      <c r="X19" s="15">
        <v>0.05</v>
      </c>
      <c r="Y19" s="15">
        <v>0.16</v>
      </c>
      <c r="Z19" s="15">
        <v>0.04</v>
      </c>
      <c r="AA19" s="14" t="s">
        <v>475</v>
      </c>
      <c r="AB19" s="15">
        <v>0.16</v>
      </c>
      <c r="AC19" s="15">
        <v>0.09</v>
      </c>
      <c r="AD19" s="15">
        <v>7.0000000000000007E-2</v>
      </c>
      <c r="AE19" s="15">
        <v>0.01</v>
      </c>
      <c r="AF19" s="15">
        <v>0.01</v>
      </c>
      <c r="AG19" s="15">
        <v>0.12</v>
      </c>
      <c r="AH19" s="15">
        <v>0.05</v>
      </c>
      <c r="AI19" s="15">
        <v>0.18</v>
      </c>
      <c r="AJ19" s="15">
        <v>0.13</v>
      </c>
      <c r="AK19" s="15">
        <v>0.01</v>
      </c>
      <c r="AL19" s="15">
        <v>0.1</v>
      </c>
      <c r="AM19" s="15">
        <v>0.03</v>
      </c>
      <c r="AN19" s="15">
        <v>0.09</v>
      </c>
      <c r="AO19" s="15">
        <v>0.01</v>
      </c>
      <c r="AP19" s="15">
        <v>0.08</v>
      </c>
      <c r="AQ19" s="15">
        <v>0.05</v>
      </c>
    </row>
    <row r="20" spans="1:43" x14ac:dyDescent="0.35">
      <c r="A20" s="19"/>
      <c r="B20" s="11" t="s">
        <v>485</v>
      </c>
      <c r="C20" s="12">
        <v>602</v>
      </c>
      <c r="D20" s="12">
        <v>14</v>
      </c>
      <c r="E20" s="12">
        <v>54</v>
      </c>
      <c r="F20" s="12">
        <v>29</v>
      </c>
      <c r="G20" s="12">
        <v>14</v>
      </c>
      <c r="H20" s="12">
        <v>13</v>
      </c>
      <c r="I20" s="12">
        <v>18</v>
      </c>
      <c r="J20" s="12">
        <v>5</v>
      </c>
      <c r="K20" s="12">
        <v>26</v>
      </c>
      <c r="L20" s="12">
        <v>19</v>
      </c>
      <c r="M20" s="12">
        <v>26</v>
      </c>
      <c r="N20" s="12">
        <v>26</v>
      </c>
      <c r="O20" s="12">
        <v>39</v>
      </c>
      <c r="P20" s="12">
        <v>12</v>
      </c>
      <c r="Q20" s="12">
        <v>22</v>
      </c>
      <c r="R20" s="12">
        <v>7</v>
      </c>
      <c r="S20" s="12">
        <v>42</v>
      </c>
      <c r="T20" s="12">
        <v>24</v>
      </c>
      <c r="U20" s="12">
        <v>14</v>
      </c>
      <c r="V20" s="12">
        <v>13</v>
      </c>
      <c r="W20" s="12">
        <v>4</v>
      </c>
      <c r="X20" s="12">
        <v>10</v>
      </c>
      <c r="Y20" s="12">
        <v>13</v>
      </c>
      <c r="Z20" s="12">
        <v>23</v>
      </c>
      <c r="AA20" s="12">
        <v>46</v>
      </c>
      <c r="AB20" s="12">
        <v>38</v>
      </c>
      <c r="AC20" s="12">
        <v>9</v>
      </c>
      <c r="AD20" s="12">
        <v>3</v>
      </c>
      <c r="AE20" s="12">
        <v>13</v>
      </c>
      <c r="AF20" s="12">
        <v>5</v>
      </c>
      <c r="AG20" s="12">
        <v>30</v>
      </c>
      <c r="AH20" s="12">
        <v>3</v>
      </c>
      <c r="AI20" s="12">
        <v>59</v>
      </c>
      <c r="AJ20" s="12">
        <v>8</v>
      </c>
      <c r="AK20" s="12">
        <v>13</v>
      </c>
      <c r="AL20" s="12">
        <v>58</v>
      </c>
      <c r="AM20" s="12">
        <v>55</v>
      </c>
      <c r="AN20" s="12">
        <v>13</v>
      </c>
      <c r="AO20" s="12">
        <v>59</v>
      </c>
      <c r="AP20" s="12">
        <v>1</v>
      </c>
      <c r="AQ20" s="12">
        <v>54</v>
      </c>
    </row>
    <row r="21" spans="1:43" x14ac:dyDescent="0.35">
      <c r="A21" s="19"/>
      <c r="B21" s="13" t="s">
        <v>486</v>
      </c>
      <c r="C21" s="15">
        <v>0.02</v>
      </c>
      <c r="D21" s="15">
        <v>0.01</v>
      </c>
      <c r="E21" s="15">
        <v>0.05</v>
      </c>
      <c r="F21" s="15">
        <v>0.03</v>
      </c>
      <c r="G21" s="15">
        <v>0.01</v>
      </c>
      <c r="H21" s="15">
        <v>0.01</v>
      </c>
      <c r="I21" s="15">
        <v>0.01</v>
      </c>
      <c r="J21" s="15">
        <v>0.02</v>
      </c>
      <c r="K21" s="15">
        <v>0.03</v>
      </c>
      <c r="L21" s="15">
        <v>0.02</v>
      </c>
      <c r="M21" s="15">
        <v>0.03</v>
      </c>
      <c r="N21" s="15">
        <v>0.02</v>
      </c>
      <c r="O21" s="15">
        <v>0.04</v>
      </c>
      <c r="P21" s="15">
        <v>0.01</v>
      </c>
      <c r="Q21" s="15">
        <v>0.02</v>
      </c>
      <c r="R21" s="15">
        <v>0.02</v>
      </c>
      <c r="S21" s="15">
        <v>0.04</v>
      </c>
      <c r="T21" s="15">
        <v>0.02</v>
      </c>
      <c r="U21" s="15">
        <v>0.03</v>
      </c>
      <c r="V21" s="15">
        <v>0.01</v>
      </c>
      <c r="W21" s="15">
        <v>0.01</v>
      </c>
      <c r="X21" s="15">
        <v>0.01</v>
      </c>
      <c r="Y21" s="15">
        <v>0.01</v>
      </c>
      <c r="Z21" s="15">
        <v>0.02</v>
      </c>
      <c r="AA21" s="15">
        <v>0.05</v>
      </c>
      <c r="AB21" s="15">
        <v>0.04</v>
      </c>
      <c r="AC21" s="15">
        <v>0.01</v>
      </c>
      <c r="AD21" s="14" t="s">
        <v>475</v>
      </c>
      <c r="AE21" s="15">
        <v>0.01</v>
      </c>
      <c r="AF21" s="14" t="s">
        <v>475</v>
      </c>
      <c r="AG21" s="15">
        <v>0.03</v>
      </c>
      <c r="AH21" s="14" t="s">
        <v>475</v>
      </c>
      <c r="AI21" s="15">
        <v>0.11</v>
      </c>
      <c r="AJ21" s="15">
        <v>0.01</v>
      </c>
      <c r="AK21" s="15">
        <v>0.01</v>
      </c>
      <c r="AL21" s="15">
        <v>0.06</v>
      </c>
      <c r="AM21" s="15">
        <v>0.05</v>
      </c>
      <c r="AN21" s="15">
        <v>0.01</v>
      </c>
      <c r="AO21" s="15">
        <v>0.06</v>
      </c>
      <c r="AP21" s="14" t="s">
        <v>475</v>
      </c>
      <c r="AQ21" s="15">
        <v>0.05</v>
      </c>
    </row>
    <row r="22" spans="1:43" x14ac:dyDescent="0.35">
      <c r="A22" s="19"/>
      <c r="B22" s="11" t="s">
        <v>768</v>
      </c>
      <c r="C22" s="12">
        <v>20352</v>
      </c>
      <c r="D22" s="12">
        <v>728</v>
      </c>
      <c r="E22" s="12">
        <v>626</v>
      </c>
      <c r="F22" s="12">
        <v>608</v>
      </c>
      <c r="G22" s="12">
        <v>940</v>
      </c>
      <c r="H22" s="12">
        <v>1041</v>
      </c>
      <c r="I22" s="12">
        <v>1237</v>
      </c>
      <c r="J22" s="12">
        <v>196</v>
      </c>
      <c r="K22" s="12">
        <v>719</v>
      </c>
      <c r="L22" s="12">
        <v>879</v>
      </c>
      <c r="M22" s="12">
        <v>712</v>
      </c>
      <c r="N22" s="12">
        <v>829</v>
      </c>
      <c r="O22" s="12">
        <v>727</v>
      </c>
      <c r="P22" s="12">
        <v>796</v>
      </c>
      <c r="Q22" s="12">
        <v>749</v>
      </c>
      <c r="R22" s="12">
        <v>316</v>
      </c>
      <c r="S22" s="12">
        <v>829</v>
      </c>
      <c r="T22" s="12">
        <v>852</v>
      </c>
      <c r="U22" s="12">
        <v>416</v>
      </c>
      <c r="V22" s="12">
        <v>669</v>
      </c>
      <c r="W22" s="12">
        <v>437</v>
      </c>
      <c r="X22" s="12">
        <v>863</v>
      </c>
      <c r="Y22" s="12">
        <v>716</v>
      </c>
      <c r="Z22" s="12">
        <v>834</v>
      </c>
      <c r="AA22" s="12">
        <v>922</v>
      </c>
      <c r="AB22" s="12">
        <v>571</v>
      </c>
      <c r="AC22" s="12">
        <v>727</v>
      </c>
      <c r="AD22" s="12">
        <v>815</v>
      </c>
      <c r="AE22" s="12">
        <v>935</v>
      </c>
      <c r="AF22" s="12">
        <v>1011</v>
      </c>
      <c r="AG22" s="12">
        <v>622</v>
      </c>
      <c r="AH22" s="12">
        <v>835</v>
      </c>
      <c r="AI22" s="12">
        <v>272</v>
      </c>
      <c r="AJ22" s="12">
        <v>712</v>
      </c>
      <c r="AK22" s="12">
        <v>941</v>
      </c>
      <c r="AL22" s="12">
        <v>747</v>
      </c>
      <c r="AM22" s="12">
        <v>854</v>
      </c>
      <c r="AN22" s="12">
        <v>682</v>
      </c>
      <c r="AO22" s="12">
        <v>903</v>
      </c>
      <c r="AP22" s="12">
        <v>428</v>
      </c>
      <c r="AQ22" s="12">
        <v>877</v>
      </c>
    </row>
    <row r="23" spans="1:43" x14ac:dyDescent="0.35">
      <c r="A23" s="19"/>
      <c r="B23" s="13" t="s">
        <v>769</v>
      </c>
      <c r="C23" s="15">
        <v>0.77</v>
      </c>
      <c r="D23" s="15">
        <v>0.72</v>
      </c>
      <c r="E23" s="15">
        <v>0.61</v>
      </c>
      <c r="F23" s="15">
        <v>0.55000000000000004</v>
      </c>
      <c r="G23" s="15">
        <v>0.94000000000000006</v>
      </c>
      <c r="H23" s="15">
        <v>0.85</v>
      </c>
      <c r="I23" s="15">
        <v>0.82000000000000006</v>
      </c>
      <c r="J23" s="15">
        <v>0.67</v>
      </c>
      <c r="K23" s="15">
        <v>0.72</v>
      </c>
      <c r="L23" s="15">
        <v>0.88</v>
      </c>
      <c r="M23" s="15">
        <v>0.70000000000000007</v>
      </c>
      <c r="N23" s="15">
        <v>0.83000000000000007</v>
      </c>
      <c r="O23" s="15">
        <v>0.73</v>
      </c>
      <c r="P23" s="15">
        <v>0.79</v>
      </c>
      <c r="Q23" s="15">
        <v>0.73</v>
      </c>
      <c r="R23" s="15">
        <v>0.63</v>
      </c>
      <c r="S23" s="15">
        <v>0.83000000000000007</v>
      </c>
      <c r="T23" s="15">
        <v>0.85</v>
      </c>
      <c r="U23" s="15">
        <v>0.83000000000000007</v>
      </c>
      <c r="V23" s="15">
        <v>0.66</v>
      </c>
      <c r="W23" s="15">
        <v>0.86</v>
      </c>
      <c r="X23" s="15">
        <v>0.85</v>
      </c>
      <c r="Y23" s="15">
        <v>0.72</v>
      </c>
      <c r="Z23" s="15">
        <v>0.81</v>
      </c>
      <c r="AA23" s="15">
        <v>0.89</v>
      </c>
      <c r="AB23" s="15">
        <v>0.54</v>
      </c>
      <c r="AC23" s="15">
        <v>0.72</v>
      </c>
      <c r="AD23" s="15">
        <v>0.81</v>
      </c>
      <c r="AE23" s="15">
        <v>0.93</v>
      </c>
      <c r="AF23" s="15">
        <v>0.97</v>
      </c>
      <c r="AG23" s="15">
        <v>0.6</v>
      </c>
      <c r="AH23" s="15">
        <v>0.83000000000000007</v>
      </c>
      <c r="AI23" s="15">
        <v>0.52</v>
      </c>
      <c r="AJ23" s="15">
        <v>0.69000000000000006</v>
      </c>
      <c r="AK23" s="15">
        <v>0.94000000000000006</v>
      </c>
      <c r="AL23" s="15">
        <v>0.74</v>
      </c>
      <c r="AM23" s="15">
        <v>0.82000000000000006</v>
      </c>
      <c r="AN23" s="15">
        <v>0.68</v>
      </c>
      <c r="AO23" s="15">
        <v>0.9</v>
      </c>
      <c r="AP23" s="15">
        <v>0.82000000000000006</v>
      </c>
      <c r="AQ23" s="15">
        <v>0.88</v>
      </c>
    </row>
    <row r="24" spans="1:43" x14ac:dyDescent="0.35">
      <c r="A24" s="19"/>
      <c r="B24" s="11" t="s">
        <v>770</v>
      </c>
      <c r="C24" s="12">
        <v>5492</v>
      </c>
      <c r="D24" s="12">
        <v>271</v>
      </c>
      <c r="E24" s="12">
        <v>350</v>
      </c>
      <c r="F24" s="12">
        <v>465</v>
      </c>
      <c r="G24" s="12">
        <v>53</v>
      </c>
      <c r="H24" s="12">
        <v>167</v>
      </c>
      <c r="I24" s="12">
        <v>261</v>
      </c>
      <c r="J24" s="12">
        <v>93</v>
      </c>
      <c r="K24" s="12">
        <v>256</v>
      </c>
      <c r="L24" s="12">
        <v>103</v>
      </c>
      <c r="M24" s="12">
        <v>273</v>
      </c>
      <c r="N24" s="12">
        <v>149</v>
      </c>
      <c r="O24" s="12">
        <v>236</v>
      </c>
      <c r="P24" s="12">
        <v>197</v>
      </c>
      <c r="Q24" s="12">
        <v>256</v>
      </c>
      <c r="R24" s="12">
        <v>180</v>
      </c>
      <c r="S24" s="12">
        <v>131</v>
      </c>
      <c r="T24" s="12">
        <v>130</v>
      </c>
      <c r="U24" s="12">
        <v>74</v>
      </c>
      <c r="V24" s="12">
        <v>332</v>
      </c>
      <c r="W24" s="12">
        <v>67</v>
      </c>
      <c r="X24" s="12">
        <v>137</v>
      </c>
      <c r="Y24" s="12">
        <v>274</v>
      </c>
      <c r="Z24" s="12">
        <v>174</v>
      </c>
      <c r="AA24" s="12">
        <v>66</v>
      </c>
      <c r="AB24" s="12">
        <v>442</v>
      </c>
      <c r="AC24" s="12">
        <v>267</v>
      </c>
      <c r="AD24" s="12">
        <v>187</v>
      </c>
      <c r="AE24" s="12">
        <v>64</v>
      </c>
      <c r="AF24" s="12">
        <v>27</v>
      </c>
      <c r="AG24" s="12">
        <v>383</v>
      </c>
      <c r="AH24" s="12">
        <v>175</v>
      </c>
      <c r="AI24" s="12">
        <v>193</v>
      </c>
      <c r="AJ24" s="12">
        <v>318</v>
      </c>
      <c r="AK24" s="12">
        <v>52</v>
      </c>
      <c r="AL24" s="12">
        <v>206</v>
      </c>
      <c r="AM24" s="12">
        <v>130</v>
      </c>
      <c r="AN24" s="12">
        <v>307</v>
      </c>
      <c r="AO24" s="12">
        <v>43</v>
      </c>
      <c r="AP24" s="12">
        <v>95</v>
      </c>
      <c r="AQ24" s="12">
        <v>71</v>
      </c>
    </row>
    <row r="25" spans="1:43" x14ac:dyDescent="0.35">
      <c r="A25" s="19"/>
      <c r="B25" s="13" t="s">
        <v>771</v>
      </c>
      <c r="C25" s="15">
        <v>0.21</v>
      </c>
      <c r="D25" s="15">
        <v>0.27</v>
      </c>
      <c r="E25" s="15">
        <v>0.34</v>
      </c>
      <c r="F25" s="15">
        <v>0.42</v>
      </c>
      <c r="G25" s="15">
        <v>0.05</v>
      </c>
      <c r="H25" s="15">
        <v>0.14000000000000001</v>
      </c>
      <c r="I25" s="15">
        <v>0.17</v>
      </c>
      <c r="J25" s="15">
        <v>0.31</v>
      </c>
      <c r="K25" s="15">
        <v>0.25</v>
      </c>
      <c r="L25" s="15">
        <v>0.1</v>
      </c>
      <c r="M25" s="15">
        <v>0.27</v>
      </c>
      <c r="N25" s="15">
        <v>0.15</v>
      </c>
      <c r="O25" s="15">
        <v>0.23</v>
      </c>
      <c r="P25" s="15">
        <v>0.2</v>
      </c>
      <c r="Q25" s="15">
        <v>0.25</v>
      </c>
      <c r="R25" s="15">
        <v>0.35</v>
      </c>
      <c r="S25" s="15">
        <v>0.13</v>
      </c>
      <c r="T25" s="15">
        <v>0.13</v>
      </c>
      <c r="U25" s="15">
        <v>0.14000000000000001</v>
      </c>
      <c r="V25" s="15">
        <v>0.33</v>
      </c>
      <c r="W25" s="15">
        <v>0.13</v>
      </c>
      <c r="X25" s="15">
        <v>0.14000000000000001</v>
      </c>
      <c r="Y25" s="15">
        <v>0.27</v>
      </c>
      <c r="Z25" s="15">
        <v>0.17</v>
      </c>
      <c r="AA25" s="15">
        <v>0.06</v>
      </c>
      <c r="AB25" s="15">
        <v>0.42</v>
      </c>
      <c r="AC25" s="15">
        <v>0.27</v>
      </c>
      <c r="AD25" s="15">
        <v>0.19</v>
      </c>
      <c r="AE25" s="15">
        <v>0.06</v>
      </c>
      <c r="AF25" s="15">
        <v>0.03</v>
      </c>
      <c r="AG25" s="15">
        <v>0.37</v>
      </c>
      <c r="AH25" s="15">
        <v>0.17</v>
      </c>
      <c r="AI25" s="15">
        <v>0.37</v>
      </c>
      <c r="AJ25" s="15">
        <v>0.3</v>
      </c>
      <c r="AK25" s="15">
        <v>0.05</v>
      </c>
      <c r="AL25" s="15">
        <v>0.2</v>
      </c>
      <c r="AM25" s="15">
        <v>0.13</v>
      </c>
      <c r="AN25" s="15">
        <v>0.31</v>
      </c>
      <c r="AO25" s="15">
        <v>0.04</v>
      </c>
      <c r="AP25" s="15">
        <v>0.18</v>
      </c>
      <c r="AQ25" s="15">
        <v>7.0000000000000007E-2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1191</v>
      </c>
      <c r="C3" s="18"/>
      <c r="D3" s="18"/>
      <c r="E3" s="18"/>
      <c r="F3" s="18"/>
      <c r="H3" s="18" t="s">
        <v>1192</v>
      </c>
      <c r="I3" s="18"/>
      <c r="J3" s="18"/>
      <c r="K3" s="18"/>
      <c r="L3" s="18"/>
    </row>
    <row r="4" spans="1:32" ht="27" customHeight="1" x14ac:dyDescent="0.35">
      <c r="B4" s="18" t="s">
        <v>1193</v>
      </c>
      <c r="C4" s="18"/>
      <c r="D4" s="18"/>
      <c r="E4" s="18"/>
      <c r="F4" s="18"/>
      <c r="H4" s="18" t="s">
        <v>1194</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HYPERLINK("#Content!A129","&lt;&lt;Back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5210</v>
      </c>
      <c r="D12" s="12">
        <v>156</v>
      </c>
      <c r="E12" s="12">
        <v>87</v>
      </c>
      <c r="F12" s="12">
        <v>92</v>
      </c>
      <c r="G12" s="12">
        <v>444</v>
      </c>
      <c r="H12" s="12">
        <v>193</v>
      </c>
      <c r="I12" s="12">
        <v>231</v>
      </c>
      <c r="J12" s="12">
        <v>38</v>
      </c>
      <c r="K12" s="12">
        <v>195</v>
      </c>
      <c r="L12" s="12">
        <v>315</v>
      </c>
      <c r="M12" s="12">
        <v>108</v>
      </c>
      <c r="N12" s="12">
        <v>343</v>
      </c>
      <c r="O12" s="12">
        <v>176</v>
      </c>
      <c r="P12" s="12">
        <v>250</v>
      </c>
      <c r="Q12" s="12">
        <v>145</v>
      </c>
      <c r="R12" s="12">
        <v>58</v>
      </c>
      <c r="S12" s="12">
        <v>312</v>
      </c>
      <c r="T12" s="12">
        <v>299</v>
      </c>
      <c r="U12" s="12">
        <v>140</v>
      </c>
      <c r="V12" s="12">
        <v>92</v>
      </c>
      <c r="W12" s="12">
        <v>102</v>
      </c>
      <c r="X12" s="12">
        <v>271</v>
      </c>
      <c r="Y12" s="12">
        <v>258</v>
      </c>
      <c r="Z12" s="12">
        <v>160</v>
      </c>
      <c r="AA12" s="12">
        <v>195</v>
      </c>
      <c r="AB12" s="12">
        <v>120</v>
      </c>
      <c r="AC12" s="12">
        <v>173</v>
      </c>
      <c r="AD12" s="12">
        <v>204</v>
      </c>
      <c r="AE12" s="12">
        <v>376</v>
      </c>
      <c r="AF12" s="12">
        <v>561</v>
      </c>
    </row>
    <row r="13" spans="1:32" x14ac:dyDescent="0.35">
      <c r="A13" s="19"/>
      <c r="B13" s="13" t="s">
        <v>761</v>
      </c>
      <c r="C13" s="15">
        <v>0.2</v>
      </c>
      <c r="D13" s="15">
        <v>0.15</v>
      </c>
      <c r="E13" s="15">
        <v>0.08</v>
      </c>
      <c r="F13" s="15">
        <v>0.08</v>
      </c>
      <c r="G13" s="15">
        <v>0.44</v>
      </c>
      <c r="H13" s="15">
        <v>0.16</v>
      </c>
      <c r="I13" s="15">
        <v>0.15</v>
      </c>
      <c r="J13" s="15">
        <v>0.13</v>
      </c>
      <c r="K13" s="15">
        <v>0.19</v>
      </c>
      <c r="L13" s="15">
        <v>0.31</v>
      </c>
      <c r="M13" s="15">
        <v>0.11</v>
      </c>
      <c r="N13" s="15">
        <v>0.34</v>
      </c>
      <c r="O13" s="15">
        <v>0.18</v>
      </c>
      <c r="P13" s="15">
        <v>0.25</v>
      </c>
      <c r="Q13" s="15">
        <v>0.14000000000000001</v>
      </c>
      <c r="R13" s="15">
        <v>0.12</v>
      </c>
      <c r="S13" s="15">
        <v>0.31</v>
      </c>
      <c r="T13" s="15">
        <v>0.3</v>
      </c>
      <c r="U13" s="15">
        <v>0.28000000000000003</v>
      </c>
      <c r="V13" s="15">
        <v>0.09</v>
      </c>
      <c r="W13" s="15">
        <v>0.2</v>
      </c>
      <c r="X13" s="15">
        <v>0.27</v>
      </c>
      <c r="Y13" s="15">
        <v>0.26</v>
      </c>
      <c r="Z13" s="15">
        <v>0.16</v>
      </c>
      <c r="AA13" s="15">
        <v>0.19</v>
      </c>
      <c r="AB13" s="15">
        <v>0.12</v>
      </c>
      <c r="AC13" s="15">
        <v>0.17</v>
      </c>
      <c r="AD13" s="15">
        <v>0.2</v>
      </c>
      <c r="AE13" s="15">
        <v>0.37</v>
      </c>
      <c r="AF13" s="15">
        <v>0.54</v>
      </c>
    </row>
    <row r="14" spans="1:32" x14ac:dyDescent="0.35">
      <c r="A14" s="19"/>
      <c r="B14" s="11" t="s">
        <v>762</v>
      </c>
      <c r="C14" s="12">
        <v>10271</v>
      </c>
      <c r="D14" s="12">
        <v>424</v>
      </c>
      <c r="E14" s="12">
        <v>296</v>
      </c>
      <c r="F14" s="12">
        <v>213</v>
      </c>
      <c r="G14" s="12">
        <v>297</v>
      </c>
      <c r="H14" s="12">
        <v>478</v>
      </c>
      <c r="I14" s="12">
        <v>552</v>
      </c>
      <c r="J14" s="12">
        <v>74</v>
      </c>
      <c r="K14" s="12">
        <v>387</v>
      </c>
      <c r="L14" s="12">
        <v>400</v>
      </c>
      <c r="M14" s="12">
        <v>361</v>
      </c>
      <c r="N14" s="12">
        <v>349</v>
      </c>
      <c r="O14" s="12">
        <v>350</v>
      </c>
      <c r="P14" s="12">
        <v>473</v>
      </c>
      <c r="Q14" s="12">
        <v>470</v>
      </c>
      <c r="R14" s="12">
        <v>143</v>
      </c>
      <c r="S14" s="12">
        <v>341</v>
      </c>
      <c r="T14" s="12">
        <v>416</v>
      </c>
      <c r="U14" s="12">
        <v>171</v>
      </c>
      <c r="V14" s="12">
        <v>327</v>
      </c>
      <c r="W14" s="12">
        <v>224</v>
      </c>
      <c r="X14" s="12">
        <v>388</v>
      </c>
      <c r="Y14" s="12">
        <v>290</v>
      </c>
      <c r="Z14" s="12">
        <v>550</v>
      </c>
      <c r="AA14" s="12">
        <v>633</v>
      </c>
      <c r="AB14" s="12">
        <v>441</v>
      </c>
      <c r="AC14" s="12">
        <v>343</v>
      </c>
      <c r="AD14" s="12">
        <v>380</v>
      </c>
      <c r="AE14" s="12">
        <v>374</v>
      </c>
      <c r="AF14" s="12">
        <v>306</v>
      </c>
    </row>
    <row r="15" spans="1:32" x14ac:dyDescent="0.35">
      <c r="A15" s="19"/>
      <c r="B15" s="13" t="s">
        <v>763</v>
      </c>
      <c r="C15" s="15">
        <v>0.39</v>
      </c>
      <c r="D15" s="15">
        <v>0.42</v>
      </c>
      <c r="E15" s="15">
        <v>0.28999999999999998</v>
      </c>
      <c r="F15" s="15">
        <v>0.19</v>
      </c>
      <c r="G15" s="15">
        <v>0.3</v>
      </c>
      <c r="H15" s="15">
        <v>0.39</v>
      </c>
      <c r="I15" s="15">
        <v>0.36</v>
      </c>
      <c r="J15" s="15">
        <v>0.25</v>
      </c>
      <c r="K15" s="15">
        <v>0.39</v>
      </c>
      <c r="L15" s="15">
        <v>0.4</v>
      </c>
      <c r="M15" s="15">
        <v>0.36</v>
      </c>
      <c r="N15" s="15">
        <v>0.35</v>
      </c>
      <c r="O15" s="15">
        <v>0.35</v>
      </c>
      <c r="P15" s="15">
        <v>0.47</v>
      </c>
      <c r="Q15" s="15">
        <v>0.46</v>
      </c>
      <c r="R15" s="15">
        <v>0.28000000000000003</v>
      </c>
      <c r="S15" s="15">
        <v>0.34</v>
      </c>
      <c r="T15" s="15">
        <v>0.41</v>
      </c>
      <c r="U15" s="15">
        <v>0.34</v>
      </c>
      <c r="V15" s="15">
        <v>0.32</v>
      </c>
      <c r="W15" s="15">
        <v>0.44</v>
      </c>
      <c r="X15" s="15">
        <v>0.38</v>
      </c>
      <c r="Y15" s="15">
        <v>0.28999999999999998</v>
      </c>
      <c r="Z15" s="15">
        <v>0.53</v>
      </c>
      <c r="AA15" s="15">
        <v>0.61</v>
      </c>
      <c r="AB15" s="15">
        <v>0.42</v>
      </c>
      <c r="AC15" s="15">
        <v>0.34</v>
      </c>
      <c r="AD15" s="15">
        <v>0.38</v>
      </c>
      <c r="AE15" s="15">
        <v>0.37</v>
      </c>
      <c r="AF15" s="15">
        <v>0.28999999999999998</v>
      </c>
    </row>
    <row r="16" spans="1:32" x14ac:dyDescent="0.35">
      <c r="A16" s="19"/>
      <c r="B16" s="11" t="s">
        <v>764</v>
      </c>
      <c r="C16" s="12">
        <v>5759</v>
      </c>
      <c r="D16" s="12">
        <v>247</v>
      </c>
      <c r="E16" s="12">
        <v>256</v>
      </c>
      <c r="F16" s="12">
        <v>336</v>
      </c>
      <c r="G16" s="12">
        <v>135</v>
      </c>
      <c r="H16" s="12">
        <v>301</v>
      </c>
      <c r="I16" s="12">
        <v>400</v>
      </c>
      <c r="J16" s="12">
        <v>99</v>
      </c>
      <c r="K16" s="12">
        <v>174</v>
      </c>
      <c r="L16" s="12">
        <v>144</v>
      </c>
      <c r="M16" s="12">
        <v>285</v>
      </c>
      <c r="N16" s="12">
        <v>151</v>
      </c>
      <c r="O16" s="12">
        <v>215</v>
      </c>
      <c r="P16" s="12">
        <v>189</v>
      </c>
      <c r="Q16" s="12">
        <v>246</v>
      </c>
      <c r="R16" s="12">
        <v>134</v>
      </c>
      <c r="S16" s="12">
        <v>164</v>
      </c>
      <c r="T16" s="12">
        <v>164</v>
      </c>
      <c r="U16" s="12">
        <v>82</v>
      </c>
      <c r="V16" s="12">
        <v>261</v>
      </c>
      <c r="W16" s="12">
        <v>107</v>
      </c>
      <c r="X16" s="12">
        <v>229</v>
      </c>
      <c r="Y16" s="12">
        <v>164</v>
      </c>
      <c r="Z16" s="12">
        <v>208</v>
      </c>
      <c r="AA16" s="12">
        <v>80</v>
      </c>
      <c r="AB16" s="12">
        <v>307</v>
      </c>
      <c r="AC16" s="12">
        <v>260</v>
      </c>
      <c r="AD16" s="12">
        <v>199</v>
      </c>
      <c r="AE16" s="12">
        <v>134</v>
      </c>
      <c r="AF16" s="12">
        <v>81</v>
      </c>
    </row>
    <row r="17" spans="1:32" x14ac:dyDescent="0.35">
      <c r="A17" s="19"/>
      <c r="B17" s="13" t="s">
        <v>765</v>
      </c>
      <c r="C17" s="15">
        <v>0.22</v>
      </c>
      <c r="D17" s="15">
        <v>0.24</v>
      </c>
      <c r="E17" s="15">
        <v>0.25</v>
      </c>
      <c r="F17" s="15">
        <v>0.31</v>
      </c>
      <c r="G17" s="15">
        <v>0.13</v>
      </c>
      <c r="H17" s="15">
        <v>0.25</v>
      </c>
      <c r="I17" s="15">
        <v>0.27</v>
      </c>
      <c r="J17" s="15">
        <v>0.34</v>
      </c>
      <c r="K17" s="15">
        <v>0.17</v>
      </c>
      <c r="L17" s="15">
        <v>0.14000000000000001</v>
      </c>
      <c r="M17" s="15">
        <v>0.28000000000000003</v>
      </c>
      <c r="N17" s="15">
        <v>0.15</v>
      </c>
      <c r="O17" s="15">
        <v>0.21</v>
      </c>
      <c r="P17" s="15">
        <v>0.19</v>
      </c>
      <c r="Q17" s="15">
        <v>0.24</v>
      </c>
      <c r="R17" s="15">
        <v>0.27</v>
      </c>
      <c r="S17" s="15">
        <v>0.16</v>
      </c>
      <c r="T17" s="15">
        <v>0.16</v>
      </c>
      <c r="U17" s="15">
        <v>0.16</v>
      </c>
      <c r="V17" s="15">
        <v>0.26</v>
      </c>
      <c r="W17" s="15">
        <v>0.21</v>
      </c>
      <c r="X17" s="15">
        <v>0.23</v>
      </c>
      <c r="Y17" s="15">
        <v>0.16</v>
      </c>
      <c r="Z17" s="15">
        <v>0.2</v>
      </c>
      <c r="AA17" s="15">
        <v>0.08</v>
      </c>
      <c r="AB17" s="15">
        <v>0.28999999999999998</v>
      </c>
      <c r="AC17" s="15">
        <v>0.26</v>
      </c>
      <c r="AD17" s="15">
        <v>0.2</v>
      </c>
      <c r="AE17" s="15">
        <v>0.13</v>
      </c>
      <c r="AF17" s="15">
        <v>0.08</v>
      </c>
    </row>
    <row r="18" spans="1:32" x14ac:dyDescent="0.35">
      <c r="A18" s="19"/>
      <c r="B18" s="11" t="s">
        <v>766</v>
      </c>
      <c r="C18" s="12">
        <v>3517</v>
      </c>
      <c r="D18" s="12">
        <v>161</v>
      </c>
      <c r="E18" s="12">
        <v>257</v>
      </c>
      <c r="F18" s="12">
        <v>399</v>
      </c>
      <c r="G18" s="12">
        <v>84</v>
      </c>
      <c r="H18" s="12">
        <v>166</v>
      </c>
      <c r="I18" s="12">
        <v>236</v>
      </c>
      <c r="J18" s="12">
        <v>70</v>
      </c>
      <c r="K18" s="12">
        <v>175</v>
      </c>
      <c r="L18" s="12">
        <v>75</v>
      </c>
      <c r="M18" s="12">
        <v>174</v>
      </c>
      <c r="N18" s="12">
        <v>85</v>
      </c>
      <c r="O18" s="12">
        <v>163</v>
      </c>
      <c r="P18" s="12">
        <v>66</v>
      </c>
      <c r="Q18" s="12">
        <v>118</v>
      </c>
      <c r="R18" s="12">
        <v>141</v>
      </c>
      <c r="S18" s="12">
        <v>95</v>
      </c>
      <c r="T18" s="12">
        <v>72</v>
      </c>
      <c r="U18" s="12">
        <v>89</v>
      </c>
      <c r="V18" s="12">
        <v>293</v>
      </c>
      <c r="W18" s="12">
        <v>46</v>
      </c>
      <c r="X18" s="12">
        <v>98</v>
      </c>
      <c r="Y18" s="12">
        <v>252</v>
      </c>
      <c r="Z18" s="12">
        <v>65</v>
      </c>
      <c r="AA18" s="12">
        <v>21</v>
      </c>
      <c r="AB18" s="12">
        <v>110</v>
      </c>
      <c r="AC18" s="12">
        <v>187</v>
      </c>
      <c r="AD18" s="12">
        <v>178</v>
      </c>
      <c r="AE18" s="12">
        <v>48</v>
      </c>
      <c r="AF18" s="12">
        <v>43</v>
      </c>
    </row>
    <row r="19" spans="1:32" x14ac:dyDescent="0.35">
      <c r="A19" s="19"/>
      <c r="B19" s="13" t="s">
        <v>767</v>
      </c>
      <c r="C19" s="15">
        <v>0.13</v>
      </c>
      <c r="D19" s="15">
        <v>0.16</v>
      </c>
      <c r="E19" s="15">
        <v>0.25</v>
      </c>
      <c r="F19" s="15">
        <v>0.36</v>
      </c>
      <c r="G19" s="15">
        <v>0.08</v>
      </c>
      <c r="H19" s="15">
        <v>0.13</v>
      </c>
      <c r="I19" s="15">
        <v>0.16</v>
      </c>
      <c r="J19" s="15">
        <v>0.24</v>
      </c>
      <c r="K19" s="15">
        <v>0.18</v>
      </c>
      <c r="L19" s="15">
        <v>0.08</v>
      </c>
      <c r="M19" s="15">
        <v>0.17</v>
      </c>
      <c r="N19" s="15">
        <v>0.08</v>
      </c>
      <c r="O19" s="15">
        <v>0.16</v>
      </c>
      <c r="P19" s="15">
        <v>0.06</v>
      </c>
      <c r="Q19" s="15">
        <v>0.11</v>
      </c>
      <c r="R19" s="15">
        <v>0.28000000000000003</v>
      </c>
      <c r="S19" s="15">
        <v>0.1</v>
      </c>
      <c r="T19" s="15">
        <v>7.0000000000000007E-2</v>
      </c>
      <c r="U19" s="15">
        <v>0.18</v>
      </c>
      <c r="V19" s="15">
        <v>0.28999999999999998</v>
      </c>
      <c r="W19" s="15">
        <v>0.09</v>
      </c>
      <c r="X19" s="15">
        <v>0.1</v>
      </c>
      <c r="Y19" s="15">
        <v>0.25</v>
      </c>
      <c r="Z19" s="15">
        <v>0.06</v>
      </c>
      <c r="AA19" s="15">
        <v>0.02</v>
      </c>
      <c r="AB19" s="15">
        <v>0.1</v>
      </c>
      <c r="AC19" s="15">
        <v>0.19</v>
      </c>
      <c r="AD19" s="15">
        <v>0.18</v>
      </c>
      <c r="AE19" s="15">
        <v>0.05</v>
      </c>
      <c r="AF19" s="15">
        <v>0.04</v>
      </c>
    </row>
    <row r="20" spans="1:32" x14ac:dyDescent="0.35">
      <c r="A20" s="19"/>
      <c r="B20" s="11" t="s">
        <v>485</v>
      </c>
      <c r="C20" s="12">
        <v>1688</v>
      </c>
      <c r="D20" s="12">
        <v>26</v>
      </c>
      <c r="E20" s="12">
        <v>134</v>
      </c>
      <c r="F20" s="12">
        <v>62</v>
      </c>
      <c r="G20" s="12">
        <v>46</v>
      </c>
      <c r="H20" s="12">
        <v>84</v>
      </c>
      <c r="I20" s="12">
        <v>97</v>
      </c>
      <c r="J20" s="12">
        <v>13</v>
      </c>
      <c r="K20" s="12">
        <v>72</v>
      </c>
      <c r="L20" s="12">
        <v>67</v>
      </c>
      <c r="M20" s="12">
        <v>82</v>
      </c>
      <c r="N20" s="12">
        <v>75</v>
      </c>
      <c r="O20" s="12">
        <v>96</v>
      </c>
      <c r="P20" s="12">
        <v>26</v>
      </c>
      <c r="Q20" s="12">
        <v>49</v>
      </c>
      <c r="R20" s="12">
        <v>28</v>
      </c>
      <c r="S20" s="12">
        <v>90</v>
      </c>
      <c r="T20" s="12">
        <v>55</v>
      </c>
      <c r="U20" s="12">
        <v>22</v>
      </c>
      <c r="V20" s="12">
        <v>42</v>
      </c>
      <c r="W20" s="12">
        <v>29</v>
      </c>
      <c r="X20" s="12">
        <v>22</v>
      </c>
      <c r="Y20" s="12">
        <v>38</v>
      </c>
      <c r="Z20" s="12">
        <v>48</v>
      </c>
      <c r="AA20" s="12">
        <v>103</v>
      </c>
      <c r="AB20" s="12">
        <v>73</v>
      </c>
      <c r="AC20" s="12">
        <v>39</v>
      </c>
      <c r="AD20" s="12">
        <v>45</v>
      </c>
      <c r="AE20" s="12">
        <v>80</v>
      </c>
      <c r="AF20" s="12">
        <v>52</v>
      </c>
    </row>
    <row r="21" spans="1:32" x14ac:dyDescent="0.35">
      <c r="A21" s="19"/>
      <c r="B21" s="13" t="s">
        <v>486</v>
      </c>
      <c r="C21" s="15">
        <v>0.06</v>
      </c>
      <c r="D21" s="15">
        <v>0.03</v>
      </c>
      <c r="E21" s="15">
        <v>0.13</v>
      </c>
      <c r="F21" s="15">
        <v>0.06</v>
      </c>
      <c r="G21" s="15">
        <v>0.05</v>
      </c>
      <c r="H21" s="15">
        <v>7.0000000000000007E-2</v>
      </c>
      <c r="I21" s="15">
        <v>0.06</v>
      </c>
      <c r="J21" s="15">
        <v>0.04</v>
      </c>
      <c r="K21" s="15">
        <v>7.0000000000000007E-2</v>
      </c>
      <c r="L21" s="15">
        <v>7.0000000000000007E-2</v>
      </c>
      <c r="M21" s="15">
        <v>0.08</v>
      </c>
      <c r="N21" s="15">
        <v>0.08</v>
      </c>
      <c r="O21" s="15">
        <v>0.1</v>
      </c>
      <c r="P21" s="15">
        <v>0.03</v>
      </c>
      <c r="Q21" s="15">
        <v>0.05</v>
      </c>
      <c r="R21" s="15">
        <v>0.05</v>
      </c>
      <c r="S21" s="15">
        <v>0.09</v>
      </c>
      <c r="T21" s="15">
        <v>0.06</v>
      </c>
      <c r="U21" s="15">
        <v>0.04</v>
      </c>
      <c r="V21" s="15">
        <v>0.04</v>
      </c>
      <c r="W21" s="15">
        <v>0.06</v>
      </c>
      <c r="X21" s="15">
        <v>0.02</v>
      </c>
      <c r="Y21" s="15">
        <v>0.04</v>
      </c>
      <c r="Z21" s="15">
        <v>0.05</v>
      </c>
      <c r="AA21" s="15">
        <v>0.1</v>
      </c>
      <c r="AB21" s="15">
        <v>7.0000000000000007E-2</v>
      </c>
      <c r="AC21" s="15">
        <v>0.04</v>
      </c>
      <c r="AD21" s="15">
        <v>0.04</v>
      </c>
      <c r="AE21" s="15">
        <v>0.08</v>
      </c>
      <c r="AF21" s="15">
        <v>0.05</v>
      </c>
    </row>
    <row r="22" spans="1:32" x14ac:dyDescent="0.35">
      <c r="A22" s="19"/>
      <c r="B22" s="11" t="s">
        <v>768</v>
      </c>
      <c r="C22" s="12">
        <v>15481</v>
      </c>
      <c r="D22" s="12">
        <v>580</v>
      </c>
      <c r="E22" s="12">
        <v>383</v>
      </c>
      <c r="F22" s="12">
        <v>305</v>
      </c>
      <c r="G22" s="12">
        <v>741</v>
      </c>
      <c r="H22" s="12">
        <v>671</v>
      </c>
      <c r="I22" s="12">
        <v>783</v>
      </c>
      <c r="J22" s="12">
        <v>112</v>
      </c>
      <c r="K22" s="12">
        <v>582</v>
      </c>
      <c r="L22" s="12">
        <v>715</v>
      </c>
      <c r="M22" s="12">
        <v>469</v>
      </c>
      <c r="N22" s="12">
        <v>692</v>
      </c>
      <c r="O22" s="12">
        <v>526</v>
      </c>
      <c r="P22" s="12">
        <v>723</v>
      </c>
      <c r="Q22" s="12">
        <v>615</v>
      </c>
      <c r="R22" s="12">
        <v>201</v>
      </c>
      <c r="S22" s="12">
        <v>653</v>
      </c>
      <c r="T22" s="12">
        <v>715</v>
      </c>
      <c r="U22" s="12">
        <v>311</v>
      </c>
      <c r="V22" s="12">
        <v>419</v>
      </c>
      <c r="W22" s="12">
        <v>326</v>
      </c>
      <c r="X22" s="12">
        <v>659</v>
      </c>
      <c r="Y22" s="12">
        <v>548</v>
      </c>
      <c r="Z22" s="12">
        <v>710</v>
      </c>
      <c r="AA22" s="12">
        <v>828</v>
      </c>
      <c r="AB22" s="12">
        <v>561</v>
      </c>
      <c r="AC22" s="12">
        <v>516</v>
      </c>
      <c r="AD22" s="12">
        <v>584</v>
      </c>
      <c r="AE22" s="12">
        <v>750</v>
      </c>
      <c r="AF22" s="12">
        <v>867</v>
      </c>
    </row>
    <row r="23" spans="1:32" x14ac:dyDescent="0.35">
      <c r="A23" s="19"/>
      <c r="B23" s="13" t="s">
        <v>769</v>
      </c>
      <c r="C23" s="15">
        <v>0.59</v>
      </c>
      <c r="D23" s="15">
        <v>0.57000000000000006</v>
      </c>
      <c r="E23" s="15">
        <v>0.37</v>
      </c>
      <c r="F23" s="15">
        <v>0.27</v>
      </c>
      <c r="G23" s="15">
        <v>0.74</v>
      </c>
      <c r="H23" s="15">
        <v>0.55000000000000004</v>
      </c>
      <c r="I23" s="15">
        <v>0.51</v>
      </c>
      <c r="J23" s="15">
        <v>0.38</v>
      </c>
      <c r="K23" s="15">
        <v>0.57999999999999996</v>
      </c>
      <c r="L23" s="15">
        <v>0.71</v>
      </c>
      <c r="M23" s="15">
        <v>0.47</v>
      </c>
      <c r="N23" s="15">
        <v>0.69000000000000006</v>
      </c>
      <c r="O23" s="15">
        <v>0.53</v>
      </c>
      <c r="P23" s="15">
        <v>0.72</v>
      </c>
      <c r="Q23" s="15">
        <v>0.6</v>
      </c>
      <c r="R23" s="15">
        <v>0.4</v>
      </c>
      <c r="S23" s="15">
        <v>0.65</v>
      </c>
      <c r="T23" s="15">
        <v>0.71</v>
      </c>
      <c r="U23" s="15">
        <v>0.62</v>
      </c>
      <c r="V23" s="15">
        <v>0.41</v>
      </c>
      <c r="W23" s="15">
        <v>0.64</v>
      </c>
      <c r="X23" s="15">
        <v>0.65</v>
      </c>
      <c r="Y23" s="15">
        <v>0.55000000000000004</v>
      </c>
      <c r="Z23" s="15">
        <v>0.69000000000000006</v>
      </c>
      <c r="AA23" s="15">
        <v>0.8</v>
      </c>
      <c r="AB23" s="15">
        <v>0.54</v>
      </c>
      <c r="AC23" s="15">
        <v>0.51</v>
      </c>
      <c r="AD23" s="15">
        <v>0.57999999999999996</v>
      </c>
      <c r="AE23" s="15">
        <v>0.74</v>
      </c>
      <c r="AF23" s="15">
        <v>0.83000000000000007</v>
      </c>
    </row>
    <row r="24" spans="1:32" x14ac:dyDescent="0.35">
      <c r="A24" s="19"/>
      <c r="B24" s="11" t="s">
        <v>770</v>
      </c>
      <c r="C24" s="12">
        <v>9276</v>
      </c>
      <c r="D24" s="12">
        <v>408</v>
      </c>
      <c r="E24" s="12">
        <v>513</v>
      </c>
      <c r="F24" s="12">
        <v>735</v>
      </c>
      <c r="G24" s="12">
        <v>219</v>
      </c>
      <c r="H24" s="12">
        <v>467</v>
      </c>
      <c r="I24" s="12">
        <v>636</v>
      </c>
      <c r="J24" s="12">
        <v>169</v>
      </c>
      <c r="K24" s="12">
        <v>349</v>
      </c>
      <c r="L24" s="12">
        <v>219</v>
      </c>
      <c r="M24" s="12">
        <v>459</v>
      </c>
      <c r="N24" s="12">
        <v>236</v>
      </c>
      <c r="O24" s="12">
        <v>378</v>
      </c>
      <c r="P24" s="12">
        <v>255</v>
      </c>
      <c r="Q24" s="12">
        <v>364</v>
      </c>
      <c r="R24" s="12">
        <v>275</v>
      </c>
      <c r="S24" s="12">
        <v>259</v>
      </c>
      <c r="T24" s="12">
        <v>236</v>
      </c>
      <c r="U24" s="12">
        <v>171</v>
      </c>
      <c r="V24" s="12">
        <v>554</v>
      </c>
      <c r="W24" s="12">
        <v>153</v>
      </c>
      <c r="X24" s="12">
        <v>327</v>
      </c>
      <c r="Y24" s="12">
        <v>416</v>
      </c>
      <c r="Z24" s="12">
        <v>273</v>
      </c>
      <c r="AA24" s="12">
        <v>101</v>
      </c>
      <c r="AB24" s="12">
        <v>417</v>
      </c>
      <c r="AC24" s="12">
        <v>447</v>
      </c>
      <c r="AD24" s="12">
        <v>377</v>
      </c>
      <c r="AE24" s="12">
        <v>182</v>
      </c>
      <c r="AF24" s="12">
        <v>124</v>
      </c>
    </row>
    <row r="25" spans="1:32" x14ac:dyDescent="0.35">
      <c r="A25" s="19"/>
      <c r="B25" s="13" t="s">
        <v>771</v>
      </c>
      <c r="C25" s="15">
        <v>0.35</v>
      </c>
      <c r="D25" s="15">
        <v>0.4</v>
      </c>
      <c r="E25" s="15">
        <v>0.5</v>
      </c>
      <c r="F25" s="15">
        <v>0.67</v>
      </c>
      <c r="G25" s="15">
        <v>0.21</v>
      </c>
      <c r="H25" s="15">
        <v>0.38</v>
      </c>
      <c r="I25" s="15">
        <v>0.43</v>
      </c>
      <c r="J25" s="15">
        <v>0.57999999999999996</v>
      </c>
      <c r="K25" s="15">
        <v>0.35</v>
      </c>
      <c r="L25" s="15">
        <v>0.22</v>
      </c>
      <c r="M25" s="15">
        <v>0.45</v>
      </c>
      <c r="N25" s="15">
        <v>0.23</v>
      </c>
      <c r="O25" s="15">
        <v>0.37</v>
      </c>
      <c r="P25" s="15">
        <v>0.25</v>
      </c>
      <c r="Q25" s="15">
        <v>0.35</v>
      </c>
      <c r="R25" s="15">
        <v>0.55000000000000004</v>
      </c>
      <c r="S25" s="15">
        <v>0.26</v>
      </c>
      <c r="T25" s="15">
        <v>0.23</v>
      </c>
      <c r="U25" s="15">
        <v>0.34</v>
      </c>
      <c r="V25" s="15">
        <v>0.55000000000000004</v>
      </c>
      <c r="W25" s="15">
        <v>0.3</v>
      </c>
      <c r="X25" s="15">
        <v>0.33</v>
      </c>
      <c r="Y25" s="15">
        <v>0.41</v>
      </c>
      <c r="Z25" s="15">
        <v>0.26</v>
      </c>
      <c r="AA25" s="15">
        <v>0.1</v>
      </c>
      <c r="AB25" s="15">
        <v>0.39</v>
      </c>
      <c r="AC25" s="15">
        <v>0.45</v>
      </c>
      <c r="AD25" s="15">
        <v>0.38</v>
      </c>
      <c r="AE25" s="15">
        <v>0.18</v>
      </c>
      <c r="AF25" s="15">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1195</v>
      </c>
      <c r="C3" s="18"/>
      <c r="D3" s="18"/>
      <c r="E3" s="18"/>
      <c r="F3" s="18"/>
      <c r="H3" s="18" t="s">
        <v>1196</v>
      </c>
      <c r="I3" s="18"/>
      <c r="J3" s="18"/>
      <c r="K3" s="18"/>
      <c r="L3" s="18"/>
    </row>
    <row r="4" spans="1:32" ht="27" customHeight="1" x14ac:dyDescent="0.35">
      <c r="B4" s="18" t="s">
        <v>1197</v>
      </c>
      <c r="C4" s="18"/>
      <c r="D4" s="18"/>
      <c r="E4" s="18"/>
      <c r="F4" s="18"/>
      <c r="H4" s="18" t="s">
        <v>1198</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HYPERLINK("#Content!A130","&lt;&lt;Back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9729</v>
      </c>
      <c r="D12" s="12">
        <v>363</v>
      </c>
      <c r="E12" s="12">
        <v>182</v>
      </c>
      <c r="F12" s="12">
        <v>383</v>
      </c>
      <c r="G12" s="12">
        <v>740</v>
      </c>
      <c r="H12" s="12">
        <v>530</v>
      </c>
      <c r="I12" s="12">
        <v>647</v>
      </c>
      <c r="J12" s="12">
        <v>117</v>
      </c>
      <c r="K12" s="12">
        <v>397</v>
      </c>
      <c r="L12" s="12">
        <v>500</v>
      </c>
      <c r="M12" s="12">
        <v>180</v>
      </c>
      <c r="N12" s="12">
        <v>444</v>
      </c>
      <c r="O12" s="12">
        <v>338</v>
      </c>
      <c r="P12" s="12">
        <v>302</v>
      </c>
      <c r="Q12" s="12">
        <v>267</v>
      </c>
      <c r="R12" s="12">
        <v>81</v>
      </c>
      <c r="S12" s="12">
        <v>463</v>
      </c>
      <c r="T12" s="12">
        <v>503</v>
      </c>
      <c r="U12" s="12">
        <v>234</v>
      </c>
      <c r="V12" s="12">
        <v>179</v>
      </c>
      <c r="W12" s="12">
        <v>171</v>
      </c>
      <c r="X12" s="12">
        <v>557</v>
      </c>
      <c r="Y12" s="12">
        <v>382</v>
      </c>
      <c r="Z12" s="12">
        <v>313</v>
      </c>
      <c r="AA12" s="12">
        <v>264</v>
      </c>
      <c r="AB12" s="12">
        <v>168</v>
      </c>
      <c r="AC12" s="12">
        <v>330</v>
      </c>
      <c r="AD12" s="12">
        <v>445</v>
      </c>
      <c r="AE12" s="12">
        <v>696</v>
      </c>
      <c r="AF12" s="12">
        <v>815</v>
      </c>
    </row>
    <row r="13" spans="1:32" x14ac:dyDescent="0.35">
      <c r="A13" s="19"/>
      <c r="B13" s="13" t="s">
        <v>761</v>
      </c>
      <c r="C13" s="15">
        <v>0.37</v>
      </c>
      <c r="D13" s="15">
        <v>0.36</v>
      </c>
      <c r="E13" s="15">
        <v>0.18</v>
      </c>
      <c r="F13" s="15">
        <v>0.35</v>
      </c>
      <c r="G13" s="15">
        <v>0.74</v>
      </c>
      <c r="H13" s="15">
        <v>0.43</v>
      </c>
      <c r="I13" s="15">
        <v>0.43</v>
      </c>
      <c r="J13" s="15">
        <v>0.4</v>
      </c>
      <c r="K13" s="15">
        <v>0.4</v>
      </c>
      <c r="L13" s="15">
        <v>0.5</v>
      </c>
      <c r="M13" s="15">
        <v>0.18</v>
      </c>
      <c r="N13" s="15">
        <v>0.44</v>
      </c>
      <c r="O13" s="15">
        <v>0.34</v>
      </c>
      <c r="P13" s="15">
        <v>0.3</v>
      </c>
      <c r="Q13" s="15">
        <v>0.26</v>
      </c>
      <c r="R13" s="15">
        <v>0.16</v>
      </c>
      <c r="S13" s="15">
        <v>0.46</v>
      </c>
      <c r="T13" s="15">
        <v>0.5</v>
      </c>
      <c r="U13" s="15">
        <v>0.46</v>
      </c>
      <c r="V13" s="15">
        <v>0.18</v>
      </c>
      <c r="W13" s="15">
        <v>0.34</v>
      </c>
      <c r="X13" s="15">
        <v>0.55000000000000004</v>
      </c>
      <c r="Y13" s="15">
        <v>0.38</v>
      </c>
      <c r="Z13" s="15">
        <v>0.3</v>
      </c>
      <c r="AA13" s="15">
        <v>0.25</v>
      </c>
      <c r="AB13" s="15">
        <v>0.16</v>
      </c>
      <c r="AC13" s="15">
        <v>0.33</v>
      </c>
      <c r="AD13" s="15">
        <v>0.44</v>
      </c>
      <c r="AE13" s="15">
        <v>0.69000000000000006</v>
      </c>
      <c r="AF13" s="15">
        <v>0.78</v>
      </c>
    </row>
    <row r="14" spans="1:32" x14ac:dyDescent="0.35">
      <c r="A14" s="19"/>
      <c r="B14" s="11" t="s">
        <v>762</v>
      </c>
      <c r="C14" s="12">
        <v>10627</v>
      </c>
      <c r="D14" s="12">
        <v>446</v>
      </c>
      <c r="E14" s="12">
        <v>344</v>
      </c>
      <c r="F14" s="12">
        <v>377</v>
      </c>
      <c r="G14" s="12">
        <v>187</v>
      </c>
      <c r="H14" s="12">
        <v>495</v>
      </c>
      <c r="I14" s="12">
        <v>597</v>
      </c>
      <c r="J14" s="12">
        <v>102</v>
      </c>
      <c r="K14" s="12">
        <v>314</v>
      </c>
      <c r="L14" s="12">
        <v>389</v>
      </c>
      <c r="M14" s="12">
        <v>441</v>
      </c>
      <c r="N14" s="12">
        <v>367</v>
      </c>
      <c r="O14" s="12">
        <v>409</v>
      </c>
      <c r="P14" s="12">
        <v>479</v>
      </c>
      <c r="Q14" s="12">
        <v>459</v>
      </c>
      <c r="R14" s="12">
        <v>134</v>
      </c>
      <c r="S14" s="12">
        <v>264</v>
      </c>
      <c r="T14" s="12">
        <v>337</v>
      </c>
      <c r="U14" s="12">
        <v>169</v>
      </c>
      <c r="V14" s="12">
        <v>482</v>
      </c>
      <c r="W14" s="12">
        <v>252</v>
      </c>
      <c r="X14" s="12">
        <v>264</v>
      </c>
      <c r="Y14" s="12">
        <v>303</v>
      </c>
      <c r="Z14" s="12">
        <v>533</v>
      </c>
      <c r="AA14" s="12">
        <v>689</v>
      </c>
      <c r="AB14" s="12">
        <v>447</v>
      </c>
      <c r="AC14" s="12">
        <v>413</v>
      </c>
      <c r="AD14" s="12">
        <v>374</v>
      </c>
      <c r="AE14" s="12">
        <v>240</v>
      </c>
      <c r="AF14" s="12">
        <v>167</v>
      </c>
    </row>
    <row r="15" spans="1:32" x14ac:dyDescent="0.35">
      <c r="A15" s="19"/>
      <c r="B15" s="13" t="s">
        <v>763</v>
      </c>
      <c r="C15" s="15">
        <v>0.4</v>
      </c>
      <c r="D15" s="15">
        <v>0.44</v>
      </c>
      <c r="E15" s="15">
        <v>0.33</v>
      </c>
      <c r="F15" s="15">
        <v>0.34</v>
      </c>
      <c r="G15" s="15">
        <v>0.19</v>
      </c>
      <c r="H15" s="15">
        <v>0.41</v>
      </c>
      <c r="I15" s="15">
        <v>0.39</v>
      </c>
      <c r="J15" s="15">
        <v>0.35</v>
      </c>
      <c r="K15" s="15">
        <v>0.31</v>
      </c>
      <c r="L15" s="15">
        <v>0.39</v>
      </c>
      <c r="M15" s="15">
        <v>0.44</v>
      </c>
      <c r="N15" s="15">
        <v>0.37</v>
      </c>
      <c r="O15" s="15">
        <v>0.41</v>
      </c>
      <c r="P15" s="15">
        <v>0.48</v>
      </c>
      <c r="Q15" s="15">
        <v>0.45</v>
      </c>
      <c r="R15" s="15">
        <v>0.27</v>
      </c>
      <c r="S15" s="15">
        <v>0.26</v>
      </c>
      <c r="T15" s="15">
        <v>0.33</v>
      </c>
      <c r="U15" s="15">
        <v>0.33</v>
      </c>
      <c r="V15" s="15">
        <v>0.47</v>
      </c>
      <c r="W15" s="15">
        <v>0.49</v>
      </c>
      <c r="X15" s="15">
        <v>0.26</v>
      </c>
      <c r="Y15" s="15">
        <v>0.3</v>
      </c>
      <c r="Z15" s="15">
        <v>0.52</v>
      </c>
      <c r="AA15" s="15">
        <v>0.67</v>
      </c>
      <c r="AB15" s="15">
        <v>0.43</v>
      </c>
      <c r="AC15" s="15">
        <v>0.41</v>
      </c>
      <c r="AD15" s="15">
        <v>0.37</v>
      </c>
      <c r="AE15" s="15">
        <v>0.24</v>
      </c>
      <c r="AF15" s="15">
        <v>0.16</v>
      </c>
    </row>
    <row r="16" spans="1:32" x14ac:dyDescent="0.35">
      <c r="A16" s="19"/>
      <c r="B16" s="11" t="s">
        <v>764</v>
      </c>
      <c r="C16" s="12">
        <v>3701</v>
      </c>
      <c r="D16" s="12">
        <v>127</v>
      </c>
      <c r="E16" s="12">
        <v>268</v>
      </c>
      <c r="F16" s="12">
        <v>220</v>
      </c>
      <c r="G16" s="12">
        <v>54</v>
      </c>
      <c r="H16" s="12">
        <v>132</v>
      </c>
      <c r="I16" s="12">
        <v>173</v>
      </c>
      <c r="J16" s="12">
        <v>41</v>
      </c>
      <c r="K16" s="12">
        <v>164</v>
      </c>
      <c r="L16" s="12">
        <v>49</v>
      </c>
      <c r="M16" s="12">
        <v>218</v>
      </c>
      <c r="N16" s="12">
        <v>105</v>
      </c>
      <c r="O16" s="12">
        <v>133</v>
      </c>
      <c r="P16" s="12">
        <v>173</v>
      </c>
      <c r="Q16" s="12">
        <v>195</v>
      </c>
      <c r="R16" s="12">
        <v>151</v>
      </c>
      <c r="S16" s="12">
        <v>139</v>
      </c>
      <c r="T16" s="12">
        <v>99</v>
      </c>
      <c r="U16" s="12">
        <v>69</v>
      </c>
      <c r="V16" s="12">
        <v>224</v>
      </c>
      <c r="W16" s="12">
        <v>55</v>
      </c>
      <c r="X16" s="12">
        <v>124</v>
      </c>
      <c r="Y16" s="12">
        <v>144</v>
      </c>
      <c r="Z16" s="12">
        <v>145</v>
      </c>
      <c r="AA16" s="12">
        <v>38</v>
      </c>
      <c r="AB16" s="12">
        <v>275</v>
      </c>
      <c r="AC16" s="12">
        <v>186</v>
      </c>
      <c r="AD16" s="12">
        <v>127</v>
      </c>
      <c r="AE16" s="12">
        <v>43</v>
      </c>
      <c r="AF16" s="12">
        <v>32</v>
      </c>
    </row>
    <row r="17" spans="1:32" x14ac:dyDescent="0.35">
      <c r="A17" s="19"/>
      <c r="B17" s="13" t="s">
        <v>765</v>
      </c>
      <c r="C17" s="15">
        <v>0.14000000000000001</v>
      </c>
      <c r="D17" s="15">
        <v>0.13</v>
      </c>
      <c r="E17" s="15">
        <v>0.26</v>
      </c>
      <c r="F17" s="15">
        <v>0.2</v>
      </c>
      <c r="G17" s="15">
        <v>0.05</v>
      </c>
      <c r="H17" s="15">
        <v>0.11</v>
      </c>
      <c r="I17" s="15">
        <v>0.12</v>
      </c>
      <c r="J17" s="15">
        <v>0.14000000000000001</v>
      </c>
      <c r="K17" s="15">
        <v>0.16</v>
      </c>
      <c r="L17" s="15">
        <v>0.05</v>
      </c>
      <c r="M17" s="15">
        <v>0.21</v>
      </c>
      <c r="N17" s="15">
        <v>0.1</v>
      </c>
      <c r="O17" s="15">
        <v>0.13</v>
      </c>
      <c r="P17" s="15">
        <v>0.17</v>
      </c>
      <c r="Q17" s="15">
        <v>0.19</v>
      </c>
      <c r="R17" s="15">
        <v>0.3</v>
      </c>
      <c r="S17" s="15">
        <v>0.14000000000000001</v>
      </c>
      <c r="T17" s="15">
        <v>0.1</v>
      </c>
      <c r="U17" s="15">
        <v>0.14000000000000001</v>
      </c>
      <c r="V17" s="15">
        <v>0.22</v>
      </c>
      <c r="W17" s="15">
        <v>0.11</v>
      </c>
      <c r="X17" s="15">
        <v>0.12</v>
      </c>
      <c r="Y17" s="15">
        <v>0.15</v>
      </c>
      <c r="Z17" s="15">
        <v>0.14000000000000001</v>
      </c>
      <c r="AA17" s="15">
        <v>0.04</v>
      </c>
      <c r="AB17" s="15">
        <v>0.26</v>
      </c>
      <c r="AC17" s="15">
        <v>0.19</v>
      </c>
      <c r="AD17" s="15">
        <v>0.13</v>
      </c>
      <c r="AE17" s="15">
        <v>0.04</v>
      </c>
      <c r="AF17" s="15">
        <v>0.03</v>
      </c>
    </row>
    <row r="18" spans="1:32" x14ac:dyDescent="0.35">
      <c r="A18" s="19"/>
      <c r="B18" s="11" t="s">
        <v>766</v>
      </c>
      <c r="C18" s="12">
        <v>1637</v>
      </c>
      <c r="D18" s="12">
        <v>54</v>
      </c>
      <c r="E18" s="12">
        <v>150</v>
      </c>
      <c r="F18" s="12">
        <v>91</v>
      </c>
      <c r="G18" s="12">
        <v>15</v>
      </c>
      <c r="H18" s="12">
        <v>36</v>
      </c>
      <c r="I18" s="12">
        <v>64</v>
      </c>
      <c r="J18" s="12">
        <v>28</v>
      </c>
      <c r="K18" s="12">
        <v>79</v>
      </c>
      <c r="L18" s="12">
        <v>26</v>
      </c>
      <c r="M18" s="12">
        <v>132</v>
      </c>
      <c r="N18" s="12">
        <v>48</v>
      </c>
      <c r="O18" s="12">
        <v>82</v>
      </c>
      <c r="P18" s="12">
        <v>25</v>
      </c>
      <c r="Q18" s="12">
        <v>93</v>
      </c>
      <c r="R18" s="12">
        <v>116</v>
      </c>
      <c r="S18" s="12">
        <v>66</v>
      </c>
      <c r="T18" s="12">
        <v>26</v>
      </c>
      <c r="U18" s="12">
        <v>23</v>
      </c>
      <c r="V18" s="12">
        <v>107</v>
      </c>
      <c r="W18" s="12">
        <v>21</v>
      </c>
      <c r="X18" s="12">
        <v>45</v>
      </c>
      <c r="Y18" s="12">
        <v>121</v>
      </c>
      <c r="Z18" s="12">
        <v>25</v>
      </c>
      <c r="AA18" s="12">
        <v>3</v>
      </c>
      <c r="AB18" s="12">
        <v>93</v>
      </c>
      <c r="AC18" s="12">
        <v>60</v>
      </c>
      <c r="AD18" s="12">
        <v>49</v>
      </c>
      <c r="AE18" s="12">
        <v>16</v>
      </c>
      <c r="AF18" s="12">
        <v>24</v>
      </c>
    </row>
    <row r="19" spans="1:32" x14ac:dyDescent="0.35">
      <c r="A19" s="19"/>
      <c r="B19" s="13" t="s">
        <v>767</v>
      </c>
      <c r="C19" s="15">
        <v>0.06</v>
      </c>
      <c r="D19" s="15">
        <v>0.05</v>
      </c>
      <c r="E19" s="15">
        <v>0.15</v>
      </c>
      <c r="F19" s="15">
        <v>0.08</v>
      </c>
      <c r="G19" s="15">
        <v>0.01</v>
      </c>
      <c r="H19" s="15">
        <v>0.03</v>
      </c>
      <c r="I19" s="15">
        <v>0.04</v>
      </c>
      <c r="J19" s="15">
        <v>0.09</v>
      </c>
      <c r="K19" s="15">
        <v>0.08</v>
      </c>
      <c r="L19" s="15">
        <v>0.02</v>
      </c>
      <c r="M19" s="15">
        <v>0.13</v>
      </c>
      <c r="N19" s="15">
        <v>0.05</v>
      </c>
      <c r="O19" s="15">
        <v>0.08</v>
      </c>
      <c r="P19" s="15">
        <v>0.03</v>
      </c>
      <c r="Q19" s="15">
        <v>0.09</v>
      </c>
      <c r="R19" s="15">
        <v>0.23</v>
      </c>
      <c r="S19" s="15">
        <v>7.0000000000000007E-2</v>
      </c>
      <c r="T19" s="15">
        <v>0.03</v>
      </c>
      <c r="U19" s="15">
        <v>0.05</v>
      </c>
      <c r="V19" s="15">
        <v>0.11</v>
      </c>
      <c r="W19" s="15">
        <v>0.04</v>
      </c>
      <c r="X19" s="15">
        <v>0.05</v>
      </c>
      <c r="Y19" s="15">
        <v>0.12</v>
      </c>
      <c r="Z19" s="15">
        <v>0.03</v>
      </c>
      <c r="AA19" s="14" t="s">
        <v>475</v>
      </c>
      <c r="AB19" s="15">
        <v>0.09</v>
      </c>
      <c r="AC19" s="15">
        <v>0.06</v>
      </c>
      <c r="AD19" s="15">
        <v>0.05</v>
      </c>
      <c r="AE19" s="15">
        <v>0.01</v>
      </c>
      <c r="AF19" s="15">
        <v>0.02</v>
      </c>
    </row>
    <row r="20" spans="1:32" x14ac:dyDescent="0.35">
      <c r="A20" s="19"/>
      <c r="B20" s="11" t="s">
        <v>485</v>
      </c>
      <c r="C20" s="12">
        <v>752</v>
      </c>
      <c r="D20" s="12">
        <v>24</v>
      </c>
      <c r="E20" s="12">
        <v>86</v>
      </c>
      <c r="F20" s="12">
        <v>30</v>
      </c>
      <c r="G20" s="12">
        <v>10</v>
      </c>
      <c r="H20" s="12">
        <v>28</v>
      </c>
      <c r="I20" s="12">
        <v>36</v>
      </c>
      <c r="J20" s="12">
        <v>8</v>
      </c>
      <c r="K20" s="12">
        <v>48</v>
      </c>
      <c r="L20" s="12">
        <v>39</v>
      </c>
      <c r="M20" s="12">
        <v>39</v>
      </c>
      <c r="N20" s="12">
        <v>38</v>
      </c>
      <c r="O20" s="12">
        <v>38</v>
      </c>
      <c r="P20" s="12">
        <v>24</v>
      </c>
      <c r="Q20" s="12">
        <v>12</v>
      </c>
      <c r="R20" s="12">
        <v>22</v>
      </c>
      <c r="S20" s="12">
        <v>69</v>
      </c>
      <c r="T20" s="12">
        <v>42</v>
      </c>
      <c r="U20" s="12">
        <v>10</v>
      </c>
      <c r="V20" s="12">
        <v>23</v>
      </c>
      <c r="W20" s="12">
        <v>10</v>
      </c>
      <c r="X20" s="12">
        <v>19</v>
      </c>
      <c r="Y20" s="12">
        <v>53</v>
      </c>
      <c r="Z20" s="12">
        <v>15</v>
      </c>
      <c r="AA20" s="12">
        <v>39</v>
      </c>
      <c r="AB20" s="12">
        <v>67</v>
      </c>
      <c r="AC20" s="12">
        <v>14</v>
      </c>
      <c r="AD20" s="12">
        <v>10</v>
      </c>
      <c r="AE20" s="12">
        <v>17</v>
      </c>
      <c r="AF20" s="12">
        <v>4</v>
      </c>
    </row>
    <row r="21" spans="1:32" x14ac:dyDescent="0.35">
      <c r="A21" s="19"/>
      <c r="B21" s="13" t="s">
        <v>486</v>
      </c>
      <c r="C21" s="15">
        <v>0.03</v>
      </c>
      <c r="D21" s="15">
        <v>0.02</v>
      </c>
      <c r="E21" s="15">
        <v>0.08</v>
      </c>
      <c r="F21" s="15">
        <v>0.03</v>
      </c>
      <c r="G21" s="15">
        <v>0.01</v>
      </c>
      <c r="H21" s="15">
        <v>0.02</v>
      </c>
      <c r="I21" s="15">
        <v>0.02</v>
      </c>
      <c r="J21" s="15">
        <v>0.02</v>
      </c>
      <c r="K21" s="15">
        <v>0.05</v>
      </c>
      <c r="L21" s="15">
        <v>0.04</v>
      </c>
      <c r="M21" s="15">
        <v>0.04</v>
      </c>
      <c r="N21" s="15">
        <v>0.04</v>
      </c>
      <c r="O21" s="15">
        <v>0.04</v>
      </c>
      <c r="P21" s="15">
        <v>0.02</v>
      </c>
      <c r="Q21" s="15">
        <v>0.01</v>
      </c>
      <c r="R21" s="15">
        <v>0.04</v>
      </c>
      <c r="S21" s="15">
        <v>7.0000000000000007E-2</v>
      </c>
      <c r="T21" s="15">
        <v>0.04</v>
      </c>
      <c r="U21" s="15">
        <v>0.02</v>
      </c>
      <c r="V21" s="15">
        <v>0.02</v>
      </c>
      <c r="W21" s="15">
        <v>0.02</v>
      </c>
      <c r="X21" s="15">
        <v>0.02</v>
      </c>
      <c r="Y21" s="15">
        <v>0.05</v>
      </c>
      <c r="Z21" s="15">
        <v>0.01</v>
      </c>
      <c r="AA21" s="15">
        <v>0.04</v>
      </c>
      <c r="AB21" s="15">
        <v>0.06</v>
      </c>
      <c r="AC21" s="15">
        <v>0.01</v>
      </c>
      <c r="AD21" s="15">
        <v>0.01</v>
      </c>
      <c r="AE21" s="15">
        <v>0.02</v>
      </c>
      <c r="AF21" s="15">
        <v>0.01</v>
      </c>
    </row>
    <row r="22" spans="1:32" x14ac:dyDescent="0.35">
      <c r="A22" s="19"/>
      <c r="B22" s="11" t="s">
        <v>768</v>
      </c>
      <c r="C22" s="12">
        <v>20356</v>
      </c>
      <c r="D22" s="12">
        <v>809</v>
      </c>
      <c r="E22" s="12">
        <v>526</v>
      </c>
      <c r="F22" s="12">
        <v>760</v>
      </c>
      <c r="G22" s="12">
        <v>927</v>
      </c>
      <c r="H22" s="12">
        <v>1025</v>
      </c>
      <c r="I22" s="12">
        <v>1244</v>
      </c>
      <c r="J22" s="12">
        <v>219</v>
      </c>
      <c r="K22" s="12">
        <v>711</v>
      </c>
      <c r="L22" s="12">
        <v>889</v>
      </c>
      <c r="M22" s="12">
        <v>621</v>
      </c>
      <c r="N22" s="12">
        <v>811</v>
      </c>
      <c r="O22" s="12">
        <v>747</v>
      </c>
      <c r="P22" s="12">
        <v>781</v>
      </c>
      <c r="Q22" s="12">
        <v>726</v>
      </c>
      <c r="R22" s="12">
        <v>215</v>
      </c>
      <c r="S22" s="12">
        <v>727</v>
      </c>
      <c r="T22" s="12">
        <v>840</v>
      </c>
      <c r="U22" s="12">
        <v>403</v>
      </c>
      <c r="V22" s="12">
        <v>661</v>
      </c>
      <c r="W22" s="12">
        <v>423</v>
      </c>
      <c r="X22" s="12">
        <v>821</v>
      </c>
      <c r="Y22" s="12">
        <v>685</v>
      </c>
      <c r="Z22" s="12">
        <v>846</v>
      </c>
      <c r="AA22" s="12">
        <v>953</v>
      </c>
      <c r="AB22" s="12">
        <v>615</v>
      </c>
      <c r="AC22" s="12">
        <v>743</v>
      </c>
      <c r="AD22" s="12">
        <v>819</v>
      </c>
      <c r="AE22" s="12">
        <v>936</v>
      </c>
      <c r="AF22" s="12">
        <v>982</v>
      </c>
    </row>
    <row r="23" spans="1:32" x14ac:dyDescent="0.35">
      <c r="A23" s="19"/>
      <c r="B23" s="13" t="s">
        <v>769</v>
      </c>
      <c r="C23" s="15">
        <v>0.77</v>
      </c>
      <c r="D23" s="15">
        <v>0.8</v>
      </c>
      <c r="E23" s="15">
        <v>0.51</v>
      </c>
      <c r="F23" s="15">
        <v>0.69000000000000006</v>
      </c>
      <c r="G23" s="15">
        <v>0.93</v>
      </c>
      <c r="H23" s="15">
        <v>0.84</v>
      </c>
      <c r="I23" s="15">
        <v>0.82000000000000006</v>
      </c>
      <c r="J23" s="15">
        <v>0.75</v>
      </c>
      <c r="K23" s="15">
        <v>0.71</v>
      </c>
      <c r="L23" s="15">
        <v>0.89</v>
      </c>
      <c r="M23" s="15">
        <v>0.62</v>
      </c>
      <c r="N23" s="15">
        <v>0.81</v>
      </c>
      <c r="O23" s="15">
        <v>0.75</v>
      </c>
      <c r="P23" s="15">
        <v>0.78</v>
      </c>
      <c r="Q23" s="15">
        <v>0.71</v>
      </c>
      <c r="R23" s="15">
        <v>0.43</v>
      </c>
      <c r="S23" s="15">
        <v>0.72</v>
      </c>
      <c r="T23" s="15">
        <v>0.83000000000000007</v>
      </c>
      <c r="U23" s="15">
        <v>0.79</v>
      </c>
      <c r="V23" s="15">
        <v>0.65</v>
      </c>
      <c r="W23" s="15">
        <v>0.83000000000000007</v>
      </c>
      <c r="X23" s="15">
        <v>0.81</v>
      </c>
      <c r="Y23" s="15">
        <v>0.68</v>
      </c>
      <c r="Z23" s="15">
        <v>0.82000000000000006</v>
      </c>
      <c r="AA23" s="15">
        <v>0.92</v>
      </c>
      <c r="AB23" s="15">
        <v>0.59</v>
      </c>
      <c r="AC23" s="15">
        <v>0.74</v>
      </c>
      <c r="AD23" s="15">
        <v>0.81</v>
      </c>
      <c r="AE23" s="15">
        <v>0.93</v>
      </c>
      <c r="AF23" s="15">
        <v>0.94000000000000006</v>
      </c>
    </row>
    <row r="24" spans="1:32" x14ac:dyDescent="0.35">
      <c r="A24" s="19"/>
      <c r="B24" s="11" t="s">
        <v>770</v>
      </c>
      <c r="C24" s="12">
        <v>5338</v>
      </c>
      <c r="D24" s="12">
        <v>181</v>
      </c>
      <c r="E24" s="12">
        <v>418</v>
      </c>
      <c r="F24" s="12">
        <v>311</v>
      </c>
      <c r="G24" s="12">
        <v>69</v>
      </c>
      <c r="H24" s="12">
        <v>168</v>
      </c>
      <c r="I24" s="12">
        <v>237</v>
      </c>
      <c r="J24" s="12">
        <v>69</v>
      </c>
      <c r="K24" s="12">
        <v>243</v>
      </c>
      <c r="L24" s="12">
        <v>75</v>
      </c>
      <c r="M24" s="12">
        <v>350</v>
      </c>
      <c r="N24" s="12">
        <v>153</v>
      </c>
      <c r="O24" s="12">
        <v>215</v>
      </c>
      <c r="P24" s="12">
        <v>198</v>
      </c>
      <c r="Q24" s="12">
        <v>288</v>
      </c>
      <c r="R24" s="12">
        <v>267</v>
      </c>
      <c r="S24" s="12">
        <v>205</v>
      </c>
      <c r="T24" s="12">
        <v>125</v>
      </c>
      <c r="U24" s="12">
        <v>92</v>
      </c>
      <c r="V24" s="12">
        <v>331</v>
      </c>
      <c r="W24" s="12">
        <v>76</v>
      </c>
      <c r="X24" s="12">
        <v>169</v>
      </c>
      <c r="Y24" s="12">
        <v>265</v>
      </c>
      <c r="Z24" s="12">
        <v>170</v>
      </c>
      <c r="AA24" s="12">
        <v>41</v>
      </c>
      <c r="AB24" s="12">
        <v>368</v>
      </c>
      <c r="AC24" s="12">
        <v>246</v>
      </c>
      <c r="AD24" s="12">
        <v>176</v>
      </c>
      <c r="AE24" s="12">
        <v>59</v>
      </c>
      <c r="AF24" s="12">
        <v>56</v>
      </c>
    </row>
    <row r="25" spans="1:32" x14ac:dyDescent="0.35">
      <c r="A25" s="19"/>
      <c r="B25" s="13" t="s">
        <v>771</v>
      </c>
      <c r="C25" s="15">
        <v>0.2</v>
      </c>
      <c r="D25" s="15">
        <v>0.18</v>
      </c>
      <c r="E25" s="15">
        <v>0.41</v>
      </c>
      <c r="F25" s="15">
        <v>0.28000000000000003</v>
      </c>
      <c r="G25" s="15">
        <v>0.06</v>
      </c>
      <c r="H25" s="15">
        <v>0.14000000000000001</v>
      </c>
      <c r="I25" s="15">
        <v>0.16</v>
      </c>
      <c r="J25" s="15">
        <v>0.23</v>
      </c>
      <c r="K25" s="15">
        <v>0.24</v>
      </c>
      <c r="L25" s="15">
        <v>7.0000000000000007E-2</v>
      </c>
      <c r="M25" s="15">
        <v>0.34</v>
      </c>
      <c r="N25" s="15">
        <v>0.15</v>
      </c>
      <c r="O25" s="15">
        <v>0.21</v>
      </c>
      <c r="P25" s="15">
        <v>0.2</v>
      </c>
      <c r="Q25" s="15">
        <v>0.28000000000000003</v>
      </c>
      <c r="R25" s="15">
        <v>0.53</v>
      </c>
      <c r="S25" s="15">
        <v>0.21</v>
      </c>
      <c r="T25" s="15">
        <v>0.13</v>
      </c>
      <c r="U25" s="15">
        <v>0.19</v>
      </c>
      <c r="V25" s="15">
        <v>0.33</v>
      </c>
      <c r="W25" s="15">
        <v>0.15</v>
      </c>
      <c r="X25" s="15">
        <v>0.17</v>
      </c>
      <c r="Y25" s="15">
        <v>0.27</v>
      </c>
      <c r="Z25" s="15">
        <v>0.17</v>
      </c>
      <c r="AA25" s="15">
        <v>0.04</v>
      </c>
      <c r="AB25" s="15">
        <v>0.35</v>
      </c>
      <c r="AC25" s="15">
        <v>0.25</v>
      </c>
      <c r="AD25" s="15">
        <v>0.18</v>
      </c>
      <c r="AE25" s="15">
        <v>0.05</v>
      </c>
      <c r="AF25" s="15">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1199</v>
      </c>
      <c r="C3" s="18"/>
      <c r="D3" s="18"/>
      <c r="E3" s="18"/>
      <c r="F3" s="18"/>
      <c r="H3" s="18" t="s">
        <v>1200</v>
      </c>
      <c r="I3" s="18"/>
      <c r="J3" s="18"/>
      <c r="K3" s="18"/>
      <c r="L3" s="18"/>
    </row>
    <row r="4" spans="1:43" ht="27" customHeight="1" x14ac:dyDescent="0.35">
      <c r="B4" s="18" t="s">
        <v>1201</v>
      </c>
      <c r="C4" s="18"/>
      <c r="D4" s="18"/>
      <c r="E4" s="18"/>
      <c r="F4" s="18"/>
      <c r="H4" s="18" t="s">
        <v>1202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HYPERLINK("#Content!A131","&lt;&lt;Back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8671</v>
      </c>
      <c r="D12" s="12">
        <v>282</v>
      </c>
      <c r="E12" s="12">
        <v>162</v>
      </c>
      <c r="F12" s="12">
        <v>395</v>
      </c>
      <c r="G12" s="12">
        <v>561</v>
      </c>
      <c r="H12" s="12">
        <v>485</v>
      </c>
      <c r="I12" s="12">
        <v>591</v>
      </c>
      <c r="J12" s="12">
        <v>106</v>
      </c>
      <c r="K12" s="12">
        <v>406</v>
      </c>
      <c r="L12" s="12">
        <v>365</v>
      </c>
      <c r="M12" s="12">
        <v>149</v>
      </c>
      <c r="N12" s="12">
        <v>381</v>
      </c>
      <c r="O12" s="12">
        <v>298</v>
      </c>
      <c r="P12" s="12">
        <v>258</v>
      </c>
      <c r="Q12" s="12">
        <v>251</v>
      </c>
      <c r="R12" s="12">
        <v>33</v>
      </c>
      <c r="S12" s="12">
        <v>488</v>
      </c>
      <c r="T12" s="12">
        <v>535</v>
      </c>
      <c r="U12" s="12">
        <v>167</v>
      </c>
      <c r="V12" s="12">
        <v>197</v>
      </c>
      <c r="W12" s="12">
        <v>74</v>
      </c>
      <c r="X12" s="12">
        <v>373</v>
      </c>
      <c r="Y12" s="12">
        <v>295</v>
      </c>
      <c r="Z12" s="12">
        <v>380</v>
      </c>
      <c r="AA12" s="12">
        <v>207</v>
      </c>
      <c r="AB12" s="12">
        <v>187</v>
      </c>
      <c r="AC12" s="12">
        <v>234</v>
      </c>
      <c r="AD12" s="12">
        <v>437</v>
      </c>
      <c r="AE12" s="12">
        <v>552</v>
      </c>
      <c r="AF12" s="12">
        <v>612</v>
      </c>
      <c r="AG12" s="12">
        <v>277</v>
      </c>
      <c r="AH12" s="12">
        <v>110</v>
      </c>
      <c r="AI12" s="12">
        <v>66</v>
      </c>
      <c r="AJ12" s="12">
        <v>95</v>
      </c>
      <c r="AK12" s="12">
        <v>223</v>
      </c>
      <c r="AL12" s="12">
        <v>339</v>
      </c>
      <c r="AM12" s="12">
        <v>312</v>
      </c>
      <c r="AN12" s="12">
        <v>86</v>
      </c>
      <c r="AO12" s="12">
        <v>481</v>
      </c>
      <c r="AP12" s="12">
        <v>73</v>
      </c>
      <c r="AQ12" s="12">
        <v>370</v>
      </c>
    </row>
    <row r="13" spans="1:43" x14ac:dyDescent="0.35">
      <c r="A13" s="19"/>
      <c r="B13" s="13" t="s">
        <v>761</v>
      </c>
      <c r="C13" s="15">
        <v>0.33</v>
      </c>
      <c r="D13" s="15">
        <v>0.28000000000000003</v>
      </c>
      <c r="E13" s="15">
        <v>0.16</v>
      </c>
      <c r="F13" s="15">
        <v>0.36</v>
      </c>
      <c r="G13" s="15">
        <v>0.56000000000000005</v>
      </c>
      <c r="H13" s="15">
        <v>0.4</v>
      </c>
      <c r="I13" s="15">
        <v>0.39</v>
      </c>
      <c r="J13" s="15">
        <v>0.36</v>
      </c>
      <c r="K13" s="15">
        <v>0.4</v>
      </c>
      <c r="L13" s="15">
        <v>0.36</v>
      </c>
      <c r="M13" s="15">
        <v>0.15</v>
      </c>
      <c r="N13" s="15">
        <v>0.38</v>
      </c>
      <c r="O13" s="15">
        <v>0.3</v>
      </c>
      <c r="P13" s="15">
        <v>0.26</v>
      </c>
      <c r="Q13" s="15">
        <v>0.25</v>
      </c>
      <c r="R13" s="15">
        <v>0.06</v>
      </c>
      <c r="S13" s="15">
        <v>0.49</v>
      </c>
      <c r="T13" s="15">
        <v>0.53</v>
      </c>
      <c r="U13" s="15">
        <v>0.33</v>
      </c>
      <c r="V13" s="15">
        <v>0.19</v>
      </c>
      <c r="W13" s="15">
        <v>0.14000000000000001</v>
      </c>
      <c r="X13" s="15">
        <v>0.37</v>
      </c>
      <c r="Y13" s="15">
        <v>0.28999999999999998</v>
      </c>
      <c r="Z13" s="15">
        <v>0.37</v>
      </c>
      <c r="AA13" s="15">
        <v>0.2</v>
      </c>
      <c r="AB13" s="15">
        <v>0.18</v>
      </c>
      <c r="AC13" s="15">
        <v>0.23</v>
      </c>
      <c r="AD13" s="15">
        <v>0.43</v>
      </c>
      <c r="AE13" s="15">
        <v>0.55000000000000004</v>
      </c>
      <c r="AF13" s="15">
        <v>0.59</v>
      </c>
      <c r="AG13" s="15">
        <v>0.27</v>
      </c>
      <c r="AH13" s="15">
        <v>0.11</v>
      </c>
      <c r="AI13" s="15">
        <v>0.13</v>
      </c>
      <c r="AJ13" s="15">
        <v>0.09</v>
      </c>
      <c r="AK13" s="15">
        <v>0.22</v>
      </c>
      <c r="AL13" s="15">
        <v>0.33</v>
      </c>
      <c r="AM13" s="15">
        <v>0.3</v>
      </c>
      <c r="AN13" s="15">
        <v>0.09</v>
      </c>
      <c r="AO13" s="15">
        <v>0.48</v>
      </c>
      <c r="AP13" s="15">
        <v>0.14000000000000001</v>
      </c>
      <c r="AQ13" s="15">
        <v>0.37</v>
      </c>
    </row>
    <row r="14" spans="1:43" x14ac:dyDescent="0.35">
      <c r="A14" s="19"/>
      <c r="B14" s="11" t="s">
        <v>762</v>
      </c>
      <c r="C14" s="12">
        <v>10631</v>
      </c>
      <c r="D14" s="12">
        <v>451</v>
      </c>
      <c r="E14" s="12">
        <v>319</v>
      </c>
      <c r="F14" s="12">
        <v>312</v>
      </c>
      <c r="G14" s="12">
        <v>297</v>
      </c>
      <c r="H14" s="12">
        <v>486</v>
      </c>
      <c r="I14" s="12">
        <v>579</v>
      </c>
      <c r="J14" s="12">
        <v>93</v>
      </c>
      <c r="K14" s="12">
        <v>300</v>
      </c>
      <c r="L14" s="12">
        <v>331</v>
      </c>
      <c r="M14" s="12">
        <v>433</v>
      </c>
      <c r="N14" s="12">
        <v>349</v>
      </c>
      <c r="O14" s="12">
        <v>405</v>
      </c>
      <c r="P14" s="12">
        <v>474</v>
      </c>
      <c r="Q14" s="12">
        <v>464</v>
      </c>
      <c r="R14" s="12">
        <v>90</v>
      </c>
      <c r="S14" s="12">
        <v>237</v>
      </c>
      <c r="T14" s="12">
        <v>298</v>
      </c>
      <c r="U14" s="12">
        <v>180</v>
      </c>
      <c r="V14" s="12">
        <v>454</v>
      </c>
      <c r="W14" s="12">
        <v>260</v>
      </c>
      <c r="X14" s="12">
        <v>386</v>
      </c>
      <c r="Y14" s="12">
        <v>328</v>
      </c>
      <c r="Z14" s="12">
        <v>496</v>
      </c>
      <c r="AA14" s="12">
        <v>708</v>
      </c>
      <c r="AB14" s="12">
        <v>441</v>
      </c>
      <c r="AC14" s="12">
        <v>419</v>
      </c>
      <c r="AD14" s="12">
        <v>357</v>
      </c>
      <c r="AE14" s="12">
        <v>346</v>
      </c>
      <c r="AF14" s="12">
        <v>297</v>
      </c>
      <c r="AG14" s="12">
        <v>394</v>
      </c>
      <c r="AH14" s="12">
        <v>342</v>
      </c>
      <c r="AI14" s="12">
        <v>118</v>
      </c>
      <c r="AJ14" s="12">
        <v>246</v>
      </c>
      <c r="AK14" s="12">
        <v>458</v>
      </c>
      <c r="AL14" s="12">
        <v>223</v>
      </c>
      <c r="AM14" s="12">
        <v>445</v>
      </c>
      <c r="AN14" s="12">
        <v>355</v>
      </c>
      <c r="AO14" s="12">
        <v>313</v>
      </c>
      <c r="AP14" s="12">
        <v>111</v>
      </c>
      <c r="AQ14" s="12">
        <v>303</v>
      </c>
    </row>
    <row r="15" spans="1:43" x14ac:dyDescent="0.35">
      <c r="A15" s="19"/>
      <c r="B15" s="13" t="s">
        <v>763</v>
      </c>
      <c r="C15" s="15">
        <v>0.4</v>
      </c>
      <c r="D15" s="15">
        <v>0.44</v>
      </c>
      <c r="E15" s="15">
        <v>0.31</v>
      </c>
      <c r="F15" s="15">
        <v>0.28000000000000003</v>
      </c>
      <c r="G15" s="15">
        <v>0.28999999999999998</v>
      </c>
      <c r="H15" s="15">
        <v>0.4</v>
      </c>
      <c r="I15" s="15">
        <v>0.38</v>
      </c>
      <c r="J15" s="15">
        <v>0.32</v>
      </c>
      <c r="K15" s="15">
        <v>0.3</v>
      </c>
      <c r="L15" s="15">
        <v>0.33</v>
      </c>
      <c r="M15" s="15">
        <v>0.43</v>
      </c>
      <c r="N15" s="15">
        <v>0.35</v>
      </c>
      <c r="O15" s="15">
        <v>0.41</v>
      </c>
      <c r="P15" s="15">
        <v>0.47</v>
      </c>
      <c r="Q15" s="15">
        <v>0.45</v>
      </c>
      <c r="R15" s="15">
        <v>0.18</v>
      </c>
      <c r="S15" s="15">
        <v>0.23</v>
      </c>
      <c r="T15" s="15">
        <v>0.3</v>
      </c>
      <c r="U15" s="15">
        <v>0.36</v>
      </c>
      <c r="V15" s="15">
        <v>0.45</v>
      </c>
      <c r="W15" s="15">
        <v>0.51</v>
      </c>
      <c r="X15" s="15">
        <v>0.38</v>
      </c>
      <c r="Y15" s="15">
        <v>0.33</v>
      </c>
      <c r="Z15" s="15">
        <v>0.48</v>
      </c>
      <c r="AA15" s="15">
        <v>0.68</v>
      </c>
      <c r="AB15" s="15">
        <v>0.42</v>
      </c>
      <c r="AC15" s="15">
        <v>0.42</v>
      </c>
      <c r="AD15" s="15">
        <v>0.36</v>
      </c>
      <c r="AE15" s="15">
        <v>0.34</v>
      </c>
      <c r="AF15" s="15">
        <v>0.28000000000000003</v>
      </c>
      <c r="AG15" s="15">
        <v>0.38</v>
      </c>
      <c r="AH15" s="15">
        <v>0.34</v>
      </c>
      <c r="AI15" s="15">
        <v>0.22</v>
      </c>
      <c r="AJ15" s="15">
        <v>0.24</v>
      </c>
      <c r="AK15" s="15">
        <v>0.46</v>
      </c>
      <c r="AL15" s="15">
        <v>0.22</v>
      </c>
      <c r="AM15" s="15">
        <v>0.43</v>
      </c>
      <c r="AN15" s="15">
        <v>0.35</v>
      </c>
      <c r="AO15" s="15">
        <v>0.31</v>
      </c>
      <c r="AP15" s="15">
        <v>0.21</v>
      </c>
      <c r="AQ15" s="15">
        <v>0.3</v>
      </c>
    </row>
    <row r="16" spans="1:43" x14ac:dyDescent="0.35">
      <c r="A16" s="19"/>
      <c r="B16" s="11" t="s">
        <v>764</v>
      </c>
      <c r="C16" s="12">
        <v>4250</v>
      </c>
      <c r="D16" s="12">
        <v>193</v>
      </c>
      <c r="E16" s="12">
        <v>267</v>
      </c>
      <c r="F16" s="12">
        <v>265</v>
      </c>
      <c r="G16" s="12">
        <v>101</v>
      </c>
      <c r="H16" s="12">
        <v>160</v>
      </c>
      <c r="I16" s="12">
        <v>210</v>
      </c>
      <c r="J16" s="12">
        <v>50</v>
      </c>
      <c r="K16" s="12">
        <v>167</v>
      </c>
      <c r="L16" s="12">
        <v>196</v>
      </c>
      <c r="M16" s="12">
        <v>250</v>
      </c>
      <c r="N16" s="12">
        <v>164</v>
      </c>
      <c r="O16" s="12">
        <v>153</v>
      </c>
      <c r="P16" s="12">
        <v>187</v>
      </c>
      <c r="Q16" s="12">
        <v>185</v>
      </c>
      <c r="R16" s="12">
        <v>172</v>
      </c>
      <c r="S16" s="12">
        <v>141</v>
      </c>
      <c r="T16" s="12">
        <v>103</v>
      </c>
      <c r="U16" s="12">
        <v>101</v>
      </c>
      <c r="V16" s="12">
        <v>229</v>
      </c>
      <c r="W16" s="12">
        <v>110</v>
      </c>
      <c r="X16" s="12">
        <v>166</v>
      </c>
      <c r="Y16" s="12">
        <v>166</v>
      </c>
      <c r="Z16" s="12">
        <v>119</v>
      </c>
      <c r="AA16" s="12">
        <v>71</v>
      </c>
      <c r="AB16" s="12">
        <v>260</v>
      </c>
      <c r="AC16" s="12">
        <v>248</v>
      </c>
      <c r="AD16" s="12">
        <v>154</v>
      </c>
      <c r="AE16" s="12">
        <v>66</v>
      </c>
      <c r="AF16" s="12">
        <v>69</v>
      </c>
      <c r="AG16" s="12">
        <v>271</v>
      </c>
      <c r="AH16" s="12">
        <v>266</v>
      </c>
      <c r="AI16" s="12">
        <v>109</v>
      </c>
      <c r="AJ16" s="12">
        <v>381</v>
      </c>
      <c r="AK16" s="12">
        <v>214</v>
      </c>
      <c r="AL16" s="12">
        <v>153</v>
      </c>
      <c r="AM16" s="12">
        <v>148</v>
      </c>
      <c r="AN16" s="12">
        <v>348</v>
      </c>
      <c r="AO16" s="12">
        <v>66</v>
      </c>
      <c r="AP16" s="12">
        <v>157</v>
      </c>
      <c r="AQ16" s="12">
        <v>100</v>
      </c>
    </row>
    <row r="17" spans="1:43" x14ac:dyDescent="0.35">
      <c r="A17" s="19"/>
      <c r="B17" s="13" t="s">
        <v>765</v>
      </c>
      <c r="C17" s="15">
        <v>0.16</v>
      </c>
      <c r="D17" s="15">
        <v>0.19</v>
      </c>
      <c r="E17" s="15">
        <v>0.26</v>
      </c>
      <c r="F17" s="15">
        <v>0.24</v>
      </c>
      <c r="G17" s="15">
        <v>0.1</v>
      </c>
      <c r="H17" s="15">
        <v>0.13</v>
      </c>
      <c r="I17" s="15">
        <v>0.14000000000000001</v>
      </c>
      <c r="J17" s="15">
        <v>0.17</v>
      </c>
      <c r="K17" s="15">
        <v>0.17</v>
      </c>
      <c r="L17" s="15">
        <v>0.2</v>
      </c>
      <c r="M17" s="15">
        <v>0.25</v>
      </c>
      <c r="N17" s="15">
        <v>0.16</v>
      </c>
      <c r="O17" s="15">
        <v>0.15</v>
      </c>
      <c r="P17" s="15">
        <v>0.19</v>
      </c>
      <c r="Q17" s="15">
        <v>0.18</v>
      </c>
      <c r="R17" s="15">
        <v>0.34</v>
      </c>
      <c r="S17" s="15">
        <v>0.14000000000000001</v>
      </c>
      <c r="T17" s="15">
        <v>0.1</v>
      </c>
      <c r="U17" s="15">
        <v>0.2</v>
      </c>
      <c r="V17" s="15">
        <v>0.23</v>
      </c>
      <c r="W17" s="15">
        <v>0.22</v>
      </c>
      <c r="X17" s="15">
        <v>0.16</v>
      </c>
      <c r="Y17" s="15">
        <v>0.17</v>
      </c>
      <c r="Z17" s="15">
        <v>0.11</v>
      </c>
      <c r="AA17" s="15">
        <v>7.0000000000000007E-2</v>
      </c>
      <c r="AB17" s="15">
        <v>0.25</v>
      </c>
      <c r="AC17" s="15">
        <v>0.25</v>
      </c>
      <c r="AD17" s="15">
        <v>0.15</v>
      </c>
      <c r="AE17" s="15">
        <v>0.06</v>
      </c>
      <c r="AF17" s="15">
        <v>7.0000000000000007E-2</v>
      </c>
      <c r="AG17" s="15">
        <v>0.26</v>
      </c>
      <c r="AH17" s="15">
        <v>0.26</v>
      </c>
      <c r="AI17" s="15">
        <v>0.21</v>
      </c>
      <c r="AJ17" s="15">
        <v>0.37</v>
      </c>
      <c r="AK17" s="15">
        <v>0.21</v>
      </c>
      <c r="AL17" s="15">
        <v>0.15</v>
      </c>
      <c r="AM17" s="15">
        <v>0.14000000000000001</v>
      </c>
      <c r="AN17" s="15">
        <v>0.35</v>
      </c>
      <c r="AO17" s="15">
        <v>0.06</v>
      </c>
      <c r="AP17" s="15">
        <v>0.3</v>
      </c>
      <c r="AQ17" s="15">
        <v>0.1</v>
      </c>
    </row>
    <row r="18" spans="1:43" x14ac:dyDescent="0.35">
      <c r="A18" s="19"/>
      <c r="B18" s="11" t="s">
        <v>766</v>
      </c>
      <c r="C18" s="12">
        <v>2113</v>
      </c>
      <c r="D18" s="12">
        <v>67</v>
      </c>
      <c r="E18" s="12">
        <v>213</v>
      </c>
      <c r="F18" s="12">
        <v>98</v>
      </c>
      <c r="G18" s="12">
        <v>36</v>
      </c>
      <c r="H18" s="12">
        <v>55</v>
      </c>
      <c r="I18" s="12">
        <v>89</v>
      </c>
      <c r="J18" s="12">
        <v>34</v>
      </c>
      <c r="K18" s="12">
        <v>83</v>
      </c>
      <c r="L18" s="12">
        <v>55</v>
      </c>
      <c r="M18" s="12">
        <v>144</v>
      </c>
      <c r="N18" s="12">
        <v>73</v>
      </c>
      <c r="O18" s="12">
        <v>99</v>
      </c>
      <c r="P18" s="12">
        <v>53</v>
      </c>
      <c r="Q18" s="12">
        <v>115</v>
      </c>
      <c r="R18" s="12">
        <v>190</v>
      </c>
      <c r="S18" s="12">
        <v>78</v>
      </c>
      <c r="T18" s="12">
        <v>31</v>
      </c>
      <c r="U18" s="12">
        <v>46</v>
      </c>
      <c r="V18" s="12">
        <v>114</v>
      </c>
      <c r="W18" s="12">
        <v>53</v>
      </c>
      <c r="X18" s="12">
        <v>65</v>
      </c>
      <c r="Y18" s="12">
        <v>155</v>
      </c>
      <c r="Z18" s="12">
        <v>29</v>
      </c>
      <c r="AA18" s="12">
        <v>18</v>
      </c>
      <c r="AB18" s="12">
        <v>102</v>
      </c>
      <c r="AC18" s="12">
        <v>91</v>
      </c>
      <c r="AD18" s="12">
        <v>48</v>
      </c>
      <c r="AE18" s="12">
        <v>29</v>
      </c>
      <c r="AF18" s="12">
        <v>60</v>
      </c>
      <c r="AG18" s="12">
        <v>74</v>
      </c>
      <c r="AH18" s="12">
        <v>281</v>
      </c>
      <c r="AI18" s="12">
        <v>190</v>
      </c>
      <c r="AJ18" s="12">
        <v>307</v>
      </c>
      <c r="AK18" s="12">
        <v>94</v>
      </c>
      <c r="AL18" s="12">
        <v>209</v>
      </c>
      <c r="AM18" s="12">
        <v>49</v>
      </c>
      <c r="AN18" s="12">
        <v>204</v>
      </c>
      <c r="AO18" s="12">
        <v>58</v>
      </c>
      <c r="AP18" s="12">
        <v>183</v>
      </c>
      <c r="AQ18" s="12">
        <v>134</v>
      </c>
    </row>
    <row r="19" spans="1:43" x14ac:dyDescent="0.35">
      <c r="A19" s="19"/>
      <c r="B19" s="13" t="s">
        <v>767</v>
      </c>
      <c r="C19" s="15">
        <v>0.08</v>
      </c>
      <c r="D19" s="15">
        <v>7.0000000000000007E-2</v>
      </c>
      <c r="E19" s="15">
        <v>0.2</v>
      </c>
      <c r="F19" s="15">
        <v>0.09</v>
      </c>
      <c r="G19" s="15">
        <v>0.04</v>
      </c>
      <c r="H19" s="15">
        <v>0.04</v>
      </c>
      <c r="I19" s="15">
        <v>0.06</v>
      </c>
      <c r="J19" s="15">
        <v>0.11</v>
      </c>
      <c r="K19" s="15">
        <v>0.08</v>
      </c>
      <c r="L19" s="15">
        <v>0.05</v>
      </c>
      <c r="M19" s="15">
        <v>0.14000000000000001</v>
      </c>
      <c r="N19" s="15">
        <v>7.0000000000000007E-2</v>
      </c>
      <c r="O19" s="15">
        <v>0.1</v>
      </c>
      <c r="P19" s="15">
        <v>0.05</v>
      </c>
      <c r="Q19" s="15">
        <v>0.11</v>
      </c>
      <c r="R19" s="15">
        <v>0.38</v>
      </c>
      <c r="S19" s="15">
        <v>0.08</v>
      </c>
      <c r="T19" s="15">
        <v>0.03</v>
      </c>
      <c r="U19" s="15">
        <v>0.09</v>
      </c>
      <c r="V19" s="15">
        <v>0.11</v>
      </c>
      <c r="W19" s="15">
        <v>0.11</v>
      </c>
      <c r="X19" s="15">
        <v>7.0000000000000007E-2</v>
      </c>
      <c r="Y19" s="15">
        <v>0.15</v>
      </c>
      <c r="Z19" s="15">
        <v>0.03</v>
      </c>
      <c r="AA19" s="15">
        <v>0.02</v>
      </c>
      <c r="AB19" s="15">
        <v>0.09</v>
      </c>
      <c r="AC19" s="15">
        <v>0.09</v>
      </c>
      <c r="AD19" s="15">
        <v>0.05</v>
      </c>
      <c r="AE19" s="15">
        <v>0.03</v>
      </c>
      <c r="AF19" s="15">
        <v>0.06</v>
      </c>
      <c r="AG19" s="15">
        <v>7.0000000000000007E-2</v>
      </c>
      <c r="AH19" s="15">
        <v>0.28000000000000003</v>
      </c>
      <c r="AI19" s="15">
        <v>0.36</v>
      </c>
      <c r="AJ19" s="15">
        <v>0.28999999999999998</v>
      </c>
      <c r="AK19" s="15">
        <v>0.09</v>
      </c>
      <c r="AL19" s="15">
        <v>0.21</v>
      </c>
      <c r="AM19" s="15">
        <v>0.05</v>
      </c>
      <c r="AN19" s="15">
        <v>0.2</v>
      </c>
      <c r="AO19" s="15">
        <v>0.06</v>
      </c>
      <c r="AP19" s="15">
        <v>0.35</v>
      </c>
      <c r="AQ19" s="15">
        <v>0.13</v>
      </c>
    </row>
    <row r="20" spans="1:43" x14ac:dyDescent="0.35">
      <c r="A20" s="19"/>
      <c r="B20" s="11" t="s">
        <v>485</v>
      </c>
      <c r="C20" s="12">
        <v>780</v>
      </c>
      <c r="D20" s="12">
        <v>21</v>
      </c>
      <c r="E20" s="12">
        <v>70</v>
      </c>
      <c r="F20" s="12">
        <v>32</v>
      </c>
      <c r="G20" s="12">
        <v>11</v>
      </c>
      <c r="H20" s="12">
        <v>35</v>
      </c>
      <c r="I20" s="12">
        <v>47</v>
      </c>
      <c r="J20" s="12">
        <v>12</v>
      </c>
      <c r="K20" s="12">
        <v>46</v>
      </c>
      <c r="L20" s="12">
        <v>55</v>
      </c>
      <c r="M20" s="12">
        <v>34</v>
      </c>
      <c r="N20" s="12">
        <v>36</v>
      </c>
      <c r="O20" s="12">
        <v>45</v>
      </c>
      <c r="P20" s="12">
        <v>32</v>
      </c>
      <c r="Q20" s="12">
        <v>12</v>
      </c>
      <c r="R20" s="12">
        <v>18</v>
      </c>
      <c r="S20" s="12">
        <v>58</v>
      </c>
      <c r="T20" s="12">
        <v>39</v>
      </c>
      <c r="U20" s="12">
        <v>11</v>
      </c>
      <c r="V20" s="12">
        <v>22</v>
      </c>
      <c r="W20" s="12">
        <v>11</v>
      </c>
      <c r="X20" s="12">
        <v>20</v>
      </c>
      <c r="Y20" s="12">
        <v>59</v>
      </c>
      <c r="Z20" s="12">
        <v>8</v>
      </c>
      <c r="AA20" s="12">
        <v>28</v>
      </c>
      <c r="AB20" s="12">
        <v>62</v>
      </c>
      <c r="AC20" s="12">
        <v>11</v>
      </c>
      <c r="AD20" s="12">
        <v>10</v>
      </c>
      <c r="AE20" s="12">
        <v>19</v>
      </c>
      <c r="AF20" s="12">
        <v>6</v>
      </c>
      <c r="AG20" s="12">
        <v>18</v>
      </c>
      <c r="AH20" s="12">
        <v>14</v>
      </c>
      <c r="AI20" s="12">
        <v>41</v>
      </c>
      <c r="AJ20" s="12">
        <v>8</v>
      </c>
      <c r="AK20" s="12">
        <v>18</v>
      </c>
      <c r="AL20" s="12">
        <v>88</v>
      </c>
      <c r="AM20" s="12">
        <v>85</v>
      </c>
      <c r="AN20" s="12">
        <v>10</v>
      </c>
      <c r="AO20" s="12">
        <v>88</v>
      </c>
      <c r="AP20" s="12">
        <v>0</v>
      </c>
      <c r="AQ20" s="12">
        <v>95</v>
      </c>
    </row>
    <row r="21" spans="1:43" x14ac:dyDescent="0.35">
      <c r="A21" s="19"/>
      <c r="B21" s="13" t="s">
        <v>486</v>
      </c>
      <c r="C21" s="15">
        <v>0.03</v>
      </c>
      <c r="D21" s="15">
        <v>0.02</v>
      </c>
      <c r="E21" s="15">
        <v>7.0000000000000007E-2</v>
      </c>
      <c r="F21" s="15">
        <v>0.03</v>
      </c>
      <c r="G21" s="15">
        <v>0.01</v>
      </c>
      <c r="H21" s="15">
        <v>0.03</v>
      </c>
      <c r="I21" s="15">
        <v>0.03</v>
      </c>
      <c r="J21" s="15">
        <v>0.04</v>
      </c>
      <c r="K21" s="15">
        <v>0.05</v>
      </c>
      <c r="L21" s="15">
        <v>0.06</v>
      </c>
      <c r="M21" s="15">
        <v>0.03</v>
      </c>
      <c r="N21" s="15">
        <v>0.04</v>
      </c>
      <c r="O21" s="15">
        <v>0.04</v>
      </c>
      <c r="P21" s="15">
        <v>0.03</v>
      </c>
      <c r="Q21" s="15">
        <v>0.01</v>
      </c>
      <c r="R21" s="15">
        <v>0.04</v>
      </c>
      <c r="S21" s="15">
        <v>0.06</v>
      </c>
      <c r="T21" s="15">
        <v>0.04</v>
      </c>
      <c r="U21" s="15">
        <v>0.02</v>
      </c>
      <c r="V21" s="15">
        <v>0.02</v>
      </c>
      <c r="W21" s="15">
        <v>0.02</v>
      </c>
      <c r="X21" s="15">
        <v>0.02</v>
      </c>
      <c r="Y21" s="15">
        <v>0.06</v>
      </c>
      <c r="Z21" s="15">
        <v>0.01</v>
      </c>
      <c r="AA21" s="15">
        <v>0.03</v>
      </c>
      <c r="AB21" s="15">
        <v>0.06</v>
      </c>
      <c r="AC21" s="15">
        <v>0.01</v>
      </c>
      <c r="AD21" s="15">
        <v>0.01</v>
      </c>
      <c r="AE21" s="15">
        <v>0.02</v>
      </c>
      <c r="AF21" s="14" t="s">
        <v>475</v>
      </c>
      <c r="AG21" s="15">
        <v>0.02</v>
      </c>
      <c r="AH21" s="15">
        <v>0.01</v>
      </c>
      <c r="AI21" s="15">
        <v>0.08</v>
      </c>
      <c r="AJ21" s="15">
        <v>0.01</v>
      </c>
      <c r="AK21" s="15">
        <v>0.02</v>
      </c>
      <c r="AL21" s="15">
        <v>0.09</v>
      </c>
      <c r="AM21" s="15">
        <v>0.08</v>
      </c>
      <c r="AN21" s="15">
        <v>0.01</v>
      </c>
      <c r="AO21" s="15">
        <v>0.09</v>
      </c>
      <c r="AP21" s="14" t="s">
        <v>475</v>
      </c>
      <c r="AQ21" s="15">
        <v>0.1</v>
      </c>
    </row>
    <row r="22" spans="1:43" x14ac:dyDescent="0.35">
      <c r="A22" s="19"/>
      <c r="B22" s="11" t="s">
        <v>768</v>
      </c>
      <c r="C22" s="12">
        <v>19302</v>
      </c>
      <c r="D22" s="12">
        <v>733</v>
      </c>
      <c r="E22" s="12">
        <v>481</v>
      </c>
      <c r="F22" s="12">
        <v>707</v>
      </c>
      <c r="G22" s="12">
        <v>858</v>
      </c>
      <c r="H22" s="12">
        <v>971</v>
      </c>
      <c r="I22" s="12">
        <v>1170</v>
      </c>
      <c r="J22" s="12">
        <v>199</v>
      </c>
      <c r="K22" s="12">
        <v>706</v>
      </c>
      <c r="L22" s="12">
        <v>696</v>
      </c>
      <c r="M22" s="12">
        <v>582</v>
      </c>
      <c r="N22" s="12">
        <v>730</v>
      </c>
      <c r="O22" s="12">
        <v>703</v>
      </c>
      <c r="P22" s="12">
        <v>732</v>
      </c>
      <c r="Q22" s="12">
        <v>715</v>
      </c>
      <c r="R22" s="12">
        <v>123</v>
      </c>
      <c r="S22" s="12">
        <v>725</v>
      </c>
      <c r="T22" s="12">
        <v>833</v>
      </c>
      <c r="U22" s="12">
        <v>347</v>
      </c>
      <c r="V22" s="12">
        <v>651</v>
      </c>
      <c r="W22" s="12">
        <v>334</v>
      </c>
      <c r="X22" s="12">
        <v>759</v>
      </c>
      <c r="Y22" s="12">
        <v>623</v>
      </c>
      <c r="Z22" s="12">
        <v>876</v>
      </c>
      <c r="AA22" s="12">
        <v>915</v>
      </c>
      <c r="AB22" s="12">
        <v>628</v>
      </c>
      <c r="AC22" s="12">
        <v>653</v>
      </c>
      <c r="AD22" s="12">
        <v>794</v>
      </c>
      <c r="AE22" s="12">
        <v>898</v>
      </c>
      <c r="AF22" s="12">
        <v>909</v>
      </c>
      <c r="AG22" s="12">
        <v>671</v>
      </c>
      <c r="AH22" s="12">
        <v>452</v>
      </c>
      <c r="AI22" s="12">
        <v>184</v>
      </c>
      <c r="AJ22" s="12">
        <v>341</v>
      </c>
      <c r="AK22" s="12">
        <v>681</v>
      </c>
      <c r="AL22" s="12">
        <v>562</v>
      </c>
      <c r="AM22" s="12">
        <v>757</v>
      </c>
      <c r="AN22" s="12">
        <v>441</v>
      </c>
      <c r="AO22" s="12">
        <v>794</v>
      </c>
      <c r="AP22" s="12">
        <v>184</v>
      </c>
      <c r="AQ22" s="12">
        <v>673</v>
      </c>
    </row>
    <row r="23" spans="1:43" x14ac:dyDescent="0.35">
      <c r="A23" s="19"/>
      <c r="B23" s="13" t="s">
        <v>769</v>
      </c>
      <c r="C23" s="15">
        <v>0.73</v>
      </c>
      <c r="D23" s="15">
        <v>0.72</v>
      </c>
      <c r="E23" s="15">
        <v>0.47</v>
      </c>
      <c r="F23" s="15">
        <v>0.64</v>
      </c>
      <c r="G23" s="15">
        <v>0.85</v>
      </c>
      <c r="H23" s="15">
        <v>0.8</v>
      </c>
      <c r="I23" s="15">
        <v>0.77</v>
      </c>
      <c r="J23" s="15">
        <v>0.68</v>
      </c>
      <c r="K23" s="15">
        <v>0.70000000000000007</v>
      </c>
      <c r="L23" s="15">
        <v>0.69000000000000006</v>
      </c>
      <c r="M23" s="15">
        <v>0.57999999999999996</v>
      </c>
      <c r="N23" s="15">
        <v>0.73</v>
      </c>
      <c r="O23" s="15">
        <v>0.71</v>
      </c>
      <c r="P23" s="15">
        <v>0.73</v>
      </c>
      <c r="Q23" s="15">
        <v>0.70000000000000007</v>
      </c>
      <c r="R23" s="15">
        <v>0.24</v>
      </c>
      <c r="S23" s="15">
        <v>0.72</v>
      </c>
      <c r="T23" s="15">
        <v>0.83000000000000007</v>
      </c>
      <c r="U23" s="15">
        <v>0.69000000000000006</v>
      </c>
      <c r="V23" s="15">
        <v>0.64</v>
      </c>
      <c r="W23" s="15">
        <v>0.65</v>
      </c>
      <c r="X23" s="15">
        <v>0.75</v>
      </c>
      <c r="Y23" s="15">
        <v>0.62</v>
      </c>
      <c r="Z23" s="15">
        <v>0.85</v>
      </c>
      <c r="AA23" s="15">
        <v>0.88</v>
      </c>
      <c r="AB23" s="15">
        <v>0.6</v>
      </c>
      <c r="AC23" s="15">
        <v>0.65</v>
      </c>
      <c r="AD23" s="15">
        <v>0.79</v>
      </c>
      <c r="AE23" s="15">
        <v>0.89</v>
      </c>
      <c r="AF23" s="15">
        <v>0.87</v>
      </c>
      <c r="AG23" s="15">
        <v>0.65</v>
      </c>
      <c r="AH23" s="15">
        <v>0.45</v>
      </c>
      <c r="AI23" s="15">
        <v>0.35</v>
      </c>
      <c r="AJ23" s="15">
        <v>0.33</v>
      </c>
      <c r="AK23" s="15">
        <v>0.68</v>
      </c>
      <c r="AL23" s="15">
        <v>0.55000000000000004</v>
      </c>
      <c r="AM23" s="15">
        <v>0.73</v>
      </c>
      <c r="AN23" s="15">
        <v>0.44</v>
      </c>
      <c r="AO23" s="15">
        <v>0.79</v>
      </c>
      <c r="AP23" s="15">
        <v>0.35</v>
      </c>
      <c r="AQ23" s="15">
        <v>0.67</v>
      </c>
    </row>
    <row r="24" spans="1:43" x14ac:dyDescent="0.35">
      <c r="A24" s="19"/>
      <c r="B24" s="11" t="s">
        <v>770</v>
      </c>
      <c r="C24" s="12">
        <v>6363</v>
      </c>
      <c r="D24" s="12">
        <v>260</v>
      </c>
      <c r="E24" s="12">
        <v>480</v>
      </c>
      <c r="F24" s="12">
        <v>363</v>
      </c>
      <c r="G24" s="12">
        <v>137</v>
      </c>
      <c r="H24" s="12">
        <v>215</v>
      </c>
      <c r="I24" s="12">
        <v>299</v>
      </c>
      <c r="J24" s="12">
        <v>84</v>
      </c>
      <c r="K24" s="12">
        <v>250</v>
      </c>
      <c r="L24" s="12">
        <v>251</v>
      </c>
      <c r="M24" s="12">
        <v>394</v>
      </c>
      <c r="N24" s="12">
        <v>237</v>
      </c>
      <c r="O24" s="12">
        <v>252</v>
      </c>
      <c r="P24" s="12">
        <v>240</v>
      </c>
      <c r="Q24" s="12">
        <v>300</v>
      </c>
      <c r="R24" s="12">
        <v>362</v>
      </c>
      <c r="S24" s="12">
        <v>219</v>
      </c>
      <c r="T24" s="12">
        <v>134</v>
      </c>
      <c r="U24" s="12">
        <v>147</v>
      </c>
      <c r="V24" s="12">
        <v>343</v>
      </c>
      <c r="W24" s="12">
        <v>163</v>
      </c>
      <c r="X24" s="12">
        <v>231</v>
      </c>
      <c r="Y24" s="12">
        <v>321</v>
      </c>
      <c r="Z24" s="12">
        <v>148</v>
      </c>
      <c r="AA24" s="12">
        <v>89</v>
      </c>
      <c r="AB24" s="12">
        <v>362</v>
      </c>
      <c r="AC24" s="12">
        <v>339</v>
      </c>
      <c r="AD24" s="12">
        <v>202</v>
      </c>
      <c r="AE24" s="12">
        <v>95</v>
      </c>
      <c r="AF24" s="12">
        <v>129</v>
      </c>
      <c r="AG24" s="12">
        <v>345</v>
      </c>
      <c r="AH24" s="12">
        <v>547</v>
      </c>
      <c r="AI24" s="12">
        <v>299</v>
      </c>
      <c r="AJ24" s="12">
        <v>688</v>
      </c>
      <c r="AK24" s="12">
        <v>308</v>
      </c>
      <c r="AL24" s="12">
        <v>362</v>
      </c>
      <c r="AM24" s="12">
        <v>197</v>
      </c>
      <c r="AN24" s="12">
        <v>552</v>
      </c>
      <c r="AO24" s="12">
        <v>124</v>
      </c>
      <c r="AP24" s="12">
        <v>340</v>
      </c>
      <c r="AQ24" s="12">
        <v>234</v>
      </c>
    </row>
    <row r="25" spans="1:43" x14ac:dyDescent="0.35">
      <c r="A25" s="19"/>
      <c r="B25" s="13" t="s">
        <v>771</v>
      </c>
      <c r="C25" s="15">
        <v>0.24</v>
      </c>
      <c r="D25" s="15">
        <v>0.26</v>
      </c>
      <c r="E25" s="15">
        <v>0.46</v>
      </c>
      <c r="F25" s="15">
        <v>0.33</v>
      </c>
      <c r="G25" s="15">
        <v>0.14000000000000001</v>
      </c>
      <c r="H25" s="15">
        <v>0.17</v>
      </c>
      <c r="I25" s="15">
        <v>0.2</v>
      </c>
      <c r="J25" s="15">
        <v>0.28000000000000003</v>
      </c>
      <c r="K25" s="15">
        <v>0.25</v>
      </c>
      <c r="L25" s="15">
        <v>0.25</v>
      </c>
      <c r="M25" s="15">
        <v>0.39</v>
      </c>
      <c r="N25" s="15">
        <v>0.23</v>
      </c>
      <c r="O25" s="15">
        <v>0.25</v>
      </c>
      <c r="P25" s="15">
        <v>0.24</v>
      </c>
      <c r="Q25" s="15">
        <v>0.28999999999999998</v>
      </c>
      <c r="R25" s="15">
        <v>0.72</v>
      </c>
      <c r="S25" s="15">
        <v>0.22</v>
      </c>
      <c r="T25" s="15">
        <v>0.13</v>
      </c>
      <c r="U25" s="15">
        <v>0.28999999999999998</v>
      </c>
      <c r="V25" s="15">
        <v>0.34</v>
      </c>
      <c r="W25" s="15">
        <v>0.33</v>
      </c>
      <c r="X25" s="15">
        <v>0.23</v>
      </c>
      <c r="Y25" s="15">
        <v>0.32</v>
      </c>
      <c r="Z25" s="15">
        <v>0.14000000000000001</v>
      </c>
      <c r="AA25" s="15">
        <v>0.09</v>
      </c>
      <c r="AB25" s="15">
        <v>0.34</v>
      </c>
      <c r="AC25" s="15">
        <v>0.34</v>
      </c>
      <c r="AD25" s="15">
        <v>0.2</v>
      </c>
      <c r="AE25" s="15">
        <v>0.09</v>
      </c>
      <c r="AF25" s="15">
        <v>0.13</v>
      </c>
      <c r="AG25" s="15">
        <v>0.33</v>
      </c>
      <c r="AH25" s="15">
        <v>0.54</v>
      </c>
      <c r="AI25" s="15">
        <v>0.57000000000000006</v>
      </c>
      <c r="AJ25" s="15">
        <v>0.66</v>
      </c>
      <c r="AK25" s="15">
        <v>0.3</v>
      </c>
      <c r="AL25" s="15">
        <v>0.36</v>
      </c>
      <c r="AM25" s="15">
        <v>0.19</v>
      </c>
      <c r="AN25" s="15">
        <v>0.55000000000000004</v>
      </c>
      <c r="AO25" s="15">
        <v>0.12</v>
      </c>
      <c r="AP25" s="15">
        <v>0.65</v>
      </c>
      <c r="AQ25" s="15">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1203</v>
      </c>
      <c r="C3" s="18"/>
      <c r="D3" s="18"/>
      <c r="E3" s="18"/>
      <c r="F3" s="18"/>
      <c r="H3" s="18" t="s">
        <v>1204</v>
      </c>
      <c r="I3" s="18"/>
      <c r="J3" s="18"/>
      <c r="K3" s="18"/>
      <c r="L3" s="18"/>
    </row>
    <row r="4" spans="1:32" ht="27" customHeight="1" x14ac:dyDescent="0.35">
      <c r="B4" s="18" t="s">
        <v>1205</v>
      </c>
      <c r="C4" s="18"/>
      <c r="D4" s="18"/>
      <c r="E4" s="18"/>
      <c r="F4" s="18"/>
      <c r="H4" s="18" t="s">
        <v>1206</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HYPERLINK("#Content!A132","&lt;&lt;Back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8855</v>
      </c>
      <c r="D12" s="12">
        <v>261</v>
      </c>
      <c r="E12" s="12">
        <v>198</v>
      </c>
      <c r="F12" s="12">
        <v>198</v>
      </c>
      <c r="G12" s="12">
        <v>739</v>
      </c>
      <c r="H12" s="12">
        <v>444</v>
      </c>
      <c r="I12" s="12">
        <v>522</v>
      </c>
      <c r="J12" s="12">
        <v>78</v>
      </c>
      <c r="K12" s="12">
        <v>370</v>
      </c>
      <c r="L12" s="12">
        <v>460</v>
      </c>
      <c r="M12" s="12">
        <v>229</v>
      </c>
      <c r="N12" s="12">
        <v>459</v>
      </c>
      <c r="O12" s="12">
        <v>318</v>
      </c>
      <c r="P12" s="12">
        <v>287</v>
      </c>
      <c r="Q12" s="12">
        <v>227</v>
      </c>
      <c r="R12" s="12">
        <v>71</v>
      </c>
      <c r="S12" s="12">
        <v>502</v>
      </c>
      <c r="T12" s="12">
        <v>451</v>
      </c>
      <c r="U12" s="12">
        <v>230</v>
      </c>
      <c r="V12" s="12">
        <v>183</v>
      </c>
      <c r="W12" s="12">
        <v>164</v>
      </c>
      <c r="X12" s="12">
        <v>521</v>
      </c>
      <c r="Y12" s="12">
        <v>354</v>
      </c>
      <c r="Z12" s="12">
        <v>269</v>
      </c>
      <c r="AA12" s="12">
        <v>280</v>
      </c>
      <c r="AB12" s="12">
        <v>129</v>
      </c>
      <c r="AC12" s="12">
        <v>331</v>
      </c>
      <c r="AD12" s="12">
        <v>352</v>
      </c>
      <c r="AE12" s="12">
        <v>753</v>
      </c>
      <c r="AF12" s="12">
        <v>918</v>
      </c>
    </row>
    <row r="13" spans="1:32" x14ac:dyDescent="0.35">
      <c r="A13" s="19"/>
      <c r="B13" s="13" t="s">
        <v>761</v>
      </c>
      <c r="C13" s="15">
        <v>0.33</v>
      </c>
      <c r="D13" s="15">
        <v>0.26</v>
      </c>
      <c r="E13" s="15">
        <v>0.19</v>
      </c>
      <c r="F13" s="15">
        <v>0.18</v>
      </c>
      <c r="G13" s="15">
        <v>0.74</v>
      </c>
      <c r="H13" s="15">
        <v>0.36</v>
      </c>
      <c r="I13" s="15">
        <v>0.34</v>
      </c>
      <c r="J13" s="15">
        <v>0.27</v>
      </c>
      <c r="K13" s="15">
        <v>0.37</v>
      </c>
      <c r="L13" s="15">
        <v>0.46</v>
      </c>
      <c r="M13" s="15">
        <v>0.23</v>
      </c>
      <c r="N13" s="15">
        <v>0.46</v>
      </c>
      <c r="O13" s="15">
        <v>0.32</v>
      </c>
      <c r="P13" s="15">
        <v>0.28999999999999998</v>
      </c>
      <c r="Q13" s="15">
        <v>0.22</v>
      </c>
      <c r="R13" s="15">
        <v>0.14000000000000001</v>
      </c>
      <c r="S13" s="15">
        <v>0.5</v>
      </c>
      <c r="T13" s="15">
        <v>0.45</v>
      </c>
      <c r="U13" s="15">
        <v>0.46</v>
      </c>
      <c r="V13" s="15">
        <v>0.18</v>
      </c>
      <c r="W13" s="15">
        <v>0.32</v>
      </c>
      <c r="X13" s="15">
        <v>0.52</v>
      </c>
      <c r="Y13" s="15">
        <v>0.35</v>
      </c>
      <c r="Z13" s="15">
        <v>0.26</v>
      </c>
      <c r="AA13" s="15">
        <v>0.27</v>
      </c>
      <c r="AB13" s="15">
        <v>0.12</v>
      </c>
      <c r="AC13" s="15">
        <v>0.33</v>
      </c>
      <c r="AD13" s="15">
        <v>0.35</v>
      </c>
      <c r="AE13" s="15">
        <v>0.74</v>
      </c>
      <c r="AF13" s="15">
        <v>0.88</v>
      </c>
    </row>
    <row r="14" spans="1:32" x14ac:dyDescent="0.35">
      <c r="A14" s="19"/>
      <c r="B14" s="11" t="s">
        <v>762</v>
      </c>
      <c r="C14" s="12">
        <v>11503</v>
      </c>
      <c r="D14" s="12">
        <v>509</v>
      </c>
      <c r="E14" s="12">
        <v>387</v>
      </c>
      <c r="F14" s="12">
        <v>331</v>
      </c>
      <c r="G14" s="12">
        <v>222</v>
      </c>
      <c r="H14" s="12">
        <v>549</v>
      </c>
      <c r="I14" s="12">
        <v>652</v>
      </c>
      <c r="J14" s="12">
        <v>103</v>
      </c>
      <c r="K14" s="12">
        <v>329</v>
      </c>
      <c r="L14" s="12">
        <v>400</v>
      </c>
      <c r="M14" s="12">
        <v>469</v>
      </c>
      <c r="N14" s="12">
        <v>363</v>
      </c>
      <c r="O14" s="12">
        <v>462</v>
      </c>
      <c r="P14" s="12">
        <v>520</v>
      </c>
      <c r="Q14" s="12">
        <v>522</v>
      </c>
      <c r="R14" s="12">
        <v>173</v>
      </c>
      <c r="S14" s="12">
        <v>277</v>
      </c>
      <c r="T14" s="12">
        <v>366</v>
      </c>
      <c r="U14" s="12">
        <v>171</v>
      </c>
      <c r="V14" s="12">
        <v>493</v>
      </c>
      <c r="W14" s="12">
        <v>257</v>
      </c>
      <c r="X14" s="12">
        <v>323</v>
      </c>
      <c r="Y14" s="12">
        <v>333</v>
      </c>
      <c r="Z14" s="12">
        <v>594</v>
      </c>
      <c r="AA14" s="12">
        <v>692</v>
      </c>
      <c r="AB14" s="12">
        <v>498</v>
      </c>
      <c r="AC14" s="12">
        <v>388</v>
      </c>
      <c r="AD14" s="12">
        <v>362</v>
      </c>
      <c r="AE14" s="12">
        <v>209</v>
      </c>
      <c r="AF14" s="12">
        <v>73</v>
      </c>
    </row>
    <row r="15" spans="1:32" x14ac:dyDescent="0.35">
      <c r="A15" s="19"/>
      <c r="B15" s="13" t="s">
        <v>763</v>
      </c>
      <c r="C15" s="15">
        <v>0.44</v>
      </c>
      <c r="D15" s="15">
        <v>0.5</v>
      </c>
      <c r="E15" s="15">
        <v>0.38</v>
      </c>
      <c r="F15" s="15">
        <v>0.3</v>
      </c>
      <c r="G15" s="15">
        <v>0.22</v>
      </c>
      <c r="H15" s="15">
        <v>0.45</v>
      </c>
      <c r="I15" s="15">
        <v>0.43</v>
      </c>
      <c r="J15" s="15">
        <v>0.35</v>
      </c>
      <c r="K15" s="15">
        <v>0.33</v>
      </c>
      <c r="L15" s="15">
        <v>0.4</v>
      </c>
      <c r="M15" s="15">
        <v>0.46</v>
      </c>
      <c r="N15" s="15">
        <v>0.36</v>
      </c>
      <c r="O15" s="15">
        <v>0.46</v>
      </c>
      <c r="P15" s="15">
        <v>0.52</v>
      </c>
      <c r="Q15" s="15">
        <v>0.51</v>
      </c>
      <c r="R15" s="15">
        <v>0.34</v>
      </c>
      <c r="S15" s="15">
        <v>0.28000000000000003</v>
      </c>
      <c r="T15" s="15">
        <v>0.36</v>
      </c>
      <c r="U15" s="15">
        <v>0.34</v>
      </c>
      <c r="V15" s="15">
        <v>0.49</v>
      </c>
      <c r="W15" s="15">
        <v>0.51</v>
      </c>
      <c r="X15" s="15">
        <v>0.32</v>
      </c>
      <c r="Y15" s="15">
        <v>0.33</v>
      </c>
      <c r="Z15" s="15">
        <v>0.57999999999999996</v>
      </c>
      <c r="AA15" s="15">
        <v>0.67</v>
      </c>
      <c r="AB15" s="15">
        <v>0.47</v>
      </c>
      <c r="AC15" s="15">
        <v>0.39</v>
      </c>
      <c r="AD15" s="15">
        <v>0.36</v>
      </c>
      <c r="AE15" s="15">
        <v>0.21</v>
      </c>
      <c r="AF15" s="15">
        <v>7.0000000000000007E-2</v>
      </c>
    </row>
    <row r="16" spans="1:32" x14ac:dyDescent="0.35">
      <c r="A16" s="19"/>
      <c r="B16" s="11" t="s">
        <v>764</v>
      </c>
      <c r="C16" s="12">
        <v>3432</v>
      </c>
      <c r="D16" s="12">
        <v>157</v>
      </c>
      <c r="E16" s="12">
        <v>209</v>
      </c>
      <c r="F16" s="12">
        <v>273</v>
      </c>
      <c r="G16" s="12">
        <v>19</v>
      </c>
      <c r="H16" s="12">
        <v>122</v>
      </c>
      <c r="I16" s="12">
        <v>191</v>
      </c>
      <c r="J16" s="12">
        <v>69</v>
      </c>
      <c r="K16" s="12">
        <v>135</v>
      </c>
      <c r="L16" s="12">
        <v>66</v>
      </c>
      <c r="M16" s="12">
        <v>243</v>
      </c>
      <c r="N16" s="12">
        <v>96</v>
      </c>
      <c r="O16" s="12">
        <v>115</v>
      </c>
      <c r="P16" s="12">
        <v>145</v>
      </c>
      <c r="Q16" s="12">
        <v>170</v>
      </c>
      <c r="R16" s="12">
        <v>114</v>
      </c>
      <c r="S16" s="12">
        <v>95</v>
      </c>
      <c r="T16" s="12">
        <v>96</v>
      </c>
      <c r="U16" s="12">
        <v>50</v>
      </c>
      <c r="V16" s="12">
        <v>194</v>
      </c>
      <c r="W16" s="12">
        <v>67</v>
      </c>
      <c r="X16" s="12">
        <v>111</v>
      </c>
      <c r="Y16" s="12">
        <v>103</v>
      </c>
      <c r="Z16" s="12">
        <v>118</v>
      </c>
      <c r="AA16" s="12">
        <v>20</v>
      </c>
      <c r="AB16" s="12">
        <v>251</v>
      </c>
      <c r="AC16" s="12">
        <v>172</v>
      </c>
      <c r="AD16" s="12">
        <v>132</v>
      </c>
      <c r="AE16" s="12">
        <v>26</v>
      </c>
      <c r="AF16" s="12">
        <v>21</v>
      </c>
    </row>
    <row r="17" spans="1:32" x14ac:dyDescent="0.35">
      <c r="A17" s="19"/>
      <c r="B17" s="13" t="s">
        <v>765</v>
      </c>
      <c r="C17" s="15">
        <v>0.13</v>
      </c>
      <c r="D17" s="15">
        <v>0.16</v>
      </c>
      <c r="E17" s="15">
        <v>0.2</v>
      </c>
      <c r="F17" s="15">
        <v>0.25</v>
      </c>
      <c r="G17" s="15">
        <v>0.02</v>
      </c>
      <c r="H17" s="15">
        <v>0.1</v>
      </c>
      <c r="I17" s="15">
        <v>0.13</v>
      </c>
      <c r="J17" s="15">
        <v>0.23</v>
      </c>
      <c r="K17" s="15">
        <v>0.13</v>
      </c>
      <c r="L17" s="15">
        <v>0.06</v>
      </c>
      <c r="M17" s="15">
        <v>0.24</v>
      </c>
      <c r="N17" s="15">
        <v>0.09</v>
      </c>
      <c r="O17" s="15">
        <v>0.12</v>
      </c>
      <c r="P17" s="15">
        <v>0.14000000000000001</v>
      </c>
      <c r="Q17" s="15">
        <v>0.17</v>
      </c>
      <c r="R17" s="15">
        <v>0.23</v>
      </c>
      <c r="S17" s="15">
        <v>0.09</v>
      </c>
      <c r="T17" s="15">
        <v>0.1</v>
      </c>
      <c r="U17" s="15">
        <v>0.1</v>
      </c>
      <c r="V17" s="15">
        <v>0.19</v>
      </c>
      <c r="W17" s="15">
        <v>0.13</v>
      </c>
      <c r="X17" s="15">
        <v>0.11</v>
      </c>
      <c r="Y17" s="15">
        <v>0.1</v>
      </c>
      <c r="Z17" s="15">
        <v>0.11</v>
      </c>
      <c r="AA17" s="15">
        <v>0.02</v>
      </c>
      <c r="AB17" s="15">
        <v>0.24</v>
      </c>
      <c r="AC17" s="15">
        <v>0.17</v>
      </c>
      <c r="AD17" s="15">
        <v>0.13</v>
      </c>
      <c r="AE17" s="15">
        <v>0.02</v>
      </c>
      <c r="AF17" s="15">
        <v>0.02</v>
      </c>
    </row>
    <row r="18" spans="1:32" x14ac:dyDescent="0.35">
      <c r="A18" s="19"/>
      <c r="B18" s="11" t="s">
        <v>766</v>
      </c>
      <c r="C18" s="12">
        <v>1780</v>
      </c>
      <c r="D18" s="12">
        <v>66</v>
      </c>
      <c r="E18" s="12">
        <v>144</v>
      </c>
      <c r="F18" s="12">
        <v>230</v>
      </c>
      <c r="G18" s="12">
        <v>14</v>
      </c>
      <c r="H18" s="12">
        <v>72</v>
      </c>
      <c r="I18" s="12">
        <v>106</v>
      </c>
      <c r="J18" s="12">
        <v>33</v>
      </c>
      <c r="K18" s="12">
        <v>103</v>
      </c>
      <c r="L18" s="12">
        <v>30</v>
      </c>
      <c r="M18" s="12">
        <v>41</v>
      </c>
      <c r="N18" s="12">
        <v>37</v>
      </c>
      <c r="O18" s="12">
        <v>65</v>
      </c>
      <c r="P18" s="12">
        <v>35</v>
      </c>
      <c r="Q18" s="12">
        <v>84</v>
      </c>
      <c r="R18" s="12">
        <v>125</v>
      </c>
      <c r="S18" s="12">
        <v>58</v>
      </c>
      <c r="T18" s="12">
        <v>47</v>
      </c>
      <c r="U18" s="12">
        <v>39</v>
      </c>
      <c r="V18" s="12">
        <v>117</v>
      </c>
      <c r="W18" s="12">
        <v>14</v>
      </c>
      <c r="X18" s="12">
        <v>40</v>
      </c>
      <c r="Y18" s="12">
        <v>185</v>
      </c>
      <c r="Z18" s="12">
        <v>30</v>
      </c>
      <c r="AA18" s="12">
        <v>6</v>
      </c>
      <c r="AB18" s="12">
        <v>122</v>
      </c>
      <c r="AC18" s="12">
        <v>92</v>
      </c>
      <c r="AD18" s="12">
        <v>126</v>
      </c>
      <c r="AE18" s="12">
        <v>9</v>
      </c>
      <c r="AF18" s="12">
        <v>19</v>
      </c>
    </row>
    <row r="19" spans="1:32" x14ac:dyDescent="0.35">
      <c r="A19" s="19"/>
      <c r="B19" s="13" t="s">
        <v>767</v>
      </c>
      <c r="C19" s="15">
        <v>7.0000000000000007E-2</v>
      </c>
      <c r="D19" s="15">
        <v>0.06</v>
      </c>
      <c r="E19" s="15">
        <v>0.14000000000000001</v>
      </c>
      <c r="F19" s="15">
        <v>0.21</v>
      </c>
      <c r="G19" s="15">
        <v>0.01</v>
      </c>
      <c r="H19" s="15">
        <v>0.06</v>
      </c>
      <c r="I19" s="15">
        <v>7.0000000000000007E-2</v>
      </c>
      <c r="J19" s="15">
        <v>0.11</v>
      </c>
      <c r="K19" s="15">
        <v>0.1</v>
      </c>
      <c r="L19" s="15">
        <v>0.03</v>
      </c>
      <c r="M19" s="15">
        <v>0.04</v>
      </c>
      <c r="N19" s="15">
        <v>0.04</v>
      </c>
      <c r="O19" s="15">
        <v>0.06</v>
      </c>
      <c r="P19" s="15">
        <v>0.03</v>
      </c>
      <c r="Q19" s="15">
        <v>0.08</v>
      </c>
      <c r="R19" s="15">
        <v>0.25</v>
      </c>
      <c r="S19" s="15">
        <v>0.06</v>
      </c>
      <c r="T19" s="15">
        <v>0.05</v>
      </c>
      <c r="U19" s="15">
        <v>0.08</v>
      </c>
      <c r="V19" s="15">
        <v>0.11</v>
      </c>
      <c r="W19" s="15">
        <v>0.03</v>
      </c>
      <c r="X19" s="15">
        <v>0.04</v>
      </c>
      <c r="Y19" s="15">
        <v>0.19</v>
      </c>
      <c r="Z19" s="15">
        <v>0.03</v>
      </c>
      <c r="AA19" s="15">
        <v>0.01</v>
      </c>
      <c r="AB19" s="15">
        <v>0.12</v>
      </c>
      <c r="AC19" s="15">
        <v>0.09</v>
      </c>
      <c r="AD19" s="15">
        <v>0.13</v>
      </c>
      <c r="AE19" s="15">
        <v>0.01</v>
      </c>
      <c r="AF19" s="15">
        <v>0.02</v>
      </c>
    </row>
    <row r="20" spans="1:32" x14ac:dyDescent="0.35">
      <c r="A20" s="19"/>
      <c r="B20" s="11" t="s">
        <v>485</v>
      </c>
      <c r="C20" s="12">
        <v>875</v>
      </c>
      <c r="D20" s="12">
        <v>20</v>
      </c>
      <c r="E20" s="12">
        <v>92</v>
      </c>
      <c r="F20" s="12">
        <v>70</v>
      </c>
      <c r="G20" s="12">
        <v>11</v>
      </c>
      <c r="H20" s="12">
        <v>34</v>
      </c>
      <c r="I20" s="12">
        <v>46</v>
      </c>
      <c r="J20" s="12">
        <v>12</v>
      </c>
      <c r="K20" s="12">
        <v>66</v>
      </c>
      <c r="L20" s="12">
        <v>47</v>
      </c>
      <c r="M20" s="12">
        <v>28</v>
      </c>
      <c r="N20" s="12">
        <v>48</v>
      </c>
      <c r="O20" s="12">
        <v>42</v>
      </c>
      <c r="P20" s="12">
        <v>18</v>
      </c>
      <c r="Q20" s="12">
        <v>24</v>
      </c>
      <c r="R20" s="12">
        <v>20</v>
      </c>
      <c r="S20" s="12">
        <v>69</v>
      </c>
      <c r="T20" s="12">
        <v>45</v>
      </c>
      <c r="U20" s="12">
        <v>13</v>
      </c>
      <c r="V20" s="12">
        <v>28</v>
      </c>
      <c r="W20" s="12">
        <v>6</v>
      </c>
      <c r="X20" s="12">
        <v>14</v>
      </c>
      <c r="Y20" s="12">
        <v>28</v>
      </c>
      <c r="Z20" s="12">
        <v>19</v>
      </c>
      <c r="AA20" s="12">
        <v>36</v>
      </c>
      <c r="AB20" s="12">
        <v>52</v>
      </c>
      <c r="AC20" s="12">
        <v>19</v>
      </c>
      <c r="AD20" s="12">
        <v>33</v>
      </c>
      <c r="AE20" s="12">
        <v>16</v>
      </c>
      <c r="AF20" s="12">
        <v>12</v>
      </c>
    </row>
    <row r="21" spans="1:32" x14ac:dyDescent="0.35">
      <c r="A21" s="19"/>
      <c r="B21" s="13" t="s">
        <v>486</v>
      </c>
      <c r="C21" s="15">
        <v>0.03</v>
      </c>
      <c r="D21" s="15">
        <v>0.02</v>
      </c>
      <c r="E21" s="15">
        <v>0.09</v>
      </c>
      <c r="F21" s="15">
        <v>0.06</v>
      </c>
      <c r="G21" s="15">
        <v>0.01</v>
      </c>
      <c r="H21" s="15">
        <v>0.03</v>
      </c>
      <c r="I21" s="15">
        <v>0.03</v>
      </c>
      <c r="J21" s="15">
        <v>0.04</v>
      </c>
      <c r="K21" s="15">
        <v>7.0000000000000007E-2</v>
      </c>
      <c r="L21" s="15">
        <v>0.05</v>
      </c>
      <c r="M21" s="15">
        <v>0.03</v>
      </c>
      <c r="N21" s="15">
        <v>0.05</v>
      </c>
      <c r="O21" s="15">
        <v>0.04</v>
      </c>
      <c r="P21" s="15">
        <v>0.02</v>
      </c>
      <c r="Q21" s="15">
        <v>0.02</v>
      </c>
      <c r="R21" s="15">
        <v>0.04</v>
      </c>
      <c r="S21" s="15">
        <v>7.0000000000000007E-2</v>
      </c>
      <c r="T21" s="15">
        <v>0.04</v>
      </c>
      <c r="U21" s="15">
        <v>0.02</v>
      </c>
      <c r="V21" s="15">
        <v>0.03</v>
      </c>
      <c r="W21" s="15">
        <v>0.01</v>
      </c>
      <c r="X21" s="15">
        <v>0.01</v>
      </c>
      <c r="Y21" s="15">
        <v>0.03</v>
      </c>
      <c r="Z21" s="15">
        <v>0.02</v>
      </c>
      <c r="AA21" s="15">
        <v>0.03</v>
      </c>
      <c r="AB21" s="15">
        <v>0.05</v>
      </c>
      <c r="AC21" s="15">
        <v>0.02</v>
      </c>
      <c r="AD21" s="15">
        <v>0.03</v>
      </c>
      <c r="AE21" s="15">
        <v>0.02</v>
      </c>
      <c r="AF21" s="15">
        <v>0.01</v>
      </c>
    </row>
    <row r="22" spans="1:32" x14ac:dyDescent="0.35">
      <c r="A22" s="19"/>
      <c r="B22" s="11" t="s">
        <v>768</v>
      </c>
      <c r="C22" s="12">
        <v>20358</v>
      </c>
      <c r="D22" s="12">
        <v>770</v>
      </c>
      <c r="E22" s="12">
        <v>585</v>
      </c>
      <c r="F22" s="12">
        <v>529</v>
      </c>
      <c r="G22" s="12">
        <v>961</v>
      </c>
      <c r="H22" s="12">
        <v>993</v>
      </c>
      <c r="I22" s="12">
        <v>1174</v>
      </c>
      <c r="J22" s="12">
        <v>181</v>
      </c>
      <c r="K22" s="12">
        <v>699</v>
      </c>
      <c r="L22" s="12">
        <v>860</v>
      </c>
      <c r="M22" s="12">
        <v>698</v>
      </c>
      <c r="N22" s="12">
        <v>822</v>
      </c>
      <c r="O22" s="12">
        <v>780</v>
      </c>
      <c r="P22" s="12">
        <v>807</v>
      </c>
      <c r="Q22" s="12">
        <v>749</v>
      </c>
      <c r="R22" s="12">
        <v>244</v>
      </c>
      <c r="S22" s="12">
        <v>779</v>
      </c>
      <c r="T22" s="12">
        <v>817</v>
      </c>
      <c r="U22" s="12">
        <v>401</v>
      </c>
      <c r="V22" s="12">
        <v>676</v>
      </c>
      <c r="W22" s="12">
        <v>421</v>
      </c>
      <c r="X22" s="12">
        <v>844</v>
      </c>
      <c r="Y22" s="12">
        <v>687</v>
      </c>
      <c r="Z22" s="12">
        <v>863</v>
      </c>
      <c r="AA22" s="12">
        <v>972</v>
      </c>
      <c r="AB22" s="12">
        <v>627</v>
      </c>
      <c r="AC22" s="12">
        <v>719</v>
      </c>
      <c r="AD22" s="12">
        <v>714</v>
      </c>
      <c r="AE22" s="12">
        <v>962</v>
      </c>
      <c r="AF22" s="12">
        <v>991</v>
      </c>
    </row>
    <row r="23" spans="1:32" x14ac:dyDescent="0.35">
      <c r="A23" s="19"/>
      <c r="B23" s="13" t="s">
        <v>769</v>
      </c>
      <c r="C23" s="15">
        <v>0.77</v>
      </c>
      <c r="D23" s="15">
        <v>0.76</v>
      </c>
      <c r="E23" s="15">
        <v>0.57000000000000006</v>
      </c>
      <c r="F23" s="15">
        <v>0.48</v>
      </c>
      <c r="G23" s="15">
        <v>0.96</v>
      </c>
      <c r="H23" s="15">
        <v>0.81</v>
      </c>
      <c r="I23" s="15">
        <v>0.77</v>
      </c>
      <c r="J23" s="15">
        <v>0.62</v>
      </c>
      <c r="K23" s="15">
        <v>0.70000000000000007</v>
      </c>
      <c r="L23" s="15">
        <v>0.86</v>
      </c>
      <c r="M23" s="15">
        <v>0.69000000000000006</v>
      </c>
      <c r="N23" s="15">
        <v>0.82000000000000006</v>
      </c>
      <c r="O23" s="15">
        <v>0.78</v>
      </c>
      <c r="P23" s="15">
        <v>0.81</v>
      </c>
      <c r="Q23" s="15">
        <v>0.73</v>
      </c>
      <c r="R23" s="15">
        <v>0.48</v>
      </c>
      <c r="S23" s="15">
        <v>0.78</v>
      </c>
      <c r="T23" s="15">
        <v>0.81</v>
      </c>
      <c r="U23" s="15">
        <v>0.8</v>
      </c>
      <c r="V23" s="15">
        <v>0.67</v>
      </c>
      <c r="W23" s="15">
        <v>0.83000000000000007</v>
      </c>
      <c r="X23" s="15">
        <v>0.84</v>
      </c>
      <c r="Y23" s="15">
        <v>0.68</v>
      </c>
      <c r="Z23" s="15">
        <v>0.84</v>
      </c>
      <c r="AA23" s="15">
        <v>0.94000000000000006</v>
      </c>
      <c r="AB23" s="15">
        <v>0.59</v>
      </c>
      <c r="AC23" s="15">
        <v>0.72</v>
      </c>
      <c r="AD23" s="15">
        <v>0.71</v>
      </c>
      <c r="AE23" s="15">
        <v>0.95000000000000007</v>
      </c>
      <c r="AF23" s="15">
        <v>0.95000000000000007</v>
      </c>
    </row>
    <row r="24" spans="1:32" x14ac:dyDescent="0.35">
      <c r="A24" s="19"/>
      <c r="B24" s="11" t="s">
        <v>770</v>
      </c>
      <c r="C24" s="12">
        <v>5212</v>
      </c>
      <c r="D24" s="12">
        <v>223</v>
      </c>
      <c r="E24" s="12">
        <v>353</v>
      </c>
      <c r="F24" s="12">
        <v>503</v>
      </c>
      <c r="G24" s="12">
        <v>33</v>
      </c>
      <c r="H24" s="12">
        <v>194</v>
      </c>
      <c r="I24" s="12">
        <v>297</v>
      </c>
      <c r="J24" s="12">
        <v>102</v>
      </c>
      <c r="K24" s="12">
        <v>238</v>
      </c>
      <c r="L24" s="12">
        <v>96</v>
      </c>
      <c r="M24" s="12">
        <v>284</v>
      </c>
      <c r="N24" s="12">
        <v>133</v>
      </c>
      <c r="O24" s="12">
        <v>180</v>
      </c>
      <c r="P24" s="12">
        <v>180</v>
      </c>
      <c r="Q24" s="12">
        <v>254</v>
      </c>
      <c r="R24" s="12">
        <v>239</v>
      </c>
      <c r="S24" s="12">
        <v>153</v>
      </c>
      <c r="T24" s="12">
        <v>143</v>
      </c>
      <c r="U24" s="12">
        <v>89</v>
      </c>
      <c r="V24" s="12">
        <v>311</v>
      </c>
      <c r="W24" s="12">
        <v>81</v>
      </c>
      <c r="X24" s="12">
        <v>151</v>
      </c>
      <c r="Y24" s="12">
        <v>288</v>
      </c>
      <c r="Z24" s="12">
        <v>148</v>
      </c>
      <c r="AA24" s="12">
        <v>26</v>
      </c>
      <c r="AB24" s="12">
        <v>373</v>
      </c>
      <c r="AC24" s="12">
        <v>264</v>
      </c>
      <c r="AD24" s="12">
        <v>258</v>
      </c>
      <c r="AE24" s="12">
        <v>35</v>
      </c>
      <c r="AF24" s="12">
        <v>40</v>
      </c>
    </row>
    <row r="25" spans="1:32" x14ac:dyDescent="0.35">
      <c r="A25" s="19"/>
      <c r="B25" s="13" t="s">
        <v>771</v>
      </c>
      <c r="C25" s="15">
        <v>0.2</v>
      </c>
      <c r="D25" s="15">
        <v>0.22</v>
      </c>
      <c r="E25" s="15">
        <v>0.34</v>
      </c>
      <c r="F25" s="15">
        <v>0.46</v>
      </c>
      <c r="G25" s="15">
        <v>0.03</v>
      </c>
      <c r="H25" s="15">
        <v>0.16</v>
      </c>
      <c r="I25" s="15">
        <v>0.2</v>
      </c>
      <c r="J25" s="15">
        <v>0.34</v>
      </c>
      <c r="K25" s="15">
        <v>0.23</v>
      </c>
      <c r="L25" s="15">
        <v>0.09</v>
      </c>
      <c r="M25" s="15">
        <v>0.28000000000000003</v>
      </c>
      <c r="N25" s="15">
        <v>0.13</v>
      </c>
      <c r="O25" s="15">
        <v>0.18</v>
      </c>
      <c r="P25" s="15">
        <v>0.17</v>
      </c>
      <c r="Q25" s="15">
        <v>0.25</v>
      </c>
      <c r="R25" s="15">
        <v>0.48</v>
      </c>
      <c r="S25" s="15">
        <v>0.15</v>
      </c>
      <c r="T25" s="15">
        <v>0.15</v>
      </c>
      <c r="U25" s="15">
        <v>0.18</v>
      </c>
      <c r="V25" s="15">
        <v>0.3</v>
      </c>
      <c r="W25" s="15">
        <v>0.16</v>
      </c>
      <c r="X25" s="15">
        <v>0.15</v>
      </c>
      <c r="Y25" s="15">
        <v>0.28999999999999998</v>
      </c>
      <c r="Z25" s="15">
        <v>0.14000000000000001</v>
      </c>
      <c r="AA25" s="15">
        <v>0.03</v>
      </c>
      <c r="AB25" s="15">
        <v>0.36</v>
      </c>
      <c r="AC25" s="15">
        <v>0.26</v>
      </c>
      <c r="AD25" s="15">
        <v>0.26</v>
      </c>
      <c r="AE25" s="15">
        <v>0.03</v>
      </c>
      <c r="AF25" s="15">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1207</v>
      </c>
      <c r="C3" s="18"/>
      <c r="D3" s="18"/>
      <c r="E3" s="18"/>
      <c r="F3" s="18"/>
      <c r="H3" s="18" t="s">
        <v>1208</v>
      </c>
      <c r="I3" s="18"/>
      <c r="J3" s="18"/>
      <c r="K3" s="18"/>
      <c r="L3" s="18"/>
    </row>
    <row r="4" spans="1:32" ht="27" customHeight="1" x14ac:dyDescent="0.35">
      <c r="B4" s="18" t="s">
        <v>1209</v>
      </c>
      <c r="C4" s="18"/>
      <c r="D4" s="18"/>
      <c r="E4" s="18"/>
      <c r="F4" s="18"/>
      <c r="H4" s="18" t="s">
        <v>1210</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HYPERLINK("#Content!A133","&lt;&lt;Back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9304</v>
      </c>
      <c r="D12" s="12">
        <v>370</v>
      </c>
      <c r="E12" s="12">
        <v>221</v>
      </c>
      <c r="F12" s="12">
        <v>275</v>
      </c>
      <c r="G12" s="12">
        <v>639</v>
      </c>
      <c r="H12" s="12">
        <v>599</v>
      </c>
      <c r="I12" s="12">
        <v>714</v>
      </c>
      <c r="J12" s="12">
        <v>115</v>
      </c>
      <c r="K12" s="12">
        <v>406</v>
      </c>
      <c r="L12" s="12">
        <v>397</v>
      </c>
      <c r="M12" s="12">
        <v>284</v>
      </c>
      <c r="N12" s="12">
        <v>400</v>
      </c>
      <c r="O12" s="12">
        <v>332</v>
      </c>
      <c r="P12" s="12">
        <v>292</v>
      </c>
      <c r="Q12" s="12">
        <v>200</v>
      </c>
      <c r="R12" s="12">
        <v>214</v>
      </c>
      <c r="S12" s="12">
        <v>536</v>
      </c>
      <c r="T12" s="12">
        <v>489</v>
      </c>
      <c r="U12" s="12">
        <v>262</v>
      </c>
      <c r="V12" s="12">
        <v>270</v>
      </c>
      <c r="W12" s="12">
        <v>166</v>
      </c>
      <c r="X12" s="12">
        <v>535</v>
      </c>
      <c r="Y12" s="12">
        <v>396</v>
      </c>
      <c r="Z12" s="12">
        <v>312</v>
      </c>
      <c r="AA12" s="12">
        <v>162</v>
      </c>
      <c r="AB12" s="12">
        <v>178</v>
      </c>
      <c r="AC12" s="12">
        <v>253</v>
      </c>
      <c r="AD12" s="12">
        <v>323</v>
      </c>
      <c r="AE12" s="12">
        <v>589</v>
      </c>
      <c r="AF12" s="12">
        <v>586</v>
      </c>
    </row>
    <row r="13" spans="1:32" x14ac:dyDescent="0.35">
      <c r="A13" s="19"/>
      <c r="B13" s="13" t="s">
        <v>761</v>
      </c>
      <c r="C13" s="15">
        <v>0.35</v>
      </c>
      <c r="D13" s="15">
        <v>0.37</v>
      </c>
      <c r="E13" s="15">
        <v>0.22</v>
      </c>
      <c r="F13" s="15">
        <v>0.25</v>
      </c>
      <c r="G13" s="15">
        <v>0.63</v>
      </c>
      <c r="H13" s="15">
        <v>0.49</v>
      </c>
      <c r="I13" s="15">
        <v>0.47</v>
      </c>
      <c r="J13" s="15">
        <v>0.39</v>
      </c>
      <c r="K13" s="15">
        <v>0.4</v>
      </c>
      <c r="L13" s="15">
        <v>0.39</v>
      </c>
      <c r="M13" s="15">
        <v>0.28000000000000003</v>
      </c>
      <c r="N13" s="15">
        <v>0.4</v>
      </c>
      <c r="O13" s="15">
        <v>0.33</v>
      </c>
      <c r="P13" s="15">
        <v>0.28999999999999998</v>
      </c>
      <c r="Q13" s="15">
        <v>0.19</v>
      </c>
      <c r="R13" s="15">
        <v>0.42</v>
      </c>
      <c r="S13" s="15">
        <v>0.53</v>
      </c>
      <c r="T13" s="15">
        <v>0.49</v>
      </c>
      <c r="U13" s="15">
        <v>0.52</v>
      </c>
      <c r="V13" s="15">
        <v>0.27</v>
      </c>
      <c r="W13" s="15">
        <v>0.32</v>
      </c>
      <c r="X13" s="15">
        <v>0.53</v>
      </c>
      <c r="Y13" s="15">
        <v>0.39</v>
      </c>
      <c r="Z13" s="15">
        <v>0.3</v>
      </c>
      <c r="AA13" s="15">
        <v>0.16</v>
      </c>
      <c r="AB13" s="15">
        <v>0.17</v>
      </c>
      <c r="AC13" s="15">
        <v>0.25</v>
      </c>
      <c r="AD13" s="15">
        <v>0.32</v>
      </c>
      <c r="AE13" s="15">
        <v>0.57999999999999996</v>
      </c>
      <c r="AF13" s="15">
        <v>0.56000000000000005</v>
      </c>
    </row>
    <row r="14" spans="1:32" x14ac:dyDescent="0.35">
      <c r="A14" s="19"/>
      <c r="B14" s="11" t="s">
        <v>762</v>
      </c>
      <c r="C14" s="12">
        <v>11901</v>
      </c>
      <c r="D14" s="12">
        <v>489</v>
      </c>
      <c r="E14" s="12">
        <v>446</v>
      </c>
      <c r="F14" s="12">
        <v>463</v>
      </c>
      <c r="G14" s="12">
        <v>263</v>
      </c>
      <c r="H14" s="12">
        <v>490</v>
      </c>
      <c r="I14" s="12">
        <v>607</v>
      </c>
      <c r="J14" s="12">
        <v>117</v>
      </c>
      <c r="K14" s="12">
        <v>346</v>
      </c>
      <c r="L14" s="12">
        <v>419</v>
      </c>
      <c r="M14" s="12">
        <v>512</v>
      </c>
      <c r="N14" s="12">
        <v>392</v>
      </c>
      <c r="O14" s="12">
        <v>484</v>
      </c>
      <c r="P14" s="12">
        <v>540</v>
      </c>
      <c r="Q14" s="12">
        <v>527</v>
      </c>
      <c r="R14" s="12">
        <v>187</v>
      </c>
      <c r="S14" s="12">
        <v>306</v>
      </c>
      <c r="T14" s="12">
        <v>395</v>
      </c>
      <c r="U14" s="12">
        <v>184</v>
      </c>
      <c r="V14" s="12">
        <v>518</v>
      </c>
      <c r="W14" s="12">
        <v>254</v>
      </c>
      <c r="X14" s="12">
        <v>338</v>
      </c>
      <c r="Y14" s="12">
        <v>382</v>
      </c>
      <c r="Z14" s="12">
        <v>558</v>
      </c>
      <c r="AA14" s="12">
        <v>726</v>
      </c>
      <c r="AB14" s="12">
        <v>486</v>
      </c>
      <c r="AC14" s="12">
        <v>445</v>
      </c>
      <c r="AD14" s="12">
        <v>424</v>
      </c>
      <c r="AE14" s="12">
        <v>345</v>
      </c>
      <c r="AF14" s="12">
        <v>335</v>
      </c>
    </row>
    <row r="15" spans="1:32" x14ac:dyDescent="0.35">
      <c r="A15" s="19"/>
      <c r="B15" s="13" t="s">
        <v>763</v>
      </c>
      <c r="C15" s="15">
        <v>0.45</v>
      </c>
      <c r="D15" s="15">
        <v>0.48</v>
      </c>
      <c r="E15" s="15">
        <v>0.43</v>
      </c>
      <c r="F15" s="15">
        <v>0.42</v>
      </c>
      <c r="G15" s="15">
        <v>0.26</v>
      </c>
      <c r="H15" s="15">
        <v>0.4</v>
      </c>
      <c r="I15" s="15">
        <v>0.4</v>
      </c>
      <c r="J15" s="15">
        <v>0.4</v>
      </c>
      <c r="K15" s="15">
        <v>0.35</v>
      </c>
      <c r="L15" s="15">
        <v>0.42</v>
      </c>
      <c r="M15" s="15">
        <v>0.51</v>
      </c>
      <c r="N15" s="15">
        <v>0.39</v>
      </c>
      <c r="O15" s="15">
        <v>0.48</v>
      </c>
      <c r="P15" s="15">
        <v>0.54</v>
      </c>
      <c r="Q15" s="15">
        <v>0.51</v>
      </c>
      <c r="R15" s="15">
        <v>0.37</v>
      </c>
      <c r="S15" s="15">
        <v>0.31</v>
      </c>
      <c r="T15" s="15">
        <v>0.39</v>
      </c>
      <c r="U15" s="15">
        <v>0.37</v>
      </c>
      <c r="V15" s="15">
        <v>0.51</v>
      </c>
      <c r="W15" s="15">
        <v>0.5</v>
      </c>
      <c r="X15" s="15">
        <v>0.34</v>
      </c>
      <c r="Y15" s="15">
        <v>0.38</v>
      </c>
      <c r="Z15" s="15">
        <v>0.54</v>
      </c>
      <c r="AA15" s="15">
        <v>0.70000000000000007</v>
      </c>
      <c r="AB15" s="15">
        <v>0.46</v>
      </c>
      <c r="AC15" s="15">
        <v>0.44</v>
      </c>
      <c r="AD15" s="15">
        <v>0.42</v>
      </c>
      <c r="AE15" s="15">
        <v>0.34</v>
      </c>
      <c r="AF15" s="15">
        <v>0.32</v>
      </c>
    </row>
    <row r="16" spans="1:32" x14ac:dyDescent="0.35">
      <c r="A16" s="19"/>
      <c r="B16" s="11" t="s">
        <v>764</v>
      </c>
      <c r="C16" s="12">
        <v>2663</v>
      </c>
      <c r="D16" s="12">
        <v>96</v>
      </c>
      <c r="E16" s="12">
        <v>156</v>
      </c>
      <c r="F16" s="12">
        <v>210</v>
      </c>
      <c r="G16" s="12">
        <v>46</v>
      </c>
      <c r="H16" s="12">
        <v>67</v>
      </c>
      <c r="I16" s="12">
        <v>103</v>
      </c>
      <c r="J16" s="12">
        <v>37</v>
      </c>
      <c r="K16" s="12">
        <v>101</v>
      </c>
      <c r="L16" s="12">
        <v>50</v>
      </c>
      <c r="M16" s="12">
        <v>129</v>
      </c>
      <c r="N16" s="12">
        <v>94</v>
      </c>
      <c r="O16" s="12">
        <v>72</v>
      </c>
      <c r="P16" s="12">
        <v>121</v>
      </c>
      <c r="Q16" s="12">
        <v>162</v>
      </c>
      <c r="R16" s="12">
        <v>48</v>
      </c>
      <c r="S16" s="12">
        <v>74</v>
      </c>
      <c r="T16" s="12">
        <v>65</v>
      </c>
      <c r="U16" s="12">
        <v>26</v>
      </c>
      <c r="V16" s="12">
        <v>144</v>
      </c>
      <c r="W16" s="12">
        <v>56</v>
      </c>
      <c r="X16" s="12">
        <v>72</v>
      </c>
      <c r="Y16" s="12">
        <v>92</v>
      </c>
      <c r="Z16" s="12">
        <v>106</v>
      </c>
      <c r="AA16" s="12">
        <v>27</v>
      </c>
      <c r="AB16" s="12">
        <v>232</v>
      </c>
      <c r="AC16" s="12">
        <v>178</v>
      </c>
      <c r="AD16" s="12">
        <v>126</v>
      </c>
      <c r="AE16" s="12">
        <v>31</v>
      </c>
      <c r="AF16" s="12">
        <v>58</v>
      </c>
    </row>
    <row r="17" spans="1:32" x14ac:dyDescent="0.35">
      <c r="A17" s="19"/>
      <c r="B17" s="13" t="s">
        <v>765</v>
      </c>
      <c r="C17" s="15">
        <v>0.1</v>
      </c>
      <c r="D17" s="15">
        <v>0.1</v>
      </c>
      <c r="E17" s="15">
        <v>0.15</v>
      </c>
      <c r="F17" s="15">
        <v>0.19</v>
      </c>
      <c r="G17" s="15">
        <v>0.05</v>
      </c>
      <c r="H17" s="15">
        <v>0.05</v>
      </c>
      <c r="I17" s="15">
        <v>7.0000000000000007E-2</v>
      </c>
      <c r="J17" s="15">
        <v>0.12</v>
      </c>
      <c r="K17" s="15">
        <v>0.1</v>
      </c>
      <c r="L17" s="15">
        <v>0.05</v>
      </c>
      <c r="M17" s="15">
        <v>0.13</v>
      </c>
      <c r="N17" s="15">
        <v>0.09</v>
      </c>
      <c r="O17" s="15">
        <v>7.0000000000000007E-2</v>
      </c>
      <c r="P17" s="15">
        <v>0.12</v>
      </c>
      <c r="Q17" s="15">
        <v>0.16</v>
      </c>
      <c r="R17" s="15">
        <v>0.1</v>
      </c>
      <c r="S17" s="15">
        <v>7.0000000000000007E-2</v>
      </c>
      <c r="T17" s="15">
        <v>7.0000000000000007E-2</v>
      </c>
      <c r="U17" s="15">
        <v>0.05</v>
      </c>
      <c r="V17" s="15">
        <v>0.14000000000000001</v>
      </c>
      <c r="W17" s="15">
        <v>0.11</v>
      </c>
      <c r="X17" s="15">
        <v>7.0000000000000007E-2</v>
      </c>
      <c r="Y17" s="15">
        <v>0.09</v>
      </c>
      <c r="Z17" s="15">
        <v>0.1</v>
      </c>
      <c r="AA17" s="15">
        <v>0.03</v>
      </c>
      <c r="AB17" s="15">
        <v>0.22</v>
      </c>
      <c r="AC17" s="15">
        <v>0.18</v>
      </c>
      <c r="AD17" s="15">
        <v>0.13</v>
      </c>
      <c r="AE17" s="15">
        <v>0.03</v>
      </c>
      <c r="AF17" s="15">
        <v>0.06</v>
      </c>
    </row>
    <row r="18" spans="1:32" x14ac:dyDescent="0.35">
      <c r="A18" s="19"/>
      <c r="B18" s="11" t="s">
        <v>766</v>
      </c>
      <c r="C18" s="12">
        <v>1278</v>
      </c>
      <c r="D18" s="12">
        <v>35</v>
      </c>
      <c r="E18" s="12">
        <v>83</v>
      </c>
      <c r="F18" s="12">
        <v>98</v>
      </c>
      <c r="G18" s="12">
        <v>22</v>
      </c>
      <c r="H18" s="12">
        <v>33</v>
      </c>
      <c r="I18" s="12">
        <v>53</v>
      </c>
      <c r="J18" s="12">
        <v>20</v>
      </c>
      <c r="K18" s="12">
        <v>72</v>
      </c>
      <c r="L18" s="12">
        <v>39</v>
      </c>
      <c r="M18" s="12">
        <v>54</v>
      </c>
      <c r="N18" s="12">
        <v>38</v>
      </c>
      <c r="O18" s="12">
        <v>45</v>
      </c>
      <c r="P18" s="12">
        <v>29</v>
      </c>
      <c r="Q18" s="12">
        <v>77</v>
      </c>
      <c r="R18" s="12">
        <v>41</v>
      </c>
      <c r="S18" s="12">
        <v>30</v>
      </c>
      <c r="T18" s="12">
        <v>12</v>
      </c>
      <c r="U18" s="12">
        <v>12</v>
      </c>
      <c r="V18" s="12">
        <v>51</v>
      </c>
      <c r="W18" s="12">
        <v>24</v>
      </c>
      <c r="X18" s="12">
        <v>40</v>
      </c>
      <c r="Y18" s="12">
        <v>77</v>
      </c>
      <c r="Z18" s="12">
        <v>37</v>
      </c>
      <c r="AA18" s="12">
        <v>6</v>
      </c>
      <c r="AB18" s="12">
        <v>95</v>
      </c>
      <c r="AC18" s="12">
        <v>106</v>
      </c>
      <c r="AD18" s="12">
        <v>79</v>
      </c>
      <c r="AE18" s="12">
        <v>18</v>
      </c>
      <c r="AF18" s="12">
        <v>45</v>
      </c>
    </row>
    <row r="19" spans="1:32" x14ac:dyDescent="0.35">
      <c r="A19" s="19"/>
      <c r="B19" s="13" t="s">
        <v>767</v>
      </c>
      <c r="C19" s="15">
        <v>0.05</v>
      </c>
      <c r="D19" s="15">
        <v>0.03</v>
      </c>
      <c r="E19" s="15">
        <v>0.08</v>
      </c>
      <c r="F19" s="15">
        <v>0.09</v>
      </c>
      <c r="G19" s="15">
        <v>0.02</v>
      </c>
      <c r="H19" s="15">
        <v>0.03</v>
      </c>
      <c r="I19" s="15">
        <v>0.03</v>
      </c>
      <c r="J19" s="15">
        <v>7.0000000000000007E-2</v>
      </c>
      <c r="K19" s="15">
        <v>7.0000000000000007E-2</v>
      </c>
      <c r="L19" s="15">
        <v>0.04</v>
      </c>
      <c r="M19" s="15">
        <v>0.05</v>
      </c>
      <c r="N19" s="15">
        <v>0.04</v>
      </c>
      <c r="O19" s="15">
        <v>0.05</v>
      </c>
      <c r="P19" s="15">
        <v>0.03</v>
      </c>
      <c r="Q19" s="15">
        <v>0.08</v>
      </c>
      <c r="R19" s="15">
        <v>0.08</v>
      </c>
      <c r="S19" s="15">
        <v>0.03</v>
      </c>
      <c r="T19" s="15">
        <v>0.01</v>
      </c>
      <c r="U19" s="15">
        <v>0.02</v>
      </c>
      <c r="V19" s="15">
        <v>0.05</v>
      </c>
      <c r="W19" s="15">
        <v>0.05</v>
      </c>
      <c r="X19" s="15">
        <v>0.04</v>
      </c>
      <c r="Y19" s="15">
        <v>0.08</v>
      </c>
      <c r="Z19" s="15">
        <v>0.04</v>
      </c>
      <c r="AA19" s="14" t="s">
        <v>475</v>
      </c>
      <c r="AB19" s="15">
        <v>0.09</v>
      </c>
      <c r="AC19" s="15">
        <v>0.11</v>
      </c>
      <c r="AD19" s="15">
        <v>0.08</v>
      </c>
      <c r="AE19" s="15">
        <v>0.02</v>
      </c>
      <c r="AF19" s="15">
        <v>0.04</v>
      </c>
    </row>
    <row r="20" spans="1:32" x14ac:dyDescent="0.35">
      <c r="A20" s="19"/>
      <c r="B20" s="11" t="s">
        <v>485</v>
      </c>
      <c r="C20" s="12">
        <v>1298</v>
      </c>
      <c r="D20" s="12">
        <v>24</v>
      </c>
      <c r="E20" s="12">
        <v>123</v>
      </c>
      <c r="F20" s="12">
        <v>56</v>
      </c>
      <c r="G20" s="12">
        <v>37</v>
      </c>
      <c r="H20" s="12">
        <v>32</v>
      </c>
      <c r="I20" s="12">
        <v>39</v>
      </c>
      <c r="J20" s="12">
        <v>7</v>
      </c>
      <c r="K20" s="12">
        <v>77</v>
      </c>
      <c r="L20" s="12">
        <v>97</v>
      </c>
      <c r="M20" s="12">
        <v>30</v>
      </c>
      <c r="N20" s="12">
        <v>79</v>
      </c>
      <c r="O20" s="12">
        <v>68</v>
      </c>
      <c r="P20" s="12">
        <v>23</v>
      </c>
      <c r="Q20" s="12">
        <v>61</v>
      </c>
      <c r="R20" s="12">
        <v>13</v>
      </c>
      <c r="S20" s="12">
        <v>56</v>
      </c>
      <c r="T20" s="12">
        <v>44</v>
      </c>
      <c r="U20" s="12">
        <v>20</v>
      </c>
      <c r="V20" s="12">
        <v>32</v>
      </c>
      <c r="W20" s="12">
        <v>9</v>
      </c>
      <c r="X20" s="12">
        <v>23</v>
      </c>
      <c r="Y20" s="12">
        <v>57</v>
      </c>
      <c r="Z20" s="12">
        <v>18</v>
      </c>
      <c r="AA20" s="12">
        <v>112</v>
      </c>
      <c r="AB20" s="12">
        <v>60</v>
      </c>
      <c r="AC20" s="12">
        <v>21</v>
      </c>
      <c r="AD20" s="12">
        <v>52</v>
      </c>
      <c r="AE20" s="12">
        <v>29</v>
      </c>
      <c r="AF20" s="12">
        <v>20</v>
      </c>
    </row>
    <row r="21" spans="1:32" x14ac:dyDescent="0.35">
      <c r="A21" s="19"/>
      <c r="B21" s="13" t="s">
        <v>486</v>
      </c>
      <c r="C21" s="15">
        <v>0.05</v>
      </c>
      <c r="D21" s="15">
        <v>0.02</v>
      </c>
      <c r="E21" s="15">
        <v>0.12</v>
      </c>
      <c r="F21" s="15">
        <v>0.05</v>
      </c>
      <c r="G21" s="15">
        <v>0.04</v>
      </c>
      <c r="H21" s="15">
        <v>0.03</v>
      </c>
      <c r="I21" s="15">
        <v>0.03</v>
      </c>
      <c r="J21" s="15">
        <v>0.02</v>
      </c>
      <c r="K21" s="15">
        <v>0.08</v>
      </c>
      <c r="L21" s="15">
        <v>0.1</v>
      </c>
      <c r="M21" s="15">
        <v>0.03</v>
      </c>
      <c r="N21" s="15">
        <v>0.08</v>
      </c>
      <c r="O21" s="15">
        <v>7.0000000000000007E-2</v>
      </c>
      <c r="P21" s="15">
        <v>0.02</v>
      </c>
      <c r="Q21" s="15">
        <v>0.06</v>
      </c>
      <c r="R21" s="15">
        <v>0.03</v>
      </c>
      <c r="S21" s="15">
        <v>0.06</v>
      </c>
      <c r="T21" s="15">
        <v>0.04</v>
      </c>
      <c r="U21" s="15">
        <v>0.04</v>
      </c>
      <c r="V21" s="15">
        <v>0.03</v>
      </c>
      <c r="W21" s="15">
        <v>0.02</v>
      </c>
      <c r="X21" s="15">
        <v>0.02</v>
      </c>
      <c r="Y21" s="15">
        <v>0.06</v>
      </c>
      <c r="Z21" s="15">
        <v>0.02</v>
      </c>
      <c r="AA21" s="15">
        <v>0.11</v>
      </c>
      <c r="AB21" s="15">
        <v>0.06</v>
      </c>
      <c r="AC21" s="15">
        <v>0.02</v>
      </c>
      <c r="AD21" s="15">
        <v>0.05</v>
      </c>
      <c r="AE21" s="15">
        <v>0.03</v>
      </c>
      <c r="AF21" s="15">
        <v>0.02</v>
      </c>
    </row>
    <row r="22" spans="1:32" x14ac:dyDescent="0.35">
      <c r="A22" s="19"/>
      <c r="B22" s="11" t="s">
        <v>768</v>
      </c>
      <c r="C22" s="12">
        <v>21205</v>
      </c>
      <c r="D22" s="12">
        <v>859</v>
      </c>
      <c r="E22" s="12">
        <v>667</v>
      </c>
      <c r="F22" s="12">
        <v>738</v>
      </c>
      <c r="G22" s="12">
        <v>902</v>
      </c>
      <c r="H22" s="12">
        <v>1089</v>
      </c>
      <c r="I22" s="12">
        <v>1321</v>
      </c>
      <c r="J22" s="12">
        <v>232</v>
      </c>
      <c r="K22" s="12">
        <v>752</v>
      </c>
      <c r="L22" s="12">
        <v>816</v>
      </c>
      <c r="M22" s="12">
        <v>796</v>
      </c>
      <c r="N22" s="12">
        <v>792</v>
      </c>
      <c r="O22" s="12">
        <v>816</v>
      </c>
      <c r="P22" s="12">
        <v>832</v>
      </c>
      <c r="Q22" s="12">
        <v>727</v>
      </c>
      <c r="R22" s="12">
        <v>401</v>
      </c>
      <c r="S22" s="12">
        <v>842</v>
      </c>
      <c r="T22" s="12">
        <v>884</v>
      </c>
      <c r="U22" s="12">
        <v>446</v>
      </c>
      <c r="V22" s="12">
        <v>788</v>
      </c>
      <c r="W22" s="12">
        <v>420</v>
      </c>
      <c r="X22" s="12">
        <v>873</v>
      </c>
      <c r="Y22" s="12">
        <v>778</v>
      </c>
      <c r="Z22" s="12">
        <v>870</v>
      </c>
      <c r="AA22" s="12">
        <v>888</v>
      </c>
      <c r="AB22" s="12">
        <v>664</v>
      </c>
      <c r="AC22" s="12">
        <v>698</v>
      </c>
      <c r="AD22" s="12">
        <v>747</v>
      </c>
      <c r="AE22" s="12">
        <v>934</v>
      </c>
      <c r="AF22" s="12">
        <v>921</v>
      </c>
    </row>
    <row r="23" spans="1:32" x14ac:dyDescent="0.35">
      <c r="A23" s="19"/>
      <c r="B23" s="13" t="s">
        <v>769</v>
      </c>
      <c r="C23" s="15">
        <v>0.8</v>
      </c>
      <c r="D23" s="15">
        <v>0.85</v>
      </c>
      <c r="E23" s="15">
        <v>0.65</v>
      </c>
      <c r="F23" s="15">
        <v>0.67</v>
      </c>
      <c r="G23" s="15">
        <v>0.89</v>
      </c>
      <c r="H23" s="15">
        <v>0.89</v>
      </c>
      <c r="I23" s="15">
        <v>0.87</v>
      </c>
      <c r="J23" s="15">
        <v>0.79</v>
      </c>
      <c r="K23" s="15">
        <v>0.75</v>
      </c>
      <c r="L23" s="15">
        <v>0.81</v>
      </c>
      <c r="M23" s="15">
        <v>0.79</v>
      </c>
      <c r="N23" s="15">
        <v>0.79</v>
      </c>
      <c r="O23" s="15">
        <v>0.81</v>
      </c>
      <c r="P23" s="15">
        <v>0.83000000000000007</v>
      </c>
      <c r="Q23" s="15">
        <v>0.70000000000000007</v>
      </c>
      <c r="R23" s="15">
        <v>0.79</v>
      </c>
      <c r="S23" s="15">
        <v>0.84</v>
      </c>
      <c r="T23" s="15">
        <v>0.88</v>
      </c>
      <c r="U23" s="15">
        <v>0.89</v>
      </c>
      <c r="V23" s="15">
        <v>0.78</v>
      </c>
      <c r="W23" s="15">
        <v>0.82000000000000006</v>
      </c>
      <c r="X23" s="15">
        <v>0.87</v>
      </c>
      <c r="Y23" s="15">
        <v>0.77</v>
      </c>
      <c r="Z23" s="15">
        <v>0.84</v>
      </c>
      <c r="AA23" s="15">
        <v>0.86</v>
      </c>
      <c r="AB23" s="15">
        <v>0.63</v>
      </c>
      <c r="AC23" s="15">
        <v>0.69000000000000006</v>
      </c>
      <c r="AD23" s="15">
        <v>0.74</v>
      </c>
      <c r="AE23" s="15">
        <v>0.92</v>
      </c>
      <c r="AF23" s="15">
        <v>0.88</v>
      </c>
    </row>
    <row r="24" spans="1:32" x14ac:dyDescent="0.35">
      <c r="A24" s="19"/>
      <c r="B24" s="11" t="s">
        <v>770</v>
      </c>
      <c r="C24" s="12">
        <v>3941</v>
      </c>
      <c r="D24" s="12">
        <v>131</v>
      </c>
      <c r="E24" s="12">
        <v>239</v>
      </c>
      <c r="F24" s="12">
        <v>308</v>
      </c>
      <c r="G24" s="12">
        <v>68</v>
      </c>
      <c r="H24" s="12">
        <v>100</v>
      </c>
      <c r="I24" s="12">
        <v>156</v>
      </c>
      <c r="J24" s="12">
        <v>57</v>
      </c>
      <c r="K24" s="12">
        <v>173</v>
      </c>
      <c r="L24" s="12">
        <v>89</v>
      </c>
      <c r="M24" s="12">
        <v>183</v>
      </c>
      <c r="N24" s="12">
        <v>132</v>
      </c>
      <c r="O24" s="12">
        <v>117</v>
      </c>
      <c r="P24" s="12">
        <v>150</v>
      </c>
      <c r="Q24" s="12">
        <v>239</v>
      </c>
      <c r="R24" s="12">
        <v>89</v>
      </c>
      <c r="S24" s="12">
        <v>104</v>
      </c>
      <c r="T24" s="12">
        <v>77</v>
      </c>
      <c r="U24" s="12">
        <v>38</v>
      </c>
      <c r="V24" s="12">
        <v>195</v>
      </c>
      <c r="W24" s="12">
        <v>80</v>
      </c>
      <c r="X24" s="12">
        <v>112</v>
      </c>
      <c r="Y24" s="12">
        <v>169</v>
      </c>
      <c r="Z24" s="12">
        <v>143</v>
      </c>
      <c r="AA24" s="12">
        <v>33</v>
      </c>
      <c r="AB24" s="12">
        <v>327</v>
      </c>
      <c r="AC24" s="12">
        <v>284</v>
      </c>
      <c r="AD24" s="12">
        <v>205</v>
      </c>
      <c r="AE24" s="12">
        <v>49</v>
      </c>
      <c r="AF24" s="12">
        <v>103</v>
      </c>
    </row>
    <row r="25" spans="1:32" x14ac:dyDescent="0.35">
      <c r="A25" s="19"/>
      <c r="B25" s="13" t="s">
        <v>771</v>
      </c>
      <c r="C25" s="15">
        <v>0.15</v>
      </c>
      <c r="D25" s="15">
        <v>0.13</v>
      </c>
      <c r="E25" s="15">
        <v>0.23</v>
      </c>
      <c r="F25" s="15">
        <v>0.28000000000000003</v>
      </c>
      <c r="G25" s="15">
        <v>7.0000000000000007E-2</v>
      </c>
      <c r="H25" s="15">
        <v>0.08</v>
      </c>
      <c r="I25" s="15">
        <v>0.1</v>
      </c>
      <c r="J25" s="15">
        <v>0.19</v>
      </c>
      <c r="K25" s="15">
        <v>0.17</v>
      </c>
      <c r="L25" s="15">
        <v>0.09</v>
      </c>
      <c r="M25" s="15">
        <v>0.18</v>
      </c>
      <c r="N25" s="15">
        <v>0.13</v>
      </c>
      <c r="O25" s="15">
        <v>0.12</v>
      </c>
      <c r="P25" s="15">
        <v>0.15</v>
      </c>
      <c r="Q25" s="15">
        <v>0.24</v>
      </c>
      <c r="R25" s="15">
        <v>0.18</v>
      </c>
      <c r="S25" s="15">
        <v>0.1</v>
      </c>
      <c r="T25" s="15">
        <v>0.08</v>
      </c>
      <c r="U25" s="15">
        <v>7.0000000000000007E-2</v>
      </c>
      <c r="V25" s="15">
        <v>0.19</v>
      </c>
      <c r="W25" s="15">
        <v>0.16</v>
      </c>
      <c r="X25" s="15">
        <v>0.11</v>
      </c>
      <c r="Y25" s="15">
        <v>0.17</v>
      </c>
      <c r="Z25" s="15">
        <v>0.14000000000000001</v>
      </c>
      <c r="AA25" s="15">
        <v>0.03</v>
      </c>
      <c r="AB25" s="15">
        <v>0.31</v>
      </c>
      <c r="AC25" s="15">
        <v>0.28999999999999998</v>
      </c>
      <c r="AD25" s="15">
        <v>0.21</v>
      </c>
      <c r="AE25" s="15">
        <v>0.05</v>
      </c>
      <c r="AF25" s="15">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1211</v>
      </c>
      <c r="C3" s="18"/>
      <c r="D3" s="18"/>
      <c r="E3" s="18"/>
      <c r="F3" s="18"/>
      <c r="H3" s="18" t="s">
        <v>1212</v>
      </c>
      <c r="I3" s="18"/>
      <c r="J3" s="18"/>
      <c r="K3" s="18"/>
      <c r="L3" s="18"/>
    </row>
    <row r="4" spans="1:32" ht="27" customHeight="1" x14ac:dyDescent="0.35">
      <c r="B4" s="18" t="s">
        <v>1213</v>
      </c>
      <c r="C4" s="18"/>
      <c r="D4" s="18"/>
      <c r="E4" s="18"/>
      <c r="F4" s="18"/>
      <c r="H4" s="18" t="s">
        <v>1214</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HYPERLINK("#Content!A134","&lt;&lt;Back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6272</v>
      </c>
      <c r="D12" s="12">
        <v>209</v>
      </c>
      <c r="E12" s="12">
        <v>127</v>
      </c>
      <c r="F12" s="12">
        <v>162</v>
      </c>
      <c r="G12" s="12">
        <v>479</v>
      </c>
      <c r="H12" s="12">
        <v>425</v>
      </c>
      <c r="I12" s="12">
        <v>487</v>
      </c>
      <c r="J12" s="12">
        <v>63</v>
      </c>
      <c r="K12" s="12">
        <v>222</v>
      </c>
      <c r="L12" s="12">
        <v>318</v>
      </c>
      <c r="M12" s="12">
        <v>139</v>
      </c>
      <c r="N12" s="12">
        <v>256</v>
      </c>
      <c r="O12" s="12">
        <v>235</v>
      </c>
      <c r="P12" s="12">
        <v>220</v>
      </c>
      <c r="Q12" s="12">
        <v>132</v>
      </c>
      <c r="R12" s="12">
        <v>157</v>
      </c>
      <c r="S12" s="12">
        <v>302</v>
      </c>
      <c r="T12" s="12">
        <v>327</v>
      </c>
      <c r="U12" s="12">
        <v>157</v>
      </c>
      <c r="V12" s="12">
        <v>220</v>
      </c>
      <c r="W12" s="12">
        <v>101</v>
      </c>
      <c r="X12" s="12">
        <v>353</v>
      </c>
      <c r="Y12" s="12">
        <v>290</v>
      </c>
      <c r="Z12" s="12">
        <v>250</v>
      </c>
      <c r="AA12" s="12">
        <v>106</v>
      </c>
      <c r="AB12" s="12">
        <v>135</v>
      </c>
      <c r="AC12" s="12">
        <v>166</v>
      </c>
      <c r="AD12" s="12">
        <v>170</v>
      </c>
      <c r="AE12" s="12">
        <v>345</v>
      </c>
      <c r="AF12" s="12">
        <v>314</v>
      </c>
    </row>
    <row r="13" spans="1:32" x14ac:dyDescent="0.35">
      <c r="A13" s="19"/>
      <c r="B13" s="13" t="s">
        <v>761</v>
      </c>
      <c r="C13" s="15">
        <v>0.24</v>
      </c>
      <c r="D13" s="15">
        <v>0.21</v>
      </c>
      <c r="E13" s="15">
        <v>0.12</v>
      </c>
      <c r="F13" s="15">
        <v>0.15</v>
      </c>
      <c r="G13" s="15">
        <v>0.48</v>
      </c>
      <c r="H13" s="15">
        <v>0.35</v>
      </c>
      <c r="I13" s="15">
        <v>0.32</v>
      </c>
      <c r="J13" s="15">
        <v>0.21</v>
      </c>
      <c r="K13" s="15">
        <v>0.22</v>
      </c>
      <c r="L13" s="15">
        <v>0.32</v>
      </c>
      <c r="M13" s="15">
        <v>0.14000000000000001</v>
      </c>
      <c r="N13" s="15">
        <v>0.25</v>
      </c>
      <c r="O13" s="15">
        <v>0.23</v>
      </c>
      <c r="P13" s="15">
        <v>0.22</v>
      </c>
      <c r="Q13" s="15">
        <v>0.13</v>
      </c>
      <c r="R13" s="15">
        <v>0.31</v>
      </c>
      <c r="S13" s="15">
        <v>0.3</v>
      </c>
      <c r="T13" s="15">
        <v>0.33</v>
      </c>
      <c r="U13" s="15">
        <v>0.31</v>
      </c>
      <c r="V13" s="15">
        <v>0.22</v>
      </c>
      <c r="W13" s="15">
        <v>0.2</v>
      </c>
      <c r="X13" s="15">
        <v>0.35</v>
      </c>
      <c r="Y13" s="15">
        <v>0.28999999999999998</v>
      </c>
      <c r="Z13" s="15">
        <v>0.24</v>
      </c>
      <c r="AA13" s="15">
        <v>0.1</v>
      </c>
      <c r="AB13" s="15">
        <v>0.13</v>
      </c>
      <c r="AC13" s="15">
        <v>0.17</v>
      </c>
      <c r="AD13" s="15">
        <v>0.17</v>
      </c>
      <c r="AE13" s="15">
        <v>0.34</v>
      </c>
      <c r="AF13" s="15">
        <v>0.3</v>
      </c>
    </row>
    <row r="14" spans="1:32" x14ac:dyDescent="0.35">
      <c r="A14" s="19"/>
      <c r="B14" s="11" t="s">
        <v>762</v>
      </c>
      <c r="C14" s="12">
        <v>10812</v>
      </c>
      <c r="D14" s="12">
        <v>479</v>
      </c>
      <c r="E14" s="12">
        <v>325</v>
      </c>
      <c r="F14" s="12">
        <v>368</v>
      </c>
      <c r="G14" s="12">
        <v>340</v>
      </c>
      <c r="H14" s="12">
        <v>479</v>
      </c>
      <c r="I14" s="12">
        <v>580</v>
      </c>
      <c r="J14" s="12">
        <v>101</v>
      </c>
      <c r="K14" s="12">
        <v>372</v>
      </c>
      <c r="L14" s="12">
        <v>384</v>
      </c>
      <c r="M14" s="12">
        <v>373</v>
      </c>
      <c r="N14" s="12">
        <v>373</v>
      </c>
      <c r="O14" s="12">
        <v>370</v>
      </c>
      <c r="P14" s="12">
        <v>458</v>
      </c>
      <c r="Q14" s="12">
        <v>422</v>
      </c>
      <c r="R14" s="12">
        <v>176</v>
      </c>
      <c r="S14" s="12">
        <v>323</v>
      </c>
      <c r="T14" s="12">
        <v>436</v>
      </c>
      <c r="U14" s="12">
        <v>192</v>
      </c>
      <c r="V14" s="12">
        <v>482</v>
      </c>
      <c r="W14" s="12">
        <v>248</v>
      </c>
      <c r="X14" s="12">
        <v>411</v>
      </c>
      <c r="Y14" s="12">
        <v>349</v>
      </c>
      <c r="Z14" s="12">
        <v>570</v>
      </c>
      <c r="AA14" s="12">
        <v>685</v>
      </c>
      <c r="AB14" s="12">
        <v>446</v>
      </c>
      <c r="AC14" s="12">
        <v>312</v>
      </c>
      <c r="AD14" s="12">
        <v>383</v>
      </c>
      <c r="AE14" s="12">
        <v>417</v>
      </c>
      <c r="AF14" s="12">
        <v>437</v>
      </c>
    </row>
    <row r="15" spans="1:32" x14ac:dyDescent="0.35">
      <c r="A15" s="19"/>
      <c r="B15" s="13" t="s">
        <v>763</v>
      </c>
      <c r="C15" s="15">
        <v>0.41</v>
      </c>
      <c r="D15" s="15">
        <v>0.47</v>
      </c>
      <c r="E15" s="15">
        <v>0.32</v>
      </c>
      <c r="F15" s="15">
        <v>0.33</v>
      </c>
      <c r="G15" s="15">
        <v>0.34</v>
      </c>
      <c r="H15" s="15">
        <v>0.39</v>
      </c>
      <c r="I15" s="15">
        <v>0.38</v>
      </c>
      <c r="J15" s="15">
        <v>0.34</v>
      </c>
      <c r="K15" s="15">
        <v>0.37</v>
      </c>
      <c r="L15" s="15">
        <v>0.38</v>
      </c>
      <c r="M15" s="15">
        <v>0.37</v>
      </c>
      <c r="N15" s="15">
        <v>0.37</v>
      </c>
      <c r="O15" s="15">
        <v>0.37</v>
      </c>
      <c r="P15" s="15">
        <v>0.46</v>
      </c>
      <c r="Q15" s="15">
        <v>0.41</v>
      </c>
      <c r="R15" s="15">
        <v>0.35</v>
      </c>
      <c r="S15" s="15">
        <v>0.32</v>
      </c>
      <c r="T15" s="15">
        <v>0.43</v>
      </c>
      <c r="U15" s="15">
        <v>0.38</v>
      </c>
      <c r="V15" s="15">
        <v>0.48</v>
      </c>
      <c r="W15" s="15">
        <v>0.49</v>
      </c>
      <c r="X15" s="15">
        <v>0.41</v>
      </c>
      <c r="Y15" s="15">
        <v>0.35</v>
      </c>
      <c r="Z15" s="15">
        <v>0.55000000000000004</v>
      </c>
      <c r="AA15" s="15">
        <v>0.66</v>
      </c>
      <c r="AB15" s="15">
        <v>0.42</v>
      </c>
      <c r="AC15" s="15">
        <v>0.31</v>
      </c>
      <c r="AD15" s="15">
        <v>0.38</v>
      </c>
      <c r="AE15" s="15">
        <v>0.41</v>
      </c>
      <c r="AF15" s="15">
        <v>0.42</v>
      </c>
    </row>
    <row r="16" spans="1:32" x14ac:dyDescent="0.35">
      <c r="A16" s="19"/>
      <c r="B16" s="11" t="s">
        <v>764</v>
      </c>
      <c r="C16" s="12">
        <v>4944</v>
      </c>
      <c r="D16" s="12">
        <v>213</v>
      </c>
      <c r="E16" s="12">
        <v>258</v>
      </c>
      <c r="F16" s="12">
        <v>309</v>
      </c>
      <c r="G16" s="12">
        <v>103</v>
      </c>
      <c r="H16" s="12">
        <v>176</v>
      </c>
      <c r="I16" s="12">
        <v>246</v>
      </c>
      <c r="J16" s="12">
        <v>70</v>
      </c>
      <c r="K16" s="12">
        <v>183</v>
      </c>
      <c r="L16" s="12">
        <v>142</v>
      </c>
      <c r="M16" s="12">
        <v>225</v>
      </c>
      <c r="N16" s="12">
        <v>156</v>
      </c>
      <c r="O16" s="12">
        <v>191</v>
      </c>
      <c r="P16" s="12">
        <v>222</v>
      </c>
      <c r="Q16" s="12">
        <v>283</v>
      </c>
      <c r="R16" s="12">
        <v>90</v>
      </c>
      <c r="S16" s="12">
        <v>190</v>
      </c>
      <c r="T16" s="12">
        <v>135</v>
      </c>
      <c r="U16" s="12">
        <v>71</v>
      </c>
      <c r="V16" s="12">
        <v>206</v>
      </c>
      <c r="W16" s="12">
        <v>99</v>
      </c>
      <c r="X16" s="12">
        <v>166</v>
      </c>
      <c r="Y16" s="12">
        <v>137</v>
      </c>
      <c r="Z16" s="12">
        <v>136</v>
      </c>
      <c r="AA16" s="12">
        <v>81</v>
      </c>
      <c r="AB16" s="12">
        <v>237</v>
      </c>
      <c r="AC16" s="12">
        <v>304</v>
      </c>
      <c r="AD16" s="12">
        <v>232</v>
      </c>
      <c r="AE16" s="12">
        <v>141</v>
      </c>
      <c r="AF16" s="12">
        <v>157</v>
      </c>
    </row>
    <row r="17" spans="1:32" x14ac:dyDescent="0.35">
      <c r="A17" s="19"/>
      <c r="B17" s="13" t="s">
        <v>765</v>
      </c>
      <c r="C17" s="15">
        <v>0.18</v>
      </c>
      <c r="D17" s="15">
        <v>0.21</v>
      </c>
      <c r="E17" s="15">
        <v>0.25</v>
      </c>
      <c r="F17" s="15">
        <v>0.28000000000000003</v>
      </c>
      <c r="G17" s="15">
        <v>0.1</v>
      </c>
      <c r="H17" s="15">
        <v>0.14000000000000001</v>
      </c>
      <c r="I17" s="15">
        <v>0.16</v>
      </c>
      <c r="J17" s="15">
        <v>0.24</v>
      </c>
      <c r="K17" s="15">
        <v>0.18</v>
      </c>
      <c r="L17" s="15">
        <v>0.14000000000000001</v>
      </c>
      <c r="M17" s="15">
        <v>0.22</v>
      </c>
      <c r="N17" s="15">
        <v>0.16</v>
      </c>
      <c r="O17" s="15">
        <v>0.19</v>
      </c>
      <c r="P17" s="15">
        <v>0.22</v>
      </c>
      <c r="Q17" s="15">
        <v>0.27</v>
      </c>
      <c r="R17" s="15">
        <v>0.18</v>
      </c>
      <c r="S17" s="15">
        <v>0.19</v>
      </c>
      <c r="T17" s="15">
        <v>0.13</v>
      </c>
      <c r="U17" s="15">
        <v>0.14000000000000001</v>
      </c>
      <c r="V17" s="15">
        <v>0.2</v>
      </c>
      <c r="W17" s="15">
        <v>0.19</v>
      </c>
      <c r="X17" s="15">
        <v>0.16</v>
      </c>
      <c r="Y17" s="15">
        <v>0.13</v>
      </c>
      <c r="Z17" s="15">
        <v>0.13</v>
      </c>
      <c r="AA17" s="15">
        <v>0.08</v>
      </c>
      <c r="AB17" s="15">
        <v>0.23</v>
      </c>
      <c r="AC17" s="15">
        <v>0.3</v>
      </c>
      <c r="AD17" s="15">
        <v>0.23</v>
      </c>
      <c r="AE17" s="15">
        <v>0.14000000000000001</v>
      </c>
      <c r="AF17" s="15">
        <v>0.15</v>
      </c>
    </row>
    <row r="18" spans="1:32" x14ac:dyDescent="0.35">
      <c r="A18" s="19"/>
      <c r="B18" s="11" t="s">
        <v>766</v>
      </c>
      <c r="C18" s="12">
        <v>2586</v>
      </c>
      <c r="D18" s="12">
        <v>78</v>
      </c>
      <c r="E18" s="12">
        <v>168</v>
      </c>
      <c r="F18" s="12">
        <v>199</v>
      </c>
      <c r="G18" s="12">
        <v>34</v>
      </c>
      <c r="H18" s="12">
        <v>72</v>
      </c>
      <c r="I18" s="12">
        <v>117</v>
      </c>
      <c r="J18" s="12">
        <v>45</v>
      </c>
      <c r="K18" s="12">
        <v>129</v>
      </c>
      <c r="L18" s="12">
        <v>71</v>
      </c>
      <c r="M18" s="12">
        <v>200</v>
      </c>
      <c r="N18" s="12">
        <v>121</v>
      </c>
      <c r="O18" s="12">
        <v>79</v>
      </c>
      <c r="P18" s="12">
        <v>58</v>
      </c>
      <c r="Q18" s="12">
        <v>140</v>
      </c>
      <c r="R18" s="12">
        <v>65</v>
      </c>
      <c r="S18" s="12">
        <v>102</v>
      </c>
      <c r="T18" s="12">
        <v>57</v>
      </c>
      <c r="U18" s="12">
        <v>43</v>
      </c>
      <c r="V18" s="12">
        <v>74</v>
      </c>
      <c r="W18" s="12">
        <v>46</v>
      </c>
      <c r="X18" s="12">
        <v>60</v>
      </c>
      <c r="Y18" s="12">
        <v>149</v>
      </c>
      <c r="Z18" s="12">
        <v>50</v>
      </c>
      <c r="AA18" s="12">
        <v>32</v>
      </c>
      <c r="AB18" s="12">
        <v>165</v>
      </c>
      <c r="AC18" s="12">
        <v>195</v>
      </c>
      <c r="AD18" s="12">
        <v>145</v>
      </c>
      <c r="AE18" s="12">
        <v>30</v>
      </c>
      <c r="AF18" s="12">
        <v>91</v>
      </c>
    </row>
    <row r="19" spans="1:32" x14ac:dyDescent="0.35">
      <c r="A19" s="19"/>
      <c r="B19" s="13" t="s">
        <v>767</v>
      </c>
      <c r="C19" s="15">
        <v>0.1</v>
      </c>
      <c r="D19" s="15">
        <v>0.08</v>
      </c>
      <c r="E19" s="15">
        <v>0.16</v>
      </c>
      <c r="F19" s="15">
        <v>0.18</v>
      </c>
      <c r="G19" s="15">
        <v>0.03</v>
      </c>
      <c r="H19" s="15">
        <v>0.06</v>
      </c>
      <c r="I19" s="15">
        <v>0.08</v>
      </c>
      <c r="J19" s="15">
        <v>0.15</v>
      </c>
      <c r="K19" s="15">
        <v>0.13</v>
      </c>
      <c r="L19" s="15">
        <v>7.0000000000000007E-2</v>
      </c>
      <c r="M19" s="15">
        <v>0.2</v>
      </c>
      <c r="N19" s="15">
        <v>0.12</v>
      </c>
      <c r="O19" s="15">
        <v>0.08</v>
      </c>
      <c r="P19" s="15">
        <v>0.06</v>
      </c>
      <c r="Q19" s="15">
        <v>0.14000000000000001</v>
      </c>
      <c r="R19" s="15">
        <v>0.13</v>
      </c>
      <c r="S19" s="15">
        <v>0.1</v>
      </c>
      <c r="T19" s="15">
        <v>0.06</v>
      </c>
      <c r="U19" s="15">
        <v>0.09</v>
      </c>
      <c r="V19" s="15">
        <v>7.0000000000000007E-2</v>
      </c>
      <c r="W19" s="15">
        <v>0.09</v>
      </c>
      <c r="X19" s="15">
        <v>0.06</v>
      </c>
      <c r="Y19" s="15">
        <v>0.15</v>
      </c>
      <c r="Z19" s="15">
        <v>0.05</v>
      </c>
      <c r="AA19" s="15">
        <v>0.03</v>
      </c>
      <c r="AB19" s="15">
        <v>0.16</v>
      </c>
      <c r="AC19" s="15">
        <v>0.19</v>
      </c>
      <c r="AD19" s="15">
        <v>0.15</v>
      </c>
      <c r="AE19" s="15">
        <v>0.03</v>
      </c>
      <c r="AF19" s="15">
        <v>0.09</v>
      </c>
    </row>
    <row r="20" spans="1:32" x14ac:dyDescent="0.35">
      <c r="A20" s="19"/>
      <c r="B20" s="11" t="s">
        <v>485</v>
      </c>
      <c r="C20" s="12">
        <v>1832</v>
      </c>
      <c r="D20" s="12">
        <v>34</v>
      </c>
      <c r="E20" s="12">
        <v>152</v>
      </c>
      <c r="F20" s="12">
        <v>63</v>
      </c>
      <c r="G20" s="12">
        <v>50</v>
      </c>
      <c r="H20" s="12">
        <v>69</v>
      </c>
      <c r="I20" s="12">
        <v>86</v>
      </c>
      <c r="J20" s="12">
        <v>16</v>
      </c>
      <c r="K20" s="12">
        <v>97</v>
      </c>
      <c r="L20" s="12">
        <v>87</v>
      </c>
      <c r="M20" s="12">
        <v>72</v>
      </c>
      <c r="N20" s="12">
        <v>97</v>
      </c>
      <c r="O20" s="12">
        <v>125</v>
      </c>
      <c r="P20" s="12">
        <v>45</v>
      </c>
      <c r="Q20" s="12">
        <v>50</v>
      </c>
      <c r="R20" s="12">
        <v>17</v>
      </c>
      <c r="S20" s="12">
        <v>86</v>
      </c>
      <c r="T20" s="12">
        <v>50</v>
      </c>
      <c r="U20" s="12">
        <v>41</v>
      </c>
      <c r="V20" s="12">
        <v>33</v>
      </c>
      <c r="W20" s="12">
        <v>13</v>
      </c>
      <c r="X20" s="12">
        <v>19</v>
      </c>
      <c r="Y20" s="12">
        <v>78</v>
      </c>
      <c r="Z20" s="12">
        <v>25</v>
      </c>
      <c r="AA20" s="12">
        <v>129</v>
      </c>
      <c r="AB20" s="12">
        <v>68</v>
      </c>
      <c r="AC20" s="12">
        <v>27</v>
      </c>
      <c r="AD20" s="12">
        <v>75</v>
      </c>
      <c r="AE20" s="12">
        <v>79</v>
      </c>
      <c r="AF20" s="12">
        <v>43</v>
      </c>
    </row>
    <row r="21" spans="1:32" x14ac:dyDescent="0.35">
      <c r="A21" s="19"/>
      <c r="B21" s="13" t="s">
        <v>486</v>
      </c>
      <c r="C21" s="15">
        <v>7.0000000000000007E-2</v>
      </c>
      <c r="D21" s="15">
        <v>0.03</v>
      </c>
      <c r="E21" s="15">
        <v>0.15</v>
      </c>
      <c r="F21" s="15">
        <v>0.06</v>
      </c>
      <c r="G21" s="15">
        <v>0.05</v>
      </c>
      <c r="H21" s="15">
        <v>0.06</v>
      </c>
      <c r="I21" s="15">
        <v>0.06</v>
      </c>
      <c r="J21" s="15">
        <v>0.06</v>
      </c>
      <c r="K21" s="15">
        <v>0.1</v>
      </c>
      <c r="L21" s="15">
        <v>0.09</v>
      </c>
      <c r="M21" s="15">
        <v>7.0000000000000007E-2</v>
      </c>
      <c r="N21" s="15">
        <v>0.1</v>
      </c>
      <c r="O21" s="15">
        <v>0.13</v>
      </c>
      <c r="P21" s="15">
        <v>0.04</v>
      </c>
      <c r="Q21" s="15">
        <v>0.05</v>
      </c>
      <c r="R21" s="15">
        <v>0.03</v>
      </c>
      <c r="S21" s="15">
        <v>0.09</v>
      </c>
      <c r="T21" s="15">
        <v>0.05</v>
      </c>
      <c r="U21" s="15">
        <v>0.08</v>
      </c>
      <c r="V21" s="15">
        <v>0.03</v>
      </c>
      <c r="W21" s="15">
        <v>0.03</v>
      </c>
      <c r="X21" s="15">
        <v>0.02</v>
      </c>
      <c r="Y21" s="15">
        <v>0.08</v>
      </c>
      <c r="Z21" s="15">
        <v>0.03</v>
      </c>
      <c r="AA21" s="15">
        <v>0.13</v>
      </c>
      <c r="AB21" s="15">
        <v>0.06</v>
      </c>
      <c r="AC21" s="15">
        <v>0.03</v>
      </c>
      <c r="AD21" s="15">
        <v>7.0000000000000007E-2</v>
      </c>
      <c r="AE21" s="15">
        <v>0.08</v>
      </c>
      <c r="AF21" s="15">
        <v>0.04</v>
      </c>
    </row>
    <row r="22" spans="1:32" x14ac:dyDescent="0.35">
      <c r="A22" s="19"/>
      <c r="B22" s="11" t="s">
        <v>768</v>
      </c>
      <c r="C22" s="12">
        <v>17084</v>
      </c>
      <c r="D22" s="12">
        <v>688</v>
      </c>
      <c r="E22" s="12">
        <v>452</v>
      </c>
      <c r="F22" s="12">
        <v>530</v>
      </c>
      <c r="G22" s="12">
        <v>819</v>
      </c>
      <c r="H22" s="12">
        <v>904</v>
      </c>
      <c r="I22" s="12">
        <v>1067</v>
      </c>
      <c r="J22" s="12">
        <v>164</v>
      </c>
      <c r="K22" s="12">
        <v>594</v>
      </c>
      <c r="L22" s="12">
        <v>702</v>
      </c>
      <c r="M22" s="12">
        <v>512</v>
      </c>
      <c r="N22" s="12">
        <v>629</v>
      </c>
      <c r="O22" s="12">
        <v>605</v>
      </c>
      <c r="P22" s="12">
        <v>678</v>
      </c>
      <c r="Q22" s="12">
        <v>554</v>
      </c>
      <c r="R22" s="12">
        <v>333</v>
      </c>
      <c r="S22" s="12">
        <v>625</v>
      </c>
      <c r="T22" s="12">
        <v>763</v>
      </c>
      <c r="U22" s="12">
        <v>349</v>
      </c>
      <c r="V22" s="12">
        <v>702</v>
      </c>
      <c r="W22" s="12">
        <v>349</v>
      </c>
      <c r="X22" s="12">
        <v>764</v>
      </c>
      <c r="Y22" s="12">
        <v>639</v>
      </c>
      <c r="Z22" s="12">
        <v>820</v>
      </c>
      <c r="AA22" s="12">
        <v>791</v>
      </c>
      <c r="AB22" s="12">
        <v>581</v>
      </c>
      <c r="AC22" s="12">
        <v>478</v>
      </c>
      <c r="AD22" s="12">
        <v>553</v>
      </c>
      <c r="AE22" s="12">
        <v>762</v>
      </c>
      <c r="AF22" s="12">
        <v>751</v>
      </c>
    </row>
    <row r="23" spans="1:32" x14ac:dyDescent="0.35">
      <c r="A23" s="19"/>
      <c r="B23" s="13" t="s">
        <v>769</v>
      </c>
      <c r="C23" s="15">
        <v>0.65</v>
      </c>
      <c r="D23" s="15">
        <v>0.68</v>
      </c>
      <c r="E23" s="15">
        <v>0.44</v>
      </c>
      <c r="F23" s="15">
        <v>0.48</v>
      </c>
      <c r="G23" s="15">
        <v>0.82000000000000006</v>
      </c>
      <c r="H23" s="15">
        <v>0.74</v>
      </c>
      <c r="I23" s="15">
        <v>0.70000000000000007</v>
      </c>
      <c r="J23" s="15">
        <v>0.55000000000000004</v>
      </c>
      <c r="K23" s="15">
        <v>0.59</v>
      </c>
      <c r="L23" s="15">
        <v>0.70000000000000007</v>
      </c>
      <c r="M23" s="15">
        <v>0.51</v>
      </c>
      <c r="N23" s="15">
        <v>0.62</v>
      </c>
      <c r="O23" s="15">
        <v>0.6</v>
      </c>
      <c r="P23" s="15">
        <v>0.68</v>
      </c>
      <c r="Q23" s="15">
        <v>0.54</v>
      </c>
      <c r="R23" s="15">
        <v>0.66</v>
      </c>
      <c r="S23" s="15">
        <v>0.62</v>
      </c>
      <c r="T23" s="15">
        <v>0.76</v>
      </c>
      <c r="U23" s="15">
        <v>0.69000000000000006</v>
      </c>
      <c r="V23" s="15">
        <v>0.70000000000000007</v>
      </c>
      <c r="W23" s="15">
        <v>0.69000000000000006</v>
      </c>
      <c r="X23" s="15">
        <v>0.76</v>
      </c>
      <c r="Y23" s="15">
        <v>0.64</v>
      </c>
      <c r="Z23" s="15">
        <v>0.79</v>
      </c>
      <c r="AA23" s="15">
        <v>0.76</v>
      </c>
      <c r="AB23" s="15">
        <v>0.55000000000000004</v>
      </c>
      <c r="AC23" s="15">
        <v>0.48</v>
      </c>
      <c r="AD23" s="15">
        <v>0.55000000000000004</v>
      </c>
      <c r="AE23" s="15">
        <v>0.75</v>
      </c>
      <c r="AF23" s="15">
        <v>0.72</v>
      </c>
    </row>
    <row r="24" spans="1:32" x14ac:dyDescent="0.35">
      <c r="A24" s="19"/>
      <c r="B24" s="11" t="s">
        <v>770</v>
      </c>
      <c r="C24" s="12">
        <v>7530</v>
      </c>
      <c r="D24" s="12">
        <v>291</v>
      </c>
      <c r="E24" s="12">
        <v>426</v>
      </c>
      <c r="F24" s="12">
        <v>508</v>
      </c>
      <c r="G24" s="12">
        <v>137</v>
      </c>
      <c r="H24" s="12">
        <v>248</v>
      </c>
      <c r="I24" s="12">
        <v>363</v>
      </c>
      <c r="J24" s="12">
        <v>115</v>
      </c>
      <c r="K24" s="12">
        <v>312</v>
      </c>
      <c r="L24" s="12">
        <v>213</v>
      </c>
      <c r="M24" s="12">
        <v>425</v>
      </c>
      <c r="N24" s="12">
        <v>277</v>
      </c>
      <c r="O24" s="12">
        <v>270</v>
      </c>
      <c r="P24" s="12">
        <v>280</v>
      </c>
      <c r="Q24" s="12">
        <v>423</v>
      </c>
      <c r="R24" s="12">
        <v>155</v>
      </c>
      <c r="S24" s="12">
        <v>292</v>
      </c>
      <c r="T24" s="12">
        <v>192</v>
      </c>
      <c r="U24" s="12">
        <v>114</v>
      </c>
      <c r="V24" s="12">
        <v>280</v>
      </c>
      <c r="W24" s="12">
        <v>145</v>
      </c>
      <c r="X24" s="12">
        <v>226</v>
      </c>
      <c r="Y24" s="12">
        <v>286</v>
      </c>
      <c r="Z24" s="12">
        <v>186</v>
      </c>
      <c r="AA24" s="12">
        <v>113</v>
      </c>
      <c r="AB24" s="12">
        <v>402</v>
      </c>
      <c r="AC24" s="12">
        <v>499</v>
      </c>
      <c r="AD24" s="12">
        <v>377</v>
      </c>
      <c r="AE24" s="12">
        <v>171</v>
      </c>
      <c r="AF24" s="12">
        <v>248</v>
      </c>
    </row>
    <row r="25" spans="1:32" x14ac:dyDescent="0.35">
      <c r="A25" s="19"/>
      <c r="B25" s="13" t="s">
        <v>771</v>
      </c>
      <c r="C25" s="15">
        <v>0.28000000000000003</v>
      </c>
      <c r="D25" s="15">
        <v>0.28999999999999998</v>
      </c>
      <c r="E25" s="15">
        <v>0.41</v>
      </c>
      <c r="F25" s="15">
        <v>0.46</v>
      </c>
      <c r="G25" s="15">
        <v>0.13</v>
      </c>
      <c r="H25" s="15">
        <v>0.2</v>
      </c>
      <c r="I25" s="15">
        <v>0.24</v>
      </c>
      <c r="J25" s="15">
        <v>0.39</v>
      </c>
      <c r="K25" s="15">
        <v>0.31</v>
      </c>
      <c r="L25" s="15">
        <v>0.21</v>
      </c>
      <c r="M25" s="15">
        <v>0.42</v>
      </c>
      <c r="N25" s="15">
        <v>0.28000000000000003</v>
      </c>
      <c r="O25" s="15">
        <v>0.27</v>
      </c>
      <c r="P25" s="15">
        <v>0.28000000000000003</v>
      </c>
      <c r="Q25" s="15">
        <v>0.41</v>
      </c>
      <c r="R25" s="15">
        <v>0.31</v>
      </c>
      <c r="S25" s="15">
        <v>0.28999999999999998</v>
      </c>
      <c r="T25" s="15">
        <v>0.19</v>
      </c>
      <c r="U25" s="15">
        <v>0.23</v>
      </c>
      <c r="V25" s="15">
        <v>0.27</v>
      </c>
      <c r="W25" s="15">
        <v>0.28000000000000003</v>
      </c>
      <c r="X25" s="15">
        <v>0.22</v>
      </c>
      <c r="Y25" s="15">
        <v>0.28000000000000003</v>
      </c>
      <c r="Z25" s="15">
        <v>0.18</v>
      </c>
      <c r="AA25" s="15">
        <v>0.11</v>
      </c>
      <c r="AB25" s="15">
        <v>0.39</v>
      </c>
      <c r="AC25" s="15">
        <v>0.49</v>
      </c>
      <c r="AD25" s="15">
        <v>0.38</v>
      </c>
      <c r="AE25" s="15">
        <v>0.17</v>
      </c>
      <c r="AF25" s="15">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1215</v>
      </c>
      <c r="C3" s="18"/>
      <c r="D3" s="18"/>
      <c r="E3" s="18"/>
      <c r="F3" s="18"/>
      <c r="H3" s="18" t="s">
        <v>1216</v>
      </c>
      <c r="I3" s="18"/>
      <c r="J3" s="18"/>
      <c r="K3" s="18"/>
      <c r="L3" s="18"/>
    </row>
    <row r="4" spans="1:32" ht="27" customHeight="1" x14ac:dyDescent="0.35">
      <c r="B4" s="18" t="s">
        <v>1217</v>
      </c>
      <c r="C4" s="18"/>
      <c r="D4" s="18"/>
      <c r="E4" s="18"/>
      <c r="F4" s="18"/>
      <c r="H4" s="18" t="s">
        <v>1218</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HYPERLINK("#Content!A135","&lt;&lt;Back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9748</v>
      </c>
      <c r="D12" s="12">
        <v>359</v>
      </c>
      <c r="E12" s="12">
        <v>260</v>
      </c>
      <c r="F12" s="12">
        <v>384</v>
      </c>
      <c r="G12" s="12">
        <v>652</v>
      </c>
      <c r="H12" s="12">
        <v>590</v>
      </c>
      <c r="I12" s="12">
        <v>707</v>
      </c>
      <c r="J12" s="12">
        <v>117</v>
      </c>
      <c r="K12" s="12">
        <v>405</v>
      </c>
      <c r="L12" s="12">
        <v>388</v>
      </c>
      <c r="M12" s="12">
        <v>339</v>
      </c>
      <c r="N12" s="12">
        <v>410</v>
      </c>
      <c r="O12" s="12">
        <v>389</v>
      </c>
      <c r="P12" s="12">
        <v>281</v>
      </c>
      <c r="Q12" s="12">
        <v>270</v>
      </c>
      <c r="R12" s="12">
        <v>241</v>
      </c>
      <c r="S12" s="12">
        <v>443</v>
      </c>
      <c r="T12" s="12">
        <v>461</v>
      </c>
      <c r="U12" s="12">
        <v>291</v>
      </c>
      <c r="V12" s="12">
        <v>294</v>
      </c>
      <c r="W12" s="12">
        <v>154</v>
      </c>
      <c r="X12" s="12">
        <v>493</v>
      </c>
      <c r="Y12" s="12">
        <v>413</v>
      </c>
      <c r="Z12" s="12">
        <v>296</v>
      </c>
      <c r="AA12" s="12">
        <v>162</v>
      </c>
      <c r="AB12" s="12">
        <v>191</v>
      </c>
      <c r="AC12" s="12">
        <v>312</v>
      </c>
      <c r="AD12" s="12">
        <v>419</v>
      </c>
      <c r="AE12" s="12">
        <v>416</v>
      </c>
      <c r="AF12" s="12">
        <v>480</v>
      </c>
    </row>
    <row r="13" spans="1:32" x14ac:dyDescent="0.35">
      <c r="A13" s="19"/>
      <c r="B13" s="13" t="s">
        <v>761</v>
      </c>
      <c r="C13" s="15">
        <v>0.37</v>
      </c>
      <c r="D13" s="15">
        <v>0.35</v>
      </c>
      <c r="E13" s="15">
        <v>0.25</v>
      </c>
      <c r="F13" s="15">
        <v>0.35</v>
      </c>
      <c r="G13" s="15">
        <v>0.65</v>
      </c>
      <c r="H13" s="15">
        <v>0.48</v>
      </c>
      <c r="I13" s="15">
        <v>0.46</v>
      </c>
      <c r="J13" s="15">
        <v>0.4</v>
      </c>
      <c r="K13" s="15">
        <v>0.4</v>
      </c>
      <c r="L13" s="15">
        <v>0.39</v>
      </c>
      <c r="M13" s="15">
        <v>0.34</v>
      </c>
      <c r="N13" s="15">
        <v>0.41</v>
      </c>
      <c r="O13" s="15">
        <v>0.39</v>
      </c>
      <c r="P13" s="15">
        <v>0.28000000000000003</v>
      </c>
      <c r="Q13" s="15">
        <v>0.26</v>
      </c>
      <c r="R13" s="15">
        <v>0.48</v>
      </c>
      <c r="S13" s="15">
        <v>0.44</v>
      </c>
      <c r="T13" s="15">
        <v>0.46</v>
      </c>
      <c r="U13" s="15">
        <v>0.57999999999999996</v>
      </c>
      <c r="V13" s="15">
        <v>0.28999999999999998</v>
      </c>
      <c r="W13" s="15">
        <v>0.3</v>
      </c>
      <c r="X13" s="15">
        <v>0.49</v>
      </c>
      <c r="Y13" s="15">
        <v>0.41</v>
      </c>
      <c r="Z13" s="15">
        <v>0.28999999999999998</v>
      </c>
      <c r="AA13" s="15">
        <v>0.16</v>
      </c>
      <c r="AB13" s="15">
        <v>0.18</v>
      </c>
      <c r="AC13" s="15">
        <v>0.31</v>
      </c>
      <c r="AD13" s="15">
        <v>0.42</v>
      </c>
      <c r="AE13" s="15">
        <v>0.41</v>
      </c>
      <c r="AF13" s="15">
        <v>0.46</v>
      </c>
    </row>
    <row r="14" spans="1:32" x14ac:dyDescent="0.35">
      <c r="A14" s="19"/>
      <c r="B14" s="11" t="s">
        <v>762</v>
      </c>
      <c r="C14" s="12">
        <v>11214</v>
      </c>
      <c r="D14" s="12">
        <v>497</v>
      </c>
      <c r="E14" s="12">
        <v>420</v>
      </c>
      <c r="F14" s="12">
        <v>457</v>
      </c>
      <c r="G14" s="12">
        <v>254</v>
      </c>
      <c r="H14" s="12">
        <v>501</v>
      </c>
      <c r="I14" s="12">
        <v>619</v>
      </c>
      <c r="J14" s="12">
        <v>118</v>
      </c>
      <c r="K14" s="12">
        <v>361</v>
      </c>
      <c r="L14" s="12">
        <v>401</v>
      </c>
      <c r="M14" s="12">
        <v>468</v>
      </c>
      <c r="N14" s="12">
        <v>338</v>
      </c>
      <c r="O14" s="12">
        <v>396</v>
      </c>
      <c r="P14" s="12">
        <v>539</v>
      </c>
      <c r="Q14" s="12">
        <v>472</v>
      </c>
      <c r="R14" s="12">
        <v>168</v>
      </c>
      <c r="S14" s="12">
        <v>360</v>
      </c>
      <c r="T14" s="12">
        <v>401</v>
      </c>
      <c r="U14" s="12">
        <v>156</v>
      </c>
      <c r="V14" s="12">
        <v>472</v>
      </c>
      <c r="W14" s="12">
        <v>256</v>
      </c>
      <c r="X14" s="12">
        <v>363</v>
      </c>
      <c r="Y14" s="12">
        <v>343</v>
      </c>
      <c r="Z14" s="12">
        <v>577</v>
      </c>
      <c r="AA14" s="12">
        <v>696</v>
      </c>
      <c r="AB14" s="12">
        <v>470</v>
      </c>
      <c r="AC14" s="12">
        <v>419</v>
      </c>
      <c r="AD14" s="12">
        <v>395</v>
      </c>
      <c r="AE14" s="12">
        <v>414</v>
      </c>
      <c r="AF14" s="12">
        <v>364</v>
      </c>
    </row>
    <row r="15" spans="1:32" x14ac:dyDescent="0.35">
      <c r="A15" s="19"/>
      <c r="B15" s="13" t="s">
        <v>763</v>
      </c>
      <c r="C15" s="15">
        <v>0.42</v>
      </c>
      <c r="D15" s="15">
        <v>0.49</v>
      </c>
      <c r="E15" s="15">
        <v>0.41</v>
      </c>
      <c r="F15" s="15">
        <v>0.42</v>
      </c>
      <c r="G15" s="15">
        <v>0.25</v>
      </c>
      <c r="H15" s="15">
        <v>0.41</v>
      </c>
      <c r="I15" s="15">
        <v>0.41</v>
      </c>
      <c r="J15" s="15">
        <v>0.4</v>
      </c>
      <c r="K15" s="15">
        <v>0.36</v>
      </c>
      <c r="L15" s="15">
        <v>0.4</v>
      </c>
      <c r="M15" s="15">
        <v>0.46</v>
      </c>
      <c r="N15" s="15">
        <v>0.33</v>
      </c>
      <c r="O15" s="15">
        <v>0.4</v>
      </c>
      <c r="P15" s="15">
        <v>0.54</v>
      </c>
      <c r="Q15" s="15">
        <v>0.46</v>
      </c>
      <c r="R15" s="15">
        <v>0.33</v>
      </c>
      <c r="S15" s="15">
        <v>0.36</v>
      </c>
      <c r="T15" s="15">
        <v>0.4</v>
      </c>
      <c r="U15" s="15">
        <v>0.31</v>
      </c>
      <c r="V15" s="15">
        <v>0.46</v>
      </c>
      <c r="W15" s="15">
        <v>0.5</v>
      </c>
      <c r="X15" s="15">
        <v>0.36</v>
      </c>
      <c r="Y15" s="15">
        <v>0.34</v>
      </c>
      <c r="Z15" s="15">
        <v>0.56000000000000005</v>
      </c>
      <c r="AA15" s="15">
        <v>0.67</v>
      </c>
      <c r="AB15" s="15">
        <v>0.45</v>
      </c>
      <c r="AC15" s="15">
        <v>0.42</v>
      </c>
      <c r="AD15" s="15">
        <v>0.39</v>
      </c>
      <c r="AE15" s="15">
        <v>0.41</v>
      </c>
      <c r="AF15" s="15">
        <v>0.35</v>
      </c>
    </row>
    <row r="16" spans="1:32" x14ac:dyDescent="0.35">
      <c r="A16" s="19"/>
      <c r="B16" s="11" t="s">
        <v>764</v>
      </c>
      <c r="C16" s="12">
        <v>2350</v>
      </c>
      <c r="D16" s="12">
        <v>91</v>
      </c>
      <c r="E16" s="12">
        <v>112</v>
      </c>
      <c r="F16" s="12">
        <v>112</v>
      </c>
      <c r="G16" s="12">
        <v>24</v>
      </c>
      <c r="H16" s="12">
        <v>47</v>
      </c>
      <c r="I16" s="12">
        <v>73</v>
      </c>
      <c r="J16" s="12">
        <v>26</v>
      </c>
      <c r="K16" s="12">
        <v>79</v>
      </c>
      <c r="L16" s="12">
        <v>52</v>
      </c>
      <c r="M16" s="12">
        <v>120</v>
      </c>
      <c r="N16" s="12">
        <v>89</v>
      </c>
      <c r="O16" s="12">
        <v>62</v>
      </c>
      <c r="P16" s="12">
        <v>125</v>
      </c>
      <c r="Q16" s="12">
        <v>151</v>
      </c>
      <c r="R16" s="12">
        <v>47</v>
      </c>
      <c r="S16" s="12">
        <v>68</v>
      </c>
      <c r="T16" s="12">
        <v>67</v>
      </c>
      <c r="U16" s="12">
        <v>19</v>
      </c>
      <c r="V16" s="12">
        <v>140</v>
      </c>
      <c r="W16" s="12">
        <v>54</v>
      </c>
      <c r="X16" s="12">
        <v>73</v>
      </c>
      <c r="Y16" s="12">
        <v>76</v>
      </c>
      <c r="Z16" s="12">
        <v>102</v>
      </c>
      <c r="AA16" s="12">
        <v>24</v>
      </c>
      <c r="AB16" s="12">
        <v>211</v>
      </c>
      <c r="AC16" s="12">
        <v>144</v>
      </c>
      <c r="AD16" s="12">
        <v>94</v>
      </c>
      <c r="AE16" s="12">
        <v>70</v>
      </c>
      <c r="AF16" s="12">
        <v>68</v>
      </c>
    </row>
    <row r="17" spans="1:32" x14ac:dyDescent="0.35">
      <c r="A17" s="19"/>
      <c r="B17" s="13" t="s">
        <v>765</v>
      </c>
      <c r="C17" s="15">
        <v>0.09</v>
      </c>
      <c r="D17" s="15">
        <v>0.09</v>
      </c>
      <c r="E17" s="15">
        <v>0.11</v>
      </c>
      <c r="F17" s="15">
        <v>0.1</v>
      </c>
      <c r="G17" s="15">
        <v>0.03</v>
      </c>
      <c r="H17" s="15">
        <v>0.04</v>
      </c>
      <c r="I17" s="15">
        <v>0.05</v>
      </c>
      <c r="J17" s="15">
        <v>0.09</v>
      </c>
      <c r="K17" s="15">
        <v>0.08</v>
      </c>
      <c r="L17" s="15">
        <v>0.05</v>
      </c>
      <c r="M17" s="15">
        <v>0.12</v>
      </c>
      <c r="N17" s="15">
        <v>0.09</v>
      </c>
      <c r="O17" s="15">
        <v>0.06</v>
      </c>
      <c r="P17" s="15">
        <v>0.12</v>
      </c>
      <c r="Q17" s="15">
        <v>0.15</v>
      </c>
      <c r="R17" s="15">
        <v>0.09</v>
      </c>
      <c r="S17" s="15">
        <v>7.0000000000000007E-2</v>
      </c>
      <c r="T17" s="15">
        <v>0.06</v>
      </c>
      <c r="U17" s="15">
        <v>0.04</v>
      </c>
      <c r="V17" s="15">
        <v>0.14000000000000001</v>
      </c>
      <c r="W17" s="15">
        <v>0.11</v>
      </c>
      <c r="X17" s="15">
        <v>7.0000000000000007E-2</v>
      </c>
      <c r="Y17" s="15">
        <v>0.08</v>
      </c>
      <c r="Z17" s="15">
        <v>0.1</v>
      </c>
      <c r="AA17" s="15">
        <v>0.02</v>
      </c>
      <c r="AB17" s="15">
        <v>0.2</v>
      </c>
      <c r="AC17" s="15">
        <v>0.14000000000000001</v>
      </c>
      <c r="AD17" s="15">
        <v>0.09</v>
      </c>
      <c r="AE17" s="15">
        <v>7.0000000000000007E-2</v>
      </c>
      <c r="AF17" s="15">
        <v>0.06</v>
      </c>
    </row>
    <row r="18" spans="1:32" x14ac:dyDescent="0.35">
      <c r="A18" s="19"/>
      <c r="B18" s="11" t="s">
        <v>766</v>
      </c>
      <c r="C18" s="12">
        <v>1223</v>
      </c>
      <c r="D18" s="12">
        <v>36</v>
      </c>
      <c r="E18" s="12">
        <v>89</v>
      </c>
      <c r="F18" s="12">
        <v>82</v>
      </c>
      <c r="G18" s="12">
        <v>12</v>
      </c>
      <c r="H18" s="12">
        <v>35</v>
      </c>
      <c r="I18" s="12">
        <v>56</v>
      </c>
      <c r="J18" s="12">
        <v>21</v>
      </c>
      <c r="K18" s="12">
        <v>56</v>
      </c>
      <c r="L18" s="12">
        <v>37</v>
      </c>
      <c r="M18" s="12">
        <v>47</v>
      </c>
      <c r="N18" s="12">
        <v>38</v>
      </c>
      <c r="O18" s="12">
        <v>43</v>
      </c>
      <c r="P18" s="12">
        <v>28</v>
      </c>
      <c r="Q18" s="12">
        <v>72</v>
      </c>
      <c r="R18" s="12">
        <v>39</v>
      </c>
      <c r="S18" s="12">
        <v>44</v>
      </c>
      <c r="T18" s="12">
        <v>10</v>
      </c>
      <c r="U18" s="12">
        <v>18</v>
      </c>
      <c r="V18" s="12">
        <v>68</v>
      </c>
      <c r="W18" s="12">
        <v>26</v>
      </c>
      <c r="X18" s="12">
        <v>27</v>
      </c>
      <c r="Y18" s="12">
        <v>82</v>
      </c>
      <c r="Z18" s="12">
        <v>26</v>
      </c>
      <c r="AA18" s="12">
        <v>6</v>
      </c>
      <c r="AB18" s="12">
        <v>114</v>
      </c>
      <c r="AC18" s="12">
        <v>101</v>
      </c>
      <c r="AD18" s="12">
        <v>40</v>
      </c>
      <c r="AE18" s="12">
        <v>10</v>
      </c>
      <c r="AF18" s="12">
        <v>37</v>
      </c>
    </row>
    <row r="19" spans="1:32" x14ac:dyDescent="0.35">
      <c r="A19" s="19"/>
      <c r="B19" s="13" t="s">
        <v>767</v>
      </c>
      <c r="C19" s="15">
        <v>0.05</v>
      </c>
      <c r="D19" s="15">
        <v>0.04</v>
      </c>
      <c r="E19" s="15">
        <v>0.09</v>
      </c>
      <c r="F19" s="15">
        <v>7.0000000000000007E-2</v>
      </c>
      <c r="G19" s="15">
        <v>0.01</v>
      </c>
      <c r="H19" s="15">
        <v>0.03</v>
      </c>
      <c r="I19" s="15">
        <v>0.04</v>
      </c>
      <c r="J19" s="15">
        <v>7.0000000000000007E-2</v>
      </c>
      <c r="K19" s="15">
        <v>0.06</v>
      </c>
      <c r="L19" s="15">
        <v>0.04</v>
      </c>
      <c r="M19" s="15">
        <v>0.05</v>
      </c>
      <c r="N19" s="15">
        <v>0.04</v>
      </c>
      <c r="O19" s="15">
        <v>0.04</v>
      </c>
      <c r="P19" s="15">
        <v>0.03</v>
      </c>
      <c r="Q19" s="15">
        <v>7.0000000000000007E-2</v>
      </c>
      <c r="R19" s="15">
        <v>0.08</v>
      </c>
      <c r="S19" s="15">
        <v>0.04</v>
      </c>
      <c r="T19" s="15">
        <v>0.01</v>
      </c>
      <c r="U19" s="15">
        <v>0.03</v>
      </c>
      <c r="V19" s="15">
        <v>7.0000000000000007E-2</v>
      </c>
      <c r="W19" s="15">
        <v>0.05</v>
      </c>
      <c r="X19" s="15">
        <v>0.03</v>
      </c>
      <c r="Y19" s="15">
        <v>0.08</v>
      </c>
      <c r="Z19" s="15">
        <v>0.02</v>
      </c>
      <c r="AA19" s="15">
        <v>0.01</v>
      </c>
      <c r="AB19" s="15">
        <v>0.11</v>
      </c>
      <c r="AC19" s="15">
        <v>0.1</v>
      </c>
      <c r="AD19" s="15">
        <v>0.04</v>
      </c>
      <c r="AE19" s="15">
        <v>0.01</v>
      </c>
      <c r="AF19" s="15">
        <v>0.04</v>
      </c>
    </row>
    <row r="20" spans="1:32" x14ac:dyDescent="0.35">
      <c r="A20" s="19"/>
      <c r="B20" s="11" t="s">
        <v>485</v>
      </c>
      <c r="C20" s="12">
        <v>1910</v>
      </c>
      <c r="D20" s="12">
        <v>30</v>
      </c>
      <c r="E20" s="12">
        <v>149</v>
      </c>
      <c r="F20" s="12">
        <v>66</v>
      </c>
      <c r="G20" s="12">
        <v>64</v>
      </c>
      <c r="H20" s="12">
        <v>48</v>
      </c>
      <c r="I20" s="12">
        <v>60</v>
      </c>
      <c r="J20" s="12">
        <v>12</v>
      </c>
      <c r="K20" s="12">
        <v>101</v>
      </c>
      <c r="L20" s="12">
        <v>124</v>
      </c>
      <c r="M20" s="12">
        <v>35</v>
      </c>
      <c r="N20" s="12">
        <v>128</v>
      </c>
      <c r="O20" s="12">
        <v>112</v>
      </c>
      <c r="P20" s="12">
        <v>30</v>
      </c>
      <c r="Q20" s="12">
        <v>62</v>
      </c>
      <c r="R20" s="12">
        <v>9</v>
      </c>
      <c r="S20" s="12">
        <v>87</v>
      </c>
      <c r="T20" s="12">
        <v>68</v>
      </c>
      <c r="U20" s="12">
        <v>20</v>
      </c>
      <c r="V20" s="12">
        <v>41</v>
      </c>
      <c r="W20" s="12">
        <v>18</v>
      </c>
      <c r="X20" s="12">
        <v>55</v>
      </c>
      <c r="Y20" s="12">
        <v>89</v>
      </c>
      <c r="Z20" s="12">
        <v>30</v>
      </c>
      <c r="AA20" s="12">
        <v>145</v>
      </c>
      <c r="AB20" s="12">
        <v>65</v>
      </c>
      <c r="AC20" s="12">
        <v>27</v>
      </c>
      <c r="AD20" s="12">
        <v>56</v>
      </c>
      <c r="AE20" s="12">
        <v>103</v>
      </c>
      <c r="AF20" s="12">
        <v>94</v>
      </c>
    </row>
    <row r="21" spans="1:32" x14ac:dyDescent="0.35">
      <c r="A21" s="19"/>
      <c r="B21" s="13" t="s">
        <v>486</v>
      </c>
      <c r="C21" s="15">
        <v>7.0000000000000007E-2</v>
      </c>
      <c r="D21" s="15">
        <v>0.03</v>
      </c>
      <c r="E21" s="15">
        <v>0.14000000000000001</v>
      </c>
      <c r="F21" s="15">
        <v>0.06</v>
      </c>
      <c r="G21" s="15">
        <v>0.06</v>
      </c>
      <c r="H21" s="15">
        <v>0.04</v>
      </c>
      <c r="I21" s="15">
        <v>0.04</v>
      </c>
      <c r="J21" s="15">
        <v>0.04</v>
      </c>
      <c r="K21" s="15">
        <v>0.1</v>
      </c>
      <c r="L21" s="15">
        <v>0.12</v>
      </c>
      <c r="M21" s="15">
        <v>0.03</v>
      </c>
      <c r="N21" s="15">
        <v>0.13</v>
      </c>
      <c r="O21" s="15">
        <v>0.11</v>
      </c>
      <c r="P21" s="15">
        <v>0.03</v>
      </c>
      <c r="Q21" s="15">
        <v>0.06</v>
      </c>
      <c r="R21" s="15">
        <v>0.02</v>
      </c>
      <c r="S21" s="15">
        <v>0.09</v>
      </c>
      <c r="T21" s="15">
        <v>7.0000000000000007E-2</v>
      </c>
      <c r="U21" s="15">
        <v>0.04</v>
      </c>
      <c r="V21" s="15">
        <v>0.04</v>
      </c>
      <c r="W21" s="15">
        <v>0.04</v>
      </c>
      <c r="X21" s="15">
        <v>0.05</v>
      </c>
      <c r="Y21" s="15">
        <v>0.09</v>
      </c>
      <c r="Z21" s="15">
        <v>0.03</v>
      </c>
      <c r="AA21" s="15">
        <v>0.14000000000000001</v>
      </c>
      <c r="AB21" s="15">
        <v>0.06</v>
      </c>
      <c r="AC21" s="15">
        <v>0.03</v>
      </c>
      <c r="AD21" s="15">
        <v>0.06</v>
      </c>
      <c r="AE21" s="15">
        <v>0.1</v>
      </c>
      <c r="AF21" s="15">
        <v>0.09</v>
      </c>
    </row>
    <row r="22" spans="1:32" x14ac:dyDescent="0.35">
      <c r="A22" s="19"/>
      <c r="B22" s="11" t="s">
        <v>768</v>
      </c>
      <c r="C22" s="12">
        <v>20962</v>
      </c>
      <c r="D22" s="12">
        <v>856</v>
      </c>
      <c r="E22" s="12">
        <v>680</v>
      </c>
      <c r="F22" s="12">
        <v>841</v>
      </c>
      <c r="G22" s="12">
        <v>906</v>
      </c>
      <c r="H22" s="12">
        <v>1091</v>
      </c>
      <c r="I22" s="12">
        <v>1326</v>
      </c>
      <c r="J22" s="12">
        <v>235</v>
      </c>
      <c r="K22" s="12">
        <v>766</v>
      </c>
      <c r="L22" s="12">
        <v>789</v>
      </c>
      <c r="M22" s="12">
        <v>807</v>
      </c>
      <c r="N22" s="12">
        <v>748</v>
      </c>
      <c r="O22" s="12">
        <v>785</v>
      </c>
      <c r="P22" s="12">
        <v>820</v>
      </c>
      <c r="Q22" s="12">
        <v>742</v>
      </c>
      <c r="R22" s="12">
        <v>409</v>
      </c>
      <c r="S22" s="12">
        <v>803</v>
      </c>
      <c r="T22" s="12">
        <v>862</v>
      </c>
      <c r="U22" s="12">
        <v>447</v>
      </c>
      <c r="V22" s="12">
        <v>766</v>
      </c>
      <c r="W22" s="12">
        <v>410</v>
      </c>
      <c r="X22" s="12">
        <v>856</v>
      </c>
      <c r="Y22" s="12">
        <v>756</v>
      </c>
      <c r="Z22" s="12">
        <v>873</v>
      </c>
      <c r="AA22" s="12">
        <v>858</v>
      </c>
      <c r="AB22" s="12">
        <v>661</v>
      </c>
      <c r="AC22" s="12">
        <v>731</v>
      </c>
      <c r="AD22" s="12">
        <v>814</v>
      </c>
      <c r="AE22" s="12">
        <v>830</v>
      </c>
      <c r="AF22" s="12">
        <v>844</v>
      </c>
    </row>
    <row r="23" spans="1:32" x14ac:dyDescent="0.35">
      <c r="A23" s="19"/>
      <c r="B23" s="13" t="s">
        <v>769</v>
      </c>
      <c r="C23" s="15">
        <v>0.79</v>
      </c>
      <c r="D23" s="15">
        <v>0.84</v>
      </c>
      <c r="E23" s="15">
        <v>0.66</v>
      </c>
      <c r="F23" s="15">
        <v>0.77</v>
      </c>
      <c r="G23" s="15">
        <v>0.9</v>
      </c>
      <c r="H23" s="15">
        <v>0.89</v>
      </c>
      <c r="I23" s="15">
        <v>0.87</v>
      </c>
      <c r="J23" s="15">
        <v>0.8</v>
      </c>
      <c r="K23" s="15">
        <v>0.76</v>
      </c>
      <c r="L23" s="15">
        <v>0.79</v>
      </c>
      <c r="M23" s="15">
        <v>0.8</v>
      </c>
      <c r="N23" s="15">
        <v>0.74</v>
      </c>
      <c r="O23" s="15">
        <v>0.79</v>
      </c>
      <c r="P23" s="15">
        <v>0.82000000000000006</v>
      </c>
      <c r="Q23" s="15">
        <v>0.72</v>
      </c>
      <c r="R23" s="15">
        <v>0.81</v>
      </c>
      <c r="S23" s="15">
        <v>0.8</v>
      </c>
      <c r="T23" s="15">
        <v>0.86</v>
      </c>
      <c r="U23" s="15">
        <v>0.89</v>
      </c>
      <c r="V23" s="15">
        <v>0.75</v>
      </c>
      <c r="W23" s="15">
        <v>0.8</v>
      </c>
      <c r="X23" s="15">
        <v>0.85</v>
      </c>
      <c r="Y23" s="15">
        <v>0.75</v>
      </c>
      <c r="Z23" s="15">
        <v>0.85</v>
      </c>
      <c r="AA23" s="15">
        <v>0.83000000000000007</v>
      </c>
      <c r="AB23" s="15">
        <v>0.63</v>
      </c>
      <c r="AC23" s="15">
        <v>0.73</v>
      </c>
      <c r="AD23" s="15">
        <v>0.81</v>
      </c>
      <c r="AE23" s="15">
        <v>0.82000000000000006</v>
      </c>
      <c r="AF23" s="15">
        <v>0.81</v>
      </c>
    </row>
    <row r="24" spans="1:32" x14ac:dyDescent="0.35">
      <c r="A24" s="19"/>
      <c r="B24" s="11" t="s">
        <v>770</v>
      </c>
      <c r="C24" s="12">
        <v>3573</v>
      </c>
      <c r="D24" s="12">
        <v>127</v>
      </c>
      <c r="E24" s="12">
        <v>201</v>
      </c>
      <c r="F24" s="12">
        <v>194</v>
      </c>
      <c r="G24" s="12">
        <v>36</v>
      </c>
      <c r="H24" s="12">
        <v>82</v>
      </c>
      <c r="I24" s="12">
        <v>129</v>
      </c>
      <c r="J24" s="12">
        <v>47</v>
      </c>
      <c r="K24" s="12">
        <v>135</v>
      </c>
      <c r="L24" s="12">
        <v>89</v>
      </c>
      <c r="M24" s="12">
        <v>167</v>
      </c>
      <c r="N24" s="12">
        <v>127</v>
      </c>
      <c r="O24" s="12">
        <v>105</v>
      </c>
      <c r="P24" s="12">
        <v>153</v>
      </c>
      <c r="Q24" s="12">
        <v>223</v>
      </c>
      <c r="R24" s="12">
        <v>86</v>
      </c>
      <c r="S24" s="12">
        <v>112</v>
      </c>
      <c r="T24" s="12">
        <v>77</v>
      </c>
      <c r="U24" s="12">
        <v>37</v>
      </c>
      <c r="V24" s="12">
        <v>208</v>
      </c>
      <c r="W24" s="12">
        <v>80</v>
      </c>
      <c r="X24" s="12">
        <v>100</v>
      </c>
      <c r="Y24" s="12">
        <v>158</v>
      </c>
      <c r="Z24" s="12">
        <v>128</v>
      </c>
      <c r="AA24" s="12">
        <v>30</v>
      </c>
      <c r="AB24" s="12">
        <v>325</v>
      </c>
      <c r="AC24" s="12">
        <v>245</v>
      </c>
      <c r="AD24" s="12">
        <v>134</v>
      </c>
      <c r="AE24" s="12">
        <v>80</v>
      </c>
      <c r="AF24" s="12">
        <v>105</v>
      </c>
    </row>
    <row r="25" spans="1:32" x14ac:dyDescent="0.35">
      <c r="A25" s="19"/>
      <c r="B25" s="13" t="s">
        <v>771</v>
      </c>
      <c r="C25" s="15">
        <v>0.14000000000000001</v>
      </c>
      <c r="D25" s="15">
        <v>0.13</v>
      </c>
      <c r="E25" s="15">
        <v>0.2</v>
      </c>
      <c r="F25" s="15">
        <v>0.17</v>
      </c>
      <c r="G25" s="15">
        <v>0.04</v>
      </c>
      <c r="H25" s="15">
        <v>7.0000000000000007E-2</v>
      </c>
      <c r="I25" s="15">
        <v>0.09</v>
      </c>
      <c r="J25" s="15">
        <v>0.16</v>
      </c>
      <c r="K25" s="15">
        <v>0.14000000000000001</v>
      </c>
      <c r="L25" s="15">
        <v>0.09</v>
      </c>
      <c r="M25" s="15">
        <v>0.17</v>
      </c>
      <c r="N25" s="15">
        <v>0.13</v>
      </c>
      <c r="O25" s="15">
        <v>0.1</v>
      </c>
      <c r="P25" s="15">
        <v>0.15</v>
      </c>
      <c r="Q25" s="15">
        <v>0.22</v>
      </c>
      <c r="R25" s="15">
        <v>0.17</v>
      </c>
      <c r="S25" s="15">
        <v>0.11</v>
      </c>
      <c r="T25" s="15">
        <v>7.0000000000000007E-2</v>
      </c>
      <c r="U25" s="15">
        <v>7.0000000000000007E-2</v>
      </c>
      <c r="V25" s="15">
        <v>0.21</v>
      </c>
      <c r="W25" s="15">
        <v>0.16</v>
      </c>
      <c r="X25" s="15">
        <v>0.1</v>
      </c>
      <c r="Y25" s="15">
        <v>0.16</v>
      </c>
      <c r="Z25" s="15">
        <v>0.12</v>
      </c>
      <c r="AA25" s="15">
        <v>0.03</v>
      </c>
      <c r="AB25" s="15">
        <v>0.31</v>
      </c>
      <c r="AC25" s="15">
        <v>0.24</v>
      </c>
      <c r="AD25" s="15">
        <v>0.13</v>
      </c>
      <c r="AE25" s="15">
        <v>0.08</v>
      </c>
      <c r="AF25" s="15">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1219</v>
      </c>
      <c r="C3" s="18"/>
      <c r="D3" s="18"/>
      <c r="E3" s="18"/>
      <c r="F3" s="18"/>
      <c r="H3" s="18" t="s">
        <v>1220</v>
      </c>
      <c r="I3" s="18"/>
      <c r="J3" s="18"/>
      <c r="K3" s="18"/>
      <c r="L3" s="18"/>
    </row>
    <row r="4" spans="1:32" ht="27" customHeight="1" x14ac:dyDescent="0.35">
      <c r="B4" s="18" t="s">
        <v>1221</v>
      </c>
      <c r="C4" s="18"/>
      <c r="D4" s="18"/>
      <c r="E4" s="18"/>
      <c r="F4" s="18"/>
      <c r="H4" s="18" t="s">
        <v>1222</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HYPERLINK("#Content!A136","&lt;&lt;Back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7535</v>
      </c>
      <c r="D12" s="12">
        <v>302</v>
      </c>
      <c r="E12" s="12">
        <v>148</v>
      </c>
      <c r="F12" s="12">
        <v>184</v>
      </c>
      <c r="G12" s="12">
        <v>617</v>
      </c>
      <c r="H12" s="12">
        <v>431</v>
      </c>
      <c r="I12" s="12">
        <v>515</v>
      </c>
      <c r="J12" s="12">
        <v>84</v>
      </c>
      <c r="K12" s="12">
        <v>348</v>
      </c>
      <c r="L12" s="12">
        <v>340</v>
      </c>
      <c r="M12" s="12">
        <v>181</v>
      </c>
      <c r="N12" s="12">
        <v>346</v>
      </c>
      <c r="O12" s="12">
        <v>297</v>
      </c>
      <c r="P12" s="12">
        <v>269</v>
      </c>
      <c r="Q12" s="12">
        <v>177</v>
      </c>
      <c r="R12" s="12">
        <v>165</v>
      </c>
      <c r="S12" s="12">
        <v>458</v>
      </c>
      <c r="T12" s="12">
        <v>431</v>
      </c>
      <c r="U12" s="12">
        <v>195</v>
      </c>
      <c r="V12" s="12">
        <v>184</v>
      </c>
      <c r="W12" s="12">
        <v>123</v>
      </c>
      <c r="X12" s="12">
        <v>455</v>
      </c>
      <c r="Y12" s="12">
        <v>274</v>
      </c>
      <c r="Z12" s="12">
        <v>265</v>
      </c>
      <c r="AA12" s="12">
        <v>125</v>
      </c>
      <c r="AB12" s="12">
        <v>139</v>
      </c>
      <c r="AC12" s="12">
        <v>223</v>
      </c>
      <c r="AD12" s="12">
        <v>204</v>
      </c>
      <c r="AE12" s="12">
        <v>529</v>
      </c>
      <c r="AF12" s="12">
        <v>460</v>
      </c>
    </row>
    <row r="13" spans="1:32" x14ac:dyDescent="0.35">
      <c r="A13" s="19"/>
      <c r="B13" s="13" t="s">
        <v>761</v>
      </c>
      <c r="C13" s="15">
        <v>0.28000000000000003</v>
      </c>
      <c r="D13" s="15">
        <v>0.3</v>
      </c>
      <c r="E13" s="15">
        <v>0.14000000000000001</v>
      </c>
      <c r="F13" s="15">
        <v>0.17</v>
      </c>
      <c r="G13" s="15">
        <v>0.61</v>
      </c>
      <c r="H13" s="15">
        <v>0.35</v>
      </c>
      <c r="I13" s="15">
        <v>0.34</v>
      </c>
      <c r="J13" s="15">
        <v>0.28999999999999998</v>
      </c>
      <c r="K13" s="15">
        <v>0.35</v>
      </c>
      <c r="L13" s="15">
        <v>0.34</v>
      </c>
      <c r="M13" s="15">
        <v>0.18</v>
      </c>
      <c r="N13" s="15">
        <v>0.35</v>
      </c>
      <c r="O13" s="15">
        <v>0.3</v>
      </c>
      <c r="P13" s="15">
        <v>0.27</v>
      </c>
      <c r="Q13" s="15">
        <v>0.17</v>
      </c>
      <c r="R13" s="15">
        <v>0.33</v>
      </c>
      <c r="S13" s="15">
        <v>0.46</v>
      </c>
      <c r="T13" s="15">
        <v>0.43</v>
      </c>
      <c r="U13" s="15">
        <v>0.39</v>
      </c>
      <c r="V13" s="15">
        <v>0.18</v>
      </c>
      <c r="W13" s="15">
        <v>0.24</v>
      </c>
      <c r="X13" s="15">
        <v>0.45</v>
      </c>
      <c r="Y13" s="15">
        <v>0.27</v>
      </c>
      <c r="Z13" s="15">
        <v>0.26</v>
      </c>
      <c r="AA13" s="15">
        <v>0.12</v>
      </c>
      <c r="AB13" s="15">
        <v>0.13</v>
      </c>
      <c r="AC13" s="15">
        <v>0.22</v>
      </c>
      <c r="AD13" s="15">
        <v>0.2</v>
      </c>
      <c r="AE13" s="15">
        <v>0.52</v>
      </c>
      <c r="AF13" s="15">
        <v>0.44</v>
      </c>
    </row>
    <row r="14" spans="1:32" x14ac:dyDescent="0.35">
      <c r="A14" s="19"/>
      <c r="B14" s="11" t="s">
        <v>762</v>
      </c>
      <c r="C14" s="12">
        <v>11258</v>
      </c>
      <c r="D14" s="12">
        <v>463</v>
      </c>
      <c r="E14" s="12">
        <v>377</v>
      </c>
      <c r="F14" s="12">
        <v>380</v>
      </c>
      <c r="G14" s="12">
        <v>282</v>
      </c>
      <c r="H14" s="12">
        <v>530</v>
      </c>
      <c r="I14" s="12">
        <v>635</v>
      </c>
      <c r="J14" s="12">
        <v>105</v>
      </c>
      <c r="K14" s="12">
        <v>357</v>
      </c>
      <c r="L14" s="12">
        <v>385</v>
      </c>
      <c r="M14" s="12">
        <v>443</v>
      </c>
      <c r="N14" s="12">
        <v>354</v>
      </c>
      <c r="O14" s="12">
        <v>424</v>
      </c>
      <c r="P14" s="12">
        <v>522</v>
      </c>
      <c r="Q14" s="12">
        <v>444</v>
      </c>
      <c r="R14" s="12">
        <v>191</v>
      </c>
      <c r="S14" s="12">
        <v>334</v>
      </c>
      <c r="T14" s="12">
        <v>410</v>
      </c>
      <c r="U14" s="12">
        <v>187</v>
      </c>
      <c r="V14" s="12">
        <v>457</v>
      </c>
      <c r="W14" s="12">
        <v>226</v>
      </c>
      <c r="X14" s="12">
        <v>366</v>
      </c>
      <c r="Y14" s="12">
        <v>398</v>
      </c>
      <c r="Z14" s="12">
        <v>595</v>
      </c>
      <c r="AA14" s="12">
        <v>677</v>
      </c>
      <c r="AB14" s="12">
        <v>474</v>
      </c>
      <c r="AC14" s="12">
        <v>343</v>
      </c>
      <c r="AD14" s="12">
        <v>419</v>
      </c>
      <c r="AE14" s="12">
        <v>345</v>
      </c>
      <c r="AF14" s="12">
        <v>355</v>
      </c>
    </row>
    <row r="15" spans="1:32" x14ac:dyDescent="0.35">
      <c r="A15" s="19"/>
      <c r="B15" s="13" t="s">
        <v>763</v>
      </c>
      <c r="C15" s="15">
        <v>0.43</v>
      </c>
      <c r="D15" s="15">
        <v>0.46</v>
      </c>
      <c r="E15" s="15">
        <v>0.37</v>
      </c>
      <c r="F15" s="15">
        <v>0.34</v>
      </c>
      <c r="G15" s="15">
        <v>0.28000000000000003</v>
      </c>
      <c r="H15" s="15">
        <v>0.43</v>
      </c>
      <c r="I15" s="15">
        <v>0.42</v>
      </c>
      <c r="J15" s="15">
        <v>0.35</v>
      </c>
      <c r="K15" s="15">
        <v>0.36</v>
      </c>
      <c r="L15" s="15">
        <v>0.38</v>
      </c>
      <c r="M15" s="15">
        <v>0.44</v>
      </c>
      <c r="N15" s="15">
        <v>0.35</v>
      </c>
      <c r="O15" s="15">
        <v>0.42</v>
      </c>
      <c r="P15" s="15">
        <v>0.52</v>
      </c>
      <c r="Q15" s="15">
        <v>0.43</v>
      </c>
      <c r="R15" s="15">
        <v>0.38</v>
      </c>
      <c r="S15" s="15">
        <v>0.33</v>
      </c>
      <c r="T15" s="15">
        <v>0.41</v>
      </c>
      <c r="U15" s="15">
        <v>0.37</v>
      </c>
      <c r="V15" s="15">
        <v>0.45</v>
      </c>
      <c r="W15" s="15">
        <v>0.45</v>
      </c>
      <c r="X15" s="15">
        <v>0.36</v>
      </c>
      <c r="Y15" s="15">
        <v>0.4</v>
      </c>
      <c r="Z15" s="15">
        <v>0.57999999999999996</v>
      </c>
      <c r="AA15" s="15">
        <v>0.66</v>
      </c>
      <c r="AB15" s="15">
        <v>0.45</v>
      </c>
      <c r="AC15" s="15">
        <v>0.34</v>
      </c>
      <c r="AD15" s="15">
        <v>0.42</v>
      </c>
      <c r="AE15" s="15">
        <v>0.34</v>
      </c>
      <c r="AF15" s="15">
        <v>0.34</v>
      </c>
    </row>
    <row r="16" spans="1:32" x14ac:dyDescent="0.35">
      <c r="A16" s="19"/>
      <c r="B16" s="11" t="s">
        <v>764</v>
      </c>
      <c r="C16" s="12">
        <v>3917</v>
      </c>
      <c r="D16" s="12">
        <v>171</v>
      </c>
      <c r="E16" s="12">
        <v>210</v>
      </c>
      <c r="F16" s="12">
        <v>265</v>
      </c>
      <c r="G16" s="12">
        <v>64</v>
      </c>
      <c r="H16" s="12">
        <v>143</v>
      </c>
      <c r="I16" s="12">
        <v>197</v>
      </c>
      <c r="J16" s="12">
        <v>54</v>
      </c>
      <c r="K16" s="12">
        <v>134</v>
      </c>
      <c r="L16" s="12">
        <v>101</v>
      </c>
      <c r="M16" s="12">
        <v>188</v>
      </c>
      <c r="N16" s="12">
        <v>124</v>
      </c>
      <c r="O16" s="12">
        <v>122</v>
      </c>
      <c r="P16" s="12">
        <v>147</v>
      </c>
      <c r="Q16" s="12">
        <v>234</v>
      </c>
      <c r="R16" s="12">
        <v>72</v>
      </c>
      <c r="S16" s="12">
        <v>85</v>
      </c>
      <c r="T16" s="12">
        <v>100</v>
      </c>
      <c r="U16" s="12">
        <v>60</v>
      </c>
      <c r="V16" s="12">
        <v>202</v>
      </c>
      <c r="W16" s="12">
        <v>86</v>
      </c>
      <c r="X16" s="12">
        <v>117</v>
      </c>
      <c r="Y16" s="12">
        <v>126</v>
      </c>
      <c r="Z16" s="12">
        <v>122</v>
      </c>
      <c r="AA16" s="12">
        <v>67</v>
      </c>
      <c r="AB16" s="12">
        <v>245</v>
      </c>
      <c r="AC16" s="12">
        <v>242</v>
      </c>
      <c r="AD16" s="12">
        <v>196</v>
      </c>
      <c r="AE16" s="12">
        <v>57</v>
      </c>
      <c r="AF16" s="12">
        <v>106</v>
      </c>
    </row>
    <row r="17" spans="1:32" x14ac:dyDescent="0.35">
      <c r="A17" s="19"/>
      <c r="B17" s="13" t="s">
        <v>765</v>
      </c>
      <c r="C17" s="15">
        <v>0.15</v>
      </c>
      <c r="D17" s="15">
        <v>0.17</v>
      </c>
      <c r="E17" s="15">
        <v>0.2</v>
      </c>
      <c r="F17" s="15">
        <v>0.24</v>
      </c>
      <c r="G17" s="15">
        <v>7.0000000000000007E-2</v>
      </c>
      <c r="H17" s="15">
        <v>0.12</v>
      </c>
      <c r="I17" s="15">
        <v>0.13</v>
      </c>
      <c r="J17" s="15">
        <v>0.18</v>
      </c>
      <c r="K17" s="15">
        <v>0.13</v>
      </c>
      <c r="L17" s="15">
        <v>0.1</v>
      </c>
      <c r="M17" s="15">
        <v>0.19</v>
      </c>
      <c r="N17" s="15">
        <v>0.12</v>
      </c>
      <c r="O17" s="15">
        <v>0.12</v>
      </c>
      <c r="P17" s="15">
        <v>0.15</v>
      </c>
      <c r="Q17" s="15">
        <v>0.23</v>
      </c>
      <c r="R17" s="15">
        <v>0.14000000000000001</v>
      </c>
      <c r="S17" s="15">
        <v>0.08</v>
      </c>
      <c r="T17" s="15">
        <v>0.1</v>
      </c>
      <c r="U17" s="15">
        <v>0.12</v>
      </c>
      <c r="V17" s="15">
        <v>0.2</v>
      </c>
      <c r="W17" s="15">
        <v>0.17</v>
      </c>
      <c r="X17" s="15">
        <v>0.12</v>
      </c>
      <c r="Y17" s="15">
        <v>0.13</v>
      </c>
      <c r="Z17" s="15">
        <v>0.12</v>
      </c>
      <c r="AA17" s="15">
        <v>0.06</v>
      </c>
      <c r="AB17" s="15">
        <v>0.23</v>
      </c>
      <c r="AC17" s="15">
        <v>0.24</v>
      </c>
      <c r="AD17" s="15">
        <v>0.2</v>
      </c>
      <c r="AE17" s="15">
        <v>0.06</v>
      </c>
      <c r="AF17" s="15">
        <v>0.1</v>
      </c>
    </row>
    <row r="18" spans="1:32" x14ac:dyDescent="0.35">
      <c r="A18" s="19"/>
      <c r="B18" s="11" t="s">
        <v>766</v>
      </c>
      <c r="C18" s="12">
        <v>1943</v>
      </c>
      <c r="D18" s="12">
        <v>54</v>
      </c>
      <c r="E18" s="12">
        <v>125</v>
      </c>
      <c r="F18" s="12">
        <v>185</v>
      </c>
      <c r="G18" s="12">
        <v>12</v>
      </c>
      <c r="H18" s="12">
        <v>59</v>
      </c>
      <c r="I18" s="12">
        <v>95</v>
      </c>
      <c r="J18" s="12">
        <v>36</v>
      </c>
      <c r="K18" s="12">
        <v>72</v>
      </c>
      <c r="L18" s="12">
        <v>46</v>
      </c>
      <c r="M18" s="12">
        <v>134</v>
      </c>
      <c r="N18" s="12">
        <v>72</v>
      </c>
      <c r="O18" s="12">
        <v>56</v>
      </c>
      <c r="P18" s="12">
        <v>35</v>
      </c>
      <c r="Q18" s="12">
        <v>116</v>
      </c>
      <c r="R18" s="12">
        <v>55</v>
      </c>
      <c r="S18" s="12">
        <v>50</v>
      </c>
      <c r="T18" s="12">
        <v>17</v>
      </c>
      <c r="U18" s="12">
        <v>38</v>
      </c>
      <c r="V18" s="12">
        <v>117</v>
      </c>
      <c r="W18" s="12">
        <v>55</v>
      </c>
      <c r="X18" s="12">
        <v>45</v>
      </c>
      <c r="Y18" s="12">
        <v>131</v>
      </c>
      <c r="Z18" s="12">
        <v>25</v>
      </c>
      <c r="AA18" s="12">
        <v>7</v>
      </c>
      <c r="AB18" s="12">
        <v>126</v>
      </c>
      <c r="AC18" s="12">
        <v>169</v>
      </c>
      <c r="AD18" s="12">
        <v>113</v>
      </c>
      <c r="AE18" s="12">
        <v>19</v>
      </c>
      <c r="AF18" s="12">
        <v>73</v>
      </c>
    </row>
    <row r="19" spans="1:32" x14ac:dyDescent="0.35">
      <c r="A19" s="19"/>
      <c r="B19" s="13" t="s">
        <v>767</v>
      </c>
      <c r="C19" s="15">
        <v>7.0000000000000007E-2</v>
      </c>
      <c r="D19" s="15">
        <v>0.05</v>
      </c>
      <c r="E19" s="15">
        <v>0.12</v>
      </c>
      <c r="F19" s="15">
        <v>0.17</v>
      </c>
      <c r="G19" s="15">
        <v>0.01</v>
      </c>
      <c r="H19" s="15">
        <v>0.05</v>
      </c>
      <c r="I19" s="15">
        <v>0.06</v>
      </c>
      <c r="J19" s="15">
        <v>0.12</v>
      </c>
      <c r="K19" s="15">
        <v>7.0000000000000007E-2</v>
      </c>
      <c r="L19" s="15">
        <v>0.05</v>
      </c>
      <c r="M19" s="15">
        <v>0.13</v>
      </c>
      <c r="N19" s="15">
        <v>7.0000000000000007E-2</v>
      </c>
      <c r="O19" s="15">
        <v>0.06</v>
      </c>
      <c r="P19" s="15">
        <v>0.03</v>
      </c>
      <c r="Q19" s="15">
        <v>0.11</v>
      </c>
      <c r="R19" s="15">
        <v>0.11</v>
      </c>
      <c r="S19" s="15">
        <v>0.05</v>
      </c>
      <c r="T19" s="15">
        <v>0.01</v>
      </c>
      <c r="U19" s="15">
        <v>7.0000000000000007E-2</v>
      </c>
      <c r="V19" s="15">
        <v>0.12</v>
      </c>
      <c r="W19" s="15">
        <v>0.11</v>
      </c>
      <c r="X19" s="15">
        <v>0.04</v>
      </c>
      <c r="Y19" s="15">
        <v>0.13</v>
      </c>
      <c r="Z19" s="15">
        <v>0.02</v>
      </c>
      <c r="AA19" s="15">
        <v>0.01</v>
      </c>
      <c r="AB19" s="15">
        <v>0.12</v>
      </c>
      <c r="AC19" s="15">
        <v>0.17</v>
      </c>
      <c r="AD19" s="15">
        <v>0.11</v>
      </c>
      <c r="AE19" s="15">
        <v>0.02</v>
      </c>
      <c r="AF19" s="15">
        <v>7.0000000000000007E-2</v>
      </c>
    </row>
    <row r="20" spans="1:32" x14ac:dyDescent="0.35">
      <c r="A20" s="19"/>
      <c r="B20" s="11" t="s">
        <v>485</v>
      </c>
      <c r="C20" s="12">
        <v>1791</v>
      </c>
      <c r="D20" s="12">
        <v>24</v>
      </c>
      <c r="E20" s="12">
        <v>170</v>
      </c>
      <c r="F20" s="12">
        <v>87</v>
      </c>
      <c r="G20" s="12">
        <v>31</v>
      </c>
      <c r="H20" s="12">
        <v>58</v>
      </c>
      <c r="I20" s="12">
        <v>74</v>
      </c>
      <c r="J20" s="12">
        <v>16</v>
      </c>
      <c r="K20" s="12">
        <v>92</v>
      </c>
      <c r="L20" s="12">
        <v>129</v>
      </c>
      <c r="M20" s="12">
        <v>64</v>
      </c>
      <c r="N20" s="12">
        <v>107</v>
      </c>
      <c r="O20" s="12">
        <v>102</v>
      </c>
      <c r="P20" s="12">
        <v>31</v>
      </c>
      <c r="Q20" s="12">
        <v>56</v>
      </c>
      <c r="R20" s="12">
        <v>21</v>
      </c>
      <c r="S20" s="12">
        <v>75</v>
      </c>
      <c r="T20" s="12">
        <v>49</v>
      </c>
      <c r="U20" s="12">
        <v>24</v>
      </c>
      <c r="V20" s="12">
        <v>55</v>
      </c>
      <c r="W20" s="12">
        <v>17</v>
      </c>
      <c r="X20" s="12">
        <v>26</v>
      </c>
      <c r="Y20" s="12">
        <v>74</v>
      </c>
      <c r="Z20" s="12">
        <v>24</v>
      </c>
      <c r="AA20" s="12">
        <v>156</v>
      </c>
      <c r="AB20" s="12">
        <v>67</v>
      </c>
      <c r="AC20" s="12">
        <v>26</v>
      </c>
      <c r="AD20" s="12">
        <v>73</v>
      </c>
      <c r="AE20" s="12">
        <v>62</v>
      </c>
      <c r="AF20" s="12">
        <v>50</v>
      </c>
    </row>
    <row r="21" spans="1:32" x14ac:dyDescent="0.35">
      <c r="A21" s="19"/>
      <c r="B21" s="13" t="s">
        <v>486</v>
      </c>
      <c r="C21" s="15">
        <v>7.0000000000000007E-2</v>
      </c>
      <c r="D21" s="15">
        <v>0.02</v>
      </c>
      <c r="E21" s="15">
        <v>0.17</v>
      </c>
      <c r="F21" s="15">
        <v>0.08</v>
      </c>
      <c r="G21" s="15">
        <v>0.03</v>
      </c>
      <c r="H21" s="15">
        <v>0.05</v>
      </c>
      <c r="I21" s="15">
        <v>0.05</v>
      </c>
      <c r="J21" s="15">
        <v>0.06</v>
      </c>
      <c r="K21" s="15">
        <v>0.09</v>
      </c>
      <c r="L21" s="15">
        <v>0.13</v>
      </c>
      <c r="M21" s="15">
        <v>0.06</v>
      </c>
      <c r="N21" s="15">
        <v>0.11</v>
      </c>
      <c r="O21" s="15">
        <v>0.1</v>
      </c>
      <c r="P21" s="15">
        <v>0.03</v>
      </c>
      <c r="Q21" s="15">
        <v>0.06</v>
      </c>
      <c r="R21" s="15">
        <v>0.04</v>
      </c>
      <c r="S21" s="15">
        <v>0.08</v>
      </c>
      <c r="T21" s="15">
        <v>0.05</v>
      </c>
      <c r="U21" s="15">
        <v>0.05</v>
      </c>
      <c r="V21" s="15">
        <v>0.05</v>
      </c>
      <c r="W21" s="15">
        <v>0.03</v>
      </c>
      <c r="X21" s="15">
        <v>0.03</v>
      </c>
      <c r="Y21" s="15">
        <v>7.0000000000000007E-2</v>
      </c>
      <c r="Z21" s="15">
        <v>0.02</v>
      </c>
      <c r="AA21" s="15">
        <v>0.15</v>
      </c>
      <c r="AB21" s="15">
        <v>7.0000000000000007E-2</v>
      </c>
      <c r="AC21" s="15">
        <v>0.03</v>
      </c>
      <c r="AD21" s="15">
        <v>7.0000000000000007E-2</v>
      </c>
      <c r="AE21" s="15">
        <v>0.06</v>
      </c>
      <c r="AF21" s="15">
        <v>0.05</v>
      </c>
    </row>
    <row r="22" spans="1:32" x14ac:dyDescent="0.35">
      <c r="A22" s="19"/>
      <c r="B22" s="11" t="s">
        <v>768</v>
      </c>
      <c r="C22" s="12">
        <v>18793</v>
      </c>
      <c r="D22" s="12">
        <v>765</v>
      </c>
      <c r="E22" s="12">
        <v>525</v>
      </c>
      <c r="F22" s="12">
        <v>564</v>
      </c>
      <c r="G22" s="12">
        <v>899</v>
      </c>
      <c r="H22" s="12">
        <v>961</v>
      </c>
      <c r="I22" s="12">
        <v>1150</v>
      </c>
      <c r="J22" s="12">
        <v>189</v>
      </c>
      <c r="K22" s="12">
        <v>705</v>
      </c>
      <c r="L22" s="12">
        <v>725</v>
      </c>
      <c r="M22" s="12">
        <v>624</v>
      </c>
      <c r="N22" s="12">
        <v>700</v>
      </c>
      <c r="O22" s="12">
        <v>721</v>
      </c>
      <c r="P22" s="12">
        <v>791</v>
      </c>
      <c r="Q22" s="12">
        <v>621</v>
      </c>
      <c r="R22" s="12">
        <v>356</v>
      </c>
      <c r="S22" s="12">
        <v>792</v>
      </c>
      <c r="T22" s="12">
        <v>841</v>
      </c>
      <c r="U22" s="12">
        <v>382</v>
      </c>
      <c r="V22" s="12">
        <v>641</v>
      </c>
      <c r="W22" s="12">
        <v>349</v>
      </c>
      <c r="X22" s="12">
        <v>821</v>
      </c>
      <c r="Y22" s="12">
        <v>672</v>
      </c>
      <c r="Z22" s="12">
        <v>860</v>
      </c>
      <c r="AA22" s="12">
        <v>802</v>
      </c>
      <c r="AB22" s="12">
        <v>613</v>
      </c>
      <c r="AC22" s="12">
        <v>566</v>
      </c>
      <c r="AD22" s="12">
        <v>623</v>
      </c>
      <c r="AE22" s="12">
        <v>874</v>
      </c>
      <c r="AF22" s="12">
        <v>815</v>
      </c>
    </row>
    <row r="23" spans="1:32" x14ac:dyDescent="0.35">
      <c r="A23" s="19"/>
      <c r="B23" s="13" t="s">
        <v>769</v>
      </c>
      <c r="C23" s="15">
        <v>0.71</v>
      </c>
      <c r="D23" s="15">
        <v>0.76</v>
      </c>
      <c r="E23" s="15">
        <v>0.51</v>
      </c>
      <c r="F23" s="15">
        <v>0.51</v>
      </c>
      <c r="G23" s="15">
        <v>0.89</v>
      </c>
      <c r="H23" s="15">
        <v>0.78</v>
      </c>
      <c r="I23" s="15">
        <v>0.76</v>
      </c>
      <c r="J23" s="15">
        <v>0.64</v>
      </c>
      <c r="K23" s="15">
        <v>0.71</v>
      </c>
      <c r="L23" s="15">
        <v>0.72</v>
      </c>
      <c r="M23" s="15">
        <v>0.62</v>
      </c>
      <c r="N23" s="15">
        <v>0.70000000000000007</v>
      </c>
      <c r="O23" s="15">
        <v>0.72</v>
      </c>
      <c r="P23" s="15">
        <v>0.79</v>
      </c>
      <c r="Q23" s="15">
        <v>0.6</v>
      </c>
      <c r="R23" s="15">
        <v>0.71</v>
      </c>
      <c r="S23" s="15">
        <v>0.79</v>
      </c>
      <c r="T23" s="15">
        <v>0.84</v>
      </c>
      <c r="U23" s="15">
        <v>0.76</v>
      </c>
      <c r="V23" s="15">
        <v>0.63</v>
      </c>
      <c r="W23" s="15">
        <v>0.69000000000000006</v>
      </c>
      <c r="X23" s="15">
        <v>0.81</v>
      </c>
      <c r="Y23" s="15">
        <v>0.67</v>
      </c>
      <c r="Z23" s="15">
        <v>0.84</v>
      </c>
      <c r="AA23" s="15">
        <v>0.78</v>
      </c>
      <c r="AB23" s="15">
        <v>0.57999999999999996</v>
      </c>
      <c r="AC23" s="15">
        <v>0.56000000000000005</v>
      </c>
      <c r="AD23" s="15">
        <v>0.62</v>
      </c>
      <c r="AE23" s="15">
        <v>0.86</v>
      </c>
      <c r="AF23" s="15">
        <v>0.78</v>
      </c>
    </row>
    <row r="24" spans="1:32" x14ac:dyDescent="0.35">
      <c r="A24" s="19"/>
      <c r="B24" s="11" t="s">
        <v>770</v>
      </c>
      <c r="C24" s="12">
        <v>5860</v>
      </c>
      <c r="D24" s="12">
        <v>225</v>
      </c>
      <c r="E24" s="12">
        <v>335</v>
      </c>
      <c r="F24" s="12">
        <v>450</v>
      </c>
      <c r="G24" s="12">
        <v>76</v>
      </c>
      <c r="H24" s="12">
        <v>202</v>
      </c>
      <c r="I24" s="12">
        <v>292</v>
      </c>
      <c r="J24" s="12">
        <v>90</v>
      </c>
      <c r="K24" s="12">
        <v>206</v>
      </c>
      <c r="L24" s="12">
        <v>147</v>
      </c>
      <c r="M24" s="12">
        <v>322</v>
      </c>
      <c r="N24" s="12">
        <v>196</v>
      </c>
      <c r="O24" s="12">
        <v>178</v>
      </c>
      <c r="P24" s="12">
        <v>182</v>
      </c>
      <c r="Q24" s="12">
        <v>350</v>
      </c>
      <c r="R24" s="12">
        <v>127</v>
      </c>
      <c r="S24" s="12">
        <v>135</v>
      </c>
      <c r="T24" s="12">
        <v>117</v>
      </c>
      <c r="U24" s="12">
        <v>98</v>
      </c>
      <c r="V24" s="12">
        <v>319</v>
      </c>
      <c r="W24" s="12">
        <v>141</v>
      </c>
      <c r="X24" s="12">
        <v>162</v>
      </c>
      <c r="Y24" s="12">
        <v>257</v>
      </c>
      <c r="Z24" s="12">
        <v>147</v>
      </c>
      <c r="AA24" s="12">
        <v>74</v>
      </c>
      <c r="AB24" s="12">
        <v>371</v>
      </c>
      <c r="AC24" s="12">
        <v>411</v>
      </c>
      <c r="AD24" s="12">
        <v>309</v>
      </c>
      <c r="AE24" s="12">
        <v>76</v>
      </c>
      <c r="AF24" s="12">
        <v>179</v>
      </c>
    </row>
    <row r="25" spans="1:32" x14ac:dyDescent="0.35">
      <c r="A25" s="19"/>
      <c r="B25" s="13" t="s">
        <v>771</v>
      </c>
      <c r="C25" s="15">
        <v>0.22</v>
      </c>
      <c r="D25" s="15">
        <v>0.22</v>
      </c>
      <c r="E25" s="15">
        <v>0.32</v>
      </c>
      <c r="F25" s="15">
        <v>0.41</v>
      </c>
      <c r="G25" s="15">
        <v>0.08</v>
      </c>
      <c r="H25" s="15">
        <v>0.17</v>
      </c>
      <c r="I25" s="15">
        <v>0.19</v>
      </c>
      <c r="J25" s="15">
        <v>0.3</v>
      </c>
      <c r="K25" s="15">
        <v>0.2</v>
      </c>
      <c r="L25" s="15">
        <v>0.15</v>
      </c>
      <c r="M25" s="15">
        <v>0.32</v>
      </c>
      <c r="N25" s="15">
        <v>0.19</v>
      </c>
      <c r="O25" s="15">
        <v>0.18</v>
      </c>
      <c r="P25" s="15">
        <v>0.18</v>
      </c>
      <c r="Q25" s="15">
        <v>0.34</v>
      </c>
      <c r="R25" s="15">
        <v>0.25</v>
      </c>
      <c r="S25" s="15">
        <v>0.13</v>
      </c>
      <c r="T25" s="15">
        <v>0.11</v>
      </c>
      <c r="U25" s="15">
        <v>0.19</v>
      </c>
      <c r="V25" s="15">
        <v>0.32</v>
      </c>
      <c r="W25" s="15">
        <v>0.28000000000000003</v>
      </c>
      <c r="X25" s="15">
        <v>0.16</v>
      </c>
      <c r="Y25" s="15">
        <v>0.26</v>
      </c>
      <c r="Z25" s="15">
        <v>0.14000000000000001</v>
      </c>
      <c r="AA25" s="15">
        <v>7.0000000000000007E-2</v>
      </c>
      <c r="AB25" s="15">
        <v>0.35</v>
      </c>
      <c r="AC25" s="15">
        <v>0.41</v>
      </c>
      <c r="AD25" s="15">
        <v>0.31</v>
      </c>
      <c r="AE25" s="15">
        <v>0.08</v>
      </c>
      <c r="AF25" s="15">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1223</v>
      </c>
      <c r="C3" s="18"/>
      <c r="D3" s="18"/>
      <c r="E3" s="18"/>
      <c r="F3" s="18"/>
      <c r="H3" s="18" t="s">
        <v>1224</v>
      </c>
      <c r="I3" s="18"/>
      <c r="J3" s="18"/>
      <c r="K3" s="18"/>
      <c r="L3" s="18"/>
    </row>
    <row r="4" spans="1:43" ht="27" customHeight="1" x14ac:dyDescent="0.35">
      <c r="B4" s="18" t="s">
        <v>1225</v>
      </c>
      <c r="C4" s="18"/>
      <c r="D4" s="18"/>
      <c r="E4" s="18"/>
      <c r="F4" s="18"/>
      <c r="H4" s="18" t="s">
        <v>1226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HYPERLINK("#Content!A137","&lt;&lt;Back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8074</v>
      </c>
      <c r="D12" s="12">
        <v>248</v>
      </c>
      <c r="E12" s="12">
        <v>182</v>
      </c>
      <c r="F12" s="12">
        <v>196</v>
      </c>
      <c r="G12" s="12">
        <v>539</v>
      </c>
      <c r="H12" s="12">
        <v>332</v>
      </c>
      <c r="I12" s="12">
        <v>409</v>
      </c>
      <c r="J12" s="12">
        <v>77</v>
      </c>
      <c r="K12" s="12">
        <v>177</v>
      </c>
      <c r="L12" s="12">
        <v>437</v>
      </c>
      <c r="M12" s="12">
        <v>325</v>
      </c>
      <c r="N12" s="12">
        <v>382</v>
      </c>
      <c r="O12" s="12">
        <v>313</v>
      </c>
      <c r="P12" s="12">
        <v>381</v>
      </c>
      <c r="Q12" s="12">
        <v>345</v>
      </c>
      <c r="R12" s="12">
        <v>272</v>
      </c>
      <c r="S12" s="12">
        <v>229</v>
      </c>
      <c r="T12" s="12">
        <v>272</v>
      </c>
      <c r="U12" s="12">
        <v>204</v>
      </c>
      <c r="V12" s="12">
        <v>315</v>
      </c>
      <c r="W12" s="12">
        <v>275</v>
      </c>
      <c r="X12" s="12">
        <v>345</v>
      </c>
      <c r="Y12" s="12">
        <v>345</v>
      </c>
      <c r="Z12" s="12">
        <v>260</v>
      </c>
      <c r="AA12" s="12">
        <v>247</v>
      </c>
      <c r="AB12" s="12">
        <v>222</v>
      </c>
      <c r="AC12" s="12">
        <v>260</v>
      </c>
      <c r="AD12" s="12">
        <v>326</v>
      </c>
      <c r="AE12" s="12">
        <v>285</v>
      </c>
      <c r="AF12" s="12">
        <v>405</v>
      </c>
      <c r="AG12" s="12">
        <v>307</v>
      </c>
      <c r="AH12" s="12">
        <v>337</v>
      </c>
      <c r="AI12" s="12">
        <v>167</v>
      </c>
      <c r="AJ12" s="12">
        <v>285</v>
      </c>
      <c r="AK12" s="12">
        <v>341</v>
      </c>
      <c r="AL12" s="12">
        <v>297</v>
      </c>
      <c r="AM12" s="12">
        <v>234</v>
      </c>
      <c r="AN12" s="12">
        <v>246</v>
      </c>
      <c r="AO12" s="12">
        <v>556</v>
      </c>
      <c r="AP12" s="12">
        <v>219</v>
      </c>
      <c r="AQ12" s="12">
        <v>298</v>
      </c>
    </row>
    <row r="13" spans="1:43" x14ac:dyDescent="0.35">
      <c r="A13" s="19"/>
      <c r="B13" s="13" t="s">
        <v>761</v>
      </c>
      <c r="C13" s="15">
        <v>0.31</v>
      </c>
      <c r="D13" s="15">
        <v>0.24</v>
      </c>
      <c r="E13" s="15">
        <v>0.18</v>
      </c>
      <c r="F13" s="15">
        <v>0.18</v>
      </c>
      <c r="G13" s="15">
        <v>0.54</v>
      </c>
      <c r="H13" s="15">
        <v>0.27</v>
      </c>
      <c r="I13" s="15">
        <v>0.27</v>
      </c>
      <c r="J13" s="15">
        <v>0.26</v>
      </c>
      <c r="K13" s="15">
        <v>0.18</v>
      </c>
      <c r="L13" s="15">
        <v>0.44</v>
      </c>
      <c r="M13" s="15">
        <v>0.32</v>
      </c>
      <c r="N13" s="15">
        <v>0.38</v>
      </c>
      <c r="O13" s="15">
        <v>0.31</v>
      </c>
      <c r="P13" s="15">
        <v>0.38</v>
      </c>
      <c r="Q13" s="15">
        <v>0.34</v>
      </c>
      <c r="R13" s="15">
        <v>0.54</v>
      </c>
      <c r="S13" s="15">
        <v>0.23</v>
      </c>
      <c r="T13" s="15">
        <v>0.27</v>
      </c>
      <c r="U13" s="15">
        <v>0.41</v>
      </c>
      <c r="V13" s="15">
        <v>0.31</v>
      </c>
      <c r="W13" s="15">
        <v>0.54</v>
      </c>
      <c r="X13" s="15">
        <v>0.34</v>
      </c>
      <c r="Y13" s="15">
        <v>0.34</v>
      </c>
      <c r="Z13" s="15">
        <v>0.25</v>
      </c>
      <c r="AA13" s="15">
        <v>0.24</v>
      </c>
      <c r="AB13" s="15">
        <v>0.21</v>
      </c>
      <c r="AC13" s="15">
        <v>0.26</v>
      </c>
      <c r="AD13" s="15">
        <v>0.32</v>
      </c>
      <c r="AE13" s="15">
        <v>0.28000000000000003</v>
      </c>
      <c r="AF13" s="15">
        <v>0.39</v>
      </c>
      <c r="AG13" s="15">
        <v>0.3</v>
      </c>
      <c r="AH13" s="15">
        <v>0.33</v>
      </c>
      <c r="AI13" s="15">
        <v>0.32</v>
      </c>
      <c r="AJ13" s="15">
        <v>0.28000000000000003</v>
      </c>
      <c r="AK13" s="15">
        <v>0.34</v>
      </c>
      <c r="AL13" s="15">
        <v>0.28999999999999998</v>
      </c>
      <c r="AM13" s="15">
        <v>0.23</v>
      </c>
      <c r="AN13" s="15">
        <v>0.25</v>
      </c>
      <c r="AO13" s="15">
        <v>0.55000000000000004</v>
      </c>
      <c r="AP13" s="15">
        <v>0.42</v>
      </c>
      <c r="AQ13" s="15">
        <v>0.3</v>
      </c>
    </row>
    <row r="14" spans="1:43" x14ac:dyDescent="0.35">
      <c r="A14" s="19"/>
      <c r="B14" s="11" t="s">
        <v>762</v>
      </c>
      <c r="C14" s="12">
        <v>11933</v>
      </c>
      <c r="D14" s="12">
        <v>523</v>
      </c>
      <c r="E14" s="12">
        <v>389</v>
      </c>
      <c r="F14" s="12">
        <v>478</v>
      </c>
      <c r="G14" s="12">
        <v>309</v>
      </c>
      <c r="H14" s="12">
        <v>571</v>
      </c>
      <c r="I14" s="12">
        <v>678</v>
      </c>
      <c r="J14" s="12">
        <v>108</v>
      </c>
      <c r="K14" s="12">
        <v>360</v>
      </c>
      <c r="L14" s="12">
        <v>370</v>
      </c>
      <c r="M14" s="12">
        <v>409</v>
      </c>
      <c r="N14" s="12">
        <v>385</v>
      </c>
      <c r="O14" s="12">
        <v>460</v>
      </c>
      <c r="P14" s="12">
        <v>476</v>
      </c>
      <c r="Q14" s="12">
        <v>483</v>
      </c>
      <c r="R14" s="12">
        <v>146</v>
      </c>
      <c r="S14" s="12">
        <v>423</v>
      </c>
      <c r="T14" s="12">
        <v>457</v>
      </c>
      <c r="U14" s="12">
        <v>178</v>
      </c>
      <c r="V14" s="12">
        <v>511</v>
      </c>
      <c r="W14" s="12">
        <v>198</v>
      </c>
      <c r="X14" s="12">
        <v>456</v>
      </c>
      <c r="Y14" s="12">
        <v>392</v>
      </c>
      <c r="Z14" s="12">
        <v>535</v>
      </c>
      <c r="AA14" s="12">
        <v>653</v>
      </c>
      <c r="AB14" s="12">
        <v>488</v>
      </c>
      <c r="AC14" s="12">
        <v>456</v>
      </c>
      <c r="AD14" s="12">
        <v>449</v>
      </c>
      <c r="AE14" s="12">
        <v>431</v>
      </c>
      <c r="AF14" s="12">
        <v>413</v>
      </c>
      <c r="AG14" s="12">
        <v>427</v>
      </c>
      <c r="AH14" s="12">
        <v>468</v>
      </c>
      <c r="AI14" s="12">
        <v>252</v>
      </c>
      <c r="AJ14" s="12">
        <v>427</v>
      </c>
      <c r="AK14" s="12">
        <v>477</v>
      </c>
      <c r="AL14" s="12">
        <v>333</v>
      </c>
      <c r="AM14" s="12">
        <v>473</v>
      </c>
      <c r="AN14" s="12">
        <v>445</v>
      </c>
      <c r="AO14" s="12">
        <v>291</v>
      </c>
      <c r="AP14" s="12">
        <v>197</v>
      </c>
      <c r="AQ14" s="12">
        <v>372</v>
      </c>
    </row>
    <row r="15" spans="1:43" x14ac:dyDescent="0.35">
      <c r="A15" s="19"/>
      <c r="B15" s="13" t="s">
        <v>763</v>
      </c>
      <c r="C15" s="15">
        <v>0.45</v>
      </c>
      <c r="D15" s="15">
        <v>0.52</v>
      </c>
      <c r="E15" s="15">
        <v>0.38</v>
      </c>
      <c r="F15" s="15">
        <v>0.43</v>
      </c>
      <c r="G15" s="15">
        <v>0.31</v>
      </c>
      <c r="H15" s="15">
        <v>0.47</v>
      </c>
      <c r="I15" s="15">
        <v>0.45</v>
      </c>
      <c r="J15" s="15">
        <v>0.36</v>
      </c>
      <c r="K15" s="15">
        <v>0.36</v>
      </c>
      <c r="L15" s="15">
        <v>0.37</v>
      </c>
      <c r="M15" s="15">
        <v>0.4</v>
      </c>
      <c r="N15" s="15">
        <v>0.38</v>
      </c>
      <c r="O15" s="15">
        <v>0.46</v>
      </c>
      <c r="P15" s="15">
        <v>0.47</v>
      </c>
      <c r="Q15" s="15">
        <v>0.47</v>
      </c>
      <c r="R15" s="15">
        <v>0.28999999999999998</v>
      </c>
      <c r="S15" s="15">
        <v>0.42</v>
      </c>
      <c r="T15" s="15">
        <v>0.45</v>
      </c>
      <c r="U15" s="15">
        <v>0.35</v>
      </c>
      <c r="V15" s="15">
        <v>0.5</v>
      </c>
      <c r="W15" s="15">
        <v>0.39</v>
      </c>
      <c r="X15" s="15">
        <v>0.45</v>
      </c>
      <c r="Y15" s="15">
        <v>0.39</v>
      </c>
      <c r="Z15" s="15">
        <v>0.52</v>
      </c>
      <c r="AA15" s="15">
        <v>0.63</v>
      </c>
      <c r="AB15" s="15">
        <v>0.47</v>
      </c>
      <c r="AC15" s="15">
        <v>0.45</v>
      </c>
      <c r="AD15" s="15">
        <v>0.45</v>
      </c>
      <c r="AE15" s="15">
        <v>0.43</v>
      </c>
      <c r="AF15" s="15">
        <v>0.4</v>
      </c>
      <c r="AG15" s="15">
        <v>0.41</v>
      </c>
      <c r="AH15" s="15">
        <v>0.46</v>
      </c>
      <c r="AI15" s="15">
        <v>0.48</v>
      </c>
      <c r="AJ15" s="15">
        <v>0.41</v>
      </c>
      <c r="AK15" s="15">
        <v>0.47</v>
      </c>
      <c r="AL15" s="15">
        <v>0.33</v>
      </c>
      <c r="AM15" s="15">
        <v>0.45</v>
      </c>
      <c r="AN15" s="15">
        <v>0.44</v>
      </c>
      <c r="AO15" s="15">
        <v>0.28999999999999998</v>
      </c>
      <c r="AP15" s="15">
        <v>0.37</v>
      </c>
      <c r="AQ15" s="15">
        <v>0.37</v>
      </c>
    </row>
    <row r="16" spans="1:43" x14ac:dyDescent="0.35">
      <c r="A16" s="19"/>
      <c r="B16" s="11" t="s">
        <v>764</v>
      </c>
      <c r="C16" s="12">
        <v>3260</v>
      </c>
      <c r="D16" s="12">
        <v>150</v>
      </c>
      <c r="E16" s="12">
        <v>158</v>
      </c>
      <c r="F16" s="12">
        <v>243</v>
      </c>
      <c r="G16" s="12">
        <v>73</v>
      </c>
      <c r="H16" s="12">
        <v>152</v>
      </c>
      <c r="I16" s="12">
        <v>210</v>
      </c>
      <c r="J16" s="12">
        <v>58</v>
      </c>
      <c r="K16" s="12">
        <v>225</v>
      </c>
      <c r="L16" s="12">
        <v>77</v>
      </c>
      <c r="M16" s="12">
        <v>157</v>
      </c>
      <c r="N16" s="12">
        <v>96</v>
      </c>
      <c r="O16" s="12">
        <v>123</v>
      </c>
      <c r="P16" s="12">
        <v>107</v>
      </c>
      <c r="Q16" s="12">
        <v>107</v>
      </c>
      <c r="R16" s="12">
        <v>43</v>
      </c>
      <c r="S16" s="12">
        <v>136</v>
      </c>
      <c r="T16" s="12">
        <v>118</v>
      </c>
      <c r="U16" s="12">
        <v>62</v>
      </c>
      <c r="V16" s="12">
        <v>123</v>
      </c>
      <c r="W16" s="12">
        <v>16</v>
      </c>
      <c r="X16" s="12">
        <v>103</v>
      </c>
      <c r="Y16" s="12">
        <v>137</v>
      </c>
      <c r="Z16" s="12">
        <v>139</v>
      </c>
      <c r="AA16" s="12">
        <v>25</v>
      </c>
      <c r="AB16" s="12">
        <v>200</v>
      </c>
      <c r="AC16" s="12">
        <v>176</v>
      </c>
      <c r="AD16" s="12">
        <v>126</v>
      </c>
      <c r="AE16" s="12">
        <v>104</v>
      </c>
      <c r="AF16" s="12">
        <v>87</v>
      </c>
      <c r="AG16" s="12">
        <v>210</v>
      </c>
      <c r="AH16" s="12">
        <v>138</v>
      </c>
      <c r="AI16" s="12">
        <v>43</v>
      </c>
      <c r="AJ16" s="12">
        <v>197</v>
      </c>
      <c r="AK16" s="12">
        <v>120</v>
      </c>
      <c r="AL16" s="12">
        <v>144</v>
      </c>
      <c r="AM16" s="12">
        <v>156</v>
      </c>
      <c r="AN16" s="12">
        <v>241</v>
      </c>
      <c r="AO16" s="12">
        <v>33</v>
      </c>
      <c r="AP16" s="12">
        <v>67</v>
      </c>
      <c r="AQ16" s="12">
        <v>74</v>
      </c>
    </row>
    <row r="17" spans="1:43" x14ac:dyDescent="0.35">
      <c r="A17" s="19"/>
      <c r="B17" s="13" t="s">
        <v>765</v>
      </c>
      <c r="C17" s="15">
        <v>0.12</v>
      </c>
      <c r="D17" s="15">
        <v>0.15</v>
      </c>
      <c r="E17" s="15">
        <v>0.15</v>
      </c>
      <c r="F17" s="15">
        <v>0.22</v>
      </c>
      <c r="G17" s="15">
        <v>7.0000000000000007E-2</v>
      </c>
      <c r="H17" s="15">
        <v>0.12</v>
      </c>
      <c r="I17" s="15">
        <v>0.14000000000000001</v>
      </c>
      <c r="J17" s="15">
        <v>0.2</v>
      </c>
      <c r="K17" s="15">
        <v>0.22</v>
      </c>
      <c r="L17" s="15">
        <v>0.08</v>
      </c>
      <c r="M17" s="15">
        <v>0.16</v>
      </c>
      <c r="N17" s="15">
        <v>0.1</v>
      </c>
      <c r="O17" s="15">
        <v>0.12</v>
      </c>
      <c r="P17" s="15">
        <v>0.11</v>
      </c>
      <c r="Q17" s="15">
        <v>0.1</v>
      </c>
      <c r="R17" s="15">
        <v>0.09</v>
      </c>
      <c r="S17" s="15">
        <v>0.13</v>
      </c>
      <c r="T17" s="15">
        <v>0.12</v>
      </c>
      <c r="U17" s="15">
        <v>0.12</v>
      </c>
      <c r="V17" s="15">
        <v>0.12</v>
      </c>
      <c r="W17" s="15">
        <v>0.03</v>
      </c>
      <c r="X17" s="15">
        <v>0.1</v>
      </c>
      <c r="Y17" s="15">
        <v>0.14000000000000001</v>
      </c>
      <c r="Z17" s="15">
        <v>0.13</v>
      </c>
      <c r="AA17" s="15">
        <v>0.03</v>
      </c>
      <c r="AB17" s="15">
        <v>0.19</v>
      </c>
      <c r="AC17" s="15">
        <v>0.18</v>
      </c>
      <c r="AD17" s="15">
        <v>0.13</v>
      </c>
      <c r="AE17" s="15">
        <v>0.1</v>
      </c>
      <c r="AF17" s="15">
        <v>0.08</v>
      </c>
      <c r="AG17" s="15">
        <v>0.2</v>
      </c>
      <c r="AH17" s="15">
        <v>0.14000000000000001</v>
      </c>
      <c r="AI17" s="15">
        <v>0.08</v>
      </c>
      <c r="AJ17" s="15">
        <v>0.19</v>
      </c>
      <c r="AK17" s="15">
        <v>0.12</v>
      </c>
      <c r="AL17" s="15">
        <v>0.14000000000000001</v>
      </c>
      <c r="AM17" s="15">
        <v>0.15</v>
      </c>
      <c r="AN17" s="15">
        <v>0.24</v>
      </c>
      <c r="AO17" s="15">
        <v>0.03</v>
      </c>
      <c r="AP17" s="15">
        <v>0.13</v>
      </c>
      <c r="AQ17" s="15">
        <v>0.08</v>
      </c>
    </row>
    <row r="18" spans="1:43" x14ac:dyDescent="0.35">
      <c r="A18" s="19"/>
      <c r="B18" s="11" t="s">
        <v>766</v>
      </c>
      <c r="C18" s="12">
        <v>1346</v>
      </c>
      <c r="D18" s="12">
        <v>48</v>
      </c>
      <c r="E18" s="12">
        <v>113</v>
      </c>
      <c r="F18" s="12">
        <v>101</v>
      </c>
      <c r="G18" s="12">
        <v>24</v>
      </c>
      <c r="H18" s="12">
        <v>57</v>
      </c>
      <c r="I18" s="12">
        <v>87</v>
      </c>
      <c r="J18" s="12">
        <v>30</v>
      </c>
      <c r="K18" s="12">
        <v>111</v>
      </c>
      <c r="L18" s="12">
        <v>32</v>
      </c>
      <c r="M18" s="12">
        <v>70</v>
      </c>
      <c r="N18" s="12">
        <v>41</v>
      </c>
      <c r="O18" s="12">
        <v>49</v>
      </c>
      <c r="P18" s="12">
        <v>28</v>
      </c>
      <c r="Q18" s="12">
        <v>49</v>
      </c>
      <c r="R18" s="12">
        <v>29</v>
      </c>
      <c r="S18" s="12">
        <v>66</v>
      </c>
      <c r="T18" s="12">
        <v>28</v>
      </c>
      <c r="U18" s="12">
        <v>23</v>
      </c>
      <c r="V18" s="12">
        <v>47</v>
      </c>
      <c r="W18" s="12">
        <v>4</v>
      </c>
      <c r="X18" s="12">
        <v>51</v>
      </c>
      <c r="Y18" s="12">
        <v>83</v>
      </c>
      <c r="Z18" s="12">
        <v>49</v>
      </c>
      <c r="AA18" s="12">
        <v>3</v>
      </c>
      <c r="AB18" s="12">
        <v>63</v>
      </c>
      <c r="AC18" s="12">
        <v>69</v>
      </c>
      <c r="AD18" s="12">
        <v>32</v>
      </c>
      <c r="AE18" s="12">
        <v>34</v>
      </c>
      <c r="AF18" s="12">
        <v>56</v>
      </c>
      <c r="AG18" s="12">
        <v>69</v>
      </c>
      <c r="AH18" s="12">
        <v>34</v>
      </c>
      <c r="AI18" s="12">
        <v>27</v>
      </c>
      <c r="AJ18" s="12">
        <v>76</v>
      </c>
      <c r="AK18" s="12">
        <v>45</v>
      </c>
      <c r="AL18" s="12">
        <v>100</v>
      </c>
      <c r="AM18" s="12">
        <v>71</v>
      </c>
      <c r="AN18" s="12">
        <v>52</v>
      </c>
      <c r="AO18" s="12">
        <v>19</v>
      </c>
      <c r="AP18" s="12">
        <v>36</v>
      </c>
      <c r="AQ18" s="12">
        <v>73</v>
      </c>
    </row>
    <row r="19" spans="1:43" x14ac:dyDescent="0.35">
      <c r="A19" s="19"/>
      <c r="B19" s="13" t="s">
        <v>767</v>
      </c>
      <c r="C19" s="15">
        <v>0.05</v>
      </c>
      <c r="D19" s="15">
        <v>0.05</v>
      </c>
      <c r="E19" s="15">
        <v>0.11</v>
      </c>
      <c r="F19" s="15">
        <v>0.09</v>
      </c>
      <c r="G19" s="15">
        <v>0.02</v>
      </c>
      <c r="H19" s="15">
        <v>0.05</v>
      </c>
      <c r="I19" s="15">
        <v>0.06</v>
      </c>
      <c r="J19" s="15">
        <v>0.1</v>
      </c>
      <c r="K19" s="15">
        <v>0.11</v>
      </c>
      <c r="L19" s="15">
        <v>0.03</v>
      </c>
      <c r="M19" s="15">
        <v>7.0000000000000007E-2</v>
      </c>
      <c r="N19" s="15">
        <v>0.04</v>
      </c>
      <c r="O19" s="15">
        <v>0.05</v>
      </c>
      <c r="P19" s="15">
        <v>0.03</v>
      </c>
      <c r="Q19" s="15">
        <v>0.05</v>
      </c>
      <c r="R19" s="15">
        <v>0.06</v>
      </c>
      <c r="S19" s="15">
        <v>7.0000000000000007E-2</v>
      </c>
      <c r="T19" s="15">
        <v>0.03</v>
      </c>
      <c r="U19" s="15">
        <v>0.05</v>
      </c>
      <c r="V19" s="15">
        <v>0.05</v>
      </c>
      <c r="W19" s="15">
        <v>0.01</v>
      </c>
      <c r="X19" s="15">
        <v>0.05</v>
      </c>
      <c r="Y19" s="15">
        <v>0.08</v>
      </c>
      <c r="Z19" s="15">
        <v>0.05</v>
      </c>
      <c r="AA19" s="14" t="s">
        <v>475</v>
      </c>
      <c r="AB19" s="15">
        <v>0.06</v>
      </c>
      <c r="AC19" s="15">
        <v>7.0000000000000007E-2</v>
      </c>
      <c r="AD19" s="15">
        <v>0.03</v>
      </c>
      <c r="AE19" s="15">
        <v>0.03</v>
      </c>
      <c r="AF19" s="15">
        <v>0.05</v>
      </c>
      <c r="AG19" s="15">
        <v>7.0000000000000007E-2</v>
      </c>
      <c r="AH19" s="15">
        <v>0.03</v>
      </c>
      <c r="AI19" s="15">
        <v>0.05</v>
      </c>
      <c r="AJ19" s="15">
        <v>7.0000000000000007E-2</v>
      </c>
      <c r="AK19" s="15">
        <v>0.05</v>
      </c>
      <c r="AL19" s="15">
        <v>0.1</v>
      </c>
      <c r="AM19" s="15">
        <v>7.0000000000000007E-2</v>
      </c>
      <c r="AN19" s="15">
        <v>0.05</v>
      </c>
      <c r="AO19" s="15">
        <v>0.02</v>
      </c>
      <c r="AP19" s="15">
        <v>7.0000000000000007E-2</v>
      </c>
      <c r="AQ19" s="15">
        <v>7.0000000000000007E-2</v>
      </c>
    </row>
    <row r="20" spans="1:43" x14ac:dyDescent="0.35">
      <c r="A20" s="19"/>
      <c r="B20" s="11" t="s">
        <v>485</v>
      </c>
      <c r="C20" s="12">
        <v>1832</v>
      </c>
      <c r="D20" s="12">
        <v>45</v>
      </c>
      <c r="E20" s="12">
        <v>188</v>
      </c>
      <c r="F20" s="12">
        <v>85</v>
      </c>
      <c r="G20" s="12">
        <v>61</v>
      </c>
      <c r="H20" s="12">
        <v>109</v>
      </c>
      <c r="I20" s="12">
        <v>131</v>
      </c>
      <c r="J20" s="12">
        <v>22</v>
      </c>
      <c r="K20" s="12">
        <v>129</v>
      </c>
      <c r="L20" s="12">
        <v>86</v>
      </c>
      <c r="M20" s="12">
        <v>49</v>
      </c>
      <c r="N20" s="12">
        <v>98</v>
      </c>
      <c r="O20" s="12">
        <v>56</v>
      </c>
      <c r="P20" s="12">
        <v>12</v>
      </c>
      <c r="Q20" s="12">
        <v>44</v>
      </c>
      <c r="R20" s="12">
        <v>13</v>
      </c>
      <c r="S20" s="12">
        <v>148</v>
      </c>
      <c r="T20" s="12">
        <v>131</v>
      </c>
      <c r="U20" s="12">
        <v>37</v>
      </c>
      <c r="V20" s="12">
        <v>18</v>
      </c>
      <c r="W20" s="12">
        <v>14</v>
      </c>
      <c r="X20" s="12">
        <v>54</v>
      </c>
      <c r="Y20" s="12">
        <v>47</v>
      </c>
      <c r="Z20" s="12">
        <v>48</v>
      </c>
      <c r="AA20" s="12">
        <v>106</v>
      </c>
      <c r="AB20" s="12">
        <v>78</v>
      </c>
      <c r="AC20" s="12">
        <v>42</v>
      </c>
      <c r="AD20" s="12">
        <v>73</v>
      </c>
      <c r="AE20" s="12">
        <v>158</v>
      </c>
      <c r="AF20" s="12">
        <v>82</v>
      </c>
      <c r="AG20" s="12">
        <v>23</v>
      </c>
      <c r="AH20" s="12">
        <v>35</v>
      </c>
      <c r="AI20" s="12">
        <v>34</v>
      </c>
      <c r="AJ20" s="12">
        <v>53</v>
      </c>
      <c r="AK20" s="12">
        <v>25</v>
      </c>
      <c r="AL20" s="12">
        <v>138</v>
      </c>
      <c r="AM20" s="12">
        <v>105</v>
      </c>
      <c r="AN20" s="12">
        <v>19</v>
      </c>
      <c r="AO20" s="12">
        <v>106</v>
      </c>
      <c r="AP20" s="12">
        <v>5</v>
      </c>
      <c r="AQ20" s="12">
        <v>185</v>
      </c>
    </row>
    <row r="21" spans="1:43" x14ac:dyDescent="0.35">
      <c r="A21" s="19"/>
      <c r="B21" s="13" t="s">
        <v>486</v>
      </c>
      <c r="C21" s="15">
        <v>7.0000000000000007E-2</v>
      </c>
      <c r="D21" s="15">
        <v>0.04</v>
      </c>
      <c r="E21" s="15">
        <v>0.18</v>
      </c>
      <c r="F21" s="15">
        <v>0.08</v>
      </c>
      <c r="G21" s="15">
        <v>0.06</v>
      </c>
      <c r="H21" s="15">
        <v>0.09</v>
      </c>
      <c r="I21" s="15">
        <v>0.08</v>
      </c>
      <c r="J21" s="15">
        <v>0.08</v>
      </c>
      <c r="K21" s="15">
        <v>0.13</v>
      </c>
      <c r="L21" s="15">
        <v>0.08</v>
      </c>
      <c r="M21" s="15">
        <v>0.05</v>
      </c>
      <c r="N21" s="15">
        <v>0.1</v>
      </c>
      <c r="O21" s="15">
        <v>0.06</v>
      </c>
      <c r="P21" s="15">
        <v>0.01</v>
      </c>
      <c r="Q21" s="15">
        <v>0.04</v>
      </c>
      <c r="R21" s="15">
        <v>0.02</v>
      </c>
      <c r="S21" s="15">
        <v>0.15</v>
      </c>
      <c r="T21" s="15">
        <v>0.13</v>
      </c>
      <c r="U21" s="15">
        <v>7.0000000000000007E-2</v>
      </c>
      <c r="V21" s="15">
        <v>0.02</v>
      </c>
      <c r="W21" s="15">
        <v>0.03</v>
      </c>
      <c r="X21" s="15">
        <v>0.06</v>
      </c>
      <c r="Y21" s="15">
        <v>0.05</v>
      </c>
      <c r="Z21" s="15">
        <v>0.05</v>
      </c>
      <c r="AA21" s="15">
        <v>0.1</v>
      </c>
      <c r="AB21" s="15">
        <v>7.0000000000000007E-2</v>
      </c>
      <c r="AC21" s="15">
        <v>0.04</v>
      </c>
      <c r="AD21" s="15">
        <v>7.0000000000000007E-2</v>
      </c>
      <c r="AE21" s="15">
        <v>0.16</v>
      </c>
      <c r="AF21" s="15">
        <v>0.08</v>
      </c>
      <c r="AG21" s="15">
        <v>0.02</v>
      </c>
      <c r="AH21" s="15">
        <v>0.04</v>
      </c>
      <c r="AI21" s="15">
        <v>7.0000000000000007E-2</v>
      </c>
      <c r="AJ21" s="15">
        <v>0.05</v>
      </c>
      <c r="AK21" s="15">
        <v>0.02</v>
      </c>
      <c r="AL21" s="15">
        <v>0.14000000000000001</v>
      </c>
      <c r="AM21" s="15">
        <v>0.1</v>
      </c>
      <c r="AN21" s="15">
        <v>0.02</v>
      </c>
      <c r="AO21" s="15">
        <v>0.11</v>
      </c>
      <c r="AP21" s="15">
        <v>0.01</v>
      </c>
      <c r="AQ21" s="15">
        <v>0.18</v>
      </c>
    </row>
    <row r="22" spans="1:43" x14ac:dyDescent="0.35">
      <c r="A22" s="19"/>
      <c r="B22" s="11" t="s">
        <v>768</v>
      </c>
      <c r="C22" s="12">
        <v>20007</v>
      </c>
      <c r="D22" s="12">
        <v>771</v>
      </c>
      <c r="E22" s="12">
        <v>571</v>
      </c>
      <c r="F22" s="12">
        <v>674</v>
      </c>
      <c r="G22" s="12">
        <v>848</v>
      </c>
      <c r="H22" s="12">
        <v>903</v>
      </c>
      <c r="I22" s="12">
        <v>1087</v>
      </c>
      <c r="J22" s="12">
        <v>185</v>
      </c>
      <c r="K22" s="12">
        <v>537</v>
      </c>
      <c r="L22" s="12">
        <v>807</v>
      </c>
      <c r="M22" s="12">
        <v>734</v>
      </c>
      <c r="N22" s="12">
        <v>767</v>
      </c>
      <c r="O22" s="12">
        <v>773</v>
      </c>
      <c r="P22" s="12">
        <v>857</v>
      </c>
      <c r="Q22" s="12">
        <v>828</v>
      </c>
      <c r="R22" s="12">
        <v>418</v>
      </c>
      <c r="S22" s="12">
        <v>652</v>
      </c>
      <c r="T22" s="12">
        <v>729</v>
      </c>
      <c r="U22" s="12">
        <v>382</v>
      </c>
      <c r="V22" s="12">
        <v>826</v>
      </c>
      <c r="W22" s="12">
        <v>473</v>
      </c>
      <c r="X22" s="12">
        <v>801</v>
      </c>
      <c r="Y22" s="12">
        <v>737</v>
      </c>
      <c r="Z22" s="12">
        <v>795</v>
      </c>
      <c r="AA22" s="12">
        <v>900</v>
      </c>
      <c r="AB22" s="12">
        <v>710</v>
      </c>
      <c r="AC22" s="12">
        <v>716</v>
      </c>
      <c r="AD22" s="12">
        <v>775</v>
      </c>
      <c r="AE22" s="12">
        <v>716</v>
      </c>
      <c r="AF22" s="12">
        <v>818</v>
      </c>
      <c r="AG22" s="12">
        <v>734</v>
      </c>
      <c r="AH22" s="12">
        <v>805</v>
      </c>
      <c r="AI22" s="12">
        <v>419</v>
      </c>
      <c r="AJ22" s="12">
        <v>712</v>
      </c>
      <c r="AK22" s="12">
        <v>818</v>
      </c>
      <c r="AL22" s="12">
        <v>630</v>
      </c>
      <c r="AM22" s="12">
        <v>707</v>
      </c>
      <c r="AN22" s="12">
        <v>691</v>
      </c>
      <c r="AO22" s="12">
        <v>847</v>
      </c>
      <c r="AP22" s="12">
        <v>416</v>
      </c>
      <c r="AQ22" s="12">
        <v>670</v>
      </c>
    </row>
    <row r="23" spans="1:43" x14ac:dyDescent="0.35">
      <c r="A23" s="19"/>
      <c r="B23" s="13" t="s">
        <v>769</v>
      </c>
      <c r="C23" s="15">
        <v>0.76</v>
      </c>
      <c r="D23" s="15">
        <v>0.76</v>
      </c>
      <c r="E23" s="15">
        <v>0.56000000000000005</v>
      </c>
      <c r="F23" s="15">
        <v>0.61</v>
      </c>
      <c r="G23" s="15">
        <v>0.85</v>
      </c>
      <c r="H23" s="15">
        <v>0.74</v>
      </c>
      <c r="I23" s="15">
        <v>0.72</v>
      </c>
      <c r="J23" s="15">
        <v>0.62</v>
      </c>
      <c r="K23" s="15">
        <v>0.54</v>
      </c>
      <c r="L23" s="15">
        <v>0.81</v>
      </c>
      <c r="M23" s="15">
        <v>0.72</v>
      </c>
      <c r="N23" s="15">
        <v>0.76</v>
      </c>
      <c r="O23" s="15">
        <v>0.77</v>
      </c>
      <c r="P23" s="15">
        <v>0.85</v>
      </c>
      <c r="Q23" s="15">
        <v>0.81</v>
      </c>
      <c r="R23" s="15">
        <v>0.83000000000000007</v>
      </c>
      <c r="S23" s="15">
        <v>0.65</v>
      </c>
      <c r="T23" s="15">
        <v>0.72</v>
      </c>
      <c r="U23" s="15">
        <v>0.76</v>
      </c>
      <c r="V23" s="15">
        <v>0.81</v>
      </c>
      <c r="W23" s="15">
        <v>0.93</v>
      </c>
      <c r="X23" s="15">
        <v>0.79</v>
      </c>
      <c r="Y23" s="15">
        <v>0.73</v>
      </c>
      <c r="Z23" s="15">
        <v>0.77</v>
      </c>
      <c r="AA23" s="15">
        <v>0.87</v>
      </c>
      <c r="AB23" s="15">
        <v>0.68</v>
      </c>
      <c r="AC23" s="15">
        <v>0.71</v>
      </c>
      <c r="AD23" s="15">
        <v>0.77</v>
      </c>
      <c r="AE23" s="15">
        <v>0.71</v>
      </c>
      <c r="AF23" s="15">
        <v>0.79</v>
      </c>
      <c r="AG23" s="15">
        <v>0.71</v>
      </c>
      <c r="AH23" s="15">
        <v>0.79</v>
      </c>
      <c r="AI23" s="15">
        <v>0.8</v>
      </c>
      <c r="AJ23" s="15">
        <v>0.69000000000000006</v>
      </c>
      <c r="AK23" s="15">
        <v>0.81</v>
      </c>
      <c r="AL23" s="15">
        <v>0.62</v>
      </c>
      <c r="AM23" s="15">
        <v>0.68</v>
      </c>
      <c r="AN23" s="15">
        <v>0.69000000000000006</v>
      </c>
      <c r="AO23" s="15">
        <v>0.84</v>
      </c>
      <c r="AP23" s="15">
        <v>0.79</v>
      </c>
      <c r="AQ23" s="15">
        <v>0.67</v>
      </c>
    </row>
    <row r="24" spans="1:43" x14ac:dyDescent="0.35">
      <c r="A24" s="19"/>
      <c r="B24" s="11" t="s">
        <v>770</v>
      </c>
      <c r="C24" s="12">
        <v>4606</v>
      </c>
      <c r="D24" s="12">
        <v>198</v>
      </c>
      <c r="E24" s="12">
        <v>271</v>
      </c>
      <c r="F24" s="12">
        <v>344</v>
      </c>
      <c r="G24" s="12">
        <v>97</v>
      </c>
      <c r="H24" s="12">
        <v>209</v>
      </c>
      <c r="I24" s="12">
        <v>297</v>
      </c>
      <c r="J24" s="12">
        <v>88</v>
      </c>
      <c r="K24" s="12">
        <v>336</v>
      </c>
      <c r="L24" s="12">
        <v>109</v>
      </c>
      <c r="M24" s="12">
        <v>227</v>
      </c>
      <c r="N24" s="12">
        <v>137</v>
      </c>
      <c r="O24" s="12">
        <v>172</v>
      </c>
      <c r="P24" s="12">
        <v>135</v>
      </c>
      <c r="Q24" s="12">
        <v>156</v>
      </c>
      <c r="R24" s="12">
        <v>72</v>
      </c>
      <c r="S24" s="12">
        <v>202</v>
      </c>
      <c r="T24" s="12">
        <v>146</v>
      </c>
      <c r="U24" s="12">
        <v>85</v>
      </c>
      <c r="V24" s="12">
        <v>170</v>
      </c>
      <c r="W24" s="12">
        <v>20</v>
      </c>
      <c r="X24" s="12">
        <v>154</v>
      </c>
      <c r="Y24" s="12">
        <v>220</v>
      </c>
      <c r="Z24" s="12">
        <v>188</v>
      </c>
      <c r="AA24" s="12">
        <v>28</v>
      </c>
      <c r="AB24" s="12">
        <v>263</v>
      </c>
      <c r="AC24" s="12">
        <v>245</v>
      </c>
      <c r="AD24" s="12">
        <v>158</v>
      </c>
      <c r="AE24" s="12">
        <v>138</v>
      </c>
      <c r="AF24" s="12">
        <v>143</v>
      </c>
      <c r="AG24" s="12">
        <v>279</v>
      </c>
      <c r="AH24" s="12">
        <v>172</v>
      </c>
      <c r="AI24" s="12">
        <v>70</v>
      </c>
      <c r="AJ24" s="12">
        <v>273</v>
      </c>
      <c r="AK24" s="12">
        <v>165</v>
      </c>
      <c r="AL24" s="12">
        <v>244</v>
      </c>
      <c r="AM24" s="12">
        <v>227</v>
      </c>
      <c r="AN24" s="12">
        <v>293</v>
      </c>
      <c r="AO24" s="12">
        <v>52</v>
      </c>
      <c r="AP24" s="12">
        <v>103</v>
      </c>
      <c r="AQ24" s="12">
        <v>147</v>
      </c>
    </row>
    <row r="25" spans="1:43" x14ac:dyDescent="0.35">
      <c r="A25" s="19"/>
      <c r="B25" s="13" t="s">
        <v>771</v>
      </c>
      <c r="C25" s="15">
        <v>0.17</v>
      </c>
      <c r="D25" s="15">
        <v>0.2</v>
      </c>
      <c r="E25" s="15">
        <v>0.26</v>
      </c>
      <c r="F25" s="15">
        <v>0.31</v>
      </c>
      <c r="G25" s="15">
        <v>0.09</v>
      </c>
      <c r="H25" s="15">
        <v>0.17</v>
      </c>
      <c r="I25" s="15">
        <v>0.2</v>
      </c>
      <c r="J25" s="15">
        <v>0.3</v>
      </c>
      <c r="K25" s="15">
        <v>0.33</v>
      </c>
      <c r="L25" s="15">
        <v>0.11</v>
      </c>
      <c r="M25" s="15">
        <v>0.23</v>
      </c>
      <c r="N25" s="15">
        <v>0.14000000000000001</v>
      </c>
      <c r="O25" s="15">
        <v>0.17</v>
      </c>
      <c r="P25" s="15">
        <v>0.14000000000000001</v>
      </c>
      <c r="Q25" s="15">
        <v>0.15</v>
      </c>
      <c r="R25" s="15">
        <v>0.15</v>
      </c>
      <c r="S25" s="15">
        <v>0.2</v>
      </c>
      <c r="T25" s="15">
        <v>0.15</v>
      </c>
      <c r="U25" s="15">
        <v>0.17</v>
      </c>
      <c r="V25" s="15">
        <v>0.17</v>
      </c>
      <c r="W25" s="15">
        <v>0.04</v>
      </c>
      <c r="X25" s="15">
        <v>0.15</v>
      </c>
      <c r="Y25" s="15">
        <v>0.22</v>
      </c>
      <c r="Z25" s="15">
        <v>0.18</v>
      </c>
      <c r="AA25" s="15">
        <v>0.03</v>
      </c>
      <c r="AB25" s="15">
        <v>0.25</v>
      </c>
      <c r="AC25" s="15">
        <v>0.25</v>
      </c>
      <c r="AD25" s="15">
        <v>0.16</v>
      </c>
      <c r="AE25" s="15">
        <v>0.13</v>
      </c>
      <c r="AF25" s="15">
        <v>0.13</v>
      </c>
      <c r="AG25" s="15">
        <v>0.27</v>
      </c>
      <c r="AH25" s="15">
        <v>0.17</v>
      </c>
      <c r="AI25" s="15">
        <v>0.13</v>
      </c>
      <c r="AJ25" s="15">
        <v>0.26</v>
      </c>
      <c r="AK25" s="15">
        <v>0.17</v>
      </c>
      <c r="AL25" s="15">
        <v>0.24</v>
      </c>
      <c r="AM25" s="15">
        <v>0.22</v>
      </c>
      <c r="AN25" s="15">
        <v>0.28999999999999998</v>
      </c>
      <c r="AO25" s="15">
        <v>0.05</v>
      </c>
      <c r="AP25" s="15">
        <v>0.2</v>
      </c>
      <c r="AQ25" s="15">
        <v>0.15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1227</v>
      </c>
      <c r="C3" s="18"/>
      <c r="D3" s="18"/>
      <c r="E3" s="18"/>
      <c r="F3" s="18"/>
      <c r="H3" s="18" t="s">
        <v>1228</v>
      </c>
      <c r="I3" s="18"/>
      <c r="J3" s="18"/>
      <c r="K3" s="18"/>
      <c r="L3" s="18"/>
    </row>
    <row r="4" spans="1:32" ht="27" customHeight="1" x14ac:dyDescent="0.35">
      <c r="B4" s="18" t="s">
        <v>1229</v>
      </c>
      <c r="C4" s="18"/>
      <c r="D4" s="18"/>
      <c r="E4" s="18"/>
      <c r="F4" s="18"/>
      <c r="H4" s="18" t="s">
        <v>1230</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HYPERLINK("#Content!A138","&lt;&lt;Back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9009</v>
      </c>
      <c r="D12" s="12">
        <v>282</v>
      </c>
      <c r="E12" s="12">
        <v>274</v>
      </c>
      <c r="F12" s="12">
        <v>187</v>
      </c>
      <c r="G12" s="12">
        <v>590</v>
      </c>
      <c r="H12" s="12">
        <v>339</v>
      </c>
      <c r="I12" s="12">
        <v>423</v>
      </c>
      <c r="J12" s="12">
        <v>84</v>
      </c>
      <c r="K12" s="12">
        <v>228</v>
      </c>
      <c r="L12" s="12">
        <v>480</v>
      </c>
      <c r="M12" s="12">
        <v>329</v>
      </c>
      <c r="N12" s="12">
        <v>447</v>
      </c>
      <c r="O12" s="12">
        <v>351</v>
      </c>
      <c r="P12" s="12">
        <v>417</v>
      </c>
      <c r="Q12" s="12">
        <v>372</v>
      </c>
      <c r="R12" s="12">
        <v>221</v>
      </c>
      <c r="S12" s="12">
        <v>290</v>
      </c>
      <c r="T12" s="12">
        <v>263</v>
      </c>
      <c r="U12" s="12">
        <v>232</v>
      </c>
      <c r="V12" s="12">
        <v>325</v>
      </c>
      <c r="W12" s="12">
        <v>251</v>
      </c>
      <c r="X12" s="12">
        <v>456</v>
      </c>
      <c r="Y12" s="12">
        <v>360</v>
      </c>
      <c r="Z12" s="12">
        <v>257</v>
      </c>
      <c r="AA12" s="12">
        <v>300</v>
      </c>
      <c r="AB12" s="12">
        <v>266</v>
      </c>
      <c r="AC12" s="12">
        <v>281</v>
      </c>
      <c r="AD12" s="12">
        <v>307</v>
      </c>
      <c r="AE12" s="12">
        <v>417</v>
      </c>
      <c r="AF12" s="12">
        <v>608</v>
      </c>
    </row>
    <row r="13" spans="1:32" x14ac:dyDescent="0.35">
      <c r="A13" s="19"/>
      <c r="B13" s="13" t="s">
        <v>761</v>
      </c>
      <c r="C13" s="15">
        <v>0.34</v>
      </c>
      <c r="D13" s="15">
        <v>0.28000000000000003</v>
      </c>
      <c r="E13" s="15">
        <v>0.26</v>
      </c>
      <c r="F13" s="15">
        <v>0.17</v>
      </c>
      <c r="G13" s="15">
        <v>0.59</v>
      </c>
      <c r="H13" s="15">
        <v>0.28000000000000003</v>
      </c>
      <c r="I13" s="15">
        <v>0.28000000000000003</v>
      </c>
      <c r="J13" s="15">
        <v>0.28999999999999998</v>
      </c>
      <c r="K13" s="15">
        <v>0.23</v>
      </c>
      <c r="L13" s="15">
        <v>0.48</v>
      </c>
      <c r="M13" s="15">
        <v>0.32</v>
      </c>
      <c r="N13" s="15">
        <v>0.45</v>
      </c>
      <c r="O13" s="15">
        <v>0.35</v>
      </c>
      <c r="P13" s="15">
        <v>0.42</v>
      </c>
      <c r="Q13" s="15">
        <v>0.36</v>
      </c>
      <c r="R13" s="15">
        <v>0.44</v>
      </c>
      <c r="S13" s="15">
        <v>0.28999999999999998</v>
      </c>
      <c r="T13" s="15">
        <v>0.26</v>
      </c>
      <c r="U13" s="15">
        <v>0.46</v>
      </c>
      <c r="V13" s="15">
        <v>0.32</v>
      </c>
      <c r="W13" s="15">
        <v>0.49</v>
      </c>
      <c r="X13" s="15">
        <v>0.45</v>
      </c>
      <c r="Y13" s="15">
        <v>0.36</v>
      </c>
      <c r="Z13" s="15">
        <v>0.25</v>
      </c>
      <c r="AA13" s="15">
        <v>0.28999999999999998</v>
      </c>
      <c r="AB13" s="15">
        <v>0.25</v>
      </c>
      <c r="AC13" s="15">
        <v>0.28000000000000003</v>
      </c>
      <c r="AD13" s="15">
        <v>0.31</v>
      </c>
      <c r="AE13" s="15">
        <v>0.41</v>
      </c>
      <c r="AF13" s="15">
        <v>0.57999999999999996</v>
      </c>
    </row>
    <row r="14" spans="1:32" x14ac:dyDescent="0.35">
      <c r="A14" s="19"/>
      <c r="B14" s="11" t="s">
        <v>762</v>
      </c>
      <c r="C14" s="12">
        <v>12105</v>
      </c>
      <c r="D14" s="12">
        <v>518</v>
      </c>
      <c r="E14" s="12">
        <v>430</v>
      </c>
      <c r="F14" s="12">
        <v>505</v>
      </c>
      <c r="G14" s="12">
        <v>316</v>
      </c>
      <c r="H14" s="12">
        <v>594</v>
      </c>
      <c r="I14" s="12">
        <v>722</v>
      </c>
      <c r="J14" s="12">
        <v>128</v>
      </c>
      <c r="K14" s="12">
        <v>411</v>
      </c>
      <c r="L14" s="12">
        <v>398</v>
      </c>
      <c r="M14" s="12">
        <v>451</v>
      </c>
      <c r="N14" s="12">
        <v>365</v>
      </c>
      <c r="O14" s="12">
        <v>455</v>
      </c>
      <c r="P14" s="12">
        <v>462</v>
      </c>
      <c r="Q14" s="12">
        <v>472</v>
      </c>
      <c r="R14" s="12">
        <v>171</v>
      </c>
      <c r="S14" s="12">
        <v>430</v>
      </c>
      <c r="T14" s="12">
        <v>493</v>
      </c>
      <c r="U14" s="12">
        <v>182</v>
      </c>
      <c r="V14" s="12">
        <v>514</v>
      </c>
      <c r="W14" s="12">
        <v>198</v>
      </c>
      <c r="X14" s="12">
        <v>403</v>
      </c>
      <c r="Y14" s="12">
        <v>430</v>
      </c>
      <c r="Z14" s="12">
        <v>587</v>
      </c>
      <c r="AA14" s="12">
        <v>637</v>
      </c>
      <c r="AB14" s="12">
        <v>541</v>
      </c>
      <c r="AC14" s="12">
        <v>420</v>
      </c>
      <c r="AD14" s="12">
        <v>460</v>
      </c>
      <c r="AE14" s="12">
        <v>437</v>
      </c>
      <c r="AF14" s="12">
        <v>325</v>
      </c>
    </row>
    <row r="15" spans="1:32" x14ac:dyDescent="0.35">
      <c r="A15" s="19"/>
      <c r="B15" s="13" t="s">
        <v>763</v>
      </c>
      <c r="C15" s="15">
        <v>0.46</v>
      </c>
      <c r="D15" s="15">
        <v>0.51</v>
      </c>
      <c r="E15" s="15">
        <v>0.42</v>
      </c>
      <c r="F15" s="15">
        <v>0.46</v>
      </c>
      <c r="G15" s="15">
        <v>0.32</v>
      </c>
      <c r="H15" s="15">
        <v>0.49</v>
      </c>
      <c r="I15" s="15">
        <v>0.48</v>
      </c>
      <c r="J15" s="15">
        <v>0.43</v>
      </c>
      <c r="K15" s="15">
        <v>0.41</v>
      </c>
      <c r="L15" s="15">
        <v>0.4</v>
      </c>
      <c r="M15" s="15">
        <v>0.45</v>
      </c>
      <c r="N15" s="15">
        <v>0.36</v>
      </c>
      <c r="O15" s="15">
        <v>0.46</v>
      </c>
      <c r="P15" s="15">
        <v>0.46</v>
      </c>
      <c r="Q15" s="15">
        <v>0.46</v>
      </c>
      <c r="R15" s="15">
        <v>0.34</v>
      </c>
      <c r="S15" s="15">
        <v>0.43</v>
      </c>
      <c r="T15" s="15">
        <v>0.49</v>
      </c>
      <c r="U15" s="15">
        <v>0.36</v>
      </c>
      <c r="V15" s="15">
        <v>0.51</v>
      </c>
      <c r="W15" s="15">
        <v>0.39</v>
      </c>
      <c r="X15" s="15">
        <v>0.4</v>
      </c>
      <c r="Y15" s="15">
        <v>0.43</v>
      </c>
      <c r="Z15" s="15">
        <v>0.57000000000000006</v>
      </c>
      <c r="AA15" s="15">
        <v>0.62</v>
      </c>
      <c r="AB15" s="15">
        <v>0.52</v>
      </c>
      <c r="AC15" s="15">
        <v>0.42</v>
      </c>
      <c r="AD15" s="15">
        <v>0.46</v>
      </c>
      <c r="AE15" s="15">
        <v>0.43</v>
      </c>
      <c r="AF15" s="15">
        <v>0.31</v>
      </c>
    </row>
    <row r="16" spans="1:32" x14ac:dyDescent="0.35">
      <c r="A16" s="19"/>
      <c r="B16" s="11" t="s">
        <v>764</v>
      </c>
      <c r="C16" s="12">
        <v>2729</v>
      </c>
      <c r="D16" s="12">
        <v>136</v>
      </c>
      <c r="E16" s="12">
        <v>125</v>
      </c>
      <c r="F16" s="12">
        <v>234</v>
      </c>
      <c r="G16" s="12">
        <v>34</v>
      </c>
      <c r="H16" s="12">
        <v>123</v>
      </c>
      <c r="I16" s="12">
        <v>177</v>
      </c>
      <c r="J16" s="12">
        <v>54</v>
      </c>
      <c r="K16" s="12">
        <v>171</v>
      </c>
      <c r="L16" s="12">
        <v>49</v>
      </c>
      <c r="M16" s="12">
        <v>125</v>
      </c>
      <c r="N16" s="12">
        <v>76</v>
      </c>
      <c r="O16" s="12">
        <v>92</v>
      </c>
      <c r="P16" s="12">
        <v>98</v>
      </c>
      <c r="Q16" s="12">
        <v>108</v>
      </c>
      <c r="R16" s="12">
        <v>61</v>
      </c>
      <c r="S16" s="12">
        <v>103</v>
      </c>
      <c r="T16" s="12">
        <v>101</v>
      </c>
      <c r="U16" s="12">
        <v>42</v>
      </c>
      <c r="V16" s="12">
        <v>111</v>
      </c>
      <c r="W16" s="12">
        <v>34</v>
      </c>
      <c r="X16" s="12">
        <v>78</v>
      </c>
      <c r="Y16" s="12">
        <v>118</v>
      </c>
      <c r="Z16" s="12">
        <v>122</v>
      </c>
      <c r="AA16" s="12">
        <v>9</v>
      </c>
      <c r="AB16" s="12">
        <v>156</v>
      </c>
      <c r="AC16" s="12">
        <v>184</v>
      </c>
      <c r="AD16" s="12">
        <v>121</v>
      </c>
      <c r="AE16" s="12">
        <v>43</v>
      </c>
      <c r="AF16" s="12">
        <v>62</v>
      </c>
    </row>
    <row r="17" spans="1:32" x14ac:dyDescent="0.35">
      <c r="A17" s="19"/>
      <c r="B17" s="13" t="s">
        <v>765</v>
      </c>
      <c r="C17" s="15">
        <v>0.1</v>
      </c>
      <c r="D17" s="15">
        <v>0.13</v>
      </c>
      <c r="E17" s="15">
        <v>0.12</v>
      </c>
      <c r="F17" s="15">
        <v>0.21</v>
      </c>
      <c r="G17" s="15">
        <v>0.03</v>
      </c>
      <c r="H17" s="15">
        <v>0.1</v>
      </c>
      <c r="I17" s="15">
        <v>0.12</v>
      </c>
      <c r="J17" s="15">
        <v>0.18</v>
      </c>
      <c r="K17" s="15">
        <v>0.17</v>
      </c>
      <c r="L17" s="15">
        <v>0.05</v>
      </c>
      <c r="M17" s="15">
        <v>0.12</v>
      </c>
      <c r="N17" s="15">
        <v>0.08</v>
      </c>
      <c r="O17" s="15">
        <v>0.09</v>
      </c>
      <c r="P17" s="15">
        <v>0.1</v>
      </c>
      <c r="Q17" s="15">
        <v>0.11</v>
      </c>
      <c r="R17" s="15">
        <v>0.12</v>
      </c>
      <c r="S17" s="15">
        <v>0.1</v>
      </c>
      <c r="T17" s="15">
        <v>0.1</v>
      </c>
      <c r="U17" s="15">
        <v>0.08</v>
      </c>
      <c r="V17" s="15">
        <v>0.11</v>
      </c>
      <c r="W17" s="15">
        <v>7.0000000000000007E-2</v>
      </c>
      <c r="X17" s="15">
        <v>0.08</v>
      </c>
      <c r="Y17" s="15">
        <v>0.12</v>
      </c>
      <c r="Z17" s="15">
        <v>0.12</v>
      </c>
      <c r="AA17" s="15">
        <v>0.01</v>
      </c>
      <c r="AB17" s="15">
        <v>0.15</v>
      </c>
      <c r="AC17" s="15">
        <v>0.18</v>
      </c>
      <c r="AD17" s="15">
        <v>0.12</v>
      </c>
      <c r="AE17" s="15">
        <v>0.04</v>
      </c>
      <c r="AF17" s="15">
        <v>0.06</v>
      </c>
    </row>
    <row r="18" spans="1:32" x14ac:dyDescent="0.35">
      <c r="A18" s="19"/>
      <c r="B18" s="11" t="s">
        <v>766</v>
      </c>
      <c r="C18" s="12">
        <v>932</v>
      </c>
      <c r="D18" s="12">
        <v>36</v>
      </c>
      <c r="E18" s="12">
        <v>59</v>
      </c>
      <c r="F18" s="12">
        <v>79</v>
      </c>
      <c r="G18" s="12">
        <v>12</v>
      </c>
      <c r="H18" s="12">
        <v>52</v>
      </c>
      <c r="I18" s="12">
        <v>69</v>
      </c>
      <c r="J18" s="12">
        <v>17</v>
      </c>
      <c r="K18" s="12">
        <v>76</v>
      </c>
      <c r="L18" s="12">
        <v>15</v>
      </c>
      <c r="M18" s="12">
        <v>38</v>
      </c>
      <c r="N18" s="12">
        <v>30</v>
      </c>
      <c r="O18" s="12">
        <v>30</v>
      </c>
      <c r="P18" s="12">
        <v>15</v>
      </c>
      <c r="Q18" s="12">
        <v>43</v>
      </c>
      <c r="R18" s="12">
        <v>22</v>
      </c>
      <c r="S18" s="12">
        <v>48</v>
      </c>
      <c r="T18" s="12">
        <v>33</v>
      </c>
      <c r="U18" s="12">
        <v>9</v>
      </c>
      <c r="V18" s="12">
        <v>40</v>
      </c>
      <c r="W18" s="12">
        <v>7</v>
      </c>
      <c r="X18" s="12">
        <v>24</v>
      </c>
      <c r="Y18" s="12">
        <v>46</v>
      </c>
      <c r="Z18" s="12">
        <v>33</v>
      </c>
      <c r="AA18" s="12">
        <v>3</v>
      </c>
      <c r="AB18" s="12">
        <v>33</v>
      </c>
      <c r="AC18" s="12">
        <v>84</v>
      </c>
      <c r="AD18" s="12">
        <v>34</v>
      </c>
      <c r="AE18" s="12">
        <v>9</v>
      </c>
      <c r="AF18" s="12">
        <v>9</v>
      </c>
    </row>
    <row r="19" spans="1:32" x14ac:dyDescent="0.35">
      <c r="A19" s="19"/>
      <c r="B19" s="13" t="s">
        <v>767</v>
      </c>
      <c r="C19" s="15">
        <v>0.04</v>
      </c>
      <c r="D19" s="15">
        <v>0.04</v>
      </c>
      <c r="E19" s="15">
        <v>0.06</v>
      </c>
      <c r="F19" s="15">
        <v>7.0000000000000007E-2</v>
      </c>
      <c r="G19" s="15">
        <v>0.01</v>
      </c>
      <c r="H19" s="15">
        <v>0.04</v>
      </c>
      <c r="I19" s="15">
        <v>0.04</v>
      </c>
      <c r="J19" s="15">
        <v>0.06</v>
      </c>
      <c r="K19" s="15">
        <v>7.0000000000000007E-2</v>
      </c>
      <c r="L19" s="15">
        <v>0.01</v>
      </c>
      <c r="M19" s="15">
        <v>0.04</v>
      </c>
      <c r="N19" s="15">
        <v>0.03</v>
      </c>
      <c r="O19" s="15">
        <v>0.03</v>
      </c>
      <c r="P19" s="15">
        <v>0.01</v>
      </c>
      <c r="Q19" s="15">
        <v>0.04</v>
      </c>
      <c r="R19" s="15">
        <v>0.04</v>
      </c>
      <c r="S19" s="15">
        <v>0.05</v>
      </c>
      <c r="T19" s="15">
        <v>0.03</v>
      </c>
      <c r="U19" s="15">
        <v>0.02</v>
      </c>
      <c r="V19" s="15">
        <v>0.04</v>
      </c>
      <c r="W19" s="15">
        <v>0.01</v>
      </c>
      <c r="X19" s="15">
        <v>0.02</v>
      </c>
      <c r="Y19" s="15">
        <v>0.04</v>
      </c>
      <c r="Z19" s="15">
        <v>0.03</v>
      </c>
      <c r="AA19" s="14" t="s">
        <v>475</v>
      </c>
      <c r="AB19" s="15">
        <v>0.03</v>
      </c>
      <c r="AC19" s="15">
        <v>0.08</v>
      </c>
      <c r="AD19" s="15">
        <v>0.03</v>
      </c>
      <c r="AE19" s="15">
        <v>0.01</v>
      </c>
      <c r="AF19" s="15">
        <v>0.01</v>
      </c>
    </row>
    <row r="20" spans="1:32" x14ac:dyDescent="0.35">
      <c r="A20" s="19"/>
      <c r="B20" s="11" t="s">
        <v>485</v>
      </c>
      <c r="C20" s="12">
        <v>1670</v>
      </c>
      <c r="D20" s="12">
        <v>41</v>
      </c>
      <c r="E20" s="12">
        <v>141</v>
      </c>
      <c r="F20" s="12">
        <v>96</v>
      </c>
      <c r="G20" s="12">
        <v>54</v>
      </c>
      <c r="H20" s="12">
        <v>112</v>
      </c>
      <c r="I20" s="12">
        <v>124</v>
      </c>
      <c r="J20" s="12">
        <v>12</v>
      </c>
      <c r="K20" s="12">
        <v>116</v>
      </c>
      <c r="L20" s="12">
        <v>60</v>
      </c>
      <c r="M20" s="12">
        <v>67</v>
      </c>
      <c r="N20" s="12">
        <v>85</v>
      </c>
      <c r="O20" s="12">
        <v>73</v>
      </c>
      <c r="P20" s="12">
        <v>12</v>
      </c>
      <c r="Q20" s="12">
        <v>33</v>
      </c>
      <c r="R20" s="12">
        <v>29</v>
      </c>
      <c r="S20" s="12">
        <v>130</v>
      </c>
      <c r="T20" s="12">
        <v>116</v>
      </c>
      <c r="U20" s="12">
        <v>39</v>
      </c>
      <c r="V20" s="12">
        <v>25</v>
      </c>
      <c r="W20" s="12">
        <v>18</v>
      </c>
      <c r="X20" s="12">
        <v>48</v>
      </c>
      <c r="Y20" s="12">
        <v>50</v>
      </c>
      <c r="Z20" s="12">
        <v>32</v>
      </c>
      <c r="AA20" s="12">
        <v>83</v>
      </c>
      <c r="AB20" s="12">
        <v>55</v>
      </c>
      <c r="AC20" s="12">
        <v>34</v>
      </c>
      <c r="AD20" s="12">
        <v>83</v>
      </c>
      <c r="AE20" s="12">
        <v>106</v>
      </c>
      <c r="AF20" s="12">
        <v>39</v>
      </c>
    </row>
    <row r="21" spans="1:32" x14ac:dyDescent="0.35">
      <c r="A21" s="19"/>
      <c r="B21" s="13" t="s">
        <v>486</v>
      </c>
      <c r="C21" s="15">
        <v>0.06</v>
      </c>
      <c r="D21" s="15">
        <v>0.04</v>
      </c>
      <c r="E21" s="15">
        <v>0.14000000000000001</v>
      </c>
      <c r="F21" s="15">
        <v>0.09</v>
      </c>
      <c r="G21" s="15">
        <v>0.05</v>
      </c>
      <c r="H21" s="15">
        <v>0.09</v>
      </c>
      <c r="I21" s="15">
        <v>0.08</v>
      </c>
      <c r="J21" s="15">
        <v>0.04</v>
      </c>
      <c r="K21" s="15">
        <v>0.12</v>
      </c>
      <c r="L21" s="15">
        <v>0.06</v>
      </c>
      <c r="M21" s="15">
        <v>7.0000000000000007E-2</v>
      </c>
      <c r="N21" s="15">
        <v>0.08</v>
      </c>
      <c r="O21" s="15">
        <v>7.0000000000000007E-2</v>
      </c>
      <c r="P21" s="15">
        <v>0.01</v>
      </c>
      <c r="Q21" s="15">
        <v>0.03</v>
      </c>
      <c r="R21" s="15">
        <v>0.06</v>
      </c>
      <c r="S21" s="15">
        <v>0.13</v>
      </c>
      <c r="T21" s="15">
        <v>0.12</v>
      </c>
      <c r="U21" s="15">
        <v>0.08</v>
      </c>
      <c r="V21" s="15">
        <v>0.02</v>
      </c>
      <c r="W21" s="15">
        <v>0.04</v>
      </c>
      <c r="X21" s="15">
        <v>0.05</v>
      </c>
      <c r="Y21" s="15">
        <v>0.05</v>
      </c>
      <c r="Z21" s="15">
        <v>0.03</v>
      </c>
      <c r="AA21" s="15">
        <v>0.08</v>
      </c>
      <c r="AB21" s="15">
        <v>0.05</v>
      </c>
      <c r="AC21" s="15">
        <v>0.04</v>
      </c>
      <c r="AD21" s="15">
        <v>0.08</v>
      </c>
      <c r="AE21" s="15">
        <v>0.11</v>
      </c>
      <c r="AF21" s="15">
        <v>0.04</v>
      </c>
    </row>
    <row r="22" spans="1:32" x14ac:dyDescent="0.35">
      <c r="A22" s="19"/>
      <c r="B22" s="11" t="s">
        <v>768</v>
      </c>
      <c r="C22" s="12">
        <v>21114</v>
      </c>
      <c r="D22" s="12">
        <v>800</v>
      </c>
      <c r="E22" s="12">
        <v>704</v>
      </c>
      <c r="F22" s="12">
        <v>692</v>
      </c>
      <c r="G22" s="12">
        <v>906</v>
      </c>
      <c r="H22" s="12">
        <v>933</v>
      </c>
      <c r="I22" s="12">
        <v>1145</v>
      </c>
      <c r="J22" s="12">
        <v>212</v>
      </c>
      <c r="K22" s="12">
        <v>639</v>
      </c>
      <c r="L22" s="12">
        <v>878</v>
      </c>
      <c r="M22" s="12">
        <v>780</v>
      </c>
      <c r="N22" s="12">
        <v>812</v>
      </c>
      <c r="O22" s="12">
        <v>806</v>
      </c>
      <c r="P22" s="12">
        <v>879</v>
      </c>
      <c r="Q22" s="12">
        <v>844</v>
      </c>
      <c r="R22" s="12">
        <v>392</v>
      </c>
      <c r="S22" s="12">
        <v>720</v>
      </c>
      <c r="T22" s="12">
        <v>756</v>
      </c>
      <c r="U22" s="12">
        <v>414</v>
      </c>
      <c r="V22" s="12">
        <v>839</v>
      </c>
      <c r="W22" s="12">
        <v>449</v>
      </c>
      <c r="X22" s="12">
        <v>859</v>
      </c>
      <c r="Y22" s="12">
        <v>790</v>
      </c>
      <c r="Z22" s="12">
        <v>844</v>
      </c>
      <c r="AA22" s="12">
        <v>937</v>
      </c>
      <c r="AB22" s="12">
        <v>807</v>
      </c>
      <c r="AC22" s="12">
        <v>701</v>
      </c>
      <c r="AD22" s="12">
        <v>767</v>
      </c>
      <c r="AE22" s="12">
        <v>854</v>
      </c>
      <c r="AF22" s="12">
        <v>933</v>
      </c>
    </row>
    <row r="23" spans="1:32" x14ac:dyDescent="0.35">
      <c r="A23" s="19"/>
      <c r="B23" s="13" t="s">
        <v>769</v>
      </c>
      <c r="C23" s="15">
        <v>0.8</v>
      </c>
      <c r="D23" s="15">
        <v>0.79</v>
      </c>
      <c r="E23" s="15">
        <v>0.68</v>
      </c>
      <c r="F23" s="15">
        <v>0.63</v>
      </c>
      <c r="G23" s="15">
        <v>0.91</v>
      </c>
      <c r="H23" s="15">
        <v>0.77</v>
      </c>
      <c r="I23" s="15">
        <v>0.76</v>
      </c>
      <c r="J23" s="15">
        <v>0.72</v>
      </c>
      <c r="K23" s="15">
        <v>0.64</v>
      </c>
      <c r="L23" s="15">
        <v>0.88</v>
      </c>
      <c r="M23" s="15">
        <v>0.77</v>
      </c>
      <c r="N23" s="15">
        <v>0.81</v>
      </c>
      <c r="O23" s="15">
        <v>0.81</v>
      </c>
      <c r="P23" s="15">
        <v>0.88</v>
      </c>
      <c r="Q23" s="15">
        <v>0.82000000000000006</v>
      </c>
      <c r="R23" s="15">
        <v>0.78</v>
      </c>
      <c r="S23" s="15">
        <v>0.72</v>
      </c>
      <c r="T23" s="15">
        <v>0.75</v>
      </c>
      <c r="U23" s="15">
        <v>0.82000000000000006</v>
      </c>
      <c r="V23" s="15">
        <v>0.83000000000000007</v>
      </c>
      <c r="W23" s="15">
        <v>0.88</v>
      </c>
      <c r="X23" s="15">
        <v>0.85</v>
      </c>
      <c r="Y23" s="15">
        <v>0.79</v>
      </c>
      <c r="Z23" s="15">
        <v>0.82000000000000006</v>
      </c>
      <c r="AA23" s="15">
        <v>0.91</v>
      </c>
      <c r="AB23" s="15">
        <v>0.77</v>
      </c>
      <c r="AC23" s="15">
        <v>0.70000000000000007</v>
      </c>
      <c r="AD23" s="15">
        <v>0.77</v>
      </c>
      <c r="AE23" s="15">
        <v>0.84</v>
      </c>
      <c r="AF23" s="15">
        <v>0.89</v>
      </c>
    </row>
    <row r="24" spans="1:32" x14ac:dyDescent="0.35">
      <c r="A24" s="19"/>
      <c r="B24" s="11" t="s">
        <v>770</v>
      </c>
      <c r="C24" s="12">
        <v>3661</v>
      </c>
      <c r="D24" s="12">
        <v>172</v>
      </c>
      <c r="E24" s="12">
        <v>184</v>
      </c>
      <c r="F24" s="12">
        <v>313</v>
      </c>
      <c r="G24" s="12">
        <v>46</v>
      </c>
      <c r="H24" s="12">
        <v>175</v>
      </c>
      <c r="I24" s="12">
        <v>246</v>
      </c>
      <c r="J24" s="12">
        <v>71</v>
      </c>
      <c r="K24" s="12">
        <v>247</v>
      </c>
      <c r="L24" s="12">
        <v>64</v>
      </c>
      <c r="M24" s="12">
        <v>163</v>
      </c>
      <c r="N24" s="12">
        <v>106</v>
      </c>
      <c r="O24" s="12">
        <v>122</v>
      </c>
      <c r="P24" s="12">
        <v>113</v>
      </c>
      <c r="Q24" s="12">
        <v>151</v>
      </c>
      <c r="R24" s="12">
        <v>83</v>
      </c>
      <c r="S24" s="12">
        <v>151</v>
      </c>
      <c r="T24" s="12">
        <v>134</v>
      </c>
      <c r="U24" s="12">
        <v>51</v>
      </c>
      <c r="V24" s="12">
        <v>151</v>
      </c>
      <c r="W24" s="12">
        <v>41</v>
      </c>
      <c r="X24" s="12">
        <v>102</v>
      </c>
      <c r="Y24" s="12">
        <v>164</v>
      </c>
      <c r="Z24" s="12">
        <v>155</v>
      </c>
      <c r="AA24" s="12">
        <v>12</v>
      </c>
      <c r="AB24" s="12">
        <v>189</v>
      </c>
      <c r="AC24" s="12">
        <v>268</v>
      </c>
      <c r="AD24" s="12">
        <v>155</v>
      </c>
      <c r="AE24" s="12">
        <v>52</v>
      </c>
      <c r="AF24" s="12">
        <v>71</v>
      </c>
    </row>
    <row r="25" spans="1:32" x14ac:dyDescent="0.35">
      <c r="A25" s="19"/>
      <c r="B25" s="13" t="s">
        <v>771</v>
      </c>
      <c r="C25" s="15">
        <v>0.14000000000000001</v>
      </c>
      <c r="D25" s="15">
        <v>0.17</v>
      </c>
      <c r="E25" s="15">
        <v>0.18</v>
      </c>
      <c r="F25" s="15">
        <v>0.28000000000000003</v>
      </c>
      <c r="G25" s="15">
        <v>0.04</v>
      </c>
      <c r="H25" s="15">
        <v>0.14000000000000001</v>
      </c>
      <c r="I25" s="15">
        <v>0.16</v>
      </c>
      <c r="J25" s="15">
        <v>0.24</v>
      </c>
      <c r="K25" s="15">
        <v>0.24</v>
      </c>
      <c r="L25" s="15">
        <v>0.06</v>
      </c>
      <c r="M25" s="15">
        <v>0.16</v>
      </c>
      <c r="N25" s="15">
        <v>0.11</v>
      </c>
      <c r="O25" s="15">
        <v>0.12</v>
      </c>
      <c r="P25" s="15">
        <v>0.11</v>
      </c>
      <c r="Q25" s="15">
        <v>0.15</v>
      </c>
      <c r="R25" s="15">
        <v>0.16</v>
      </c>
      <c r="S25" s="15">
        <v>0.15</v>
      </c>
      <c r="T25" s="15">
        <v>0.13</v>
      </c>
      <c r="U25" s="15">
        <v>0.1</v>
      </c>
      <c r="V25" s="15">
        <v>0.15</v>
      </c>
      <c r="W25" s="15">
        <v>0.08</v>
      </c>
      <c r="X25" s="15">
        <v>0.1</v>
      </c>
      <c r="Y25" s="15">
        <v>0.16</v>
      </c>
      <c r="Z25" s="15">
        <v>0.15</v>
      </c>
      <c r="AA25" s="15">
        <v>0.01</v>
      </c>
      <c r="AB25" s="15">
        <v>0.18</v>
      </c>
      <c r="AC25" s="15">
        <v>0.26</v>
      </c>
      <c r="AD25" s="15">
        <v>0.15</v>
      </c>
      <c r="AE25" s="15">
        <v>0.05</v>
      </c>
      <c r="AF25" s="15">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1231</v>
      </c>
      <c r="C3" s="18"/>
      <c r="D3" s="18"/>
      <c r="E3" s="18"/>
      <c r="F3" s="18"/>
      <c r="H3" s="18" t="s">
        <v>1232</v>
      </c>
      <c r="I3" s="18"/>
      <c r="J3" s="18"/>
      <c r="K3" s="18"/>
      <c r="L3" s="18"/>
    </row>
    <row r="4" spans="1:43" ht="27" customHeight="1" x14ac:dyDescent="0.35">
      <c r="B4" s="18" t="s">
        <v>1233</v>
      </c>
      <c r="C4" s="18"/>
      <c r="D4" s="18"/>
      <c r="E4" s="18"/>
      <c r="F4" s="18"/>
      <c r="H4" s="18" t="s">
        <v>1234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HYPERLINK("#Content!A139","&lt;&lt;Back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9129</v>
      </c>
      <c r="D12" s="12">
        <v>284</v>
      </c>
      <c r="E12" s="12">
        <v>176</v>
      </c>
      <c r="F12" s="12">
        <v>202</v>
      </c>
      <c r="G12" s="12">
        <v>678</v>
      </c>
      <c r="H12" s="12">
        <v>405</v>
      </c>
      <c r="I12" s="12">
        <v>483</v>
      </c>
      <c r="J12" s="12">
        <v>78</v>
      </c>
      <c r="K12" s="12">
        <v>188</v>
      </c>
      <c r="L12" s="12">
        <v>453</v>
      </c>
      <c r="M12" s="12">
        <v>320</v>
      </c>
      <c r="N12" s="12">
        <v>452</v>
      </c>
      <c r="O12" s="12">
        <v>353</v>
      </c>
      <c r="P12" s="12">
        <v>379</v>
      </c>
      <c r="Q12" s="12">
        <v>346</v>
      </c>
      <c r="R12" s="12">
        <v>253</v>
      </c>
      <c r="S12" s="12">
        <v>269</v>
      </c>
      <c r="T12" s="12">
        <v>291</v>
      </c>
      <c r="U12" s="12">
        <v>232</v>
      </c>
      <c r="V12" s="12">
        <v>318</v>
      </c>
      <c r="W12" s="12">
        <v>268</v>
      </c>
      <c r="X12" s="12">
        <v>423</v>
      </c>
      <c r="Y12" s="12">
        <v>364</v>
      </c>
      <c r="Z12" s="12">
        <v>263</v>
      </c>
      <c r="AA12" s="12">
        <v>250</v>
      </c>
      <c r="AB12" s="12">
        <v>254</v>
      </c>
      <c r="AC12" s="12">
        <v>307</v>
      </c>
      <c r="AD12" s="12">
        <v>307</v>
      </c>
      <c r="AE12" s="12">
        <v>459</v>
      </c>
      <c r="AF12" s="12">
        <v>704</v>
      </c>
      <c r="AG12" s="12">
        <v>330</v>
      </c>
      <c r="AH12" s="12">
        <v>358</v>
      </c>
      <c r="AI12" s="12">
        <v>164</v>
      </c>
      <c r="AJ12" s="12">
        <v>299</v>
      </c>
      <c r="AK12" s="12">
        <v>365</v>
      </c>
      <c r="AL12" s="12">
        <v>528</v>
      </c>
      <c r="AM12" s="12">
        <v>320</v>
      </c>
      <c r="AN12" s="12">
        <v>224</v>
      </c>
      <c r="AO12" s="12">
        <v>570</v>
      </c>
      <c r="AP12" s="12">
        <v>242</v>
      </c>
      <c r="AQ12" s="12">
        <v>394</v>
      </c>
    </row>
    <row r="13" spans="1:43" x14ac:dyDescent="0.35">
      <c r="A13" s="19"/>
      <c r="B13" s="13" t="s">
        <v>761</v>
      </c>
      <c r="C13" s="15">
        <v>0.35</v>
      </c>
      <c r="D13" s="15">
        <v>0.28000000000000003</v>
      </c>
      <c r="E13" s="15">
        <v>0.17</v>
      </c>
      <c r="F13" s="15">
        <v>0.18</v>
      </c>
      <c r="G13" s="15">
        <v>0.67</v>
      </c>
      <c r="H13" s="15">
        <v>0.33</v>
      </c>
      <c r="I13" s="15">
        <v>0.32</v>
      </c>
      <c r="J13" s="15">
        <v>0.27</v>
      </c>
      <c r="K13" s="15">
        <v>0.19</v>
      </c>
      <c r="L13" s="15">
        <v>0.45</v>
      </c>
      <c r="M13" s="15">
        <v>0.32</v>
      </c>
      <c r="N13" s="15">
        <v>0.45</v>
      </c>
      <c r="O13" s="15">
        <v>0.35</v>
      </c>
      <c r="P13" s="15">
        <v>0.38</v>
      </c>
      <c r="Q13" s="15">
        <v>0.34</v>
      </c>
      <c r="R13" s="15">
        <v>0.5</v>
      </c>
      <c r="S13" s="15">
        <v>0.27</v>
      </c>
      <c r="T13" s="15">
        <v>0.28999999999999998</v>
      </c>
      <c r="U13" s="15">
        <v>0.46</v>
      </c>
      <c r="V13" s="15">
        <v>0.31</v>
      </c>
      <c r="W13" s="15">
        <v>0.53</v>
      </c>
      <c r="X13" s="15">
        <v>0.42</v>
      </c>
      <c r="Y13" s="15">
        <v>0.36</v>
      </c>
      <c r="Z13" s="15">
        <v>0.26</v>
      </c>
      <c r="AA13" s="15">
        <v>0.24</v>
      </c>
      <c r="AB13" s="15">
        <v>0.24</v>
      </c>
      <c r="AC13" s="15">
        <v>0.31</v>
      </c>
      <c r="AD13" s="15">
        <v>0.3</v>
      </c>
      <c r="AE13" s="15">
        <v>0.45</v>
      </c>
      <c r="AF13" s="15">
        <v>0.67</v>
      </c>
      <c r="AG13" s="15">
        <v>0.32</v>
      </c>
      <c r="AH13" s="15">
        <v>0.35</v>
      </c>
      <c r="AI13" s="15">
        <v>0.31</v>
      </c>
      <c r="AJ13" s="15">
        <v>0.28999999999999998</v>
      </c>
      <c r="AK13" s="15">
        <v>0.36</v>
      </c>
      <c r="AL13" s="15">
        <v>0.52</v>
      </c>
      <c r="AM13" s="15">
        <v>0.31</v>
      </c>
      <c r="AN13" s="15">
        <v>0.22</v>
      </c>
      <c r="AO13" s="15">
        <v>0.57000000000000006</v>
      </c>
      <c r="AP13" s="15">
        <v>0.46</v>
      </c>
      <c r="AQ13" s="15">
        <v>0.39</v>
      </c>
    </row>
    <row r="14" spans="1:43" x14ac:dyDescent="0.35">
      <c r="A14" s="19"/>
      <c r="B14" s="11" t="s">
        <v>762</v>
      </c>
      <c r="C14" s="12">
        <v>11696</v>
      </c>
      <c r="D14" s="12">
        <v>511</v>
      </c>
      <c r="E14" s="12">
        <v>408</v>
      </c>
      <c r="F14" s="12">
        <v>462</v>
      </c>
      <c r="G14" s="12">
        <v>249</v>
      </c>
      <c r="H14" s="12">
        <v>562</v>
      </c>
      <c r="I14" s="12">
        <v>681</v>
      </c>
      <c r="J14" s="12">
        <v>119</v>
      </c>
      <c r="K14" s="12">
        <v>379</v>
      </c>
      <c r="L14" s="12">
        <v>379</v>
      </c>
      <c r="M14" s="12">
        <v>478</v>
      </c>
      <c r="N14" s="12">
        <v>354</v>
      </c>
      <c r="O14" s="12">
        <v>453</v>
      </c>
      <c r="P14" s="12">
        <v>487</v>
      </c>
      <c r="Q14" s="12">
        <v>488</v>
      </c>
      <c r="R14" s="12">
        <v>160</v>
      </c>
      <c r="S14" s="12">
        <v>414</v>
      </c>
      <c r="T14" s="12">
        <v>472</v>
      </c>
      <c r="U14" s="12">
        <v>179</v>
      </c>
      <c r="V14" s="12">
        <v>530</v>
      </c>
      <c r="W14" s="12">
        <v>203</v>
      </c>
      <c r="X14" s="12">
        <v>384</v>
      </c>
      <c r="Y14" s="12">
        <v>373</v>
      </c>
      <c r="Z14" s="12">
        <v>556</v>
      </c>
      <c r="AA14" s="12">
        <v>675</v>
      </c>
      <c r="AB14" s="12">
        <v>464</v>
      </c>
      <c r="AC14" s="12">
        <v>373</v>
      </c>
      <c r="AD14" s="12">
        <v>451</v>
      </c>
      <c r="AE14" s="12">
        <v>349</v>
      </c>
      <c r="AF14" s="12">
        <v>259</v>
      </c>
      <c r="AG14" s="12">
        <v>440</v>
      </c>
      <c r="AH14" s="12">
        <v>475</v>
      </c>
      <c r="AI14" s="12">
        <v>252</v>
      </c>
      <c r="AJ14" s="12">
        <v>432</v>
      </c>
      <c r="AK14" s="12">
        <v>493</v>
      </c>
      <c r="AL14" s="12">
        <v>225</v>
      </c>
      <c r="AM14" s="12">
        <v>467</v>
      </c>
      <c r="AN14" s="12">
        <v>437</v>
      </c>
      <c r="AO14" s="12">
        <v>281</v>
      </c>
      <c r="AP14" s="12">
        <v>192</v>
      </c>
      <c r="AQ14" s="12">
        <v>316</v>
      </c>
    </row>
    <row r="15" spans="1:43" x14ac:dyDescent="0.35">
      <c r="A15" s="19"/>
      <c r="B15" s="13" t="s">
        <v>763</v>
      </c>
      <c r="C15" s="15">
        <v>0.44</v>
      </c>
      <c r="D15" s="15">
        <v>0.5</v>
      </c>
      <c r="E15" s="15">
        <v>0.39</v>
      </c>
      <c r="F15" s="15">
        <v>0.42</v>
      </c>
      <c r="G15" s="15">
        <v>0.25</v>
      </c>
      <c r="H15" s="15">
        <v>0.46</v>
      </c>
      <c r="I15" s="15">
        <v>0.45</v>
      </c>
      <c r="J15" s="15">
        <v>0.4</v>
      </c>
      <c r="K15" s="15">
        <v>0.38</v>
      </c>
      <c r="L15" s="15">
        <v>0.38</v>
      </c>
      <c r="M15" s="15">
        <v>0.47</v>
      </c>
      <c r="N15" s="15">
        <v>0.35</v>
      </c>
      <c r="O15" s="15">
        <v>0.45</v>
      </c>
      <c r="P15" s="15">
        <v>0.48</v>
      </c>
      <c r="Q15" s="15">
        <v>0.47</v>
      </c>
      <c r="R15" s="15">
        <v>0.32</v>
      </c>
      <c r="S15" s="15">
        <v>0.41</v>
      </c>
      <c r="T15" s="15">
        <v>0.47</v>
      </c>
      <c r="U15" s="15">
        <v>0.36</v>
      </c>
      <c r="V15" s="15">
        <v>0.52</v>
      </c>
      <c r="W15" s="15">
        <v>0.4</v>
      </c>
      <c r="X15" s="15">
        <v>0.38</v>
      </c>
      <c r="Y15" s="15">
        <v>0.37</v>
      </c>
      <c r="Z15" s="15">
        <v>0.54</v>
      </c>
      <c r="AA15" s="15">
        <v>0.66</v>
      </c>
      <c r="AB15" s="15">
        <v>0.44</v>
      </c>
      <c r="AC15" s="15">
        <v>0.37</v>
      </c>
      <c r="AD15" s="15">
        <v>0.45</v>
      </c>
      <c r="AE15" s="15">
        <v>0.35</v>
      </c>
      <c r="AF15" s="15">
        <v>0.25</v>
      </c>
      <c r="AG15" s="15">
        <v>0.42</v>
      </c>
      <c r="AH15" s="15">
        <v>0.47</v>
      </c>
      <c r="AI15" s="15">
        <v>0.48</v>
      </c>
      <c r="AJ15" s="15">
        <v>0.42</v>
      </c>
      <c r="AK15" s="15">
        <v>0.49</v>
      </c>
      <c r="AL15" s="15">
        <v>0.22</v>
      </c>
      <c r="AM15" s="15">
        <v>0.45</v>
      </c>
      <c r="AN15" s="15">
        <v>0.44</v>
      </c>
      <c r="AO15" s="15">
        <v>0.28000000000000003</v>
      </c>
      <c r="AP15" s="15">
        <v>0.37</v>
      </c>
      <c r="AQ15" s="15">
        <v>0.32</v>
      </c>
    </row>
    <row r="16" spans="1:43" x14ac:dyDescent="0.35">
      <c r="A16" s="19"/>
      <c r="B16" s="11" t="s">
        <v>764</v>
      </c>
      <c r="C16" s="12">
        <v>2997</v>
      </c>
      <c r="D16" s="12">
        <v>143</v>
      </c>
      <c r="E16" s="12">
        <v>164</v>
      </c>
      <c r="F16" s="12">
        <v>250</v>
      </c>
      <c r="G16" s="12">
        <v>30</v>
      </c>
      <c r="H16" s="12">
        <v>122</v>
      </c>
      <c r="I16" s="12">
        <v>170</v>
      </c>
      <c r="J16" s="12">
        <v>47</v>
      </c>
      <c r="K16" s="12">
        <v>191</v>
      </c>
      <c r="L16" s="12">
        <v>68</v>
      </c>
      <c r="M16" s="12">
        <v>128</v>
      </c>
      <c r="N16" s="12">
        <v>92</v>
      </c>
      <c r="O16" s="12">
        <v>94</v>
      </c>
      <c r="P16" s="12">
        <v>102</v>
      </c>
      <c r="Q16" s="12">
        <v>124</v>
      </c>
      <c r="R16" s="12">
        <v>50</v>
      </c>
      <c r="S16" s="12">
        <v>124</v>
      </c>
      <c r="T16" s="12">
        <v>106</v>
      </c>
      <c r="U16" s="12">
        <v>47</v>
      </c>
      <c r="V16" s="12">
        <v>123</v>
      </c>
      <c r="W16" s="12">
        <v>20</v>
      </c>
      <c r="X16" s="12">
        <v>118</v>
      </c>
      <c r="Y16" s="12">
        <v>131</v>
      </c>
      <c r="Z16" s="12">
        <v>125</v>
      </c>
      <c r="AA16" s="12">
        <v>13</v>
      </c>
      <c r="AB16" s="12">
        <v>221</v>
      </c>
      <c r="AC16" s="12">
        <v>216</v>
      </c>
      <c r="AD16" s="12">
        <v>131</v>
      </c>
      <c r="AE16" s="12">
        <v>84</v>
      </c>
      <c r="AF16" s="12">
        <v>49</v>
      </c>
      <c r="AG16" s="12">
        <v>187</v>
      </c>
      <c r="AH16" s="12">
        <v>102</v>
      </c>
      <c r="AI16" s="12">
        <v>47</v>
      </c>
      <c r="AJ16" s="12">
        <v>199</v>
      </c>
      <c r="AK16" s="12">
        <v>100</v>
      </c>
      <c r="AL16" s="12">
        <v>74</v>
      </c>
      <c r="AM16" s="12">
        <v>114</v>
      </c>
      <c r="AN16" s="12">
        <v>264</v>
      </c>
      <c r="AO16" s="12">
        <v>43</v>
      </c>
      <c r="AP16" s="12">
        <v>59</v>
      </c>
      <c r="AQ16" s="12">
        <v>58</v>
      </c>
    </row>
    <row r="17" spans="1:43" x14ac:dyDescent="0.35">
      <c r="A17" s="19"/>
      <c r="B17" s="13" t="s">
        <v>765</v>
      </c>
      <c r="C17" s="15">
        <v>0.11</v>
      </c>
      <c r="D17" s="15">
        <v>0.14000000000000001</v>
      </c>
      <c r="E17" s="15">
        <v>0.16</v>
      </c>
      <c r="F17" s="15">
        <v>0.23</v>
      </c>
      <c r="G17" s="15">
        <v>0.03</v>
      </c>
      <c r="H17" s="15">
        <v>0.1</v>
      </c>
      <c r="I17" s="15">
        <v>0.11</v>
      </c>
      <c r="J17" s="15">
        <v>0.16</v>
      </c>
      <c r="K17" s="15">
        <v>0.19</v>
      </c>
      <c r="L17" s="15">
        <v>7.0000000000000007E-2</v>
      </c>
      <c r="M17" s="15">
        <v>0.13</v>
      </c>
      <c r="N17" s="15">
        <v>0.09</v>
      </c>
      <c r="O17" s="15">
        <v>0.1</v>
      </c>
      <c r="P17" s="15">
        <v>0.1</v>
      </c>
      <c r="Q17" s="15">
        <v>0.12</v>
      </c>
      <c r="R17" s="15">
        <v>0.1</v>
      </c>
      <c r="S17" s="15">
        <v>0.12</v>
      </c>
      <c r="T17" s="15">
        <v>0.1</v>
      </c>
      <c r="U17" s="15">
        <v>0.09</v>
      </c>
      <c r="V17" s="15">
        <v>0.12</v>
      </c>
      <c r="W17" s="15">
        <v>0.04</v>
      </c>
      <c r="X17" s="15">
        <v>0.12</v>
      </c>
      <c r="Y17" s="15">
        <v>0.13</v>
      </c>
      <c r="Z17" s="15">
        <v>0.12</v>
      </c>
      <c r="AA17" s="15">
        <v>0.01</v>
      </c>
      <c r="AB17" s="15">
        <v>0.21</v>
      </c>
      <c r="AC17" s="15">
        <v>0.21</v>
      </c>
      <c r="AD17" s="15">
        <v>0.13</v>
      </c>
      <c r="AE17" s="15">
        <v>0.08</v>
      </c>
      <c r="AF17" s="15">
        <v>0.05</v>
      </c>
      <c r="AG17" s="15">
        <v>0.18</v>
      </c>
      <c r="AH17" s="15">
        <v>0.1</v>
      </c>
      <c r="AI17" s="15">
        <v>0.09</v>
      </c>
      <c r="AJ17" s="15">
        <v>0.19</v>
      </c>
      <c r="AK17" s="15">
        <v>0.1</v>
      </c>
      <c r="AL17" s="15">
        <v>0.08</v>
      </c>
      <c r="AM17" s="15">
        <v>0.11</v>
      </c>
      <c r="AN17" s="15">
        <v>0.26</v>
      </c>
      <c r="AO17" s="15">
        <v>0.04</v>
      </c>
      <c r="AP17" s="15">
        <v>0.11</v>
      </c>
      <c r="AQ17" s="15">
        <v>0.06</v>
      </c>
    </row>
    <row r="18" spans="1:43" x14ac:dyDescent="0.35">
      <c r="A18" s="19"/>
      <c r="B18" s="11" t="s">
        <v>766</v>
      </c>
      <c r="C18" s="12">
        <v>1071</v>
      </c>
      <c r="D18" s="12">
        <v>36</v>
      </c>
      <c r="E18" s="12">
        <v>112</v>
      </c>
      <c r="F18" s="12">
        <v>97</v>
      </c>
      <c r="G18" s="12">
        <v>18</v>
      </c>
      <c r="H18" s="12">
        <v>35</v>
      </c>
      <c r="I18" s="12">
        <v>68</v>
      </c>
      <c r="J18" s="12">
        <v>32</v>
      </c>
      <c r="K18" s="12">
        <v>124</v>
      </c>
      <c r="L18" s="12">
        <v>25</v>
      </c>
      <c r="M18" s="12">
        <v>35</v>
      </c>
      <c r="N18" s="12">
        <v>22</v>
      </c>
      <c r="O18" s="12">
        <v>34</v>
      </c>
      <c r="P18" s="12">
        <v>18</v>
      </c>
      <c r="Q18" s="12">
        <v>41</v>
      </c>
      <c r="R18" s="12">
        <v>18</v>
      </c>
      <c r="S18" s="12">
        <v>54</v>
      </c>
      <c r="T18" s="12">
        <v>26</v>
      </c>
      <c r="U18" s="12">
        <v>11</v>
      </c>
      <c r="V18" s="12">
        <v>25</v>
      </c>
      <c r="W18" s="12">
        <v>5</v>
      </c>
      <c r="X18" s="12">
        <v>50</v>
      </c>
      <c r="Y18" s="12">
        <v>96</v>
      </c>
      <c r="Z18" s="12">
        <v>53</v>
      </c>
      <c r="AA18" s="12">
        <v>3</v>
      </c>
      <c r="AB18" s="12">
        <v>49</v>
      </c>
      <c r="AC18" s="12">
        <v>86</v>
      </c>
      <c r="AD18" s="12">
        <v>48</v>
      </c>
      <c r="AE18" s="12">
        <v>23</v>
      </c>
      <c r="AF18" s="12">
        <v>23</v>
      </c>
      <c r="AG18" s="12">
        <v>61</v>
      </c>
      <c r="AH18" s="12">
        <v>43</v>
      </c>
      <c r="AI18" s="12">
        <v>23</v>
      </c>
      <c r="AJ18" s="12">
        <v>65</v>
      </c>
      <c r="AK18" s="12">
        <v>12</v>
      </c>
      <c r="AL18" s="12">
        <v>74</v>
      </c>
      <c r="AM18" s="12">
        <v>47</v>
      </c>
      <c r="AN18" s="12">
        <v>61</v>
      </c>
      <c r="AO18" s="12">
        <v>14</v>
      </c>
      <c r="AP18" s="12">
        <v>25</v>
      </c>
      <c r="AQ18" s="12">
        <v>44</v>
      </c>
    </row>
    <row r="19" spans="1:43" x14ac:dyDescent="0.35">
      <c r="A19" s="19"/>
      <c r="B19" s="13" t="s">
        <v>767</v>
      </c>
      <c r="C19" s="15">
        <v>0.04</v>
      </c>
      <c r="D19" s="15">
        <v>0.04</v>
      </c>
      <c r="E19" s="15">
        <v>0.11</v>
      </c>
      <c r="F19" s="15">
        <v>0.09</v>
      </c>
      <c r="G19" s="15">
        <v>0.02</v>
      </c>
      <c r="H19" s="15">
        <v>0.03</v>
      </c>
      <c r="I19" s="15">
        <v>0.04</v>
      </c>
      <c r="J19" s="15">
        <v>0.11</v>
      </c>
      <c r="K19" s="15">
        <v>0.12</v>
      </c>
      <c r="L19" s="15">
        <v>0.02</v>
      </c>
      <c r="M19" s="15">
        <v>0.03</v>
      </c>
      <c r="N19" s="15">
        <v>0.02</v>
      </c>
      <c r="O19" s="15">
        <v>0.03</v>
      </c>
      <c r="P19" s="15">
        <v>0.02</v>
      </c>
      <c r="Q19" s="15">
        <v>0.04</v>
      </c>
      <c r="R19" s="15">
        <v>0.03</v>
      </c>
      <c r="S19" s="15">
        <v>0.06</v>
      </c>
      <c r="T19" s="15">
        <v>0.03</v>
      </c>
      <c r="U19" s="15">
        <v>0.02</v>
      </c>
      <c r="V19" s="15">
        <v>0.03</v>
      </c>
      <c r="W19" s="15">
        <v>0.01</v>
      </c>
      <c r="X19" s="15">
        <v>0.05</v>
      </c>
      <c r="Y19" s="15">
        <v>0.1</v>
      </c>
      <c r="Z19" s="15">
        <v>0.05</v>
      </c>
      <c r="AA19" s="14" t="s">
        <v>475</v>
      </c>
      <c r="AB19" s="15">
        <v>0.05</v>
      </c>
      <c r="AC19" s="15">
        <v>0.09</v>
      </c>
      <c r="AD19" s="15">
        <v>0.05</v>
      </c>
      <c r="AE19" s="15">
        <v>0.02</v>
      </c>
      <c r="AF19" s="15">
        <v>0.02</v>
      </c>
      <c r="AG19" s="15">
        <v>0.06</v>
      </c>
      <c r="AH19" s="15">
        <v>0.04</v>
      </c>
      <c r="AI19" s="15">
        <v>0.05</v>
      </c>
      <c r="AJ19" s="15">
        <v>0.06</v>
      </c>
      <c r="AK19" s="15">
        <v>0.01</v>
      </c>
      <c r="AL19" s="15">
        <v>7.0000000000000007E-2</v>
      </c>
      <c r="AM19" s="15">
        <v>0.04</v>
      </c>
      <c r="AN19" s="15">
        <v>0.06</v>
      </c>
      <c r="AO19" s="15">
        <v>0.01</v>
      </c>
      <c r="AP19" s="15">
        <v>0.05</v>
      </c>
      <c r="AQ19" s="15">
        <v>0.04</v>
      </c>
    </row>
    <row r="20" spans="1:43" x14ac:dyDescent="0.35">
      <c r="A20" s="19"/>
      <c r="B20" s="11" t="s">
        <v>485</v>
      </c>
      <c r="C20" s="12">
        <v>1552</v>
      </c>
      <c r="D20" s="12">
        <v>39</v>
      </c>
      <c r="E20" s="12">
        <v>171</v>
      </c>
      <c r="F20" s="12">
        <v>90</v>
      </c>
      <c r="G20" s="12">
        <v>31</v>
      </c>
      <c r="H20" s="12">
        <v>96</v>
      </c>
      <c r="I20" s="12">
        <v>114</v>
      </c>
      <c r="J20" s="12">
        <v>18</v>
      </c>
      <c r="K20" s="12">
        <v>120</v>
      </c>
      <c r="L20" s="12">
        <v>77</v>
      </c>
      <c r="M20" s="12">
        <v>48</v>
      </c>
      <c r="N20" s="12">
        <v>84</v>
      </c>
      <c r="O20" s="12">
        <v>67</v>
      </c>
      <c r="P20" s="12">
        <v>18</v>
      </c>
      <c r="Q20" s="12">
        <v>27</v>
      </c>
      <c r="R20" s="12">
        <v>23</v>
      </c>
      <c r="S20" s="12">
        <v>141</v>
      </c>
      <c r="T20" s="12">
        <v>111</v>
      </c>
      <c r="U20" s="12">
        <v>35</v>
      </c>
      <c r="V20" s="12">
        <v>19</v>
      </c>
      <c r="W20" s="12">
        <v>12</v>
      </c>
      <c r="X20" s="12">
        <v>34</v>
      </c>
      <c r="Y20" s="12">
        <v>39</v>
      </c>
      <c r="Z20" s="12">
        <v>34</v>
      </c>
      <c r="AA20" s="12">
        <v>93</v>
      </c>
      <c r="AB20" s="12">
        <v>63</v>
      </c>
      <c r="AC20" s="12">
        <v>21</v>
      </c>
      <c r="AD20" s="12">
        <v>69</v>
      </c>
      <c r="AE20" s="12">
        <v>97</v>
      </c>
      <c r="AF20" s="12">
        <v>8</v>
      </c>
      <c r="AG20" s="12">
        <v>17</v>
      </c>
      <c r="AH20" s="12">
        <v>35</v>
      </c>
      <c r="AI20" s="12">
        <v>37</v>
      </c>
      <c r="AJ20" s="12">
        <v>42</v>
      </c>
      <c r="AK20" s="12">
        <v>37</v>
      </c>
      <c r="AL20" s="12">
        <v>112</v>
      </c>
      <c r="AM20" s="12">
        <v>92</v>
      </c>
      <c r="AN20" s="12">
        <v>18</v>
      </c>
      <c r="AO20" s="12">
        <v>97</v>
      </c>
      <c r="AP20" s="12">
        <v>5</v>
      </c>
      <c r="AQ20" s="12">
        <v>190</v>
      </c>
    </row>
    <row r="21" spans="1:43" x14ac:dyDescent="0.35">
      <c r="A21" s="19"/>
      <c r="B21" s="13" t="s">
        <v>486</v>
      </c>
      <c r="C21" s="15">
        <v>0.06</v>
      </c>
      <c r="D21" s="15">
        <v>0.04</v>
      </c>
      <c r="E21" s="15">
        <v>0.17</v>
      </c>
      <c r="F21" s="15">
        <v>0.08</v>
      </c>
      <c r="G21" s="15">
        <v>0.03</v>
      </c>
      <c r="H21" s="15">
        <v>0.08</v>
      </c>
      <c r="I21" s="15">
        <v>0.08</v>
      </c>
      <c r="J21" s="15">
        <v>0.06</v>
      </c>
      <c r="K21" s="15">
        <v>0.12</v>
      </c>
      <c r="L21" s="15">
        <v>0.08</v>
      </c>
      <c r="M21" s="15">
        <v>0.05</v>
      </c>
      <c r="N21" s="15">
        <v>0.09</v>
      </c>
      <c r="O21" s="15">
        <v>7.0000000000000007E-2</v>
      </c>
      <c r="P21" s="15">
        <v>0.02</v>
      </c>
      <c r="Q21" s="15">
        <v>0.03</v>
      </c>
      <c r="R21" s="15">
        <v>0.05</v>
      </c>
      <c r="S21" s="15">
        <v>0.14000000000000001</v>
      </c>
      <c r="T21" s="15">
        <v>0.11</v>
      </c>
      <c r="U21" s="15">
        <v>7.0000000000000007E-2</v>
      </c>
      <c r="V21" s="15">
        <v>0.02</v>
      </c>
      <c r="W21" s="15">
        <v>0.02</v>
      </c>
      <c r="X21" s="15">
        <v>0.03</v>
      </c>
      <c r="Y21" s="15">
        <v>0.04</v>
      </c>
      <c r="Z21" s="15">
        <v>0.03</v>
      </c>
      <c r="AA21" s="15">
        <v>0.09</v>
      </c>
      <c r="AB21" s="15">
        <v>0.06</v>
      </c>
      <c r="AC21" s="15">
        <v>0.02</v>
      </c>
      <c r="AD21" s="15">
        <v>7.0000000000000007E-2</v>
      </c>
      <c r="AE21" s="15">
        <v>0.1</v>
      </c>
      <c r="AF21" s="15">
        <v>0.01</v>
      </c>
      <c r="AG21" s="15">
        <v>0.02</v>
      </c>
      <c r="AH21" s="15">
        <v>0.04</v>
      </c>
      <c r="AI21" s="15">
        <v>7.0000000000000007E-2</v>
      </c>
      <c r="AJ21" s="15">
        <v>0.04</v>
      </c>
      <c r="AK21" s="15">
        <v>0.04</v>
      </c>
      <c r="AL21" s="15">
        <v>0.11</v>
      </c>
      <c r="AM21" s="15">
        <v>0.09</v>
      </c>
      <c r="AN21" s="15">
        <v>0.02</v>
      </c>
      <c r="AO21" s="15">
        <v>0.1</v>
      </c>
      <c r="AP21" s="15">
        <v>0.01</v>
      </c>
      <c r="AQ21" s="15">
        <v>0.19</v>
      </c>
    </row>
    <row r="22" spans="1:43" x14ac:dyDescent="0.35">
      <c r="A22" s="19"/>
      <c r="B22" s="11" t="s">
        <v>768</v>
      </c>
      <c r="C22" s="12">
        <v>20825</v>
      </c>
      <c r="D22" s="12">
        <v>795</v>
      </c>
      <c r="E22" s="12">
        <v>584</v>
      </c>
      <c r="F22" s="12">
        <v>664</v>
      </c>
      <c r="G22" s="12">
        <v>927</v>
      </c>
      <c r="H22" s="12">
        <v>967</v>
      </c>
      <c r="I22" s="12">
        <v>1164</v>
      </c>
      <c r="J22" s="12">
        <v>197</v>
      </c>
      <c r="K22" s="12">
        <v>567</v>
      </c>
      <c r="L22" s="12">
        <v>832</v>
      </c>
      <c r="M22" s="12">
        <v>798</v>
      </c>
      <c r="N22" s="12">
        <v>806</v>
      </c>
      <c r="O22" s="12">
        <v>806</v>
      </c>
      <c r="P22" s="12">
        <v>866</v>
      </c>
      <c r="Q22" s="12">
        <v>834</v>
      </c>
      <c r="R22" s="12">
        <v>413</v>
      </c>
      <c r="S22" s="12">
        <v>683</v>
      </c>
      <c r="T22" s="12">
        <v>763</v>
      </c>
      <c r="U22" s="12">
        <v>411</v>
      </c>
      <c r="V22" s="12">
        <v>848</v>
      </c>
      <c r="W22" s="12">
        <v>471</v>
      </c>
      <c r="X22" s="12">
        <v>807</v>
      </c>
      <c r="Y22" s="12">
        <v>737</v>
      </c>
      <c r="Z22" s="12">
        <v>819</v>
      </c>
      <c r="AA22" s="12">
        <v>925</v>
      </c>
      <c r="AB22" s="12">
        <v>718</v>
      </c>
      <c r="AC22" s="12">
        <v>680</v>
      </c>
      <c r="AD22" s="12">
        <v>758</v>
      </c>
      <c r="AE22" s="12">
        <v>808</v>
      </c>
      <c r="AF22" s="12">
        <v>963</v>
      </c>
      <c r="AG22" s="12">
        <v>770</v>
      </c>
      <c r="AH22" s="12">
        <v>833</v>
      </c>
      <c r="AI22" s="12">
        <v>416</v>
      </c>
      <c r="AJ22" s="12">
        <v>731</v>
      </c>
      <c r="AK22" s="12">
        <v>858</v>
      </c>
      <c r="AL22" s="12">
        <v>753</v>
      </c>
      <c r="AM22" s="12">
        <v>787</v>
      </c>
      <c r="AN22" s="12">
        <v>661</v>
      </c>
      <c r="AO22" s="12">
        <v>851</v>
      </c>
      <c r="AP22" s="12">
        <v>434</v>
      </c>
      <c r="AQ22" s="12">
        <v>710</v>
      </c>
    </row>
    <row r="23" spans="1:43" x14ac:dyDescent="0.35">
      <c r="A23" s="19"/>
      <c r="B23" s="13" t="s">
        <v>769</v>
      </c>
      <c r="C23" s="15">
        <v>0.79</v>
      </c>
      <c r="D23" s="15">
        <v>0.78</v>
      </c>
      <c r="E23" s="15">
        <v>0.56000000000000005</v>
      </c>
      <c r="F23" s="15">
        <v>0.6</v>
      </c>
      <c r="G23" s="15">
        <v>0.92</v>
      </c>
      <c r="H23" s="15">
        <v>0.79</v>
      </c>
      <c r="I23" s="15">
        <v>0.77</v>
      </c>
      <c r="J23" s="15">
        <v>0.67</v>
      </c>
      <c r="K23" s="15">
        <v>0.57000000000000006</v>
      </c>
      <c r="L23" s="15">
        <v>0.83000000000000007</v>
      </c>
      <c r="M23" s="15">
        <v>0.79</v>
      </c>
      <c r="N23" s="15">
        <v>0.8</v>
      </c>
      <c r="O23" s="15">
        <v>0.8</v>
      </c>
      <c r="P23" s="15">
        <v>0.86</v>
      </c>
      <c r="Q23" s="15">
        <v>0.81</v>
      </c>
      <c r="R23" s="15">
        <v>0.82000000000000006</v>
      </c>
      <c r="S23" s="15">
        <v>0.68</v>
      </c>
      <c r="T23" s="15">
        <v>0.76</v>
      </c>
      <c r="U23" s="15">
        <v>0.82000000000000006</v>
      </c>
      <c r="V23" s="15">
        <v>0.83000000000000007</v>
      </c>
      <c r="W23" s="15">
        <v>0.93</v>
      </c>
      <c r="X23" s="15">
        <v>0.8</v>
      </c>
      <c r="Y23" s="15">
        <v>0.73</v>
      </c>
      <c r="Z23" s="15">
        <v>0.8</v>
      </c>
      <c r="AA23" s="15">
        <v>0.9</v>
      </c>
      <c r="AB23" s="15">
        <v>0.68</v>
      </c>
      <c r="AC23" s="15">
        <v>0.68</v>
      </c>
      <c r="AD23" s="15">
        <v>0.75</v>
      </c>
      <c r="AE23" s="15">
        <v>0.8</v>
      </c>
      <c r="AF23" s="15">
        <v>0.92</v>
      </c>
      <c r="AG23" s="15">
        <v>0.74</v>
      </c>
      <c r="AH23" s="15">
        <v>0.82000000000000006</v>
      </c>
      <c r="AI23" s="15">
        <v>0.79</v>
      </c>
      <c r="AJ23" s="15">
        <v>0.71</v>
      </c>
      <c r="AK23" s="15">
        <v>0.85</v>
      </c>
      <c r="AL23" s="15">
        <v>0.74</v>
      </c>
      <c r="AM23" s="15">
        <v>0.76</v>
      </c>
      <c r="AN23" s="15">
        <v>0.66</v>
      </c>
      <c r="AO23" s="15">
        <v>0.85</v>
      </c>
      <c r="AP23" s="15">
        <v>0.83000000000000007</v>
      </c>
      <c r="AQ23" s="15">
        <v>0.71</v>
      </c>
    </row>
    <row r="24" spans="1:43" x14ac:dyDescent="0.35">
      <c r="A24" s="19"/>
      <c r="B24" s="11" t="s">
        <v>770</v>
      </c>
      <c r="C24" s="12">
        <v>4068</v>
      </c>
      <c r="D24" s="12">
        <v>179</v>
      </c>
      <c r="E24" s="12">
        <v>276</v>
      </c>
      <c r="F24" s="12">
        <v>347</v>
      </c>
      <c r="G24" s="12">
        <v>48</v>
      </c>
      <c r="H24" s="12">
        <v>157</v>
      </c>
      <c r="I24" s="12">
        <v>238</v>
      </c>
      <c r="J24" s="12">
        <v>79</v>
      </c>
      <c r="K24" s="12">
        <v>315</v>
      </c>
      <c r="L24" s="12">
        <v>93</v>
      </c>
      <c r="M24" s="12">
        <v>163</v>
      </c>
      <c r="N24" s="12">
        <v>114</v>
      </c>
      <c r="O24" s="12">
        <v>128</v>
      </c>
      <c r="P24" s="12">
        <v>120</v>
      </c>
      <c r="Q24" s="12">
        <v>165</v>
      </c>
      <c r="R24" s="12">
        <v>68</v>
      </c>
      <c r="S24" s="12">
        <v>178</v>
      </c>
      <c r="T24" s="12">
        <v>132</v>
      </c>
      <c r="U24" s="12">
        <v>58</v>
      </c>
      <c r="V24" s="12">
        <v>148</v>
      </c>
      <c r="W24" s="12">
        <v>25</v>
      </c>
      <c r="X24" s="12">
        <v>168</v>
      </c>
      <c r="Y24" s="12">
        <v>227</v>
      </c>
      <c r="Z24" s="12">
        <v>178</v>
      </c>
      <c r="AA24" s="12">
        <v>16</v>
      </c>
      <c r="AB24" s="12">
        <v>270</v>
      </c>
      <c r="AC24" s="12">
        <v>302</v>
      </c>
      <c r="AD24" s="12">
        <v>179</v>
      </c>
      <c r="AE24" s="12">
        <v>107</v>
      </c>
      <c r="AF24" s="12">
        <v>72</v>
      </c>
      <c r="AG24" s="12">
        <v>248</v>
      </c>
      <c r="AH24" s="12">
        <v>145</v>
      </c>
      <c r="AI24" s="12">
        <v>70</v>
      </c>
      <c r="AJ24" s="12">
        <v>264</v>
      </c>
      <c r="AK24" s="12">
        <v>112</v>
      </c>
      <c r="AL24" s="12">
        <v>148</v>
      </c>
      <c r="AM24" s="12">
        <v>161</v>
      </c>
      <c r="AN24" s="12">
        <v>325</v>
      </c>
      <c r="AO24" s="12">
        <v>57</v>
      </c>
      <c r="AP24" s="12">
        <v>84</v>
      </c>
      <c r="AQ24" s="12">
        <v>102</v>
      </c>
    </row>
    <row r="25" spans="1:43" x14ac:dyDescent="0.35">
      <c r="A25" s="19"/>
      <c r="B25" s="13" t="s">
        <v>771</v>
      </c>
      <c r="C25" s="15">
        <v>0.15</v>
      </c>
      <c r="D25" s="15">
        <v>0.18</v>
      </c>
      <c r="E25" s="15">
        <v>0.27</v>
      </c>
      <c r="F25" s="15">
        <v>0.32</v>
      </c>
      <c r="G25" s="15">
        <v>0.05</v>
      </c>
      <c r="H25" s="15">
        <v>0.13</v>
      </c>
      <c r="I25" s="15">
        <v>0.15</v>
      </c>
      <c r="J25" s="15">
        <v>0.27</v>
      </c>
      <c r="K25" s="15">
        <v>0.31</v>
      </c>
      <c r="L25" s="15">
        <v>0.09</v>
      </c>
      <c r="M25" s="15">
        <v>0.16</v>
      </c>
      <c r="N25" s="15">
        <v>0.11</v>
      </c>
      <c r="O25" s="15">
        <v>0.13</v>
      </c>
      <c r="P25" s="15">
        <v>0.12</v>
      </c>
      <c r="Q25" s="15">
        <v>0.16</v>
      </c>
      <c r="R25" s="15">
        <v>0.13</v>
      </c>
      <c r="S25" s="15">
        <v>0.18</v>
      </c>
      <c r="T25" s="15">
        <v>0.13</v>
      </c>
      <c r="U25" s="15">
        <v>0.11</v>
      </c>
      <c r="V25" s="15">
        <v>0.15</v>
      </c>
      <c r="W25" s="15">
        <v>0.05</v>
      </c>
      <c r="X25" s="15">
        <v>0.17</v>
      </c>
      <c r="Y25" s="15">
        <v>0.23</v>
      </c>
      <c r="Z25" s="15">
        <v>0.17</v>
      </c>
      <c r="AA25" s="15">
        <v>0.01</v>
      </c>
      <c r="AB25" s="15">
        <v>0.26</v>
      </c>
      <c r="AC25" s="15">
        <v>0.3</v>
      </c>
      <c r="AD25" s="15">
        <v>0.18</v>
      </c>
      <c r="AE25" s="15">
        <v>0.1</v>
      </c>
      <c r="AF25" s="15">
        <v>7.0000000000000007E-2</v>
      </c>
      <c r="AG25" s="15">
        <v>0.24</v>
      </c>
      <c r="AH25" s="15">
        <v>0.14000000000000001</v>
      </c>
      <c r="AI25" s="15">
        <v>0.14000000000000001</v>
      </c>
      <c r="AJ25" s="15">
        <v>0.25</v>
      </c>
      <c r="AK25" s="15">
        <v>0.11</v>
      </c>
      <c r="AL25" s="15">
        <v>0.15</v>
      </c>
      <c r="AM25" s="15">
        <v>0.15</v>
      </c>
      <c r="AN25" s="15">
        <v>0.32</v>
      </c>
      <c r="AO25" s="15">
        <v>0.05</v>
      </c>
      <c r="AP25" s="15">
        <v>0.16</v>
      </c>
      <c r="AQ25" s="15">
        <v>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275</v>
      </c>
      <c r="C3" s="18"/>
      <c r="D3" s="18"/>
      <c r="E3" s="18"/>
      <c r="F3" s="18"/>
      <c r="H3" s="18" t="s">
        <v>276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1235</v>
      </c>
      <c r="C12" s="12">
        <v>1133</v>
      </c>
      <c r="D12" s="12">
        <v>30</v>
      </c>
      <c r="E12" s="12">
        <v>51</v>
      </c>
      <c r="F12" s="12">
        <v>35</v>
      </c>
      <c r="G12" s="12">
        <v>113</v>
      </c>
      <c r="H12" s="12">
        <v>54</v>
      </c>
      <c r="I12" s="12">
        <v>64</v>
      </c>
      <c r="J12" s="12">
        <v>10</v>
      </c>
      <c r="K12" s="12">
        <v>39</v>
      </c>
      <c r="L12" s="12">
        <v>130</v>
      </c>
      <c r="M12" s="12">
        <v>41</v>
      </c>
      <c r="N12" s="12">
        <v>25</v>
      </c>
      <c r="O12" s="12">
        <v>32</v>
      </c>
      <c r="P12" s="12">
        <v>49</v>
      </c>
      <c r="Q12" s="12">
        <v>37</v>
      </c>
      <c r="R12" s="12">
        <v>23</v>
      </c>
      <c r="S12" s="12">
        <v>60</v>
      </c>
      <c r="T12" s="12">
        <v>54</v>
      </c>
      <c r="U12" s="12">
        <v>54</v>
      </c>
      <c r="V12" s="12">
        <v>25</v>
      </c>
      <c r="W12" s="12">
        <v>27</v>
      </c>
      <c r="X12" s="12">
        <v>37</v>
      </c>
      <c r="Y12" s="12">
        <v>132</v>
      </c>
      <c r="Z12" s="12">
        <v>67</v>
      </c>
      <c r="AA12" s="12">
        <v>16</v>
      </c>
      <c r="AB12" s="12">
        <v>41</v>
      </c>
      <c r="AC12" s="12">
        <v>42</v>
      </c>
      <c r="AD12" s="12">
        <v>121</v>
      </c>
      <c r="AE12" s="12">
        <v>47</v>
      </c>
      <c r="AF12" s="12">
        <v>42</v>
      </c>
      <c r="AG12" s="12">
        <v>92</v>
      </c>
      <c r="AH12" s="12">
        <v>67</v>
      </c>
      <c r="AI12" s="12">
        <v>78</v>
      </c>
      <c r="AJ12" s="12">
        <v>76</v>
      </c>
      <c r="AK12" s="12">
        <v>61</v>
      </c>
      <c r="AL12" s="12">
        <v>75</v>
      </c>
      <c r="AM12" s="12">
        <v>51</v>
      </c>
      <c r="AN12" s="12">
        <v>68</v>
      </c>
      <c r="AO12" s="12">
        <v>159</v>
      </c>
      <c r="AP12" s="12">
        <v>73</v>
      </c>
      <c r="AQ12" s="12">
        <v>45</v>
      </c>
    </row>
    <row r="13" spans="1:43" x14ac:dyDescent="0.35">
      <c r="A13" s="19"/>
      <c r="B13" s="13" t="s">
        <v>1236</v>
      </c>
      <c r="C13" s="15">
        <v>0.04</v>
      </c>
      <c r="D13" s="15">
        <v>0.03</v>
      </c>
      <c r="E13" s="15">
        <v>0.05</v>
      </c>
      <c r="F13" s="15">
        <v>0.03</v>
      </c>
      <c r="G13" s="15">
        <v>0.11</v>
      </c>
      <c r="H13" s="15">
        <v>0.05</v>
      </c>
      <c r="I13" s="15">
        <v>0.04</v>
      </c>
      <c r="J13" s="15">
        <v>0.03</v>
      </c>
      <c r="K13" s="15">
        <v>0.04</v>
      </c>
      <c r="L13" s="15">
        <v>0.13</v>
      </c>
      <c r="M13" s="15">
        <v>0.04</v>
      </c>
      <c r="N13" s="15">
        <v>0.02</v>
      </c>
      <c r="O13" s="15">
        <v>0.03</v>
      </c>
      <c r="P13" s="15">
        <v>0.05</v>
      </c>
      <c r="Q13" s="15">
        <v>0.04</v>
      </c>
      <c r="R13" s="15">
        <v>0.05</v>
      </c>
      <c r="S13" s="15">
        <v>0.06</v>
      </c>
      <c r="T13" s="15">
        <v>0.05</v>
      </c>
      <c r="U13" s="15">
        <v>0.11</v>
      </c>
      <c r="V13" s="15">
        <v>0.02</v>
      </c>
      <c r="W13" s="15">
        <v>0.05</v>
      </c>
      <c r="X13" s="15">
        <v>0.04</v>
      </c>
      <c r="Y13" s="15">
        <v>0.13</v>
      </c>
      <c r="Z13" s="15">
        <v>0.06</v>
      </c>
      <c r="AA13" s="15">
        <v>0.01</v>
      </c>
      <c r="AB13" s="15">
        <v>0.04</v>
      </c>
      <c r="AC13" s="15">
        <v>0.04</v>
      </c>
      <c r="AD13" s="15">
        <v>0.12</v>
      </c>
      <c r="AE13" s="15">
        <v>0.05</v>
      </c>
      <c r="AF13" s="15">
        <v>0.04</v>
      </c>
      <c r="AG13" s="15">
        <v>0.09</v>
      </c>
      <c r="AH13" s="15">
        <v>7.0000000000000007E-2</v>
      </c>
      <c r="AI13" s="15">
        <v>0.15</v>
      </c>
      <c r="AJ13" s="15">
        <v>7.0000000000000007E-2</v>
      </c>
      <c r="AK13" s="15">
        <v>0.06</v>
      </c>
      <c r="AL13" s="15">
        <v>7.0000000000000007E-2</v>
      </c>
      <c r="AM13" s="15">
        <v>0.05</v>
      </c>
      <c r="AN13" s="15">
        <v>7.0000000000000007E-2</v>
      </c>
      <c r="AO13" s="15">
        <v>0.16</v>
      </c>
      <c r="AP13" s="15">
        <v>0.14000000000000001</v>
      </c>
      <c r="AQ13" s="15">
        <v>0.05</v>
      </c>
    </row>
    <row r="14" spans="1:43" x14ac:dyDescent="0.35">
      <c r="A14" s="19"/>
      <c r="B14" s="11" t="s">
        <v>1237</v>
      </c>
      <c r="C14" s="12">
        <v>11338</v>
      </c>
      <c r="D14" s="12">
        <v>379</v>
      </c>
      <c r="E14" s="12">
        <v>383</v>
      </c>
      <c r="F14" s="12">
        <v>395</v>
      </c>
      <c r="G14" s="12">
        <v>575</v>
      </c>
      <c r="H14" s="12">
        <v>614</v>
      </c>
      <c r="I14" s="12">
        <v>725</v>
      </c>
      <c r="J14" s="12">
        <v>111</v>
      </c>
      <c r="K14" s="12">
        <v>355</v>
      </c>
      <c r="L14" s="12">
        <v>546</v>
      </c>
      <c r="M14" s="12">
        <v>313</v>
      </c>
      <c r="N14" s="12">
        <v>387</v>
      </c>
      <c r="O14" s="12">
        <v>284</v>
      </c>
      <c r="P14" s="12">
        <v>387</v>
      </c>
      <c r="Q14" s="12">
        <v>393</v>
      </c>
      <c r="R14" s="12">
        <v>191</v>
      </c>
      <c r="S14" s="12">
        <v>468</v>
      </c>
      <c r="T14" s="12">
        <v>502</v>
      </c>
      <c r="U14" s="12">
        <v>281</v>
      </c>
      <c r="V14" s="12">
        <v>496</v>
      </c>
      <c r="W14" s="12">
        <v>289</v>
      </c>
      <c r="X14" s="12">
        <v>533</v>
      </c>
      <c r="Y14" s="12">
        <v>446</v>
      </c>
      <c r="Z14" s="12">
        <v>635</v>
      </c>
      <c r="AA14" s="12">
        <v>379</v>
      </c>
      <c r="AB14" s="12">
        <v>535</v>
      </c>
      <c r="AC14" s="12">
        <v>407</v>
      </c>
      <c r="AD14" s="12">
        <v>462</v>
      </c>
      <c r="AE14" s="12">
        <v>552</v>
      </c>
      <c r="AF14" s="12">
        <v>545</v>
      </c>
      <c r="AG14" s="12">
        <v>521</v>
      </c>
      <c r="AH14" s="12">
        <v>396</v>
      </c>
      <c r="AI14" s="12">
        <v>195</v>
      </c>
      <c r="AJ14" s="12">
        <v>454</v>
      </c>
      <c r="AK14" s="12">
        <v>562</v>
      </c>
      <c r="AL14" s="12">
        <v>327</v>
      </c>
      <c r="AM14" s="12">
        <v>469</v>
      </c>
      <c r="AN14" s="12">
        <v>462</v>
      </c>
      <c r="AO14" s="12">
        <v>495</v>
      </c>
      <c r="AP14" s="12">
        <v>171</v>
      </c>
      <c r="AQ14" s="12">
        <v>305</v>
      </c>
    </row>
    <row r="15" spans="1:43" x14ac:dyDescent="0.35">
      <c r="A15" s="19"/>
      <c r="B15" s="13" t="s">
        <v>1238</v>
      </c>
      <c r="C15" s="15">
        <v>0.43</v>
      </c>
      <c r="D15" s="15">
        <v>0.38</v>
      </c>
      <c r="E15" s="15">
        <v>0.37</v>
      </c>
      <c r="F15" s="15">
        <v>0.36</v>
      </c>
      <c r="G15" s="15">
        <v>0.57000000000000006</v>
      </c>
      <c r="H15" s="15">
        <v>0.5</v>
      </c>
      <c r="I15" s="15">
        <v>0.48</v>
      </c>
      <c r="J15" s="15">
        <v>0.38</v>
      </c>
      <c r="K15" s="15">
        <v>0.36</v>
      </c>
      <c r="L15" s="15">
        <v>0.55000000000000004</v>
      </c>
      <c r="M15" s="15">
        <v>0.31</v>
      </c>
      <c r="N15" s="15">
        <v>0.39</v>
      </c>
      <c r="O15" s="15">
        <v>0.28000000000000003</v>
      </c>
      <c r="P15" s="15">
        <v>0.38</v>
      </c>
      <c r="Q15" s="15">
        <v>0.38</v>
      </c>
      <c r="R15" s="15">
        <v>0.38</v>
      </c>
      <c r="S15" s="15">
        <v>0.47</v>
      </c>
      <c r="T15" s="15">
        <v>0.5</v>
      </c>
      <c r="U15" s="15">
        <v>0.56000000000000005</v>
      </c>
      <c r="V15" s="15">
        <v>0.49</v>
      </c>
      <c r="W15" s="15">
        <v>0.57000000000000006</v>
      </c>
      <c r="X15" s="15">
        <v>0.53</v>
      </c>
      <c r="Y15" s="15">
        <v>0.45</v>
      </c>
      <c r="Z15" s="15">
        <v>0.62</v>
      </c>
      <c r="AA15" s="15">
        <v>0.37</v>
      </c>
      <c r="AB15" s="15">
        <v>0.51</v>
      </c>
      <c r="AC15" s="15">
        <v>0.41</v>
      </c>
      <c r="AD15" s="15">
        <v>0.46</v>
      </c>
      <c r="AE15" s="15">
        <v>0.54</v>
      </c>
      <c r="AF15" s="15">
        <v>0.52</v>
      </c>
      <c r="AG15" s="15">
        <v>0.5</v>
      </c>
      <c r="AH15" s="15">
        <v>0.39</v>
      </c>
      <c r="AI15" s="15">
        <v>0.37</v>
      </c>
      <c r="AJ15" s="15">
        <v>0.44</v>
      </c>
      <c r="AK15" s="15">
        <v>0.56000000000000005</v>
      </c>
      <c r="AL15" s="15">
        <v>0.32</v>
      </c>
      <c r="AM15" s="15">
        <v>0.45</v>
      </c>
      <c r="AN15" s="15">
        <v>0.46</v>
      </c>
      <c r="AO15" s="15">
        <v>0.49</v>
      </c>
      <c r="AP15" s="15">
        <v>0.33</v>
      </c>
      <c r="AQ15" s="15">
        <v>0.3</v>
      </c>
    </row>
    <row r="16" spans="1:43" x14ac:dyDescent="0.35">
      <c r="A16" s="19"/>
      <c r="B16" s="11" t="s">
        <v>1239</v>
      </c>
      <c r="C16" s="12">
        <v>11580</v>
      </c>
      <c r="D16" s="12">
        <v>509</v>
      </c>
      <c r="E16" s="12">
        <v>459</v>
      </c>
      <c r="F16" s="12">
        <v>471</v>
      </c>
      <c r="G16" s="12">
        <v>274</v>
      </c>
      <c r="H16" s="12">
        <v>493</v>
      </c>
      <c r="I16" s="12">
        <v>656</v>
      </c>
      <c r="J16" s="12">
        <v>163</v>
      </c>
      <c r="K16" s="12">
        <v>490</v>
      </c>
      <c r="L16" s="12">
        <v>263</v>
      </c>
      <c r="M16" s="12">
        <v>545</v>
      </c>
      <c r="N16" s="12">
        <v>477</v>
      </c>
      <c r="O16" s="12">
        <v>532</v>
      </c>
      <c r="P16" s="12">
        <v>472</v>
      </c>
      <c r="Q16" s="12">
        <v>465</v>
      </c>
      <c r="R16" s="12">
        <v>228</v>
      </c>
      <c r="S16" s="12">
        <v>408</v>
      </c>
      <c r="T16" s="12">
        <v>394</v>
      </c>
      <c r="U16" s="12">
        <v>153</v>
      </c>
      <c r="V16" s="12">
        <v>421</v>
      </c>
      <c r="W16" s="12">
        <v>165</v>
      </c>
      <c r="X16" s="12">
        <v>407</v>
      </c>
      <c r="Y16" s="12">
        <v>378</v>
      </c>
      <c r="Z16" s="12">
        <v>304</v>
      </c>
      <c r="AA16" s="12">
        <v>549</v>
      </c>
      <c r="AB16" s="12">
        <v>374</v>
      </c>
      <c r="AC16" s="12">
        <v>445</v>
      </c>
      <c r="AD16" s="12">
        <v>355</v>
      </c>
      <c r="AE16" s="12">
        <v>373</v>
      </c>
      <c r="AF16" s="12">
        <v>421</v>
      </c>
      <c r="AG16" s="12">
        <v>309</v>
      </c>
      <c r="AH16" s="12">
        <v>466</v>
      </c>
      <c r="AI16" s="12">
        <v>208</v>
      </c>
      <c r="AJ16" s="12">
        <v>394</v>
      </c>
      <c r="AK16" s="12">
        <v>337</v>
      </c>
      <c r="AL16" s="12">
        <v>410</v>
      </c>
      <c r="AM16" s="12">
        <v>402</v>
      </c>
      <c r="AN16" s="12">
        <v>386</v>
      </c>
      <c r="AO16" s="12">
        <v>229</v>
      </c>
      <c r="AP16" s="12">
        <v>169</v>
      </c>
      <c r="AQ16" s="12">
        <v>424</v>
      </c>
    </row>
    <row r="17" spans="1:43" x14ac:dyDescent="0.35">
      <c r="A17" s="19"/>
      <c r="B17" s="13" t="s">
        <v>1240</v>
      </c>
      <c r="C17" s="15">
        <v>0.44</v>
      </c>
      <c r="D17" s="15">
        <v>0.5</v>
      </c>
      <c r="E17" s="15">
        <v>0.45</v>
      </c>
      <c r="F17" s="15">
        <v>0.43</v>
      </c>
      <c r="G17" s="15">
        <v>0.28000000000000003</v>
      </c>
      <c r="H17" s="15">
        <v>0.4</v>
      </c>
      <c r="I17" s="15">
        <v>0.43</v>
      </c>
      <c r="J17" s="15">
        <v>0.55000000000000004</v>
      </c>
      <c r="K17" s="15">
        <v>0.49</v>
      </c>
      <c r="L17" s="15">
        <v>0.26</v>
      </c>
      <c r="M17" s="15">
        <v>0.54</v>
      </c>
      <c r="N17" s="15">
        <v>0.48</v>
      </c>
      <c r="O17" s="15">
        <v>0.53</v>
      </c>
      <c r="P17" s="15">
        <v>0.47</v>
      </c>
      <c r="Q17" s="15">
        <v>0.45</v>
      </c>
      <c r="R17" s="15">
        <v>0.45</v>
      </c>
      <c r="S17" s="15">
        <v>0.41</v>
      </c>
      <c r="T17" s="15">
        <v>0.39</v>
      </c>
      <c r="U17" s="15">
        <v>0.3</v>
      </c>
      <c r="V17" s="15">
        <v>0.42</v>
      </c>
      <c r="W17" s="15">
        <v>0.32</v>
      </c>
      <c r="X17" s="15">
        <v>0.4</v>
      </c>
      <c r="Y17" s="15">
        <v>0.38</v>
      </c>
      <c r="Z17" s="15">
        <v>0.28999999999999998</v>
      </c>
      <c r="AA17" s="15">
        <v>0.53</v>
      </c>
      <c r="AB17" s="15">
        <v>0.36</v>
      </c>
      <c r="AC17" s="15">
        <v>0.44</v>
      </c>
      <c r="AD17" s="15">
        <v>0.35</v>
      </c>
      <c r="AE17" s="15">
        <v>0.37</v>
      </c>
      <c r="AF17" s="15">
        <v>0.41</v>
      </c>
      <c r="AG17" s="15">
        <v>0.3</v>
      </c>
      <c r="AH17" s="15">
        <v>0.46</v>
      </c>
      <c r="AI17" s="15">
        <v>0.4</v>
      </c>
      <c r="AJ17" s="15">
        <v>0.38</v>
      </c>
      <c r="AK17" s="15">
        <v>0.33</v>
      </c>
      <c r="AL17" s="15">
        <v>0.41</v>
      </c>
      <c r="AM17" s="15">
        <v>0.39</v>
      </c>
      <c r="AN17" s="15">
        <v>0.39</v>
      </c>
      <c r="AO17" s="15">
        <v>0.23</v>
      </c>
      <c r="AP17" s="15">
        <v>0.32</v>
      </c>
      <c r="AQ17" s="15">
        <v>0.42</v>
      </c>
    </row>
    <row r="18" spans="1:43" x14ac:dyDescent="0.35">
      <c r="A18" s="19"/>
      <c r="B18" s="11" t="s">
        <v>1241</v>
      </c>
      <c r="C18" s="12">
        <v>2287</v>
      </c>
      <c r="D18" s="12">
        <v>92</v>
      </c>
      <c r="E18" s="12">
        <v>125</v>
      </c>
      <c r="F18" s="12">
        <v>182</v>
      </c>
      <c r="G18" s="12">
        <v>32</v>
      </c>
      <c r="H18" s="12">
        <v>57</v>
      </c>
      <c r="I18" s="12">
        <v>67</v>
      </c>
      <c r="J18" s="12">
        <v>10</v>
      </c>
      <c r="K18" s="12">
        <v>94</v>
      </c>
      <c r="L18" s="12">
        <v>59</v>
      </c>
      <c r="M18" s="12">
        <v>111</v>
      </c>
      <c r="N18" s="12">
        <v>113</v>
      </c>
      <c r="O18" s="12">
        <v>146</v>
      </c>
      <c r="P18" s="12">
        <v>96</v>
      </c>
      <c r="Q18" s="12">
        <v>132</v>
      </c>
      <c r="R18" s="12">
        <v>61</v>
      </c>
      <c r="S18" s="12">
        <v>63</v>
      </c>
      <c r="T18" s="12">
        <v>48</v>
      </c>
      <c r="U18" s="12">
        <v>16</v>
      </c>
      <c r="V18" s="12">
        <v>72</v>
      </c>
      <c r="W18" s="12">
        <v>24</v>
      </c>
      <c r="X18" s="12">
        <v>30</v>
      </c>
      <c r="Y18" s="12">
        <v>33</v>
      </c>
      <c r="Z18" s="12">
        <v>17</v>
      </c>
      <c r="AA18" s="12">
        <v>83</v>
      </c>
      <c r="AB18" s="12">
        <v>97</v>
      </c>
      <c r="AC18" s="12">
        <v>107</v>
      </c>
      <c r="AD18" s="12">
        <v>65</v>
      </c>
      <c r="AE18" s="12">
        <v>38</v>
      </c>
      <c r="AF18" s="12">
        <v>35</v>
      </c>
      <c r="AG18" s="12">
        <v>102</v>
      </c>
      <c r="AH18" s="12">
        <v>84</v>
      </c>
      <c r="AI18" s="12">
        <v>41</v>
      </c>
      <c r="AJ18" s="12">
        <v>113</v>
      </c>
      <c r="AK18" s="12">
        <v>47</v>
      </c>
      <c r="AL18" s="12">
        <v>188</v>
      </c>
      <c r="AM18" s="12">
        <v>105</v>
      </c>
      <c r="AN18" s="12">
        <v>82</v>
      </c>
      <c r="AO18" s="12">
        <v>114</v>
      </c>
      <c r="AP18" s="12">
        <v>112</v>
      </c>
      <c r="AQ18" s="12">
        <v>219</v>
      </c>
    </row>
    <row r="19" spans="1:43" x14ac:dyDescent="0.35">
      <c r="A19" s="19"/>
      <c r="B19" s="13" t="s">
        <v>1242</v>
      </c>
      <c r="C19" s="15">
        <v>0.09</v>
      </c>
      <c r="D19" s="15">
        <v>0.09</v>
      </c>
      <c r="E19" s="15">
        <v>0.12</v>
      </c>
      <c r="F19" s="15">
        <v>0.16</v>
      </c>
      <c r="G19" s="15">
        <v>0.03</v>
      </c>
      <c r="H19" s="15">
        <v>0.05</v>
      </c>
      <c r="I19" s="15">
        <v>0.05</v>
      </c>
      <c r="J19" s="15">
        <v>0.04</v>
      </c>
      <c r="K19" s="15">
        <v>0.09</v>
      </c>
      <c r="L19" s="15">
        <v>0.06</v>
      </c>
      <c r="M19" s="15">
        <v>0.11</v>
      </c>
      <c r="N19" s="15">
        <v>0.11</v>
      </c>
      <c r="O19" s="15">
        <v>0.15</v>
      </c>
      <c r="P19" s="15">
        <v>0.1</v>
      </c>
      <c r="Q19" s="15">
        <v>0.13</v>
      </c>
      <c r="R19" s="15">
        <v>0.12</v>
      </c>
      <c r="S19" s="15">
        <v>0.06</v>
      </c>
      <c r="T19" s="15">
        <v>0.05</v>
      </c>
      <c r="U19" s="15">
        <v>0.03</v>
      </c>
      <c r="V19" s="15">
        <v>7.0000000000000007E-2</v>
      </c>
      <c r="W19" s="15">
        <v>0.05</v>
      </c>
      <c r="X19" s="15">
        <v>0.03</v>
      </c>
      <c r="Y19" s="15">
        <v>0.03</v>
      </c>
      <c r="Z19" s="15">
        <v>0.02</v>
      </c>
      <c r="AA19" s="15">
        <v>0.08</v>
      </c>
      <c r="AB19" s="15">
        <v>0.09</v>
      </c>
      <c r="AC19" s="15">
        <v>0.11</v>
      </c>
      <c r="AD19" s="15">
        <v>7.0000000000000007E-2</v>
      </c>
      <c r="AE19" s="15">
        <v>0.04</v>
      </c>
      <c r="AF19" s="15">
        <v>0.03</v>
      </c>
      <c r="AG19" s="15">
        <v>0.1</v>
      </c>
      <c r="AH19" s="15">
        <v>0.08</v>
      </c>
      <c r="AI19" s="15">
        <v>0.08</v>
      </c>
      <c r="AJ19" s="15">
        <v>0.11</v>
      </c>
      <c r="AK19" s="15">
        <v>0.05</v>
      </c>
      <c r="AL19" s="15">
        <v>0.19</v>
      </c>
      <c r="AM19" s="15">
        <v>0.1</v>
      </c>
      <c r="AN19" s="15">
        <v>0.08</v>
      </c>
      <c r="AO19" s="15">
        <v>0.11</v>
      </c>
      <c r="AP19" s="15">
        <v>0.21</v>
      </c>
      <c r="AQ19" s="15">
        <v>0.22</v>
      </c>
    </row>
    <row r="20" spans="1:43" x14ac:dyDescent="0.35">
      <c r="A20" s="19"/>
      <c r="B20" s="11" t="s">
        <v>485</v>
      </c>
      <c r="C20" s="12">
        <v>107</v>
      </c>
      <c r="D20" s="12">
        <v>2</v>
      </c>
      <c r="E20" s="12">
        <v>12</v>
      </c>
      <c r="F20" s="12">
        <v>19</v>
      </c>
      <c r="G20" s="12">
        <v>12</v>
      </c>
      <c r="H20" s="12">
        <v>3</v>
      </c>
      <c r="I20" s="12">
        <v>4</v>
      </c>
      <c r="J20" s="12">
        <v>1</v>
      </c>
      <c r="K20" s="12">
        <v>24</v>
      </c>
      <c r="L20" s="12">
        <v>4</v>
      </c>
      <c r="M20" s="12">
        <v>0</v>
      </c>
      <c r="N20" s="12">
        <v>0</v>
      </c>
      <c r="O20" s="12">
        <v>8</v>
      </c>
      <c r="P20" s="12">
        <v>0</v>
      </c>
      <c r="Q20" s="12">
        <v>1</v>
      </c>
      <c r="R20" s="12">
        <v>1</v>
      </c>
      <c r="S20" s="12">
        <v>3</v>
      </c>
      <c r="T20" s="12">
        <v>9</v>
      </c>
      <c r="U20" s="12">
        <v>0</v>
      </c>
      <c r="V20" s="12">
        <v>1</v>
      </c>
      <c r="W20" s="12">
        <v>3</v>
      </c>
      <c r="X20" s="12">
        <v>2</v>
      </c>
      <c r="Y20" s="12">
        <v>14</v>
      </c>
      <c r="Z20" s="12">
        <v>7</v>
      </c>
      <c r="AA20" s="12">
        <v>6</v>
      </c>
      <c r="AB20" s="12">
        <v>4</v>
      </c>
      <c r="AC20" s="12">
        <v>1</v>
      </c>
      <c r="AD20" s="12">
        <v>1</v>
      </c>
      <c r="AE20" s="12">
        <v>3</v>
      </c>
      <c r="AF20" s="12">
        <v>0</v>
      </c>
      <c r="AG20" s="12">
        <v>11</v>
      </c>
      <c r="AH20" s="12">
        <v>1</v>
      </c>
      <c r="AI20" s="12">
        <v>0</v>
      </c>
      <c r="AJ20" s="12">
        <v>0</v>
      </c>
      <c r="AK20" s="12">
        <v>0</v>
      </c>
      <c r="AL20" s="12">
        <v>12</v>
      </c>
      <c r="AM20" s="12">
        <v>13</v>
      </c>
      <c r="AN20" s="12">
        <v>5</v>
      </c>
      <c r="AO20" s="12">
        <v>8</v>
      </c>
      <c r="AP20" s="12">
        <v>0</v>
      </c>
      <c r="AQ20" s="12">
        <v>9</v>
      </c>
    </row>
    <row r="21" spans="1:43" x14ac:dyDescent="0.35">
      <c r="A21" s="19"/>
      <c r="B21" s="13" t="s">
        <v>486</v>
      </c>
      <c r="C21" s="14" t="s">
        <v>475</v>
      </c>
      <c r="D21" s="14" t="s">
        <v>475</v>
      </c>
      <c r="E21" s="15">
        <v>0.01</v>
      </c>
      <c r="F21" s="15">
        <v>0.02</v>
      </c>
      <c r="G21" s="15">
        <v>0.01</v>
      </c>
      <c r="H21" s="14" t="s">
        <v>475</v>
      </c>
      <c r="I21" s="14" t="s">
        <v>475</v>
      </c>
      <c r="J21" s="14" t="s">
        <v>475</v>
      </c>
      <c r="K21" s="15">
        <v>0.02</v>
      </c>
      <c r="L21" s="14" t="s">
        <v>475</v>
      </c>
      <c r="M21" s="14" t="s">
        <v>475</v>
      </c>
      <c r="N21" s="14" t="s">
        <v>475</v>
      </c>
      <c r="O21" s="15">
        <v>0.01</v>
      </c>
      <c r="P21" s="14" t="s">
        <v>475</v>
      </c>
      <c r="Q21" s="14" t="s">
        <v>475</v>
      </c>
      <c r="R21" s="14" t="s">
        <v>475</v>
      </c>
      <c r="S21" s="14" t="s">
        <v>475</v>
      </c>
      <c r="T21" s="15">
        <v>0.01</v>
      </c>
      <c r="U21" s="14" t="s">
        <v>475</v>
      </c>
      <c r="V21" s="14" t="s">
        <v>475</v>
      </c>
      <c r="W21" s="15">
        <v>0.01</v>
      </c>
      <c r="X21" s="14" t="s">
        <v>475</v>
      </c>
      <c r="Y21" s="15">
        <v>0.01</v>
      </c>
      <c r="Z21" s="15">
        <v>0.01</v>
      </c>
      <c r="AA21" s="15">
        <v>0.01</v>
      </c>
      <c r="AB21" s="14" t="s">
        <v>475</v>
      </c>
      <c r="AC21" s="14" t="s">
        <v>475</v>
      </c>
      <c r="AD21" s="14" t="s">
        <v>475</v>
      </c>
      <c r="AE21" s="14" t="s">
        <v>475</v>
      </c>
      <c r="AF21" s="14" t="s">
        <v>475</v>
      </c>
      <c r="AG21" s="15">
        <v>0.01</v>
      </c>
      <c r="AH21" s="14" t="s">
        <v>475</v>
      </c>
      <c r="AI21" s="14" t="s">
        <v>475</v>
      </c>
      <c r="AJ21" s="14" t="s">
        <v>475</v>
      </c>
      <c r="AK21" s="14" t="s">
        <v>475</v>
      </c>
      <c r="AL21" s="15">
        <v>0.01</v>
      </c>
      <c r="AM21" s="15">
        <v>0.01</v>
      </c>
      <c r="AN21" s="14" t="s">
        <v>475</v>
      </c>
      <c r="AO21" s="15">
        <v>0.01</v>
      </c>
      <c r="AP21" s="14" t="s">
        <v>475</v>
      </c>
      <c r="AQ21" s="15">
        <v>0.01</v>
      </c>
    </row>
    <row r="22" spans="1:43" x14ac:dyDescent="0.35">
      <c r="A22" s="19"/>
      <c r="B22" s="11" t="s">
        <v>1243</v>
      </c>
      <c r="C22" s="12">
        <v>12471</v>
      </c>
      <c r="D22" s="12">
        <v>409</v>
      </c>
      <c r="E22" s="12">
        <v>434</v>
      </c>
      <c r="F22" s="12">
        <v>430</v>
      </c>
      <c r="G22" s="12">
        <v>688</v>
      </c>
      <c r="H22" s="12">
        <v>668</v>
      </c>
      <c r="I22" s="12">
        <v>789</v>
      </c>
      <c r="J22" s="12">
        <v>121</v>
      </c>
      <c r="K22" s="12">
        <v>394</v>
      </c>
      <c r="L22" s="12">
        <v>676</v>
      </c>
      <c r="M22" s="12">
        <v>354</v>
      </c>
      <c r="N22" s="12">
        <v>412</v>
      </c>
      <c r="O22" s="12">
        <v>316</v>
      </c>
      <c r="P22" s="12">
        <v>436</v>
      </c>
      <c r="Q22" s="12">
        <v>430</v>
      </c>
      <c r="R22" s="12">
        <v>214</v>
      </c>
      <c r="S22" s="12">
        <v>528</v>
      </c>
      <c r="T22" s="12">
        <v>556</v>
      </c>
      <c r="U22" s="12">
        <v>335</v>
      </c>
      <c r="V22" s="12">
        <v>521</v>
      </c>
      <c r="W22" s="12">
        <v>316</v>
      </c>
      <c r="X22" s="12">
        <v>570</v>
      </c>
      <c r="Y22" s="12">
        <v>578</v>
      </c>
      <c r="Z22" s="12">
        <v>702</v>
      </c>
      <c r="AA22" s="12">
        <v>395</v>
      </c>
      <c r="AB22" s="12">
        <v>576</v>
      </c>
      <c r="AC22" s="12">
        <v>449</v>
      </c>
      <c r="AD22" s="12">
        <v>583</v>
      </c>
      <c r="AE22" s="12">
        <v>599</v>
      </c>
      <c r="AF22" s="12">
        <v>587</v>
      </c>
      <c r="AG22" s="12">
        <v>613</v>
      </c>
      <c r="AH22" s="12">
        <v>463</v>
      </c>
      <c r="AI22" s="12">
        <v>273</v>
      </c>
      <c r="AJ22" s="12">
        <v>530</v>
      </c>
      <c r="AK22" s="12">
        <v>623</v>
      </c>
      <c r="AL22" s="12">
        <v>402</v>
      </c>
      <c r="AM22" s="12">
        <v>520</v>
      </c>
      <c r="AN22" s="12">
        <v>530</v>
      </c>
      <c r="AO22" s="12">
        <v>654</v>
      </c>
      <c r="AP22" s="12">
        <v>244</v>
      </c>
      <c r="AQ22" s="12">
        <v>350</v>
      </c>
    </row>
    <row r="23" spans="1:43" x14ac:dyDescent="0.35">
      <c r="A23" s="19"/>
      <c r="B23" s="13" t="s">
        <v>1244</v>
      </c>
      <c r="C23" s="15">
        <v>0.47</v>
      </c>
      <c r="D23" s="15">
        <v>0.41</v>
      </c>
      <c r="E23" s="15">
        <v>0.42</v>
      </c>
      <c r="F23" s="15">
        <v>0.39</v>
      </c>
      <c r="G23" s="15">
        <v>0.68</v>
      </c>
      <c r="H23" s="15">
        <v>0.55000000000000004</v>
      </c>
      <c r="I23" s="15">
        <v>0.52</v>
      </c>
      <c r="J23" s="15">
        <v>0.41</v>
      </c>
      <c r="K23" s="15">
        <v>0.4</v>
      </c>
      <c r="L23" s="15">
        <v>0.68</v>
      </c>
      <c r="M23" s="15">
        <v>0.35</v>
      </c>
      <c r="N23" s="15">
        <v>0.41</v>
      </c>
      <c r="O23" s="15">
        <v>0.31</v>
      </c>
      <c r="P23" s="15">
        <v>0.43</v>
      </c>
      <c r="Q23" s="15">
        <v>0.42</v>
      </c>
      <c r="R23" s="15">
        <v>0.43</v>
      </c>
      <c r="S23" s="15">
        <v>0.53</v>
      </c>
      <c r="T23" s="15">
        <v>0.55000000000000004</v>
      </c>
      <c r="U23" s="15">
        <v>0.67</v>
      </c>
      <c r="V23" s="15">
        <v>0.51</v>
      </c>
      <c r="W23" s="15">
        <v>0.62</v>
      </c>
      <c r="X23" s="15">
        <v>0.57000000000000006</v>
      </c>
      <c r="Y23" s="15">
        <v>0.57999999999999996</v>
      </c>
      <c r="Z23" s="15">
        <v>0.68</v>
      </c>
      <c r="AA23" s="15">
        <v>0.38</v>
      </c>
      <c r="AB23" s="15">
        <v>0.55000000000000004</v>
      </c>
      <c r="AC23" s="15">
        <v>0.45</v>
      </c>
      <c r="AD23" s="15">
        <v>0.57999999999999996</v>
      </c>
      <c r="AE23" s="15">
        <v>0.59</v>
      </c>
      <c r="AF23" s="15">
        <v>0.56000000000000005</v>
      </c>
      <c r="AG23" s="15">
        <v>0.59</v>
      </c>
      <c r="AH23" s="15">
        <v>0.46</v>
      </c>
      <c r="AI23" s="15">
        <v>0.52</v>
      </c>
      <c r="AJ23" s="15">
        <v>0.51</v>
      </c>
      <c r="AK23" s="15">
        <v>0.62</v>
      </c>
      <c r="AL23" s="15">
        <v>0.39</v>
      </c>
      <c r="AM23" s="15">
        <v>0.5</v>
      </c>
      <c r="AN23" s="15">
        <v>0.53</v>
      </c>
      <c r="AO23" s="15">
        <v>0.65</v>
      </c>
      <c r="AP23" s="15">
        <v>0.47</v>
      </c>
      <c r="AQ23" s="15">
        <v>0.35</v>
      </c>
    </row>
    <row r="24" spans="1:43" x14ac:dyDescent="0.35">
      <c r="A24" s="19"/>
      <c r="B24" s="11" t="s">
        <v>1245</v>
      </c>
      <c r="C24" s="12">
        <v>13867</v>
      </c>
      <c r="D24" s="12">
        <v>601</v>
      </c>
      <c r="E24" s="12">
        <v>584</v>
      </c>
      <c r="F24" s="12">
        <v>653</v>
      </c>
      <c r="G24" s="12">
        <v>306</v>
      </c>
      <c r="H24" s="12">
        <v>550</v>
      </c>
      <c r="I24" s="12">
        <v>723</v>
      </c>
      <c r="J24" s="12">
        <v>173</v>
      </c>
      <c r="K24" s="12">
        <v>584</v>
      </c>
      <c r="L24" s="12">
        <v>322</v>
      </c>
      <c r="M24" s="12">
        <v>656</v>
      </c>
      <c r="N24" s="12">
        <v>590</v>
      </c>
      <c r="O24" s="12">
        <v>678</v>
      </c>
      <c r="P24" s="12">
        <v>568</v>
      </c>
      <c r="Q24" s="12">
        <v>597</v>
      </c>
      <c r="R24" s="12">
        <v>289</v>
      </c>
      <c r="S24" s="12">
        <v>471</v>
      </c>
      <c r="T24" s="12">
        <v>442</v>
      </c>
      <c r="U24" s="12">
        <v>169</v>
      </c>
      <c r="V24" s="12">
        <v>493</v>
      </c>
      <c r="W24" s="12">
        <v>189</v>
      </c>
      <c r="X24" s="12">
        <v>437</v>
      </c>
      <c r="Y24" s="12">
        <v>411</v>
      </c>
      <c r="Z24" s="12">
        <v>321</v>
      </c>
      <c r="AA24" s="12">
        <v>632</v>
      </c>
      <c r="AB24" s="12">
        <v>471</v>
      </c>
      <c r="AC24" s="12">
        <v>552</v>
      </c>
      <c r="AD24" s="12">
        <v>420</v>
      </c>
      <c r="AE24" s="12">
        <v>411</v>
      </c>
      <c r="AF24" s="12">
        <v>456</v>
      </c>
      <c r="AG24" s="12">
        <v>411</v>
      </c>
      <c r="AH24" s="12">
        <v>550</v>
      </c>
      <c r="AI24" s="12">
        <v>249</v>
      </c>
      <c r="AJ24" s="12">
        <v>507</v>
      </c>
      <c r="AK24" s="12">
        <v>384</v>
      </c>
      <c r="AL24" s="12">
        <v>598</v>
      </c>
      <c r="AM24" s="12">
        <v>507</v>
      </c>
      <c r="AN24" s="12">
        <v>468</v>
      </c>
      <c r="AO24" s="12">
        <v>343</v>
      </c>
      <c r="AP24" s="12">
        <v>281</v>
      </c>
      <c r="AQ24" s="12">
        <v>643</v>
      </c>
    </row>
    <row r="25" spans="1:43" x14ac:dyDescent="0.35">
      <c r="A25" s="19"/>
      <c r="B25" s="13" t="s">
        <v>1246</v>
      </c>
      <c r="C25" s="15">
        <v>0.53</v>
      </c>
      <c r="D25" s="15">
        <v>0.59</v>
      </c>
      <c r="E25" s="15">
        <v>0.57000000000000006</v>
      </c>
      <c r="F25" s="15">
        <v>0.59</v>
      </c>
      <c r="G25" s="15">
        <v>0.31</v>
      </c>
      <c r="H25" s="15">
        <v>0.45</v>
      </c>
      <c r="I25" s="15">
        <v>0.48</v>
      </c>
      <c r="J25" s="15">
        <v>0.59</v>
      </c>
      <c r="K25" s="15">
        <v>0.57999999999999996</v>
      </c>
      <c r="L25" s="15">
        <v>0.32</v>
      </c>
      <c r="M25" s="15">
        <v>0.65</v>
      </c>
      <c r="N25" s="15">
        <v>0.59</v>
      </c>
      <c r="O25" s="15">
        <v>0.68</v>
      </c>
      <c r="P25" s="15">
        <v>0.57000000000000006</v>
      </c>
      <c r="Q25" s="15">
        <v>0.57999999999999996</v>
      </c>
      <c r="R25" s="15">
        <v>0.57000000000000006</v>
      </c>
      <c r="S25" s="15">
        <v>0.47</v>
      </c>
      <c r="T25" s="15">
        <v>0.44</v>
      </c>
      <c r="U25" s="15">
        <v>0.33</v>
      </c>
      <c r="V25" s="15">
        <v>0.49</v>
      </c>
      <c r="W25" s="15">
        <v>0.37</v>
      </c>
      <c r="X25" s="15">
        <v>0.43</v>
      </c>
      <c r="Y25" s="15">
        <v>0.41</v>
      </c>
      <c r="Z25" s="15">
        <v>0.31</v>
      </c>
      <c r="AA25" s="15">
        <v>0.61</v>
      </c>
      <c r="AB25" s="15">
        <v>0.45</v>
      </c>
      <c r="AC25" s="15">
        <v>0.55000000000000004</v>
      </c>
      <c r="AD25" s="15">
        <v>0.42</v>
      </c>
      <c r="AE25" s="15">
        <v>0.41</v>
      </c>
      <c r="AF25" s="15">
        <v>0.44</v>
      </c>
      <c r="AG25" s="15">
        <v>0.4</v>
      </c>
      <c r="AH25" s="15">
        <v>0.54</v>
      </c>
      <c r="AI25" s="15">
        <v>0.48</v>
      </c>
      <c r="AJ25" s="15">
        <v>0.49</v>
      </c>
      <c r="AK25" s="15">
        <v>0.38</v>
      </c>
      <c r="AL25" s="15">
        <v>0.6</v>
      </c>
      <c r="AM25" s="15">
        <v>0.49</v>
      </c>
      <c r="AN25" s="15">
        <v>0.47</v>
      </c>
      <c r="AO25" s="15">
        <v>0.34</v>
      </c>
      <c r="AP25" s="15">
        <v>0.53</v>
      </c>
      <c r="AQ25" s="15">
        <v>0.64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1247</v>
      </c>
      <c r="C3" s="18"/>
      <c r="D3" s="18"/>
      <c r="E3" s="18"/>
      <c r="F3" s="18"/>
      <c r="H3" s="18" t="s">
        <v>1248</v>
      </c>
      <c r="I3" s="18"/>
      <c r="J3" s="18"/>
      <c r="K3" s="18"/>
      <c r="L3" s="18"/>
    </row>
    <row r="4" spans="1:43" ht="27" customHeight="1" x14ac:dyDescent="0.35">
      <c r="B4" s="18" t="s">
        <v>1249</v>
      </c>
      <c r="C4" s="18"/>
      <c r="D4" s="18"/>
      <c r="E4" s="18"/>
      <c r="F4" s="18"/>
      <c r="H4" s="18" t="s">
        <v>1250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18503</v>
      </c>
      <c r="D12" s="12">
        <v>652</v>
      </c>
      <c r="E12" s="12">
        <v>850</v>
      </c>
      <c r="F12" s="12">
        <v>646</v>
      </c>
      <c r="G12" s="12">
        <v>547</v>
      </c>
      <c r="H12" s="12">
        <v>770</v>
      </c>
      <c r="I12" s="12">
        <v>991</v>
      </c>
      <c r="J12" s="12">
        <v>221</v>
      </c>
      <c r="K12" s="12">
        <v>594</v>
      </c>
      <c r="L12" s="12">
        <v>692</v>
      </c>
      <c r="M12" s="12">
        <v>787</v>
      </c>
      <c r="N12" s="12">
        <v>673</v>
      </c>
      <c r="O12" s="12">
        <v>668</v>
      </c>
      <c r="P12" s="12">
        <v>777</v>
      </c>
      <c r="Q12" s="12">
        <v>862</v>
      </c>
      <c r="R12" s="12">
        <v>301</v>
      </c>
      <c r="S12" s="12">
        <v>499</v>
      </c>
      <c r="T12" s="12">
        <v>688</v>
      </c>
      <c r="U12" s="12">
        <v>232</v>
      </c>
      <c r="V12" s="12">
        <v>662</v>
      </c>
      <c r="W12" s="12">
        <v>276</v>
      </c>
      <c r="X12" s="12">
        <v>581</v>
      </c>
      <c r="Y12" s="12">
        <v>723</v>
      </c>
      <c r="Z12" s="12">
        <v>772</v>
      </c>
      <c r="AA12" s="12">
        <v>943</v>
      </c>
      <c r="AB12" s="12">
        <v>835</v>
      </c>
      <c r="AC12" s="12">
        <v>536</v>
      </c>
      <c r="AD12" s="12">
        <v>672</v>
      </c>
      <c r="AE12" s="12">
        <v>574</v>
      </c>
      <c r="AF12" s="12">
        <v>591</v>
      </c>
      <c r="AG12" s="12">
        <v>837</v>
      </c>
      <c r="AH12" s="12">
        <v>665</v>
      </c>
      <c r="AI12" s="12">
        <v>440</v>
      </c>
      <c r="AJ12" s="12">
        <v>778</v>
      </c>
      <c r="AK12" s="12">
        <v>716</v>
      </c>
      <c r="AL12" s="12">
        <v>414</v>
      </c>
      <c r="AM12" s="12">
        <v>641</v>
      </c>
      <c r="AN12" s="12">
        <v>712</v>
      </c>
      <c r="AO12" s="12">
        <v>682</v>
      </c>
      <c r="AP12" s="12">
        <v>357</v>
      </c>
      <c r="AQ12" s="12">
        <v>440</v>
      </c>
    </row>
    <row r="13" spans="1:43" x14ac:dyDescent="0.35">
      <c r="A13" s="19"/>
      <c r="B13" s="13" t="s">
        <v>1252</v>
      </c>
      <c r="C13" s="15">
        <v>0.70000000000000007</v>
      </c>
      <c r="D13" s="15">
        <v>0.64</v>
      </c>
      <c r="E13" s="15">
        <v>0.83000000000000007</v>
      </c>
      <c r="F13" s="15">
        <v>0.59</v>
      </c>
      <c r="G13" s="15">
        <v>0.54</v>
      </c>
      <c r="H13" s="15">
        <v>0.63</v>
      </c>
      <c r="I13" s="15">
        <v>0.65</v>
      </c>
      <c r="J13" s="15">
        <v>0.75</v>
      </c>
      <c r="K13" s="15">
        <v>0.59</v>
      </c>
      <c r="L13" s="15">
        <v>0.69000000000000006</v>
      </c>
      <c r="M13" s="15">
        <v>0.78</v>
      </c>
      <c r="N13" s="15">
        <v>0.67</v>
      </c>
      <c r="O13" s="15">
        <v>0.67</v>
      </c>
      <c r="P13" s="15">
        <v>0.77</v>
      </c>
      <c r="Q13" s="15">
        <v>0.84</v>
      </c>
      <c r="R13" s="15">
        <v>0.59</v>
      </c>
      <c r="S13" s="15">
        <v>0.5</v>
      </c>
      <c r="T13" s="15">
        <v>0.69000000000000006</v>
      </c>
      <c r="U13" s="15">
        <v>0.46</v>
      </c>
      <c r="V13" s="15">
        <v>0.65</v>
      </c>
      <c r="W13" s="15">
        <v>0.55000000000000004</v>
      </c>
      <c r="X13" s="15">
        <v>0.57000000000000006</v>
      </c>
      <c r="Y13" s="15">
        <v>0.72</v>
      </c>
      <c r="Z13" s="15">
        <v>0.75</v>
      </c>
      <c r="AA13" s="15">
        <v>0.92</v>
      </c>
      <c r="AB13" s="15">
        <v>0.79</v>
      </c>
      <c r="AC13" s="15">
        <v>0.53</v>
      </c>
      <c r="AD13" s="15">
        <v>0.67</v>
      </c>
      <c r="AE13" s="15">
        <v>0.57000000000000006</v>
      </c>
      <c r="AF13" s="15">
        <v>0.57000000000000006</v>
      </c>
      <c r="AG13" s="15">
        <v>0.81</v>
      </c>
      <c r="AH13" s="15">
        <v>0.65</v>
      </c>
      <c r="AI13" s="15">
        <v>0.84</v>
      </c>
      <c r="AJ13" s="15">
        <v>0.75</v>
      </c>
      <c r="AK13" s="15">
        <v>0.71</v>
      </c>
      <c r="AL13" s="15">
        <v>0.41</v>
      </c>
      <c r="AM13" s="15">
        <v>0.62</v>
      </c>
      <c r="AN13" s="15">
        <v>0.71</v>
      </c>
      <c r="AO13" s="15">
        <v>0.68</v>
      </c>
      <c r="AP13" s="15">
        <v>0.68</v>
      </c>
      <c r="AQ13" s="15">
        <v>0.44</v>
      </c>
    </row>
    <row r="14" spans="1:43" ht="21.5" x14ac:dyDescent="0.35">
      <c r="A14" s="19"/>
      <c r="B14" s="11" t="s">
        <v>1253</v>
      </c>
      <c r="C14" s="12">
        <v>3172</v>
      </c>
      <c r="D14" s="12">
        <v>145</v>
      </c>
      <c r="E14" s="12">
        <v>111</v>
      </c>
      <c r="F14" s="12">
        <v>219</v>
      </c>
      <c r="G14" s="12">
        <v>126</v>
      </c>
      <c r="H14" s="12">
        <v>168</v>
      </c>
      <c r="I14" s="12">
        <v>202</v>
      </c>
      <c r="J14" s="12">
        <v>34</v>
      </c>
      <c r="K14" s="12">
        <v>139</v>
      </c>
      <c r="L14" s="12">
        <v>151</v>
      </c>
      <c r="M14" s="12">
        <v>98</v>
      </c>
      <c r="N14" s="12">
        <v>124</v>
      </c>
      <c r="O14" s="12">
        <v>103</v>
      </c>
      <c r="P14" s="12">
        <v>107</v>
      </c>
      <c r="Q14" s="12">
        <v>84</v>
      </c>
      <c r="R14" s="12">
        <v>85</v>
      </c>
      <c r="S14" s="12">
        <v>99</v>
      </c>
      <c r="T14" s="12">
        <v>119</v>
      </c>
      <c r="U14" s="12">
        <v>81</v>
      </c>
      <c r="V14" s="12">
        <v>199</v>
      </c>
      <c r="W14" s="12">
        <v>92</v>
      </c>
      <c r="X14" s="12">
        <v>152</v>
      </c>
      <c r="Y14" s="12">
        <v>159</v>
      </c>
      <c r="Z14" s="12">
        <v>136</v>
      </c>
      <c r="AA14" s="12">
        <v>52</v>
      </c>
      <c r="AB14" s="12">
        <v>101</v>
      </c>
      <c r="AC14" s="12">
        <v>190</v>
      </c>
      <c r="AD14" s="12">
        <v>167</v>
      </c>
      <c r="AE14" s="12">
        <v>127</v>
      </c>
      <c r="AF14" s="12">
        <v>115</v>
      </c>
      <c r="AG14" s="12">
        <v>135</v>
      </c>
      <c r="AH14" s="12">
        <v>212</v>
      </c>
      <c r="AI14" s="12">
        <v>63</v>
      </c>
      <c r="AJ14" s="12">
        <v>138</v>
      </c>
      <c r="AK14" s="12">
        <v>156</v>
      </c>
      <c r="AL14" s="12">
        <v>150</v>
      </c>
      <c r="AM14" s="12">
        <v>155</v>
      </c>
      <c r="AN14" s="12">
        <v>186</v>
      </c>
      <c r="AO14" s="12">
        <v>183</v>
      </c>
      <c r="AP14" s="12">
        <v>64</v>
      </c>
      <c r="AQ14" s="12">
        <v>143</v>
      </c>
    </row>
    <row r="15" spans="1:43" x14ac:dyDescent="0.35">
      <c r="A15" s="19"/>
      <c r="B15" s="13" t="s">
        <v>1254</v>
      </c>
      <c r="C15" s="15">
        <v>0.12</v>
      </c>
      <c r="D15" s="15">
        <v>0.14000000000000001</v>
      </c>
      <c r="E15" s="15">
        <v>0.11</v>
      </c>
      <c r="F15" s="15">
        <v>0.2</v>
      </c>
      <c r="G15" s="15">
        <v>0.13</v>
      </c>
      <c r="H15" s="15">
        <v>0.14000000000000001</v>
      </c>
      <c r="I15" s="15">
        <v>0.13</v>
      </c>
      <c r="J15" s="15">
        <v>0.12</v>
      </c>
      <c r="K15" s="15">
        <v>0.14000000000000001</v>
      </c>
      <c r="L15" s="15">
        <v>0.15</v>
      </c>
      <c r="M15" s="15">
        <v>0.1</v>
      </c>
      <c r="N15" s="15">
        <v>0.12</v>
      </c>
      <c r="O15" s="15">
        <v>0.1</v>
      </c>
      <c r="P15" s="15">
        <v>0.11</v>
      </c>
      <c r="Q15" s="15">
        <v>0.08</v>
      </c>
      <c r="R15" s="15">
        <v>0.17</v>
      </c>
      <c r="S15" s="15">
        <v>0.1</v>
      </c>
      <c r="T15" s="15">
        <v>0.12</v>
      </c>
      <c r="U15" s="15">
        <v>0.16</v>
      </c>
      <c r="V15" s="15">
        <v>0.2</v>
      </c>
      <c r="W15" s="15">
        <v>0.18</v>
      </c>
      <c r="X15" s="15">
        <v>0.15</v>
      </c>
      <c r="Y15" s="15">
        <v>0.16</v>
      </c>
      <c r="Z15" s="15">
        <v>0.13</v>
      </c>
      <c r="AA15" s="15">
        <v>0.05</v>
      </c>
      <c r="AB15" s="15">
        <v>0.1</v>
      </c>
      <c r="AC15" s="15">
        <v>0.19</v>
      </c>
      <c r="AD15" s="15">
        <v>0.16</v>
      </c>
      <c r="AE15" s="15">
        <v>0.13</v>
      </c>
      <c r="AF15" s="15">
        <v>0.11</v>
      </c>
      <c r="AG15" s="15">
        <v>0.13</v>
      </c>
      <c r="AH15" s="15">
        <v>0.21</v>
      </c>
      <c r="AI15" s="15">
        <v>0.12</v>
      </c>
      <c r="AJ15" s="15">
        <v>0.13</v>
      </c>
      <c r="AK15" s="15">
        <v>0.16</v>
      </c>
      <c r="AL15" s="15">
        <v>0.15</v>
      </c>
      <c r="AM15" s="15">
        <v>0.15</v>
      </c>
      <c r="AN15" s="15">
        <v>0.18</v>
      </c>
      <c r="AO15" s="15">
        <v>0.18</v>
      </c>
      <c r="AP15" s="15">
        <v>0.12</v>
      </c>
      <c r="AQ15" s="15">
        <v>0.14000000000000001</v>
      </c>
    </row>
    <row r="16" spans="1:43" ht="21.5" x14ac:dyDescent="0.35">
      <c r="A16" s="19"/>
      <c r="B16" s="11" t="s">
        <v>1255</v>
      </c>
      <c r="C16" s="12">
        <v>1264</v>
      </c>
      <c r="D16" s="12">
        <v>50</v>
      </c>
      <c r="E16" s="12">
        <v>35</v>
      </c>
      <c r="F16" s="12">
        <v>79</v>
      </c>
      <c r="G16" s="12">
        <v>67</v>
      </c>
      <c r="H16" s="12">
        <v>67</v>
      </c>
      <c r="I16" s="12">
        <v>82</v>
      </c>
      <c r="J16" s="12">
        <v>15</v>
      </c>
      <c r="K16" s="12">
        <v>70</v>
      </c>
      <c r="L16" s="12">
        <v>49</v>
      </c>
      <c r="M16" s="12">
        <v>30</v>
      </c>
      <c r="N16" s="12">
        <v>45</v>
      </c>
      <c r="O16" s="12">
        <v>48</v>
      </c>
      <c r="P16" s="12">
        <v>56</v>
      </c>
      <c r="Q16" s="12">
        <v>30</v>
      </c>
      <c r="R16" s="12">
        <v>34</v>
      </c>
      <c r="S16" s="12">
        <v>59</v>
      </c>
      <c r="T16" s="12">
        <v>33</v>
      </c>
      <c r="U16" s="12">
        <v>34</v>
      </c>
      <c r="V16" s="12">
        <v>70</v>
      </c>
      <c r="W16" s="12">
        <v>62</v>
      </c>
      <c r="X16" s="12">
        <v>79</v>
      </c>
      <c r="Y16" s="12">
        <v>32</v>
      </c>
      <c r="Z16" s="12">
        <v>45</v>
      </c>
      <c r="AA16" s="12">
        <v>13</v>
      </c>
      <c r="AB16" s="12">
        <v>57</v>
      </c>
      <c r="AC16" s="12">
        <v>77</v>
      </c>
      <c r="AD16" s="12">
        <v>87</v>
      </c>
      <c r="AE16" s="12">
        <v>71</v>
      </c>
      <c r="AF16" s="12">
        <v>44</v>
      </c>
      <c r="AG16" s="12">
        <v>39</v>
      </c>
      <c r="AH16" s="12">
        <v>61</v>
      </c>
      <c r="AI16" s="12">
        <v>10</v>
      </c>
      <c r="AJ16" s="12">
        <v>41</v>
      </c>
      <c r="AK16" s="12">
        <v>58</v>
      </c>
      <c r="AL16" s="12">
        <v>64</v>
      </c>
      <c r="AM16" s="12">
        <v>43</v>
      </c>
      <c r="AN16" s="12">
        <v>69</v>
      </c>
      <c r="AO16" s="12">
        <v>66</v>
      </c>
      <c r="AP16" s="12">
        <v>27</v>
      </c>
      <c r="AQ16" s="12">
        <v>69</v>
      </c>
    </row>
    <row r="17" spans="1:43" x14ac:dyDescent="0.35">
      <c r="A17" s="19"/>
      <c r="B17" s="13" t="s">
        <v>1256</v>
      </c>
      <c r="C17" s="15">
        <v>0.05</v>
      </c>
      <c r="D17" s="15">
        <v>0.05</v>
      </c>
      <c r="E17" s="15">
        <v>0.03</v>
      </c>
      <c r="F17" s="15">
        <v>7.0000000000000007E-2</v>
      </c>
      <c r="G17" s="15">
        <v>7.0000000000000007E-2</v>
      </c>
      <c r="H17" s="15">
        <v>0.05</v>
      </c>
      <c r="I17" s="15">
        <v>0.06</v>
      </c>
      <c r="J17" s="15">
        <v>0.05</v>
      </c>
      <c r="K17" s="15">
        <v>7.0000000000000007E-2</v>
      </c>
      <c r="L17" s="15">
        <v>0.05</v>
      </c>
      <c r="M17" s="15">
        <v>0.03</v>
      </c>
      <c r="N17" s="15">
        <v>0.05</v>
      </c>
      <c r="O17" s="15">
        <v>0.05</v>
      </c>
      <c r="P17" s="15">
        <v>0.05</v>
      </c>
      <c r="Q17" s="15">
        <v>0.03</v>
      </c>
      <c r="R17" s="15">
        <v>7.0000000000000007E-2</v>
      </c>
      <c r="S17" s="15">
        <v>0.06</v>
      </c>
      <c r="T17" s="15">
        <v>0.03</v>
      </c>
      <c r="U17" s="15">
        <v>7.0000000000000007E-2</v>
      </c>
      <c r="V17" s="15">
        <v>7.0000000000000007E-2</v>
      </c>
      <c r="W17" s="15">
        <v>0.12</v>
      </c>
      <c r="X17" s="15">
        <v>0.08</v>
      </c>
      <c r="Y17" s="15">
        <v>0.03</v>
      </c>
      <c r="Z17" s="15">
        <v>0.04</v>
      </c>
      <c r="AA17" s="15">
        <v>0.01</v>
      </c>
      <c r="AB17" s="15">
        <v>0.05</v>
      </c>
      <c r="AC17" s="15">
        <v>0.08</v>
      </c>
      <c r="AD17" s="15">
        <v>0.09</v>
      </c>
      <c r="AE17" s="15">
        <v>7.0000000000000007E-2</v>
      </c>
      <c r="AF17" s="15">
        <v>0.04</v>
      </c>
      <c r="AG17" s="15">
        <v>0.04</v>
      </c>
      <c r="AH17" s="15">
        <v>0.06</v>
      </c>
      <c r="AI17" s="15">
        <v>0.02</v>
      </c>
      <c r="AJ17" s="15">
        <v>0.04</v>
      </c>
      <c r="AK17" s="15">
        <v>0.06</v>
      </c>
      <c r="AL17" s="15">
        <v>0.06</v>
      </c>
      <c r="AM17" s="15">
        <v>0.04</v>
      </c>
      <c r="AN17" s="15">
        <v>7.0000000000000007E-2</v>
      </c>
      <c r="AO17" s="15">
        <v>7.0000000000000007E-2</v>
      </c>
      <c r="AP17" s="15">
        <v>0.05</v>
      </c>
      <c r="AQ17" s="15">
        <v>7.0000000000000007E-2</v>
      </c>
    </row>
    <row r="18" spans="1:43" x14ac:dyDescent="0.35">
      <c r="A18" s="19"/>
      <c r="B18" s="11" t="s">
        <v>1257</v>
      </c>
      <c r="C18" s="12">
        <v>493</v>
      </c>
      <c r="D18" s="12">
        <v>24</v>
      </c>
      <c r="E18" s="12">
        <v>13</v>
      </c>
      <c r="F18" s="12">
        <v>28</v>
      </c>
      <c r="G18" s="12">
        <v>26</v>
      </c>
      <c r="H18" s="12">
        <v>31</v>
      </c>
      <c r="I18" s="12">
        <v>35</v>
      </c>
      <c r="J18" s="12">
        <v>3</v>
      </c>
      <c r="K18" s="12">
        <v>21</v>
      </c>
      <c r="L18" s="12">
        <v>12</v>
      </c>
      <c r="M18" s="12">
        <v>18</v>
      </c>
      <c r="N18" s="12">
        <v>14</v>
      </c>
      <c r="O18" s="12">
        <v>9</v>
      </c>
      <c r="P18" s="12">
        <v>16</v>
      </c>
      <c r="Q18" s="12">
        <v>17</v>
      </c>
      <c r="R18" s="12">
        <v>12</v>
      </c>
      <c r="S18" s="12">
        <v>22</v>
      </c>
      <c r="T18" s="12">
        <v>13</v>
      </c>
      <c r="U18" s="12">
        <v>10</v>
      </c>
      <c r="V18" s="12">
        <v>7</v>
      </c>
      <c r="W18" s="12">
        <v>9</v>
      </c>
      <c r="X18" s="12">
        <v>42</v>
      </c>
      <c r="Y18" s="12">
        <v>7</v>
      </c>
      <c r="Z18" s="12">
        <v>20</v>
      </c>
      <c r="AA18" s="12">
        <v>3</v>
      </c>
      <c r="AB18" s="12">
        <v>21</v>
      </c>
      <c r="AC18" s="12">
        <v>28</v>
      </c>
      <c r="AD18" s="12">
        <v>18</v>
      </c>
      <c r="AE18" s="12">
        <v>60</v>
      </c>
      <c r="AF18" s="12">
        <v>44</v>
      </c>
      <c r="AG18" s="12">
        <v>5</v>
      </c>
      <c r="AH18" s="12">
        <v>19</v>
      </c>
      <c r="AI18" s="12">
        <v>2</v>
      </c>
      <c r="AJ18" s="12">
        <v>13</v>
      </c>
      <c r="AK18" s="12">
        <v>21</v>
      </c>
      <c r="AL18" s="12">
        <v>41</v>
      </c>
      <c r="AM18" s="12">
        <v>26</v>
      </c>
      <c r="AN18" s="12">
        <v>17</v>
      </c>
      <c r="AO18" s="12">
        <v>19</v>
      </c>
      <c r="AP18" s="12">
        <v>14</v>
      </c>
      <c r="AQ18" s="12">
        <v>45</v>
      </c>
    </row>
    <row r="19" spans="1:43" x14ac:dyDescent="0.35">
      <c r="A19" s="19"/>
      <c r="B19" s="13" t="s">
        <v>1258</v>
      </c>
      <c r="C19" s="15">
        <v>0.02</v>
      </c>
      <c r="D19" s="15">
        <v>0.03</v>
      </c>
      <c r="E19" s="15">
        <v>0.01</v>
      </c>
      <c r="F19" s="15">
        <v>0.02</v>
      </c>
      <c r="G19" s="15">
        <v>0.02</v>
      </c>
      <c r="H19" s="15">
        <v>0.03</v>
      </c>
      <c r="I19" s="15">
        <v>0.02</v>
      </c>
      <c r="J19" s="15">
        <v>0.01</v>
      </c>
      <c r="K19" s="15">
        <v>0.02</v>
      </c>
      <c r="L19" s="15">
        <v>0.01</v>
      </c>
      <c r="M19" s="15">
        <v>0.02</v>
      </c>
      <c r="N19" s="15">
        <v>0.01</v>
      </c>
      <c r="O19" s="15">
        <v>0.01</v>
      </c>
      <c r="P19" s="15">
        <v>0.02</v>
      </c>
      <c r="Q19" s="15">
        <v>0.02</v>
      </c>
      <c r="R19" s="15">
        <v>0.02</v>
      </c>
      <c r="S19" s="15">
        <v>0.02</v>
      </c>
      <c r="T19" s="15">
        <v>0.01</v>
      </c>
      <c r="U19" s="15">
        <v>0.02</v>
      </c>
      <c r="V19" s="15">
        <v>0.01</v>
      </c>
      <c r="W19" s="15">
        <v>0.02</v>
      </c>
      <c r="X19" s="15">
        <v>0.04</v>
      </c>
      <c r="Y19" s="15">
        <v>0.01</v>
      </c>
      <c r="Z19" s="15">
        <v>0.02</v>
      </c>
      <c r="AA19" s="14" t="s">
        <v>475</v>
      </c>
      <c r="AB19" s="15">
        <v>0.02</v>
      </c>
      <c r="AC19" s="15">
        <v>0.03</v>
      </c>
      <c r="AD19" s="15">
        <v>0.02</v>
      </c>
      <c r="AE19" s="15">
        <v>0.06</v>
      </c>
      <c r="AF19" s="15">
        <v>0.04</v>
      </c>
      <c r="AG19" s="14" t="s">
        <v>475</v>
      </c>
      <c r="AH19" s="15">
        <v>0.02</v>
      </c>
      <c r="AI19" s="14" t="s">
        <v>475</v>
      </c>
      <c r="AJ19" s="15">
        <v>0.01</v>
      </c>
      <c r="AK19" s="15">
        <v>0.02</v>
      </c>
      <c r="AL19" s="15">
        <v>0.04</v>
      </c>
      <c r="AM19" s="15">
        <v>0.03</v>
      </c>
      <c r="AN19" s="15">
        <v>0.02</v>
      </c>
      <c r="AO19" s="15">
        <v>0.02</v>
      </c>
      <c r="AP19" s="15">
        <v>0.03</v>
      </c>
      <c r="AQ19" s="15">
        <v>0.05</v>
      </c>
    </row>
    <row r="20" spans="1:43" x14ac:dyDescent="0.35">
      <c r="A20" s="19"/>
      <c r="B20" s="11" t="s">
        <v>1259</v>
      </c>
      <c r="C20" s="12">
        <v>1237</v>
      </c>
      <c r="D20" s="12">
        <v>68</v>
      </c>
      <c r="E20" s="12">
        <v>15</v>
      </c>
      <c r="F20" s="12">
        <v>74</v>
      </c>
      <c r="G20" s="12">
        <v>79</v>
      </c>
      <c r="H20" s="12">
        <v>82</v>
      </c>
      <c r="I20" s="12">
        <v>92</v>
      </c>
      <c r="J20" s="12">
        <v>10</v>
      </c>
      <c r="K20" s="12">
        <v>71</v>
      </c>
      <c r="L20" s="12">
        <v>51</v>
      </c>
      <c r="M20" s="12">
        <v>45</v>
      </c>
      <c r="N20" s="12">
        <v>55</v>
      </c>
      <c r="O20" s="12">
        <v>63</v>
      </c>
      <c r="P20" s="12">
        <v>30</v>
      </c>
      <c r="Q20" s="12">
        <v>12</v>
      </c>
      <c r="R20" s="12">
        <v>24</v>
      </c>
      <c r="S20" s="12">
        <v>77</v>
      </c>
      <c r="T20" s="12">
        <v>48</v>
      </c>
      <c r="U20" s="12">
        <v>48</v>
      </c>
      <c r="V20" s="12">
        <v>36</v>
      </c>
      <c r="W20" s="12">
        <v>27</v>
      </c>
      <c r="X20" s="12">
        <v>59</v>
      </c>
      <c r="Y20" s="12">
        <v>27</v>
      </c>
      <c r="Z20" s="12">
        <v>21</v>
      </c>
      <c r="AA20" s="12">
        <v>13</v>
      </c>
      <c r="AB20" s="12">
        <v>18</v>
      </c>
      <c r="AC20" s="12">
        <v>100</v>
      </c>
      <c r="AD20" s="12">
        <v>39</v>
      </c>
      <c r="AE20" s="12">
        <v>96</v>
      </c>
      <c r="AF20" s="12">
        <v>109</v>
      </c>
      <c r="AG20" s="12">
        <v>9</v>
      </c>
      <c r="AH20" s="12">
        <v>38</v>
      </c>
      <c r="AI20" s="12">
        <v>5</v>
      </c>
      <c r="AJ20" s="12">
        <v>32</v>
      </c>
      <c r="AK20" s="12">
        <v>32</v>
      </c>
      <c r="AL20" s="12">
        <v>81</v>
      </c>
      <c r="AM20" s="12">
        <v>77</v>
      </c>
      <c r="AN20" s="12">
        <v>11</v>
      </c>
      <c r="AO20" s="12">
        <v>39</v>
      </c>
      <c r="AP20" s="12">
        <v>25</v>
      </c>
      <c r="AQ20" s="12">
        <v>85</v>
      </c>
    </row>
    <row r="21" spans="1:43" x14ac:dyDescent="0.35">
      <c r="A21" s="19"/>
      <c r="B21" s="13" t="s">
        <v>1260</v>
      </c>
      <c r="C21" s="15">
        <v>0.04</v>
      </c>
      <c r="D21" s="15">
        <v>7.0000000000000007E-2</v>
      </c>
      <c r="E21" s="15">
        <v>0.01</v>
      </c>
      <c r="F21" s="15">
        <v>7.0000000000000007E-2</v>
      </c>
      <c r="G21" s="15">
        <v>0.08</v>
      </c>
      <c r="H21" s="15">
        <v>7.0000000000000007E-2</v>
      </c>
      <c r="I21" s="15">
        <v>0.06</v>
      </c>
      <c r="J21" s="15">
        <v>0.03</v>
      </c>
      <c r="K21" s="15">
        <v>7.0000000000000007E-2</v>
      </c>
      <c r="L21" s="15">
        <v>0.05</v>
      </c>
      <c r="M21" s="15">
        <v>0.04</v>
      </c>
      <c r="N21" s="15">
        <v>0.06</v>
      </c>
      <c r="O21" s="15">
        <v>0.06</v>
      </c>
      <c r="P21" s="15">
        <v>0.03</v>
      </c>
      <c r="Q21" s="15">
        <v>0.01</v>
      </c>
      <c r="R21" s="15">
        <v>0.05</v>
      </c>
      <c r="S21" s="15">
        <v>0.08</v>
      </c>
      <c r="T21" s="15">
        <v>0.05</v>
      </c>
      <c r="U21" s="15">
        <v>0.1</v>
      </c>
      <c r="V21" s="15">
        <v>0.03</v>
      </c>
      <c r="W21" s="15">
        <v>0.05</v>
      </c>
      <c r="X21" s="15">
        <v>0.06</v>
      </c>
      <c r="Y21" s="15">
        <v>0.03</v>
      </c>
      <c r="Z21" s="15">
        <v>0.02</v>
      </c>
      <c r="AA21" s="15">
        <v>0.01</v>
      </c>
      <c r="AB21" s="15">
        <v>0.02</v>
      </c>
      <c r="AC21" s="15">
        <v>0.1</v>
      </c>
      <c r="AD21" s="15">
        <v>0.04</v>
      </c>
      <c r="AE21" s="15">
        <v>0.09</v>
      </c>
      <c r="AF21" s="15">
        <v>0.1</v>
      </c>
      <c r="AG21" s="15">
        <v>0.01</v>
      </c>
      <c r="AH21" s="15">
        <v>0.04</v>
      </c>
      <c r="AI21" s="15">
        <v>0.01</v>
      </c>
      <c r="AJ21" s="15">
        <v>0.03</v>
      </c>
      <c r="AK21" s="15">
        <v>0.03</v>
      </c>
      <c r="AL21" s="15">
        <v>0.08</v>
      </c>
      <c r="AM21" s="15">
        <v>7.0000000000000007E-2</v>
      </c>
      <c r="AN21" s="15">
        <v>0.01</v>
      </c>
      <c r="AO21" s="15">
        <v>0.04</v>
      </c>
      <c r="AP21" s="15">
        <v>0.05</v>
      </c>
      <c r="AQ21" s="15">
        <v>0.08</v>
      </c>
    </row>
    <row r="22" spans="1:43" x14ac:dyDescent="0.35">
      <c r="A22" s="19"/>
      <c r="B22" s="11" t="s">
        <v>500</v>
      </c>
      <c r="C22" s="12">
        <v>1772</v>
      </c>
      <c r="D22" s="12">
        <v>75</v>
      </c>
      <c r="E22" s="12">
        <v>6</v>
      </c>
      <c r="F22" s="12">
        <v>56</v>
      </c>
      <c r="G22" s="12">
        <v>161</v>
      </c>
      <c r="H22" s="12">
        <v>103</v>
      </c>
      <c r="I22" s="12">
        <v>115</v>
      </c>
      <c r="J22" s="12">
        <v>12</v>
      </c>
      <c r="K22" s="12">
        <v>106</v>
      </c>
      <c r="L22" s="12">
        <v>46</v>
      </c>
      <c r="M22" s="12">
        <v>32</v>
      </c>
      <c r="N22" s="12">
        <v>92</v>
      </c>
      <c r="O22" s="12">
        <v>110</v>
      </c>
      <c r="P22" s="12">
        <v>19</v>
      </c>
      <c r="Q22" s="12">
        <v>22</v>
      </c>
      <c r="R22" s="12">
        <v>50</v>
      </c>
      <c r="S22" s="12">
        <v>242</v>
      </c>
      <c r="T22" s="12">
        <v>103</v>
      </c>
      <c r="U22" s="12">
        <v>98</v>
      </c>
      <c r="V22" s="12">
        <v>42</v>
      </c>
      <c r="W22" s="12">
        <v>41</v>
      </c>
      <c r="X22" s="12">
        <v>98</v>
      </c>
      <c r="Y22" s="12">
        <v>53</v>
      </c>
      <c r="Z22" s="12">
        <v>36</v>
      </c>
      <c r="AA22" s="12">
        <v>7</v>
      </c>
      <c r="AB22" s="12">
        <v>19</v>
      </c>
      <c r="AC22" s="12">
        <v>72</v>
      </c>
      <c r="AD22" s="12">
        <v>20</v>
      </c>
      <c r="AE22" s="12">
        <v>85</v>
      </c>
      <c r="AF22" s="12">
        <v>141</v>
      </c>
      <c r="AG22" s="12">
        <v>9</v>
      </c>
      <c r="AH22" s="12">
        <v>18</v>
      </c>
      <c r="AI22" s="12">
        <v>1</v>
      </c>
      <c r="AJ22" s="12">
        <v>35</v>
      </c>
      <c r="AK22" s="12">
        <v>24</v>
      </c>
      <c r="AL22" s="12">
        <v>263</v>
      </c>
      <c r="AM22" s="12">
        <v>96</v>
      </c>
      <c r="AN22" s="12">
        <v>8</v>
      </c>
      <c r="AO22" s="12">
        <v>16</v>
      </c>
      <c r="AP22" s="12">
        <v>38</v>
      </c>
      <c r="AQ22" s="12">
        <v>219</v>
      </c>
    </row>
    <row r="23" spans="1:43" x14ac:dyDescent="0.35">
      <c r="A23" s="19"/>
      <c r="B23" s="13" t="s">
        <v>501</v>
      </c>
      <c r="C23" s="15">
        <v>7.0000000000000007E-2</v>
      </c>
      <c r="D23" s="15">
        <v>7.0000000000000007E-2</v>
      </c>
      <c r="E23" s="15">
        <v>0.01</v>
      </c>
      <c r="F23" s="15">
        <v>0.05</v>
      </c>
      <c r="G23" s="15">
        <v>0.16</v>
      </c>
      <c r="H23" s="15">
        <v>0.08</v>
      </c>
      <c r="I23" s="15">
        <v>0.08</v>
      </c>
      <c r="J23" s="15">
        <v>0.04</v>
      </c>
      <c r="K23" s="15">
        <v>0.11</v>
      </c>
      <c r="L23" s="15">
        <v>0.05</v>
      </c>
      <c r="M23" s="15">
        <v>0.03</v>
      </c>
      <c r="N23" s="15">
        <v>0.09</v>
      </c>
      <c r="O23" s="15">
        <v>0.11</v>
      </c>
      <c r="P23" s="15">
        <v>0.02</v>
      </c>
      <c r="Q23" s="15">
        <v>0.02</v>
      </c>
      <c r="R23" s="15">
        <v>0.1</v>
      </c>
      <c r="S23" s="15">
        <v>0.24</v>
      </c>
      <c r="T23" s="15">
        <v>0.1</v>
      </c>
      <c r="U23" s="15">
        <v>0.19</v>
      </c>
      <c r="V23" s="15">
        <v>0.04</v>
      </c>
      <c r="W23" s="15">
        <v>0.08</v>
      </c>
      <c r="X23" s="15">
        <v>0.1</v>
      </c>
      <c r="Y23" s="15">
        <v>0.05</v>
      </c>
      <c r="Z23" s="15">
        <v>0.04</v>
      </c>
      <c r="AA23" s="15">
        <v>0.01</v>
      </c>
      <c r="AB23" s="15">
        <v>0.02</v>
      </c>
      <c r="AC23" s="15">
        <v>7.0000000000000007E-2</v>
      </c>
      <c r="AD23" s="15">
        <v>0.02</v>
      </c>
      <c r="AE23" s="15">
        <v>0.08</v>
      </c>
      <c r="AF23" s="15">
        <v>0.14000000000000001</v>
      </c>
      <c r="AG23" s="15">
        <v>0.01</v>
      </c>
      <c r="AH23" s="15">
        <v>0.02</v>
      </c>
      <c r="AI23" s="14" t="s">
        <v>475</v>
      </c>
      <c r="AJ23" s="15">
        <v>0.04</v>
      </c>
      <c r="AK23" s="15">
        <v>0.02</v>
      </c>
      <c r="AL23" s="15">
        <v>0.26</v>
      </c>
      <c r="AM23" s="15">
        <v>0.09</v>
      </c>
      <c r="AN23" s="15">
        <v>0.01</v>
      </c>
      <c r="AO23" s="15">
        <v>0.01</v>
      </c>
      <c r="AP23" s="15">
        <v>7.0000000000000007E-2</v>
      </c>
      <c r="AQ23" s="15">
        <v>0.22</v>
      </c>
    </row>
    <row r="24" spans="1:43" ht="21.5" x14ac:dyDescent="0.35">
      <c r="A24" s="19"/>
      <c r="B24" s="11" t="s">
        <v>1261</v>
      </c>
      <c r="C24" s="12">
        <v>1</v>
      </c>
      <c r="D24" s="12">
        <v>0</v>
      </c>
      <c r="E24" s="12">
        <v>0</v>
      </c>
      <c r="F24" s="12">
        <v>0</v>
      </c>
      <c r="G24" s="12">
        <v>0</v>
      </c>
      <c r="H24" s="12">
        <v>0</v>
      </c>
      <c r="I24" s="12">
        <v>0</v>
      </c>
      <c r="J24" s="12">
        <v>0</v>
      </c>
      <c r="K24" s="12">
        <v>1</v>
      </c>
      <c r="L24" s="12">
        <v>0</v>
      </c>
      <c r="M24" s="12">
        <v>0</v>
      </c>
      <c r="N24" s="12">
        <v>0</v>
      </c>
      <c r="O24" s="12">
        <v>0</v>
      </c>
      <c r="P24" s="12">
        <v>0</v>
      </c>
      <c r="Q24" s="12">
        <v>0</v>
      </c>
      <c r="R24" s="12">
        <v>0</v>
      </c>
      <c r="S24" s="12">
        <v>4</v>
      </c>
      <c r="T24" s="12">
        <v>0</v>
      </c>
      <c r="U24" s="12">
        <v>1</v>
      </c>
      <c r="V24" s="12">
        <v>0</v>
      </c>
      <c r="W24" s="12">
        <v>0</v>
      </c>
      <c r="X24" s="12">
        <v>0</v>
      </c>
      <c r="Y24" s="12">
        <v>0</v>
      </c>
      <c r="Z24" s="12">
        <v>0</v>
      </c>
      <c r="AA24" s="12">
        <v>0</v>
      </c>
      <c r="AB24" s="12">
        <v>0</v>
      </c>
      <c r="AC24" s="12">
        <v>1</v>
      </c>
      <c r="AD24" s="12">
        <v>1</v>
      </c>
      <c r="AE24" s="12">
        <v>0</v>
      </c>
      <c r="AF24" s="12">
        <v>0</v>
      </c>
      <c r="AG24" s="12">
        <v>0</v>
      </c>
      <c r="AH24" s="12">
        <v>0</v>
      </c>
      <c r="AI24" s="12">
        <v>0</v>
      </c>
      <c r="AJ24" s="12">
        <v>0</v>
      </c>
      <c r="AK24" s="12">
        <v>0</v>
      </c>
      <c r="AL24" s="12">
        <v>0</v>
      </c>
      <c r="AM24" s="12">
        <v>0</v>
      </c>
      <c r="AN24" s="12">
        <v>0</v>
      </c>
      <c r="AO24" s="12">
        <v>0</v>
      </c>
      <c r="AP24" s="12">
        <v>0</v>
      </c>
      <c r="AQ24" s="12">
        <v>0</v>
      </c>
    </row>
    <row r="25" spans="1:43" ht="21.5" x14ac:dyDescent="0.35">
      <c r="A25" s="19"/>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x14ac:dyDescent="0.35">
      <c r="A26" s="19"/>
      <c r="B26" s="11" t="s">
        <v>485</v>
      </c>
      <c r="C26" s="12">
        <v>2</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2</v>
      </c>
      <c r="U26" s="12">
        <v>0</v>
      </c>
      <c r="V26" s="12">
        <v>0</v>
      </c>
      <c r="W26" s="12">
        <v>0</v>
      </c>
      <c r="X26" s="12">
        <v>0</v>
      </c>
      <c r="Y26" s="12">
        <v>2</v>
      </c>
      <c r="Z26" s="12">
        <v>0</v>
      </c>
      <c r="AA26" s="12">
        <v>1</v>
      </c>
      <c r="AB26" s="12">
        <v>0</v>
      </c>
      <c r="AC26" s="12">
        <v>0</v>
      </c>
      <c r="AD26" s="12">
        <v>0</v>
      </c>
      <c r="AE26" s="12">
        <v>0</v>
      </c>
      <c r="AF26" s="12">
        <v>0</v>
      </c>
      <c r="AG26" s="12">
        <v>0</v>
      </c>
      <c r="AH26" s="12">
        <v>0</v>
      </c>
      <c r="AI26" s="12">
        <v>2</v>
      </c>
      <c r="AJ26" s="12">
        <v>0</v>
      </c>
      <c r="AK26" s="12">
        <v>0</v>
      </c>
      <c r="AL26" s="12">
        <v>0</v>
      </c>
      <c r="AM26" s="12">
        <v>3</v>
      </c>
      <c r="AN26" s="12">
        <v>0</v>
      </c>
      <c r="AO26" s="12">
        <v>0</v>
      </c>
      <c r="AP26" s="12">
        <v>0</v>
      </c>
      <c r="AQ26" s="12">
        <v>0</v>
      </c>
    </row>
    <row r="27" spans="1:43" x14ac:dyDescent="0.35">
      <c r="A27" s="19"/>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5">
        <v>0.01</v>
      </c>
      <c r="AJ27" s="14" t="s">
        <v>475</v>
      </c>
      <c r="AK27" s="14" t="s">
        <v>475</v>
      </c>
      <c r="AL27" s="14" t="s">
        <v>475</v>
      </c>
      <c r="AM27" s="14" t="s">
        <v>475</v>
      </c>
      <c r="AN27" s="14" t="s">
        <v>475</v>
      </c>
      <c r="AO27" s="14" t="s">
        <v>475</v>
      </c>
      <c r="AP27" s="14" t="s">
        <v>475</v>
      </c>
      <c r="AQ27" s="14" t="s">
        <v>475</v>
      </c>
    </row>
    <row r="28" spans="1:43" ht="21.5" x14ac:dyDescent="0.35">
      <c r="A28" s="19"/>
      <c r="B28" s="11" t="s">
        <v>1263</v>
      </c>
      <c r="C28" s="12">
        <v>22940</v>
      </c>
      <c r="D28" s="12">
        <v>847</v>
      </c>
      <c r="E28" s="12">
        <v>996</v>
      </c>
      <c r="F28" s="12">
        <v>944</v>
      </c>
      <c r="G28" s="12">
        <v>741</v>
      </c>
      <c r="H28" s="12">
        <v>1005</v>
      </c>
      <c r="I28" s="12">
        <v>1275</v>
      </c>
      <c r="J28" s="12">
        <v>270</v>
      </c>
      <c r="K28" s="12">
        <v>803</v>
      </c>
      <c r="L28" s="12">
        <v>893</v>
      </c>
      <c r="M28" s="12">
        <v>915</v>
      </c>
      <c r="N28" s="12">
        <v>842</v>
      </c>
      <c r="O28" s="12">
        <v>819</v>
      </c>
      <c r="P28" s="12">
        <v>939</v>
      </c>
      <c r="Q28" s="12">
        <v>976</v>
      </c>
      <c r="R28" s="12">
        <v>419</v>
      </c>
      <c r="S28" s="12">
        <v>656</v>
      </c>
      <c r="T28" s="12">
        <v>840</v>
      </c>
      <c r="U28" s="12">
        <v>347</v>
      </c>
      <c r="V28" s="12">
        <v>931</v>
      </c>
      <c r="W28" s="12">
        <v>430</v>
      </c>
      <c r="X28" s="12">
        <v>811</v>
      </c>
      <c r="Y28" s="12">
        <v>914</v>
      </c>
      <c r="Z28" s="12">
        <v>953</v>
      </c>
      <c r="AA28" s="12">
        <v>1008</v>
      </c>
      <c r="AB28" s="12">
        <v>993</v>
      </c>
      <c r="AC28" s="12">
        <v>802</v>
      </c>
      <c r="AD28" s="12">
        <v>927</v>
      </c>
      <c r="AE28" s="12">
        <v>771</v>
      </c>
      <c r="AF28" s="12">
        <v>750</v>
      </c>
      <c r="AG28" s="12">
        <v>1012</v>
      </c>
      <c r="AH28" s="12">
        <v>938</v>
      </c>
      <c r="AI28" s="12">
        <v>512</v>
      </c>
      <c r="AJ28" s="12">
        <v>957</v>
      </c>
      <c r="AK28" s="12">
        <v>930</v>
      </c>
      <c r="AL28" s="12">
        <v>627</v>
      </c>
      <c r="AM28" s="12">
        <v>839</v>
      </c>
      <c r="AN28" s="12">
        <v>967</v>
      </c>
      <c r="AO28" s="12">
        <v>931</v>
      </c>
      <c r="AP28" s="12">
        <v>448</v>
      </c>
      <c r="AQ28" s="12">
        <v>653</v>
      </c>
    </row>
    <row r="29" spans="1:43" x14ac:dyDescent="0.35">
      <c r="A29" s="19"/>
      <c r="B29" s="13" t="s">
        <v>1264</v>
      </c>
      <c r="C29" s="15">
        <v>0.87</v>
      </c>
      <c r="D29" s="15">
        <v>0.84</v>
      </c>
      <c r="E29" s="15">
        <v>0.97</v>
      </c>
      <c r="F29" s="15">
        <v>0.86</v>
      </c>
      <c r="G29" s="15">
        <v>0.74</v>
      </c>
      <c r="H29" s="15">
        <v>0.82000000000000006</v>
      </c>
      <c r="I29" s="15">
        <v>0.84</v>
      </c>
      <c r="J29" s="15">
        <v>0.92</v>
      </c>
      <c r="K29" s="15">
        <v>0.8</v>
      </c>
      <c r="L29" s="15">
        <v>0.89</v>
      </c>
      <c r="M29" s="15">
        <v>0.91</v>
      </c>
      <c r="N29" s="15">
        <v>0.84</v>
      </c>
      <c r="O29" s="15">
        <v>0.82000000000000006</v>
      </c>
      <c r="P29" s="15">
        <v>0.94000000000000006</v>
      </c>
      <c r="Q29" s="15">
        <v>0.95000000000000007</v>
      </c>
      <c r="R29" s="15">
        <v>0.83000000000000007</v>
      </c>
      <c r="S29" s="15">
        <v>0.65</v>
      </c>
      <c r="T29" s="15">
        <v>0.83000000000000007</v>
      </c>
      <c r="U29" s="15">
        <v>0.69000000000000006</v>
      </c>
      <c r="V29" s="15">
        <v>0.92</v>
      </c>
      <c r="W29" s="15">
        <v>0.85</v>
      </c>
      <c r="X29" s="15">
        <v>0.8</v>
      </c>
      <c r="Y29" s="15">
        <v>0.91</v>
      </c>
      <c r="Z29" s="15">
        <v>0.92</v>
      </c>
      <c r="AA29" s="15">
        <v>0.98</v>
      </c>
      <c r="AB29" s="15">
        <v>0.94000000000000006</v>
      </c>
      <c r="AC29" s="15">
        <v>0.8</v>
      </c>
      <c r="AD29" s="15">
        <v>0.92</v>
      </c>
      <c r="AE29" s="15">
        <v>0.76</v>
      </c>
      <c r="AF29" s="15">
        <v>0.72</v>
      </c>
      <c r="AG29" s="15">
        <v>0.98</v>
      </c>
      <c r="AH29" s="15">
        <v>0.93</v>
      </c>
      <c r="AI29" s="15">
        <v>0.98</v>
      </c>
      <c r="AJ29" s="15">
        <v>0.92</v>
      </c>
      <c r="AK29" s="15">
        <v>0.92</v>
      </c>
      <c r="AL29" s="15">
        <v>0.62</v>
      </c>
      <c r="AM29" s="15">
        <v>0.81</v>
      </c>
      <c r="AN29" s="15">
        <v>0.96</v>
      </c>
      <c r="AO29" s="15">
        <v>0.93</v>
      </c>
      <c r="AP29" s="15">
        <v>0.85</v>
      </c>
      <c r="AQ29" s="15">
        <v>0.65</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1265</v>
      </c>
      <c r="C3" s="18"/>
      <c r="D3" s="18"/>
      <c r="E3" s="18"/>
      <c r="F3" s="18"/>
      <c r="H3" s="18" t="s">
        <v>1266</v>
      </c>
      <c r="I3" s="18"/>
      <c r="J3" s="18"/>
      <c r="K3" s="18"/>
      <c r="L3" s="18"/>
    </row>
    <row r="4" spans="1:43" ht="27" customHeight="1" x14ac:dyDescent="0.35">
      <c r="B4" s="18" t="s">
        <v>1267</v>
      </c>
      <c r="C4" s="18"/>
      <c r="D4" s="18"/>
      <c r="E4" s="18"/>
      <c r="F4" s="18"/>
      <c r="H4" s="18" t="s">
        <v>1268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5646</v>
      </c>
      <c r="D12" s="12">
        <v>281</v>
      </c>
      <c r="E12" s="12">
        <v>110</v>
      </c>
      <c r="F12" s="12">
        <v>187</v>
      </c>
      <c r="G12" s="12">
        <v>439</v>
      </c>
      <c r="H12" s="12">
        <v>274</v>
      </c>
      <c r="I12" s="12">
        <v>347</v>
      </c>
      <c r="J12" s="12">
        <v>73</v>
      </c>
      <c r="K12" s="12">
        <v>258</v>
      </c>
      <c r="L12" s="12">
        <v>351</v>
      </c>
      <c r="M12" s="12">
        <v>104</v>
      </c>
      <c r="N12" s="12">
        <v>242</v>
      </c>
      <c r="O12" s="12">
        <v>196</v>
      </c>
      <c r="P12" s="12">
        <v>272</v>
      </c>
      <c r="Q12" s="12">
        <v>198</v>
      </c>
      <c r="R12" s="12">
        <v>150</v>
      </c>
      <c r="S12" s="12">
        <v>260</v>
      </c>
      <c r="T12" s="12">
        <v>218</v>
      </c>
      <c r="U12" s="12">
        <v>175</v>
      </c>
      <c r="V12" s="12">
        <v>107</v>
      </c>
      <c r="W12" s="12">
        <v>173</v>
      </c>
      <c r="X12" s="12">
        <v>236</v>
      </c>
      <c r="Y12" s="12">
        <v>319</v>
      </c>
      <c r="Z12" s="12">
        <v>117</v>
      </c>
      <c r="AA12" s="12">
        <v>115</v>
      </c>
      <c r="AB12" s="12">
        <v>251</v>
      </c>
      <c r="AC12" s="12">
        <v>154</v>
      </c>
      <c r="AD12" s="12">
        <v>171</v>
      </c>
      <c r="AE12" s="12">
        <v>324</v>
      </c>
      <c r="AF12" s="12">
        <v>476</v>
      </c>
      <c r="AG12" s="12">
        <v>443</v>
      </c>
      <c r="AH12" s="12">
        <v>209</v>
      </c>
      <c r="AI12" s="12">
        <v>337</v>
      </c>
      <c r="AJ12" s="12">
        <v>122</v>
      </c>
      <c r="AK12" s="12">
        <v>442</v>
      </c>
      <c r="AL12" s="12">
        <v>403</v>
      </c>
      <c r="AM12" s="12">
        <v>423</v>
      </c>
      <c r="AN12" s="12">
        <v>157</v>
      </c>
      <c r="AO12" s="12">
        <v>523</v>
      </c>
      <c r="AP12" s="12">
        <v>326</v>
      </c>
      <c r="AQ12" s="12">
        <v>251</v>
      </c>
    </row>
    <row r="13" spans="1:43" x14ac:dyDescent="0.35">
      <c r="A13" s="19"/>
      <c r="B13" s="13" t="s">
        <v>1252</v>
      </c>
      <c r="C13" s="15">
        <v>0.22</v>
      </c>
      <c r="D13" s="15">
        <v>0.28000000000000003</v>
      </c>
      <c r="E13" s="15">
        <v>0.11</v>
      </c>
      <c r="F13" s="15">
        <v>0.17</v>
      </c>
      <c r="G13" s="15">
        <v>0.44</v>
      </c>
      <c r="H13" s="15">
        <v>0.23</v>
      </c>
      <c r="I13" s="15">
        <v>0.23</v>
      </c>
      <c r="J13" s="15">
        <v>0.25</v>
      </c>
      <c r="K13" s="15">
        <v>0.26</v>
      </c>
      <c r="L13" s="15">
        <v>0.35</v>
      </c>
      <c r="M13" s="15">
        <v>0.1</v>
      </c>
      <c r="N13" s="15">
        <v>0.24</v>
      </c>
      <c r="O13" s="15">
        <v>0.2</v>
      </c>
      <c r="P13" s="15">
        <v>0.27</v>
      </c>
      <c r="Q13" s="15">
        <v>0.19</v>
      </c>
      <c r="R13" s="15">
        <v>0.3</v>
      </c>
      <c r="S13" s="15">
        <v>0.26</v>
      </c>
      <c r="T13" s="15">
        <v>0.22</v>
      </c>
      <c r="U13" s="15">
        <v>0.35</v>
      </c>
      <c r="V13" s="15">
        <v>0.11</v>
      </c>
      <c r="W13" s="15">
        <v>0.34</v>
      </c>
      <c r="X13" s="15">
        <v>0.23</v>
      </c>
      <c r="Y13" s="15">
        <v>0.32</v>
      </c>
      <c r="Z13" s="15">
        <v>0.11</v>
      </c>
      <c r="AA13" s="15">
        <v>0.11</v>
      </c>
      <c r="AB13" s="15">
        <v>0.24</v>
      </c>
      <c r="AC13" s="15">
        <v>0.15</v>
      </c>
      <c r="AD13" s="15">
        <v>0.17</v>
      </c>
      <c r="AE13" s="15">
        <v>0.32</v>
      </c>
      <c r="AF13" s="15">
        <v>0.46</v>
      </c>
      <c r="AG13" s="15">
        <v>0.43</v>
      </c>
      <c r="AH13" s="15">
        <v>0.21</v>
      </c>
      <c r="AI13" s="15">
        <v>0.64</v>
      </c>
      <c r="AJ13" s="15">
        <v>0.12</v>
      </c>
      <c r="AK13" s="15">
        <v>0.44</v>
      </c>
      <c r="AL13" s="15">
        <v>0.4</v>
      </c>
      <c r="AM13" s="15">
        <v>0.41</v>
      </c>
      <c r="AN13" s="15">
        <v>0.16</v>
      </c>
      <c r="AO13" s="15">
        <v>0.52</v>
      </c>
      <c r="AP13" s="15">
        <v>0.62</v>
      </c>
      <c r="AQ13" s="15">
        <v>0.25</v>
      </c>
    </row>
    <row r="14" spans="1:43" ht="21.5" x14ac:dyDescent="0.35">
      <c r="A14" s="19"/>
      <c r="B14" s="11" t="s">
        <v>1253</v>
      </c>
      <c r="C14" s="12">
        <v>3502</v>
      </c>
      <c r="D14" s="12">
        <v>157</v>
      </c>
      <c r="E14" s="12">
        <v>127</v>
      </c>
      <c r="F14" s="12">
        <v>119</v>
      </c>
      <c r="G14" s="12">
        <v>179</v>
      </c>
      <c r="H14" s="12">
        <v>220</v>
      </c>
      <c r="I14" s="12">
        <v>268</v>
      </c>
      <c r="J14" s="12">
        <v>48</v>
      </c>
      <c r="K14" s="12">
        <v>125</v>
      </c>
      <c r="L14" s="12">
        <v>202</v>
      </c>
      <c r="M14" s="12">
        <v>125</v>
      </c>
      <c r="N14" s="12">
        <v>120</v>
      </c>
      <c r="O14" s="12">
        <v>110</v>
      </c>
      <c r="P14" s="12">
        <v>112</v>
      </c>
      <c r="Q14" s="12">
        <v>118</v>
      </c>
      <c r="R14" s="12">
        <v>105</v>
      </c>
      <c r="S14" s="12">
        <v>115</v>
      </c>
      <c r="T14" s="12">
        <v>127</v>
      </c>
      <c r="U14" s="12">
        <v>81</v>
      </c>
      <c r="V14" s="12">
        <v>117</v>
      </c>
      <c r="W14" s="12">
        <v>67</v>
      </c>
      <c r="X14" s="12">
        <v>185</v>
      </c>
      <c r="Y14" s="12">
        <v>167</v>
      </c>
      <c r="Z14" s="12">
        <v>93</v>
      </c>
      <c r="AA14" s="12">
        <v>89</v>
      </c>
      <c r="AB14" s="12">
        <v>92</v>
      </c>
      <c r="AC14" s="12">
        <v>116</v>
      </c>
      <c r="AD14" s="12">
        <v>186</v>
      </c>
      <c r="AE14" s="12">
        <v>184</v>
      </c>
      <c r="AF14" s="12">
        <v>172</v>
      </c>
      <c r="AG14" s="12">
        <v>208</v>
      </c>
      <c r="AH14" s="12">
        <v>155</v>
      </c>
      <c r="AI14" s="12">
        <v>47</v>
      </c>
      <c r="AJ14" s="12">
        <v>88</v>
      </c>
      <c r="AK14" s="12">
        <v>178</v>
      </c>
      <c r="AL14" s="12">
        <v>115</v>
      </c>
      <c r="AM14" s="12">
        <v>203</v>
      </c>
      <c r="AN14" s="12">
        <v>136</v>
      </c>
      <c r="AO14" s="12">
        <v>145</v>
      </c>
      <c r="AP14" s="12">
        <v>65</v>
      </c>
      <c r="AQ14" s="12">
        <v>152</v>
      </c>
    </row>
    <row r="15" spans="1:43" x14ac:dyDescent="0.35">
      <c r="A15" s="19"/>
      <c r="B15" s="13" t="s">
        <v>1254</v>
      </c>
      <c r="C15" s="15">
        <v>0.13</v>
      </c>
      <c r="D15" s="15">
        <v>0.16</v>
      </c>
      <c r="E15" s="15">
        <v>0.12</v>
      </c>
      <c r="F15" s="15">
        <v>0.11</v>
      </c>
      <c r="G15" s="15">
        <v>0.18</v>
      </c>
      <c r="H15" s="15">
        <v>0.18</v>
      </c>
      <c r="I15" s="15">
        <v>0.18</v>
      </c>
      <c r="J15" s="15">
        <v>0.16</v>
      </c>
      <c r="K15" s="15">
        <v>0.13</v>
      </c>
      <c r="L15" s="15">
        <v>0.2</v>
      </c>
      <c r="M15" s="15">
        <v>0.13</v>
      </c>
      <c r="N15" s="15">
        <v>0.12</v>
      </c>
      <c r="O15" s="15">
        <v>0.11</v>
      </c>
      <c r="P15" s="15">
        <v>0.11</v>
      </c>
      <c r="Q15" s="15">
        <v>0.11</v>
      </c>
      <c r="R15" s="15">
        <v>0.21</v>
      </c>
      <c r="S15" s="15">
        <v>0.12</v>
      </c>
      <c r="T15" s="15">
        <v>0.13</v>
      </c>
      <c r="U15" s="15">
        <v>0.16</v>
      </c>
      <c r="V15" s="15">
        <v>0.12</v>
      </c>
      <c r="W15" s="15">
        <v>0.13</v>
      </c>
      <c r="X15" s="15">
        <v>0.18</v>
      </c>
      <c r="Y15" s="15">
        <v>0.17</v>
      </c>
      <c r="Z15" s="15">
        <v>0.09</v>
      </c>
      <c r="AA15" s="15">
        <v>0.09</v>
      </c>
      <c r="AB15" s="15">
        <v>0.09</v>
      </c>
      <c r="AC15" s="15">
        <v>0.12</v>
      </c>
      <c r="AD15" s="15">
        <v>0.19</v>
      </c>
      <c r="AE15" s="15">
        <v>0.18</v>
      </c>
      <c r="AF15" s="15">
        <v>0.17</v>
      </c>
      <c r="AG15" s="15">
        <v>0.2</v>
      </c>
      <c r="AH15" s="15">
        <v>0.15</v>
      </c>
      <c r="AI15" s="15">
        <v>0.09</v>
      </c>
      <c r="AJ15" s="15">
        <v>0.09</v>
      </c>
      <c r="AK15" s="15">
        <v>0.18</v>
      </c>
      <c r="AL15" s="15">
        <v>0.11</v>
      </c>
      <c r="AM15" s="15">
        <v>0.19</v>
      </c>
      <c r="AN15" s="15">
        <v>0.13</v>
      </c>
      <c r="AO15" s="15">
        <v>0.15</v>
      </c>
      <c r="AP15" s="15">
        <v>0.12</v>
      </c>
      <c r="AQ15" s="15">
        <v>0.15</v>
      </c>
    </row>
    <row r="16" spans="1:43" ht="21.5" x14ac:dyDescent="0.35">
      <c r="A16" s="19"/>
      <c r="B16" s="11" t="s">
        <v>1255</v>
      </c>
      <c r="C16" s="12">
        <v>1807</v>
      </c>
      <c r="D16" s="12">
        <v>83</v>
      </c>
      <c r="E16" s="12">
        <v>70</v>
      </c>
      <c r="F16" s="12">
        <v>83</v>
      </c>
      <c r="G16" s="12">
        <v>74</v>
      </c>
      <c r="H16" s="12">
        <v>89</v>
      </c>
      <c r="I16" s="12">
        <v>104</v>
      </c>
      <c r="J16" s="12">
        <v>15</v>
      </c>
      <c r="K16" s="12">
        <v>87</v>
      </c>
      <c r="L16" s="12">
        <v>85</v>
      </c>
      <c r="M16" s="12">
        <v>80</v>
      </c>
      <c r="N16" s="12">
        <v>42</v>
      </c>
      <c r="O16" s="12">
        <v>63</v>
      </c>
      <c r="P16" s="12">
        <v>74</v>
      </c>
      <c r="Q16" s="12">
        <v>69</v>
      </c>
      <c r="R16" s="12">
        <v>33</v>
      </c>
      <c r="S16" s="12">
        <v>71</v>
      </c>
      <c r="T16" s="12">
        <v>68</v>
      </c>
      <c r="U16" s="12">
        <v>32</v>
      </c>
      <c r="V16" s="12">
        <v>90</v>
      </c>
      <c r="W16" s="12">
        <v>63</v>
      </c>
      <c r="X16" s="12">
        <v>127</v>
      </c>
      <c r="Y16" s="12">
        <v>95</v>
      </c>
      <c r="Z16" s="12">
        <v>68</v>
      </c>
      <c r="AA16" s="12">
        <v>38</v>
      </c>
      <c r="AB16" s="12">
        <v>54</v>
      </c>
      <c r="AC16" s="12">
        <v>75</v>
      </c>
      <c r="AD16" s="12">
        <v>124</v>
      </c>
      <c r="AE16" s="12">
        <v>118</v>
      </c>
      <c r="AF16" s="12">
        <v>67</v>
      </c>
      <c r="AG16" s="12">
        <v>93</v>
      </c>
      <c r="AH16" s="12">
        <v>65</v>
      </c>
      <c r="AI16" s="12">
        <v>20</v>
      </c>
      <c r="AJ16" s="12">
        <v>65</v>
      </c>
      <c r="AK16" s="12">
        <v>58</v>
      </c>
      <c r="AL16" s="12">
        <v>45</v>
      </c>
      <c r="AM16" s="12">
        <v>70</v>
      </c>
      <c r="AN16" s="12">
        <v>91</v>
      </c>
      <c r="AO16" s="12">
        <v>69</v>
      </c>
      <c r="AP16" s="12">
        <v>19</v>
      </c>
      <c r="AQ16" s="12">
        <v>68</v>
      </c>
    </row>
    <row r="17" spans="1:43" x14ac:dyDescent="0.35">
      <c r="A17" s="19"/>
      <c r="B17" s="13" t="s">
        <v>1256</v>
      </c>
      <c r="C17" s="15">
        <v>7.0000000000000007E-2</v>
      </c>
      <c r="D17" s="15">
        <v>0.08</v>
      </c>
      <c r="E17" s="15">
        <v>7.0000000000000007E-2</v>
      </c>
      <c r="F17" s="15">
        <v>7.0000000000000007E-2</v>
      </c>
      <c r="G17" s="15">
        <v>7.0000000000000007E-2</v>
      </c>
      <c r="H17" s="15">
        <v>7.0000000000000007E-2</v>
      </c>
      <c r="I17" s="15">
        <v>7.0000000000000007E-2</v>
      </c>
      <c r="J17" s="15">
        <v>0.05</v>
      </c>
      <c r="K17" s="15">
        <v>0.09</v>
      </c>
      <c r="L17" s="15">
        <v>0.08</v>
      </c>
      <c r="M17" s="15">
        <v>0.08</v>
      </c>
      <c r="N17" s="15">
        <v>0.04</v>
      </c>
      <c r="O17" s="15">
        <v>0.06</v>
      </c>
      <c r="P17" s="15">
        <v>7.0000000000000007E-2</v>
      </c>
      <c r="Q17" s="15">
        <v>7.0000000000000007E-2</v>
      </c>
      <c r="R17" s="15">
        <v>0.06</v>
      </c>
      <c r="S17" s="15">
        <v>7.0000000000000007E-2</v>
      </c>
      <c r="T17" s="15">
        <v>7.0000000000000007E-2</v>
      </c>
      <c r="U17" s="15">
        <v>0.06</v>
      </c>
      <c r="V17" s="15">
        <v>0.09</v>
      </c>
      <c r="W17" s="15">
        <v>0.12</v>
      </c>
      <c r="X17" s="15">
        <v>0.13</v>
      </c>
      <c r="Y17" s="15">
        <v>0.09</v>
      </c>
      <c r="Z17" s="15">
        <v>7.0000000000000007E-2</v>
      </c>
      <c r="AA17" s="15">
        <v>0.04</v>
      </c>
      <c r="AB17" s="15">
        <v>0.05</v>
      </c>
      <c r="AC17" s="15">
        <v>0.08</v>
      </c>
      <c r="AD17" s="15">
        <v>0.12</v>
      </c>
      <c r="AE17" s="15">
        <v>0.12</v>
      </c>
      <c r="AF17" s="15">
        <v>0.06</v>
      </c>
      <c r="AG17" s="15">
        <v>0.09</v>
      </c>
      <c r="AH17" s="15">
        <v>7.0000000000000007E-2</v>
      </c>
      <c r="AI17" s="15">
        <v>0.04</v>
      </c>
      <c r="AJ17" s="15">
        <v>0.06</v>
      </c>
      <c r="AK17" s="15">
        <v>0.06</v>
      </c>
      <c r="AL17" s="15">
        <v>0.04</v>
      </c>
      <c r="AM17" s="15">
        <v>7.0000000000000007E-2</v>
      </c>
      <c r="AN17" s="15">
        <v>0.09</v>
      </c>
      <c r="AO17" s="15">
        <v>7.0000000000000007E-2</v>
      </c>
      <c r="AP17" s="15">
        <v>0.04</v>
      </c>
      <c r="AQ17" s="15">
        <v>7.0000000000000007E-2</v>
      </c>
    </row>
    <row r="18" spans="1:43" x14ac:dyDescent="0.35">
      <c r="A18" s="19"/>
      <c r="B18" s="11" t="s">
        <v>1257</v>
      </c>
      <c r="C18" s="12">
        <v>1014</v>
      </c>
      <c r="D18" s="12">
        <v>41</v>
      </c>
      <c r="E18" s="12">
        <v>56</v>
      </c>
      <c r="F18" s="12">
        <v>42</v>
      </c>
      <c r="G18" s="12">
        <v>52</v>
      </c>
      <c r="H18" s="12">
        <v>49</v>
      </c>
      <c r="I18" s="12">
        <v>59</v>
      </c>
      <c r="J18" s="12">
        <v>10</v>
      </c>
      <c r="K18" s="12">
        <v>39</v>
      </c>
      <c r="L18" s="12">
        <v>28</v>
      </c>
      <c r="M18" s="12">
        <v>49</v>
      </c>
      <c r="N18" s="12">
        <v>32</v>
      </c>
      <c r="O18" s="12">
        <v>22</v>
      </c>
      <c r="P18" s="12">
        <v>37</v>
      </c>
      <c r="Q18" s="12">
        <v>36</v>
      </c>
      <c r="R18" s="12">
        <v>26</v>
      </c>
      <c r="S18" s="12">
        <v>45</v>
      </c>
      <c r="T18" s="12">
        <v>29</v>
      </c>
      <c r="U18" s="12">
        <v>14</v>
      </c>
      <c r="V18" s="12">
        <v>46</v>
      </c>
      <c r="W18" s="12">
        <v>20</v>
      </c>
      <c r="X18" s="12">
        <v>69</v>
      </c>
      <c r="Y18" s="12">
        <v>59</v>
      </c>
      <c r="Z18" s="12">
        <v>44</v>
      </c>
      <c r="AA18" s="12">
        <v>17</v>
      </c>
      <c r="AB18" s="12">
        <v>40</v>
      </c>
      <c r="AC18" s="12">
        <v>33</v>
      </c>
      <c r="AD18" s="12">
        <v>52</v>
      </c>
      <c r="AE18" s="12">
        <v>94</v>
      </c>
      <c r="AF18" s="12">
        <v>62</v>
      </c>
      <c r="AG18" s="12">
        <v>78</v>
      </c>
      <c r="AH18" s="12">
        <v>44</v>
      </c>
      <c r="AI18" s="12">
        <v>13</v>
      </c>
      <c r="AJ18" s="12">
        <v>51</v>
      </c>
      <c r="AK18" s="12">
        <v>16</v>
      </c>
      <c r="AL18" s="12">
        <v>26</v>
      </c>
      <c r="AM18" s="12">
        <v>24</v>
      </c>
      <c r="AN18" s="12">
        <v>77</v>
      </c>
      <c r="AO18" s="12">
        <v>51</v>
      </c>
      <c r="AP18" s="12">
        <v>19</v>
      </c>
      <c r="AQ18" s="12">
        <v>35</v>
      </c>
    </row>
    <row r="19" spans="1:43" x14ac:dyDescent="0.35">
      <c r="A19" s="19"/>
      <c r="B19" s="13" t="s">
        <v>1258</v>
      </c>
      <c r="C19" s="15">
        <v>0.04</v>
      </c>
      <c r="D19" s="15">
        <v>0.04</v>
      </c>
      <c r="E19" s="15">
        <v>0.05</v>
      </c>
      <c r="F19" s="15">
        <v>0.04</v>
      </c>
      <c r="G19" s="15">
        <v>0.05</v>
      </c>
      <c r="H19" s="15">
        <v>0.04</v>
      </c>
      <c r="I19" s="15">
        <v>0.04</v>
      </c>
      <c r="J19" s="15">
        <v>0.03</v>
      </c>
      <c r="K19" s="15">
        <v>0.04</v>
      </c>
      <c r="L19" s="15">
        <v>0.03</v>
      </c>
      <c r="M19" s="15">
        <v>0.05</v>
      </c>
      <c r="N19" s="15">
        <v>0.03</v>
      </c>
      <c r="O19" s="15">
        <v>0.02</v>
      </c>
      <c r="P19" s="15">
        <v>0.04</v>
      </c>
      <c r="Q19" s="15">
        <v>0.04</v>
      </c>
      <c r="R19" s="15">
        <v>0.05</v>
      </c>
      <c r="S19" s="15">
        <v>0.05</v>
      </c>
      <c r="T19" s="15">
        <v>0.03</v>
      </c>
      <c r="U19" s="15">
        <v>0.03</v>
      </c>
      <c r="V19" s="15">
        <v>0.04</v>
      </c>
      <c r="W19" s="15">
        <v>0.04</v>
      </c>
      <c r="X19" s="15">
        <v>7.0000000000000007E-2</v>
      </c>
      <c r="Y19" s="15">
        <v>0.06</v>
      </c>
      <c r="Z19" s="15">
        <v>0.04</v>
      </c>
      <c r="AA19" s="15">
        <v>0.02</v>
      </c>
      <c r="AB19" s="15">
        <v>0.04</v>
      </c>
      <c r="AC19" s="15">
        <v>0.03</v>
      </c>
      <c r="AD19" s="15">
        <v>0.05</v>
      </c>
      <c r="AE19" s="15">
        <v>0.09</v>
      </c>
      <c r="AF19" s="15">
        <v>0.06</v>
      </c>
      <c r="AG19" s="15">
        <v>0.08</v>
      </c>
      <c r="AH19" s="15">
        <v>0.04</v>
      </c>
      <c r="AI19" s="15">
        <v>0.03</v>
      </c>
      <c r="AJ19" s="15">
        <v>0.05</v>
      </c>
      <c r="AK19" s="15">
        <v>0.01</v>
      </c>
      <c r="AL19" s="15">
        <v>0.03</v>
      </c>
      <c r="AM19" s="15">
        <v>0.02</v>
      </c>
      <c r="AN19" s="15">
        <v>0.08</v>
      </c>
      <c r="AO19" s="15">
        <v>0.05</v>
      </c>
      <c r="AP19" s="15">
        <v>0.04</v>
      </c>
      <c r="AQ19" s="15">
        <v>0.04</v>
      </c>
    </row>
    <row r="20" spans="1:43" x14ac:dyDescent="0.35">
      <c r="A20" s="19"/>
      <c r="B20" s="11" t="s">
        <v>1259</v>
      </c>
      <c r="C20" s="12">
        <v>3228</v>
      </c>
      <c r="D20" s="12">
        <v>172</v>
      </c>
      <c r="E20" s="12">
        <v>134</v>
      </c>
      <c r="F20" s="12">
        <v>165</v>
      </c>
      <c r="G20" s="12">
        <v>112</v>
      </c>
      <c r="H20" s="12">
        <v>186</v>
      </c>
      <c r="I20" s="12">
        <v>233</v>
      </c>
      <c r="J20" s="12">
        <v>47</v>
      </c>
      <c r="K20" s="12">
        <v>142</v>
      </c>
      <c r="L20" s="12">
        <v>127</v>
      </c>
      <c r="M20" s="12">
        <v>140</v>
      </c>
      <c r="N20" s="12">
        <v>112</v>
      </c>
      <c r="O20" s="12">
        <v>103</v>
      </c>
      <c r="P20" s="12">
        <v>126</v>
      </c>
      <c r="Q20" s="12">
        <v>115</v>
      </c>
      <c r="R20" s="12">
        <v>46</v>
      </c>
      <c r="S20" s="12">
        <v>104</v>
      </c>
      <c r="T20" s="12">
        <v>115</v>
      </c>
      <c r="U20" s="12">
        <v>70</v>
      </c>
      <c r="V20" s="12">
        <v>104</v>
      </c>
      <c r="W20" s="12">
        <v>47</v>
      </c>
      <c r="X20" s="12">
        <v>176</v>
      </c>
      <c r="Y20" s="12">
        <v>56</v>
      </c>
      <c r="Z20" s="12">
        <v>111</v>
      </c>
      <c r="AA20" s="12">
        <v>67</v>
      </c>
      <c r="AB20" s="12">
        <v>89</v>
      </c>
      <c r="AC20" s="12">
        <v>198</v>
      </c>
      <c r="AD20" s="12">
        <v>133</v>
      </c>
      <c r="AE20" s="12">
        <v>139</v>
      </c>
      <c r="AF20" s="12">
        <v>138</v>
      </c>
      <c r="AG20" s="12">
        <v>98</v>
      </c>
      <c r="AH20" s="12">
        <v>121</v>
      </c>
      <c r="AI20" s="12">
        <v>51</v>
      </c>
      <c r="AJ20" s="12">
        <v>153</v>
      </c>
      <c r="AK20" s="12">
        <v>59</v>
      </c>
      <c r="AL20" s="12">
        <v>58</v>
      </c>
      <c r="AM20" s="12">
        <v>113</v>
      </c>
      <c r="AN20" s="12">
        <v>130</v>
      </c>
      <c r="AO20" s="12">
        <v>72</v>
      </c>
      <c r="AP20" s="12">
        <v>32</v>
      </c>
      <c r="AQ20" s="12">
        <v>62</v>
      </c>
    </row>
    <row r="21" spans="1:43" x14ac:dyDescent="0.35">
      <c r="A21" s="19"/>
      <c r="B21" s="13" t="s">
        <v>1260</v>
      </c>
      <c r="C21" s="15">
        <v>0.12</v>
      </c>
      <c r="D21" s="15">
        <v>0.17</v>
      </c>
      <c r="E21" s="15">
        <v>0.13</v>
      </c>
      <c r="F21" s="15">
        <v>0.15</v>
      </c>
      <c r="G21" s="15">
        <v>0.11</v>
      </c>
      <c r="H21" s="15">
        <v>0.15</v>
      </c>
      <c r="I21" s="15">
        <v>0.15</v>
      </c>
      <c r="J21" s="15">
        <v>0.16</v>
      </c>
      <c r="K21" s="15">
        <v>0.14000000000000001</v>
      </c>
      <c r="L21" s="15">
        <v>0.13</v>
      </c>
      <c r="M21" s="15">
        <v>0.14000000000000001</v>
      </c>
      <c r="N21" s="15">
        <v>0.11</v>
      </c>
      <c r="O21" s="15">
        <v>0.1</v>
      </c>
      <c r="P21" s="15">
        <v>0.13</v>
      </c>
      <c r="Q21" s="15">
        <v>0.11</v>
      </c>
      <c r="R21" s="15">
        <v>0.09</v>
      </c>
      <c r="S21" s="15">
        <v>0.1</v>
      </c>
      <c r="T21" s="15">
        <v>0.11</v>
      </c>
      <c r="U21" s="15">
        <v>0.14000000000000001</v>
      </c>
      <c r="V21" s="15">
        <v>0.1</v>
      </c>
      <c r="W21" s="15">
        <v>0.09</v>
      </c>
      <c r="X21" s="15">
        <v>0.18</v>
      </c>
      <c r="Y21" s="15">
        <v>0.06</v>
      </c>
      <c r="Z21" s="15">
        <v>0.11</v>
      </c>
      <c r="AA21" s="15">
        <v>0.06</v>
      </c>
      <c r="AB21" s="15">
        <v>0.08</v>
      </c>
      <c r="AC21" s="15">
        <v>0.2</v>
      </c>
      <c r="AD21" s="15">
        <v>0.13</v>
      </c>
      <c r="AE21" s="15">
        <v>0.14000000000000001</v>
      </c>
      <c r="AF21" s="15">
        <v>0.13</v>
      </c>
      <c r="AG21" s="15">
        <v>0.09</v>
      </c>
      <c r="AH21" s="15">
        <v>0.12</v>
      </c>
      <c r="AI21" s="15">
        <v>0.1</v>
      </c>
      <c r="AJ21" s="15">
        <v>0.15</v>
      </c>
      <c r="AK21" s="15">
        <v>0.06</v>
      </c>
      <c r="AL21" s="15">
        <v>0.06</v>
      </c>
      <c r="AM21" s="15">
        <v>0.11</v>
      </c>
      <c r="AN21" s="15">
        <v>0.13</v>
      </c>
      <c r="AO21" s="15">
        <v>7.0000000000000007E-2</v>
      </c>
      <c r="AP21" s="15">
        <v>0.06</v>
      </c>
      <c r="AQ21" s="15">
        <v>0.06</v>
      </c>
    </row>
    <row r="22" spans="1:43" x14ac:dyDescent="0.35">
      <c r="A22" s="19"/>
      <c r="B22" s="11" t="s">
        <v>500</v>
      </c>
      <c r="C22" s="12">
        <v>11144</v>
      </c>
      <c r="D22" s="12">
        <v>278</v>
      </c>
      <c r="E22" s="12">
        <v>524</v>
      </c>
      <c r="F22" s="12">
        <v>502</v>
      </c>
      <c r="G22" s="12">
        <v>149</v>
      </c>
      <c r="H22" s="12">
        <v>397</v>
      </c>
      <c r="I22" s="12">
        <v>499</v>
      </c>
      <c r="J22" s="12">
        <v>102</v>
      </c>
      <c r="K22" s="12">
        <v>344</v>
      </c>
      <c r="L22" s="12">
        <v>207</v>
      </c>
      <c r="M22" s="12">
        <v>498</v>
      </c>
      <c r="N22" s="12">
        <v>450</v>
      </c>
      <c r="O22" s="12">
        <v>506</v>
      </c>
      <c r="P22" s="12">
        <v>380</v>
      </c>
      <c r="Q22" s="12">
        <v>489</v>
      </c>
      <c r="R22" s="12">
        <v>144</v>
      </c>
      <c r="S22" s="12">
        <v>388</v>
      </c>
      <c r="T22" s="12">
        <v>438</v>
      </c>
      <c r="U22" s="12">
        <v>130</v>
      </c>
      <c r="V22" s="12">
        <v>550</v>
      </c>
      <c r="W22" s="12">
        <v>124</v>
      </c>
      <c r="X22" s="12">
        <v>216</v>
      </c>
      <c r="Y22" s="12">
        <v>291</v>
      </c>
      <c r="Z22" s="12">
        <v>597</v>
      </c>
      <c r="AA22" s="12">
        <v>690</v>
      </c>
      <c r="AB22" s="12">
        <v>516</v>
      </c>
      <c r="AC22" s="12">
        <v>424</v>
      </c>
      <c r="AD22" s="12">
        <v>337</v>
      </c>
      <c r="AE22" s="12">
        <v>149</v>
      </c>
      <c r="AF22" s="12">
        <v>127</v>
      </c>
      <c r="AG22" s="12">
        <v>114</v>
      </c>
      <c r="AH22" s="12">
        <v>419</v>
      </c>
      <c r="AI22" s="12">
        <v>52</v>
      </c>
      <c r="AJ22" s="12">
        <v>554</v>
      </c>
      <c r="AK22" s="12">
        <v>253</v>
      </c>
      <c r="AL22" s="12">
        <v>363</v>
      </c>
      <c r="AM22" s="12">
        <v>199</v>
      </c>
      <c r="AN22" s="12">
        <v>408</v>
      </c>
      <c r="AO22" s="12">
        <v>142</v>
      </c>
      <c r="AP22" s="12">
        <v>63</v>
      </c>
      <c r="AQ22" s="12">
        <v>428</v>
      </c>
    </row>
    <row r="23" spans="1:43" x14ac:dyDescent="0.35">
      <c r="A23" s="19"/>
      <c r="B23" s="13" t="s">
        <v>501</v>
      </c>
      <c r="C23" s="15">
        <v>0.42</v>
      </c>
      <c r="D23" s="15">
        <v>0.27</v>
      </c>
      <c r="E23" s="15">
        <v>0.51</v>
      </c>
      <c r="F23" s="15">
        <v>0.46</v>
      </c>
      <c r="G23" s="15">
        <v>0.15</v>
      </c>
      <c r="H23" s="15">
        <v>0.33</v>
      </c>
      <c r="I23" s="15">
        <v>0.33</v>
      </c>
      <c r="J23" s="15">
        <v>0.35</v>
      </c>
      <c r="K23" s="15">
        <v>0.34</v>
      </c>
      <c r="L23" s="15">
        <v>0.21</v>
      </c>
      <c r="M23" s="15">
        <v>0.49</v>
      </c>
      <c r="N23" s="15">
        <v>0.45</v>
      </c>
      <c r="O23" s="15">
        <v>0.51</v>
      </c>
      <c r="P23" s="15">
        <v>0.38</v>
      </c>
      <c r="Q23" s="15">
        <v>0.48</v>
      </c>
      <c r="R23" s="15">
        <v>0.28999999999999998</v>
      </c>
      <c r="S23" s="15">
        <v>0.39</v>
      </c>
      <c r="T23" s="15">
        <v>0.43</v>
      </c>
      <c r="U23" s="15">
        <v>0.26</v>
      </c>
      <c r="V23" s="15">
        <v>0.54</v>
      </c>
      <c r="W23" s="15">
        <v>0.25</v>
      </c>
      <c r="X23" s="15">
        <v>0.21</v>
      </c>
      <c r="Y23" s="15">
        <v>0.28999999999999998</v>
      </c>
      <c r="Z23" s="15">
        <v>0.57999999999999996</v>
      </c>
      <c r="AA23" s="15">
        <v>0.67</v>
      </c>
      <c r="AB23" s="15">
        <v>0.49</v>
      </c>
      <c r="AC23" s="15">
        <v>0.42</v>
      </c>
      <c r="AD23" s="15">
        <v>0.34</v>
      </c>
      <c r="AE23" s="15">
        <v>0.15</v>
      </c>
      <c r="AF23" s="15">
        <v>0.12</v>
      </c>
      <c r="AG23" s="15">
        <v>0.11</v>
      </c>
      <c r="AH23" s="15">
        <v>0.41</v>
      </c>
      <c r="AI23" s="15">
        <v>0.1</v>
      </c>
      <c r="AJ23" s="15">
        <v>0.53</v>
      </c>
      <c r="AK23" s="15">
        <v>0.25</v>
      </c>
      <c r="AL23" s="15">
        <v>0.36</v>
      </c>
      <c r="AM23" s="15">
        <v>0.19</v>
      </c>
      <c r="AN23" s="15">
        <v>0.41</v>
      </c>
      <c r="AO23" s="15">
        <v>0.14000000000000001</v>
      </c>
      <c r="AP23" s="15">
        <v>0.12</v>
      </c>
      <c r="AQ23" s="15">
        <v>0.43</v>
      </c>
    </row>
    <row r="24" spans="1:43" ht="21.5" x14ac:dyDescent="0.35">
      <c r="A24" s="19"/>
      <c r="B24" s="11" t="s">
        <v>1261</v>
      </c>
      <c r="C24" s="12">
        <v>80</v>
      </c>
      <c r="D24" s="12">
        <v>1</v>
      </c>
      <c r="E24" s="12">
        <v>6</v>
      </c>
      <c r="F24" s="12">
        <v>1</v>
      </c>
      <c r="G24" s="12">
        <v>0</v>
      </c>
      <c r="H24" s="12">
        <v>4</v>
      </c>
      <c r="I24" s="12">
        <v>4</v>
      </c>
      <c r="J24" s="12">
        <v>0</v>
      </c>
      <c r="K24" s="12">
        <v>2</v>
      </c>
      <c r="L24" s="12">
        <v>0</v>
      </c>
      <c r="M24" s="12">
        <v>13</v>
      </c>
      <c r="N24" s="12">
        <v>3</v>
      </c>
      <c r="O24" s="12">
        <v>1</v>
      </c>
      <c r="P24" s="12">
        <v>3</v>
      </c>
      <c r="Q24" s="12">
        <v>2</v>
      </c>
      <c r="R24" s="12">
        <v>1</v>
      </c>
      <c r="S24" s="12">
        <v>13</v>
      </c>
      <c r="T24" s="12">
        <v>8</v>
      </c>
      <c r="U24" s="12">
        <v>0</v>
      </c>
      <c r="V24" s="12">
        <v>1</v>
      </c>
      <c r="W24" s="12">
        <v>12</v>
      </c>
      <c r="X24" s="12">
        <v>0</v>
      </c>
      <c r="Y24" s="12">
        <v>13</v>
      </c>
      <c r="Z24" s="12">
        <v>1</v>
      </c>
      <c r="AA24" s="12">
        <v>16</v>
      </c>
      <c r="AB24" s="12">
        <v>9</v>
      </c>
      <c r="AC24" s="12">
        <v>2</v>
      </c>
      <c r="AD24" s="12">
        <v>3</v>
      </c>
      <c r="AE24" s="12">
        <v>4</v>
      </c>
      <c r="AF24" s="12">
        <v>0</v>
      </c>
      <c r="AG24" s="12">
        <v>1</v>
      </c>
      <c r="AH24" s="12">
        <v>0</v>
      </c>
      <c r="AI24" s="12">
        <v>0</v>
      </c>
      <c r="AJ24" s="12">
        <v>3</v>
      </c>
      <c r="AK24" s="12">
        <v>0</v>
      </c>
      <c r="AL24" s="12">
        <v>0</v>
      </c>
      <c r="AM24" s="12">
        <v>2</v>
      </c>
      <c r="AN24" s="12">
        <v>3</v>
      </c>
      <c r="AO24" s="12">
        <v>1</v>
      </c>
      <c r="AP24" s="12">
        <v>0</v>
      </c>
      <c r="AQ24" s="12">
        <v>3</v>
      </c>
    </row>
    <row r="25" spans="1:43" ht="21.5" x14ac:dyDescent="0.35">
      <c r="A25" s="19"/>
      <c r="B25" s="13" t="s">
        <v>1262</v>
      </c>
      <c r="C25" s="14" t="s">
        <v>475</v>
      </c>
      <c r="D25" s="14" t="s">
        <v>475</v>
      </c>
      <c r="E25" s="15">
        <v>0.01</v>
      </c>
      <c r="F25" s="14" t="s">
        <v>475</v>
      </c>
      <c r="G25" s="14" t="s">
        <v>475</v>
      </c>
      <c r="H25" s="14" t="s">
        <v>475</v>
      </c>
      <c r="I25" s="14" t="s">
        <v>475</v>
      </c>
      <c r="J25" s="14" t="s">
        <v>475</v>
      </c>
      <c r="K25" s="14" t="s">
        <v>475</v>
      </c>
      <c r="L25" s="14" t="s">
        <v>475</v>
      </c>
      <c r="M25" s="15">
        <v>0.01</v>
      </c>
      <c r="N25" s="15">
        <v>0.01</v>
      </c>
      <c r="O25" s="14" t="s">
        <v>475</v>
      </c>
      <c r="P25" s="14" t="s">
        <v>475</v>
      </c>
      <c r="Q25" s="14" t="s">
        <v>475</v>
      </c>
      <c r="R25" s="14" t="s">
        <v>475</v>
      </c>
      <c r="S25" s="15">
        <v>0.01</v>
      </c>
      <c r="T25" s="15">
        <v>0.01</v>
      </c>
      <c r="U25" s="14" t="s">
        <v>475</v>
      </c>
      <c r="V25" s="14" t="s">
        <v>475</v>
      </c>
      <c r="W25" s="15">
        <v>0.02</v>
      </c>
      <c r="X25" s="14" t="s">
        <v>475</v>
      </c>
      <c r="Y25" s="15">
        <v>0.01</v>
      </c>
      <c r="Z25" s="14" t="s">
        <v>475</v>
      </c>
      <c r="AA25" s="15">
        <v>0.01</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x14ac:dyDescent="0.35">
      <c r="A26" s="19"/>
      <c r="B26" s="11" t="s">
        <v>485</v>
      </c>
      <c r="C26" s="12">
        <v>24</v>
      </c>
      <c r="D26" s="12">
        <v>0</v>
      </c>
      <c r="E26" s="12">
        <v>3</v>
      </c>
      <c r="F26" s="12">
        <v>2</v>
      </c>
      <c r="G26" s="12">
        <v>0</v>
      </c>
      <c r="H26" s="12">
        <v>2</v>
      </c>
      <c r="I26" s="12">
        <v>2</v>
      </c>
      <c r="J26" s="12">
        <v>0</v>
      </c>
      <c r="K26" s="12">
        <v>5</v>
      </c>
      <c r="L26" s="12">
        <v>2</v>
      </c>
      <c r="M26" s="12">
        <v>0</v>
      </c>
      <c r="N26" s="12">
        <v>2</v>
      </c>
      <c r="O26" s="12">
        <v>1</v>
      </c>
      <c r="P26" s="12">
        <v>0</v>
      </c>
      <c r="Q26" s="12">
        <v>0</v>
      </c>
      <c r="R26" s="12">
        <v>0</v>
      </c>
      <c r="S26" s="12">
        <v>4</v>
      </c>
      <c r="T26" s="12">
        <v>3</v>
      </c>
      <c r="U26" s="12">
        <v>1</v>
      </c>
      <c r="V26" s="12">
        <v>0</v>
      </c>
      <c r="W26" s="12">
        <v>3</v>
      </c>
      <c r="X26" s="12">
        <v>0</v>
      </c>
      <c r="Y26" s="12">
        <v>4</v>
      </c>
      <c r="Z26" s="12">
        <v>0</v>
      </c>
      <c r="AA26" s="12">
        <v>1</v>
      </c>
      <c r="AB26" s="12">
        <v>0</v>
      </c>
      <c r="AC26" s="12">
        <v>2</v>
      </c>
      <c r="AD26" s="12">
        <v>0</v>
      </c>
      <c r="AE26" s="12">
        <v>1</v>
      </c>
      <c r="AF26" s="12">
        <v>1</v>
      </c>
      <c r="AG26" s="12">
        <v>0</v>
      </c>
      <c r="AH26" s="12">
        <v>0</v>
      </c>
      <c r="AI26" s="12">
        <v>2</v>
      </c>
      <c r="AJ26" s="12">
        <v>1</v>
      </c>
      <c r="AK26" s="12">
        <v>1</v>
      </c>
      <c r="AL26" s="12">
        <v>3</v>
      </c>
      <c r="AM26" s="12">
        <v>6</v>
      </c>
      <c r="AN26" s="12">
        <v>1</v>
      </c>
      <c r="AO26" s="12">
        <v>2</v>
      </c>
      <c r="AP26" s="12">
        <v>0</v>
      </c>
      <c r="AQ26" s="12">
        <v>3</v>
      </c>
    </row>
    <row r="27" spans="1:43" x14ac:dyDescent="0.35">
      <c r="A27" s="19"/>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5">
        <v>0.01</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ht="21.5" x14ac:dyDescent="0.35">
      <c r="A28" s="19"/>
      <c r="B28" s="11" t="s">
        <v>1263</v>
      </c>
      <c r="C28" s="12">
        <v>10955</v>
      </c>
      <c r="D28" s="12">
        <v>522</v>
      </c>
      <c r="E28" s="12">
        <v>307</v>
      </c>
      <c r="F28" s="12">
        <v>389</v>
      </c>
      <c r="G28" s="12">
        <v>693</v>
      </c>
      <c r="H28" s="12">
        <v>583</v>
      </c>
      <c r="I28" s="12">
        <v>719</v>
      </c>
      <c r="J28" s="12">
        <v>136</v>
      </c>
      <c r="K28" s="12">
        <v>471</v>
      </c>
      <c r="L28" s="12">
        <v>638</v>
      </c>
      <c r="M28" s="12">
        <v>309</v>
      </c>
      <c r="N28" s="12">
        <v>404</v>
      </c>
      <c r="O28" s="12">
        <v>368</v>
      </c>
      <c r="P28" s="12">
        <v>458</v>
      </c>
      <c r="Q28" s="12">
        <v>385</v>
      </c>
      <c r="R28" s="12">
        <v>288</v>
      </c>
      <c r="S28" s="12">
        <v>447</v>
      </c>
      <c r="T28" s="12">
        <v>413</v>
      </c>
      <c r="U28" s="12">
        <v>289</v>
      </c>
      <c r="V28" s="12">
        <v>314</v>
      </c>
      <c r="W28" s="12">
        <v>303</v>
      </c>
      <c r="X28" s="12">
        <v>548</v>
      </c>
      <c r="Y28" s="12">
        <v>581</v>
      </c>
      <c r="Z28" s="12">
        <v>278</v>
      </c>
      <c r="AA28" s="12">
        <v>242</v>
      </c>
      <c r="AB28" s="12">
        <v>398</v>
      </c>
      <c r="AC28" s="12">
        <v>345</v>
      </c>
      <c r="AD28" s="12">
        <v>481</v>
      </c>
      <c r="AE28" s="12">
        <v>625</v>
      </c>
      <c r="AF28" s="12">
        <v>715</v>
      </c>
      <c r="AG28" s="12">
        <v>744</v>
      </c>
      <c r="AH28" s="12">
        <v>429</v>
      </c>
      <c r="AI28" s="12">
        <v>404</v>
      </c>
      <c r="AJ28" s="12">
        <v>274</v>
      </c>
      <c r="AK28" s="12">
        <v>678</v>
      </c>
      <c r="AL28" s="12">
        <v>562</v>
      </c>
      <c r="AM28" s="12">
        <v>696</v>
      </c>
      <c r="AN28" s="12">
        <v>385</v>
      </c>
      <c r="AO28" s="12">
        <v>736</v>
      </c>
      <c r="AP28" s="12">
        <v>410</v>
      </c>
      <c r="AQ28" s="12">
        <v>471</v>
      </c>
    </row>
    <row r="29" spans="1:43" x14ac:dyDescent="0.35">
      <c r="A29" s="19"/>
      <c r="B29" s="13" t="s">
        <v>1264</v>
      </c>
      <c r="C29" s="15">
        <v>0.41</v>
      </c>
      <c r="D29" s="15">
        <v>0.52</v>
      </c>
      <c r="E29" s="15">
        <v>0.3</v>
      </c>
      <c r="F29" s="15">
        <v>0.35</v>
      </c>
      <c r="G29" s="15">
        <v>0.69000000000000006</v>
      </c>
      <c r="H29" s="15">
        <v>0.48</v>
      </c>
      <c r="I29" s="15">
        <v>0.47</v>
      </c>
      <c r="J29" s="15">
        <v>0.46</v>
      </c>
      <c r="K29" s="15">
        <v>0.47</v>
      </c>
      <c r="L29" s="15">
        <v>0.64</v>
      </c>
      <c r="M29" s="15">
        <v>0.31</v>
      </c>
      <c r="N29" s="15">
        <v>0.4</v>
      </c>
      <c r="O29" s="15">
        <v>0.37</v>
      </c>
      <c r="P29" s="15">
        <v>0.46</v>
      </c>
      <c r="Q29" s="15">
        <v>0.37</v>
      </c>
      <c r="R29" s="15">
        <v>0.56999999999999995</v>
      </c>
      <c r="S29" s="15">
        <v>0.45</v>
      </c>
      <c r="T29" s="15">
        <v>0.41</v>
      </c>
      <c r="U29" s="15">
        <v>0.56999999999999995</v>
      </c>
      <c r="V29" s="15">
        <v>0.31</v>
      </c>
      <c r="W29" s="15">
        <v>0.6</v>
      </c>
      <c r="X29" s="15">
        <v>0.54</v>
      </c>
      <c r="Y29" s="15">
        <v>0.57999999999999996</v>
      </c>
      <c r="Z29" s="15">
        <v>0.27</v>
      </c>
      <c r="AA29" s="15">
        <v>0.23</v>
      </c>
      <c r="AB29" s="15">
        <v>0.38</v>
      </c>
      <c r="AC29" s="15">
        <v>0.34</v>
      </c>
      <c r="AD29" s="15">
        <v>0.48</v>
      </c>
      <c r="AE29" s="15">
        <v>0.62</v>
      </c>
      <c r="AF29" s="15">
        <v>0.69000000000000006</v>
      </c>
      <c r="AG29" s="15">
        <v>0.72</v>
      </c>
      <c r="AH29" s="15">
        <v>0.42</v>
      </c>
      <c r="AI29" s="15">
        <v>0.77</v>
      </c>
      <c r="AJ29" s="15">
        <v>0.26</v>
      </c>
      <c r="AK29" s="15">
        <v>0.67</v>
      </c>
      <c r="AL29" s="15">
        <v>0.56000000000000005</v>
      </c>
      <c r="AM29" s="15">
        <v>0.67</v>
      </c>
      <c r="AN29" s="15">
        <v>0.38</v>
      </c>
      <c r="AO29" s="15">
        <v>0.73</v>
      </c>
      <c r="AP29" s="15">
        <v>0.78</v>
      </c>
      <c r="AQ29" s="15">
        <v>0.47</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1269</v>
      </c>
      <c r="C3" s="18"/>
      <c r="D3" s="18"/>
      <c r="E3" s="18"/>
      <c r="F3" s="18"/>
      <c r="H3" s="18" t="s">
        <v>1270</v>
      </c>
      <c r="I3" s="18"/>
      <c r="J3" s="18"/>
      <c r="K3" s="18"/>
      <c r="L3" s="18"/>
    </row>
    <row r="4" spans="1:43" ht="27" customHeight="1" x14ac:dyDescent="0.35">
      <c r="B4" s="18" t="s">
        <v>1271</v>
      </c>
      <c r="C4" s="18"/>
      <c r="D4" s="18"/>
      <c r="E4" s="18"/>
      <c r="F4" s="18"/>
      <c r="H4" s="18" t="s">
        <v>1272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10133</v>
      </c>
      <c r="D12" s="12">
        <v>493</v>
      </c>
      <c r="E12" s="12">
        <v>301</v>
      </c>
      <c r="F12" s="12">
        <v>415</v>
      </c>
      <c r="G12" s="12">
        <v>543</v>
      </c>
      <c r="H12" s="12">
        <v>530</v>
      </c>
      <c r="I12" s="12">
        <v>719</v>
      </c>
      <c r="J12" s="12">
        <v>189</v>
      </c>
      <c r="K12" s="12">
        <v>493</v>
      </c>
      <c r="L12" s="12">
        <v>520</v>
      </c>
      <c r="M12" s="12">
        <v>304</v>
      </c>
      <c r="N12" s="12">
        <v>325</v>
      </c>
      <c r="O12" s="12">
        <v>382</v>
      </c>
      <c r="P12" s="12">
        <v>489</v>
      </c>
      <c r="Q12" s="12">
        <v>369</v>
      </c>
      <c r="R12" s="12">
        <v>238</v>
      </c>
      <c r="S12" s="12">
        <v>419</v>
      </c>
      <c r="T12" s="12">
        <v>393</v>
      </c>
      <c r="U12" s="12">
        <v>235</v>
      </c>
      <c r="V12" s="12">
        <v>276</v>
      </c>
      <c r="W12" s="12">
        <v>174</v>
      </c>
      <c r="X12" s="12">
        <v>375</v>
      </c>
      <c r="Y12" s="12">
        <v>544</v>
      </c>
      <c r="Z12" s="12">
        <v>261</v>
      </c>
      <c r="AA12" s="12">
        <v>337</v>
      </c>
      <c r="AB12" s="12">
        <v>246</v>
      </c>
      <c r="AC12" s="12">
        <v>580</v>
      </c>
      <c r="AD12" s="12">
        <v>514</v>
      </c>
      <c r="AE12" s="12">
        <v>484</v>
      </c>
      <c r="AF12" s="12">
        <v>507</v>
      </c>
      <c r="AG12" s="12">
        <v>188</v>
      </c>
      <c r="AH12" s="12">
        <v>148</v>
      </c>
      <c r="AI12" s="12">
        <v>194</v>
      </c>
      <c r="AJ12" s="12">
        <v>249</v>
      </c>
      <c r="AK12" s="12">
        <v>44</v>
      </c>
      <c r="AL12" s="12">
        <v>223</v>
      </c>
      <c r="AM12" s="12">
        <v>360</v>
      </c>
      <c r="AN12" s="12">
        <v>163</v>
      </c>
      <c r="AO12" s="12">
        <v>165</v>
      </c>
      <c r="AP12" s="12">
        <v>82</v>
      </c>
      <c r="AQ12" s="12">
        <v>53</v>
      </c>
    </row>
    <row r="13" spans="1:43" x14ac:dyDescent="0.35">
      <c r="A13" s="19"/>
      <c r="B13" s="13" t="s">
        <v>1252</v>
      </c>
      <c r="C13" s="15">
        <v>0.38</v>
      </c>
      <c r="D13" s="15">
        <v>0.49</v>
      </c>
      <c r="E13" s="15">
        <v>0.28999999999999998</v>
      </c>
      <c r="F13" s="15">
        <v>0.38</v>
      </c>
      <c r="G13" s="15">
        <v>0.54</v>
      </c>
      <c r="H13" s="15">
        <v>0.43</v>
      </c>
      <c r="I13" s="15">
        <v>0.48</v>
      </c>
      <c r="J13" s="15">
        <v>0.64</v>
      </c>
      <c r="K13" s="15">
        <v>0.49</v>
      </c>
      <c r="L13" s="15">
        <v>0.52</v>
      </c>
      <c r="M13" s="15">
        <v>0.3</v>
      </c>
      <c r="N13" s="15">
        <v>0.32</v>
      </c>
      <c r="O13" s="15">
        <v>0.38</v>
      </c>
      <c r="P13" s="15">
        <v>0.49</v>
      </c>
      <c r="Q13" s="15">
        <v>0.36</v>
      </c>
      <c r="R13" s="15">
        <v>0.47</v>
      </c>
      <c r="S13" s="15">
        <v>0.42</v>
      </c>
      <c r="T13" s="15">
        <v>0.39</v>
      </c>
      <c r="U13" s="15">
        <v>0.47</v>
      </c>
      <c r="V13" s="15">
        <v>0.27</v>
      </c>
      <c r="W13" s="15">
        <v>0.34</v>
      </c>
      <c r="X13" s="15">
        <v>0.37</v>
      </c>
      <c r="Y13" s="15">
        <v>0.54</v>
      </c>
      <c r="Z13" s="15">
        <v>0.25</v>
      </c>
      <c r="AA13" s="15">
        <v>0.33</v>
      </c>
      <c r="AB13" s="15">
        <v>0.23</v>
      </c>
      <c r="AC13" s="15">
        <v>0.57999999999999996</v>
      </c>
      <c r="AD13" s="15">
        <v>0.51</v>
      </c>
      <c r="AE13" s="15">
        <v>0.48</v>
      </c>
      <c r="AF13" s="15">
        <v>0.49</v>
      </c>
      <c r="AG13" s="15">
        <v>0.18</v>
      </c>
      <c r="AH13" s="15">
        <v>0.15</v>
      </c>
      <c r="AI13" s="15">
        <v>0.37</v>
      </c>
      <c r="AJ13" s="15">
        <v>0.24</v>
      </c>
      <c r="AK13" s="15">
        <v>0.04</v>
      </c>
      <c r="AL13" s="15">
        <v>0.22</v>
      </c>
      <c r="AM13" s="15">
        <v>0.35</v>
      </c>
      <c r="AN13" s="15">
        <v>0.16</v>
      </c>
      <c r="AO13" s="15">
        <v>0.17</v>
      </c>
      <c r="AP13" s="15">
        <v>0.16</v>
      </c>
      <c r="AQ13" s="15">
        <v>0.05</v>
      </c>
    </row>
    <row r="14" spans="1:43" ht="21.5" x14ac:dyDescent="0.35">
      <c r="A14" s="19"/>
      <c r="B14" s="11" t="s">
        <v>1253</v>
      </c>
      <c r="C14" s="12">
        <v>5034</v>
      </c>
      <c r="D14" s="12">
        <v>148</v>
      </c>
      <c r="E14" s="12">
        <v>285</v>
      </c>
      <c r="F14" s="12">
        <v>239</v>
      </c>
      <c r="G14" s="12">
        <v>131</v>
      </c>
      <c r="H14" s="12">
        <v>249</v>
      </c>
      <c r="I14" s="12">
        <v>290</v>
      </c>
      <c r="J14" s="12">
        <v>41</v>
      </c>
      <c r="K14" s="12">
        <v>159</v>
      </c>
      <c r="L14" s="12">
        <v>199</v>
      </c>
      <c r="M14" s="12">
        <v>244</v>
      </c>
      <c r="N14" s="12">
        <v>176</v>
      </c>
      <c r="O14" s="12">
        <v>154</v>
      </c>
      <c r="P14" s="12">
        <v>152</v>
      </c>
      <c r="Q14" s="12">
        <v>207</v>
      </c>
      <c r="R14" s="12">
        <v>70</v>
      </c>
      <c r="S14" s="12">
        <v>127</v>
      </c>
      <c r="T14" s="12">
        <v>202</v>
      </c>
      <c r="U14" s="12">
        <v>71</v>
      </c>
      <c r="V14" s="12">
        <v>222</v>
      </c>
      <c r="W14" s="12">
        <v>85</v>
      </c>
      <c r="X14" s="12">
        <v>193</v>
      </c>
      <c r="Y14" s="12">
        <v>210</v>
      </c>
      <c r="Z14" s="12">
        <v>244</v>
      </c>
      <c r="AA14" s="12">
        <v>293</v>
      </c>
      <c r="AB14" s="12">
        <v>156</v>
      </c>
      <c r="AC14" s="12">
        <v>162</v>
      </c>
      <c r="AD14" s="12">
        <v>185</v>
      </c>
      <c r="AE14" s="12">
        <v>169</v>
      </c>
      <c r="AF14" s="12">
        <v>201</v>
      </c>
      <c r="AG14" s="12">
        <v>131</v>
      </c>
      <c r="AH14" s="12">
        <v>156</v>
      </c>
      <c r="AI14" s="12">
        <v>65</v>
      </c>
      <c r="AJ14" s="12">
        <v>196</v>
      </c>
      <c r="AK14" s="12">
        <v>38</v>
      </c>
      <c r="AL14" s="12">
        <v>71</v>
      </c>
      <c r="AM14" s="12">
        <v>168</v>
      </c>
      <c r="AN14" s="12">
        <v>175</v>
      </c>
      <c r="AO14" s="12">
        <v>80</v>
      </c>
      <c r="AP14" s="12">
        <v>40</v>
      </c>
      <c r="AQ14" s="12">
        <v>48</v>
      </c>
    </row>
    <row r="15" spans="1:43" x14ac:dyDescent="0.35">
      <c r="A15" s="19"/>
      <c r="B15" s="13" t="s">
        <v>1254</v>
      </c>
      <c r="C15" s="15">
        <v>0.19</v>
      </c>
      <c r="D15" s="15">
        <v>0.15</v>
      </c>
      <c r="E15" s="15">
        <v>0.28000000000000003</v>
      </c>
      <c r="F15" s="15">
        <v>0.22</v>
      </c>
      <c r="G15" s="15">
        <v>0.13</v>
      </c>
      <c r="H15" s="15">
        <v>0.2</v>
      </c>
      <c r="I15" s="15">
        <v>0.19</v>
      </c>
      <c r="J15" s="15">
        <v>0.14000000000000001</v>
      </c>
      <c r="K15" s="15">
        <v>0.16</v>
      </c>
      <c r="L15" s="15">
        <v>0.2</v>
      </c>
      <c r="M15" s="15">
        <v>0.24</v>
      </c>
      <c r="N15" s="15">
        <v>0.18</v>
      </c>
      <c r="O15" s="15">
        <v>0.15</v>
      </c>
      <c r="P15" s="15">
        <v>0.15</v>
      </c>
      <c r="Q15" s="15">
        <v>0.2</v>
      </c>
      <c r="R15" s="15">
        <v>0.14000000000000001</v>
      </c>
      <c r="S15" s="15">
        <v>0.13</v>
      </c>
      <c r="T15" s="15">
        <v>0.2</v>
      </c>
      <c r="U15" s="15">
        <v>0.14000000000000001</v>
      </c>
      <c r="V15" s="15">
        <v>0.22</v>
      </c>
      <c r="W15" s="15">
        <v>0.17</v>
      </c>
      <c r="X15" s="15">
        <v>0.19</v>
      </c>
      <c r="Y15" s="15">
        <v>0.21</v>
      </c>
      <c r="Z15" s="15">
        <v>0.24</v>
      </c>
      <c r="AA15" s="15">
        <v>0.28000000000000003</v>
      </c>
      <c r="AB15" s="15">
        <v>0.15</v>
      </c>
      <c r="AC15" s="15">
        <v>0.16</v>
      </c>
      <c r="AD15" s="15">
        <v>0.18</v>
      </c>
      <c r="AE15" s="15">
        <v>0.17</v>
      </c>
      <c r="AF15" s="15">
        <v>0.19</v>
      </c>
      <c r="AG15" s="15">
        <v>0.13</v>
      </c>
      <c r="AH15" s="15">
        <v>0.15</v>
      </c>
      <c r="AI15" s="15">
        <v>0.12</v>
      </c>
      <c r="AJ15" s="15">
        <v>0.19</v>
      </c>
      <c r="AK15" s="15">
        <v>0.04</v>
      </c>
      <c r="AL15" s="15">
        <v>7.0000000000000007E-2</v>
      </c>
      <c r="AM15" s="15">
        <v>0.16</v>
      </c>
      <c r="AN15" s="15">
        <v>0.17</v>
      </c>
      <c r="AO15" s="15">
        <v>0.08</v>
      </c>
      <c r="AP15" s="15">
        <v>0.08</v>
      </c>
      <c r="AQ15" s="15">
        <v>0.05</v>
      </c>
    </row>
    <row r="16" spans="1:43" ht="21.5" x14ac:dyDescent="0.35">
      <c r="A16" s="19"/>
      <c r="B16" s="11" t="s">
        <v>1255</v>
      </c>
      <c r="C16" s="12">
        <v>2234</v>
      </c>
      <c r="D16" s="12">
        <v>74</v>
      </c>
      <c r="E16" s="12">
        <v>90</v>
      </c>
      <c r="F16" s="12">
        <v>121</v>
      </c>
      <c r="G16" s="12">
        <v>80</v>
      </c>
      <c r="H16" s="12">
        <v>79</v>
      </c>
      <c r="I16" s="12">
        <v>93</v>
      </c>
      <c r="J16" s="12">
        <v>14</v>
      </c>
      <c r="K16" s="12">
        <v>104</v>
      </c>
      <c r="L16" s="12">
        <v>55</v>
      </c>
      <c r="M16" s="12">
        <v>131</v>
      </c>
      <c r="N16" s="12">
        <v>63</v>
      </c>
      <c r="O16" s="12">
        <v>69</v>
      </c>
      <c r="P16" s="12">
        <v>84</v>
      </c>
      <c r="Q16" s="12">
        <v>96</v>
      </c>
      <c r="R16" s="12">
        <v>37</v>
      </c>
      <c r="S16" s="12">
        <v>74</v>
      </c>
      <c r="T16" s="12">
        <v>75</v>
      </c>
      <c r="U16" s="12">
        <v>45</v>
      </c>
      <c r="V16" s="12">
        <v>127</v>
      </c>
      <c r="W16" s="12">
        <v>76</v>
      </c>
      <c r="X16" s="12">
        <v>109</v>
      </c>
      <c r="Y16" s="12">
        <v>91</v>
      </c>
      <c r="Z16" s="12">
        <v>146</v>
      </c>
      <c r="AA16" s="12">
        <v>80</v>
      </c>
      <c r="AB16" s="12">
        <v>93</v>
      </c>
      <c r="AC16" s="12">
        <v>50</v>
      </c>
      <c r="AD16" s="12">
        <v>106</v>
      </c>
      <c r="AE16" s="12">
        <v>108</v>
      </c>
      <c r="AF16" s="12">
        <v>79</v>
      </c>
      <c r="AG16" s="12">
        <v>79</v>
      </c>
      <c r="AH16" s="12">
        <v>105</v>
      </c>
      <c r="AI16" s="12">
        <v>35</v>
      </c>
      <c r="AJ16" s="12">
        <v>74</v>
      </c>
      <c r="AK16" s="12">
        <v>29</v>
      </c>
      <c r="AL16" s="12">
        <v>50</v>
      </c>
      <c r="AM16" s="12">
        <v>107</v>
      </c>
      <c r="AN16" s="12">
        <v>108</v>
      </c>
      <c r="AO16" s="12">
        <v>76</v>
      </c>
      <c r="AP16" s="12">
        <v>39</v>
      </c>
      <c r="AQ16" s="12">
        <v>20</v>
      </c>
    </row>
    <row r="17" spans="1:43" x14ac:dyDescent="0.35">
      <c r="A17" s="19"/>
      <c r="B17" s="13" t="s">
        <v>1256</v>
      </c>
      <c r="C17" s="15">
        <v>0.09</v>
      </c>
      <c r="D17" s="15">
        <v>7.0000000000000007E-2</v>
      </c>
      <c r="E17" s="15">
        <v>0.09</v>
      </c>
      <c r="F17" s="15">
        <v>0.11</v>
      </c>
      <c r="G17" s="15">
        <v>0.08</v>
      </c>
      <c r="H17" s="15">
        <v>7.0000000000000007E-2</v>
      </c>
      <c r="I17" s="15">
        <v>0.06</v>
      </c>
      <c r="J17" s="15">
        <v>0.05</v>
      </c>
      <c r="K17" s="15">
        <v>0.1</v>
      </c>
      <c r="L17" s="15">
        <v>0.05</v>
      </c>
      <c r="M17" s="15">
        <v>0.13</v>
      </c>
      <c r="N17" s="15">
        <v>0.06</v>
      </c>
      <c r="O17" s="15">
        <v>7.0000000000000007E-2</v>
      </c>
      <c r="P17" s="15">
        <v>0.08</v>
      </c>
      <c r="Q17" s="15">
        <v>0.09</v>
      </c>
      <c r="R17" s="15">
        <v>7.0000000000000007E-2</v>
      </c>
      <c r="S17" s="15">
        <v>7.0000000000000007E-2</v>
      </c>
      <c r="T17" s="15">
        <v>7.0000000000000007E-2</v>
      </c>
      <c r="U17" s="15">
        <v>0.09</v>
      </c>
      <c r="V17" s="15">
        <v>0.12</v>
      </c>
      <c r="W17" s="15">
        <v>0.15</v>
      </c>
      <c r="X17" s="15">
        <v>0.11</v>
      </c>
      <c r="Y17" s="15">
        <v>0.09</v>
      </c>
      <c r="Z17" s="15">
        <v>0.14000000000000001</v>
      </c>
      <c r="AA17" s="15">
        <v>0.08</v>
      </c>
      <c r="AB17" s="15">
        <v>0.09</v>
      </c>
      <c r="AC17" s="15">
        <v>0.05</v>
      </c>
      <c r="AD17" s="15">
        <v>0.11</v>
      </c>
      <c r="AE17" s="15">
        <v>0.1</v>
      </c>
      <c r="AF17" s="15">
        <v>0.08</v>
      </c>
      <c r="AG17" s="15">
        <v>0.08</v>
      </c>
      <c r="AH17" s="15">
        <v>0.1</v>
      </c>
      <c r="AI17" s="15">
        <v>7.0000000000000007E-2</v>
      </c>
      <c r="AJ17" s="15">
        <v>7.0000000000000007E-2</v>
      </c>
      <c r="AK17" s="15">
        <v>0.03</v>
      </c>
      <c r="AL17" s="15">
        <v>0.05</v>
      </c>
      <c r="AM17" s="15">
        <v>0.1</v>
      </c>
      <c r="AN17" s="15">
        <v>0.11</v>
      </c>
      <c r="AO17" s="15">
        <v>0.08</v>
      </c>
      <c r="AP17" s="15">
        <v>7.0000000000000007E-2</v>
      </c>
      <c r="AQ17" s="15">
        <v>0.02</v>
      </c>
    </row>
    <row r="18" spans="1:43" x14ac:dyDescent="0.35">
      <c r="A18" s="19"/>
      <c r="B18" s="11" t="s">
        <v>1257</v>
      </c>
      <c r="C18" s="12">
        <v>1165</v>
      </c>
      <c r="D18" s="12">
        <v>42</v>
      </c>
      <c r="E18" s="12">
        <v>47</v>
      </c>
      <c r="F18" s="12">
        <v>39</v>
      </c>
      <c r="G18" s="12">
        <v>39</v>
      </c>
      <c r="H18" s="12">
        <v>32</v>
      </c>
      <c r="I18" s="12">
        <v>40</v>
      </c>
      <c r="J18" s="12">
        <v>7</v>
      </c>
      <c r="K18" s="12">
        <v>34</v>
      </c>
      <c r="L18" s="12">
        <v>26</v>
      </c>
      <c r="M18" s="12">
        <v>74</v>
      </c>
      <c r="N18" s="12">
        <v>42</v>
      </c>
      <c r="O18" s="12">
        <v>32</v>
      </c>
      <c r="P18" s="12">
        <v>27</v>
      </c>
      <c r="Q18" s="12">
        <v>66</v>
      </c>
      <c r="R18" s="12">
        <v>21</v>
      </c>
      <c r="S18" s="12">
        <v>31</v>
      </c>
      <c r="T18" s="12">
        <v>19</v>
      </c>
      <c r="U18" s="12">
        <v>19</v>
      </c>
      <c r="V18" s="12">
        <v>56</v>
      </c>
      <c r="W18" s="12">
        <v>13</v>
      </c>
      <c r="X18" s="12">
        <v>63</v>
      </c>
      <c r="Y18" s="12">
        <v>20</v>
      </c>
      <c r="Z18" s="12">
        <v>61</v>
      </c>
      <c r="AA18" s="12">
        <v>30</v>
      </c>
      <c r="AB18" s="12">
        <v>76</v>
      </c>
      <c r="AC18" s="12">
        <v>21</v>
      </c>
      <c r="AD18" s="12">
        <v>42</v>
      </c>
      <c r="AE18" s="12">
        <v>61</v>
      </c>
      <c r="AF18" s="12">
        <v>63</v>
      </c>
      <c r="AG18" s="12">
        <v>134</v>
      </c>
      <c r="AH18" s="12">
        <v>56</v>
      </c>
      <c r="AI18" s="12">
        <v>40</v>
      </c>
      <c r="AJ18" s="12">
        <v>56</v>
      </c>
      <c r="AK18" s="12">
        <v>28</v>
      </c>
      <c r="AL18" s="12">
        <v>36</v>
      </c>
      <c r="AM18" s="12">
        <v>37</v>
      </c>
      <c r="AN18" s="12">
        <v>85</v>
      </c>
      <c r="AO18" s="12">
        <v>62</v>
      </c>
      <c r="AP18" s="12">
        <v>24</v>
      </c>
      <c r="AQ18" s="12">
        <v>14</v>
      </c>
    </row>
    <row r="19" spans="1:43" x14ac:dyDescent="0.35">
      <c r="A19" s="19"/>
      <c r="B19" s="13" t="s">
        <v>1258</v>
      </c>
      <c r="C19" s="15">
        <v>0.04</v>
      </c>
      <c r="D19" s="15">
        <v>0.04</v>
      </c>
      <c r="E19" s="15">
        <v>0.05</v>
      </c>
      <c r="F19" s="15">
        <v>0.03</v>
      </c>
      <c r="G19" s="15">
        <v>0.04</v>
      </c>
      <c r="H19" s="15">
        <v>0.03</v>
      </c>
      <c r="I19" s="15">
        <v>0.03</v>
      </c>
      <c r="J19" s="15">
        <v>0.02</v>
      </c>
      <c r="K19" s="15">
        <v>0.04</v>
      </c>
      <c r="L19" s="15">
        <v>0.03</v>
      </c>
      <c r="M19" s="15">
        <v>7.0000000000000007E-2</v>
      </c>
      <c r="N19" s="15">
        <v>0.04</v>
      </c>
      <c r="O19" s="15">
        <v>0.03</v>
      </c>
      <c r="P19" s="15">
        <v>0.03</v>
      </c>
      <c r="Q19" s="15">
        <v>7.0000000000000007E-2</v>
      </c>
      <c r="R19" s="15">
        <v>0.04</v>
      </c>
      <c r="S19" s="15">
        <v>0.03</v>
      </c>
      <c r="T19" s="15">
        <v>0.02</v>
      </c>
      <c r="U19" s="15">
        <v>0.04</v>
      </c>
      <c r="V19" s="15">
        <v>0.06</v>
      </c>
      <c r="W19" s="15">
        <v>0.03</v>
      </c>
      <c r="X19" s="15">
        <v>0.06</v>
      </c>
      <c r="Y19" s="15">
        <v>0.02</v>
      </c>
      <c r="Z19" s="15">
        <v>0.06</v>
      </c>
      <c r="AA19" s="15">
        <v>0.03</v>
      </c>
      <c r="AB19" s="15">
        <v>7.0000000000000007E-2</v>
      </c>
      <c r="AC19" s="15">
        <v>0.02</v>
      </c>
      <c r="AD19" s="15">
        <v>0.04</v>
      </c>
      <c r="AE19" s="15">
        <v>0.06</v>
      </c>
      <c r="AF19" s="15">
        <v>0.06</v>
      </c>
      <c r="AG19" s="15">
        <v>0.13</v>
      </c>
      <c r="AH19" s="15">
        <v>0.06</v>
      </c>
      <c r="AI19" s="15">
        <v>0.08</v>
      </c>
      <c r="AJ19" s="15">
        <v>0.05</v>
      </c>
      <c r="AK19" s="15">
        <v>0.03</v>
      </c>
      <c r="AL19" s="15">
        <v>0.04</v>
      </c>
      <c r="AM19" s="15">
        <v>0.03</v>
      </c>
      <c r="AN19" s="15">
        <v>0.09</v>
      </c>
      <c r="AO19" s="15">
        <v>0.06</v>
      </c>
      <c r="AP19" s="15">
        <v>0.04</v>
      </c>
      <c r="AQ19" s="15">
        <v>0.01</v>
      </c>
    </row>
    <row r="20" spans="1:43" x14ac:dyDescent="0.35">
      <c r="A20" s="19"/>
      <c r="B20" s="11" t="s">
        <v>1259</v>
      </c>
      <c r="C20" s="12">
        <v>2956</v>
      </c>
      <c r="D20" s="12">
        <v>148</v>
      </c>
      <c r="E20" s="12">
        <v>132</v>
      </c>
      <c r="F20" s="12">
        <v>146</v>
      </c>
      <c r="G20" s="12">
        <v>103</v>
      </c>
      <c r="H20" s="12">
        <v>131</v>
      </c>
      <c r="I20" s="12">
        <v>154</v>
      </c>
      <c r="J20" s="12">
        <v>24</v>
      </c>
      <c r="K20" s="12">
        <v>116</v>
      </c>
      <c r="L20" s="12">
        <v>111</v>
      </c>
      <c r="M20" s="12">
        <v>166</v>
      </c>
      <c r="N20" s="12">
        <v>115</v>
      </c>
      <c r="O20" s="12">
        <v>95</v>
      </c>
      <c r="P20" s="12">
        <v>172</v>
      </c>
      <c r="Q20" s="12">
        <v>108</v>
      </c>
      <c r="R20" s="12">
        <v>47</v>
      </c>
      <c r="S20" s="12">
        <v>101</v>
      </c>
      <c r="T20" s="12">
        <v>107</v>
      </c>
      <c r="U20" s="12">
        <v>45</v>
      </c>
      <c r="V20" s="12">
        <v>120</v>
      </c>
      <c r="W20" s="12">
        <v>57</v>
      </c>
      <c r="X20" s="12">
        <v>130</v>
      </c>
      <c r="Y20" s="12">
        <v>76</v>
      </c>
      <c r="Z20" s="12">
        <v>136</v>
      </c>
      <c r="AA20" s="12">
        <v>95</v>
      </c>
      <c r="AB20" s="12">
        <v>144</v>
      </c>
      <c r="AC20" s="12">
        <v>107</v>
      </c>
      <c r="AD20" s="12">
        <v>80</v>
      </c>
      <c r="AE20" s="12">
        <v>109</v>
      </c>
      <c r="AF20" s="12">
        <v>117</v>
      </c>
      <c r="AG20" s="12">
        <v>240</v>
      </c>
      <c r="AH20" s="12">
        <v>234</v>
      </c>
      <c r="AI20" s="12">
        <v>148</v>
      </c>
      <c r="AJ20" s="12">
        <v>215</v>
      </c>
      <c r="AK20" s="12">
        <v>130</v>
      </c>
      <c r="AL20" s="12">
        <v>65</v>
      </c>
      <c r="AM20" s="12">
        <v>156</v>
      </c>
      <c r="AN20" s="12">
        <v>208</v>
      </c>
      <c r="AO20" s="12">
        <v>204</v>
      </c>
      <c r="AP20" s="12">
        <v>67</v>
      </c>
      <c r="AQ20" s="12">
        <v>32</v>
      </c>
    </row>
    <row r="21" spans="1:43" x14ac:dyDescent="0.35">
      <c r="A21" s="19"/>
      <c r="B21" s="13" t="s">
        <v>1260</v>
      </c>
      <c r="C21" s="15">
        <v>0.11</v>
      </c>
      <c r="D21" s="15">
        <v>0.15</v>
      </c>
      <c r="E21" s="15">
        <v>0.13</v>
      </c>
      <c r="F21" s="15">
        <v>0.13</v>
      </c>
      <c r="G21" s="15">
        <v>0.1</v>
      </c>
      <c r="H21" s="15">
        <v>0.11</v>
      </c>
      <c r="I21" s="15">
        <v>0.1</v>
      </c>
      <c r="J21" s="15">
        <v>0.08</v>
      </c>
      <c r="K21" s="15">
        <v>0.12</v>
      </c>
      <c r="L21" s="15">
        <v>0.11</v>
      </c>
      <c r="M21" s="15">
        <v>0.17</v>
      </c>
      <c r="N21" s="15">
        <v>0.12</v>
      </c>
      <c r="O21" s="15">
        <v>0.1</v>
      </c>
      <c r="P21" s="15">
        <v>0.17</v>
      </c>
      <c r="Q21" s="15">
        <v>0.11</v>
      </c>
      <c r="R21" s="15">
        <v>0.1</v>
      </c>
      <c r="S21" s="15">
        <v>0.1</v>
      </c>
      <c r="T21" s="15">
        <v>0.11</v>
      </c>
      <c r="U21" s="15">
        <v>0.09</v>
      </c>
      <c r="V21" s="15">
        <v>0.12</v>
      </c>
      <c r="W21" s="15">
        <v>0.11</v>
      </c>
      <c r="X21" s="15">
        <v>0.13</v>
      </c>
      <c r="Y21" s="15">
        <v>0.08</v>
      </c>
      <c r="Z21" s="15">
        <v>0.13</v>
      </c>
      <c r="AA21" s="15">
        <v>0.09</v>
      </c>
      <c r="AB21" s="15">
        <v>0.14000000000000001</v>
      </c>
      <c r="AC21" s="15">
        <v>0.11</v>
      </c>
      <c r="AD21" s="15">
        <v>0.08</v>
      </c>
      <c r="AE21" s="15">
        <v>0.11</v>
      </c>
      <c r="AF21" s="15">
        <v>0.11</v>
      </c>
      <c r="AG21" s="15">
        <v>0.23</v>
      </c>
      <c r="AH21" s="15">
        <v>0.23</v>
      </c>
      <c r="AI21" s="15">
        <v>0.28000000000000003</v>
      </c>
      <c r="AJ21" s="15">
        <v>0.21</v>
      </c>
      <c r="AK21" s="15">
        <v>0.13</v>
      </c>
      <c r="AL21" s="15">
        <v>0.06</v>
      </c>
      <c r="AM21" s="15">
        <v>0.15</v>
      </c>
      <c r="AN21" s="15">
        <v>0.21</v>
      </c>
      <c r="AO21" s="15">
        <v>0.2</v>
      </c>
      <c r="AP21" s="15">
        <v>0.13</v>
      </c>
      <c r="AQ21" s="15">
        <v>0.03</v>
      </c>
    </row>
    <row r="22" spans="1:43" x14ac:dyDescent="0.35">
      <c r="A22" s="19"/>
      <c r="B22" s="11" t="s">
        <v>500</v>
      </c>
      <c r="C22" s="12">
        <v>4876</v>
      </c>
      <c r="D22" s="12">
        <v>106</v>
      </c>
      <c r="E22" s="12">
        <v>166</v>
      </c>
      <c r="F22" s="12">
        <v>139</v>
      </c>
      <c r="G22" s="12">
        <v>109</v>
      </c>
      <c r="H22" s="12">
        <v>197</v>
      </c>
      <c r="I22" s="12">
        <v>217</v>
      </c>
      <c r="J22" s="12">
        <v>19</v>
      </c>
      <c r="K22" s="12">
        <v>93</v>
      </c>
      <c r="L22" s="12">
        <v>90</v>
      </c>
      <c r="M22" s="12">
        <v>91</v>
      </c>
      <c r="N22" s="12">
        <v>282</v>
      </c>
      <c r="O22" s="12">
        <v>268</v>
      </c>
      <c r="P22" s="12">
        <v>79</v>
      </c>
      <c r="Q22" s="12">
        <v>178</v>
      </c>
      <c r="R22" s="12">
        <v>92</v>
      </c>
      <c r="S22" s="12">
        <v>245</v>
      </c>
      <c r="T22" s="12">
        <v>208</v>
      </c>
      <c r="U22" s="12">
        <v>88</v>
      </c>
      <c r="V22" s="12">
        <v>211</v>
      </c>
      <c r="W22" s="12">
        <v>103</v>
      </c>
      <c r="X22" s="12">
        <v>138</v>
      </c>
      <c r="Y22" s="12">
        <v>60</v>
      </c>
      <c r="Z22" s="12">
        <v>182</v>
      </c>
      <c r="AA22" s="12">
        <v>188</v>
      </c>
      <c r="AB22" s="12">
        <v>326</v>
      </c>
      <c r="AC22" s="12">
        <v>82</v>
      </c>
      <c r="AD22" s="12">
        <v>77</v>
      </c>
      <c r="AE22" s="12">
        <v>81</v>
      </c>
      <c r="AF22" s="12">
        <v>76</v>
      </c>
      <c r="AG22" s="12">
        <v>259</v>
      </c>
      <c r="AH22" s="12">
        <v>315</v>
      </c>
      <c r="AI22" s="12">
        <v>39</v>
      </c>
      <c r="AJ22" s="12">
        <v>247</v>
      </c>
      <c r="AK22" s="12">
        <v>734</v>
      </c>
      <c r="AL22" s="12">
        <v>560</v>
      </c>
      <c r="AM22" s="12">
        <v>204</v>
      </c>
      <c r="AN22" s="12">
        <v>262</v>
      </c>
      <c r="AO22" s="12">
        <v>409</v>
      </c>
      <c r="AP22" s="12">
        <v>271</v>
      </c>
      <c r="AQ22" s="12">
        <v>823</v>
      </c>
    </row>
    <row r="23" spans="1:43" x14ac:dyDescent="0.35">
      <c r="A23" s="19"/>
      <c r="B23" s="13" t="s">
        <v>501</v>
      </c>
      <c r="C23" s="15">
        <v>0.19</v>
      </c>
      <c r="D23" s="15">
        <v>0.1</v>
      </c>
      <c r="E23" s="15">
        <v>0.16</v>
      </c>
      <c r="F23" s="15">
        <v>0.13</v>
      </c>
      <c r="G23" s="15">
        <v>0.11</v>
      </c>
      <c r="H23" s="15">
        <v>0.16</v>
      </c>
      <c r="I23" s="15">
        <v>0.14000000000000001</v>
      </c>
      <c r="J23" s="15">
        <v>7.0000000000000007E-2</v>
      </c>
      <c r="K23" s="15">
        <v>0.09</v>
      </c>
      <c r="L23" s="15">
        <v>0.09</v>
      </c>
      <c r="M23" s="15">
        <v>0.09</v>
      </c>
      <c r="N23" s="15">
        <v>0.28000000000000003</v>
      </c>
      <c r="O23" s="15">
        <v>0.27</v>
      </c>
      <c r="P23" s="15">
        <v>0.08</v>
      </c>
      <c r="Q23" s="15">
        <v>0.17</v>
      </c>
      <c r="R23" s="15">
        <v>0.18</v>
      </c>
      <c r="S23" s="15">
        <v>0.25</v>
      </c>
      <c r="T23" s="15">
        <v>0.21</v>
      </c>
      <c r="U23" s="15">
        <v>0.17</v>
      </c>
      <c r="V23" s="15">
        <v>0.21</v>
      </c>
      <c r="W23" s="15">
        <v>0.2</v>
      </c>
      <c r="X23" s="15">
        <v>0.14000000000000001</v>
      </c>
      <c r="Y23" s="15">
        <v>0.06</v>
      </c>
      <c r="Z23" s="15">
        <v>0.18</v>
      </c>
      <c r="AA23" s="15">
        <v>0.18</v>
      </c>
      <c r="AB23" s="15">
        <v>0.31</v>
      </c>
      <c r="AC23" s="15">
        <v>0.08</v>
      </c>
      <c r="AD23" s="15">
        <v>0.08</v>
      </c>
      <c r="AE23" s="15">
        <v>0.08</v>
      </c>
      <c r="AF23" s="15">
        <v>7.0000000000000007E-2</v>
      </c>
      <c r="AG23" s="15">
        <v>0.25</v>
      </c>
      <c r="AH23" s="15">
        <v>0.31</v>
      </c>
      <c r="AI23" s="15">
        <v>0.08</v>
      </c>
      <c r="AJ23" s="15">
        <v>0.24</v>
      </c>
      <c r="AK23" s="15">
        <v>0.73</v>
      </c>
      <c r="AL23" s="15">
        <v>0.55000000000000004</v>
      </c>
      <c r="AM23" s="15">
        <v>0.2</v>
      </c>
      <c r="AN23" s="15">
        <v>0.26</v>
      </c>
      <c r="AO23" s="15">
        <v>0.41</v>
      </c>
      <c r="AP23" s="15">
        <v>0.52</v>
      </c>
      <c r="AQ23" s="15">
        <v>0.82000000000000006</v>
      </c>
    </row>
    <row r="24" spans="1:43" ht="21.5" x14ac:dyDescent="0.35">
      <c r="A24" s="19"/>
      <c r="B24" s="11" t="s">
        <v>1261</v>
      </c>
      <c r="C24" s="12">
        <v>37</v>
      </c>
      <c r="D24" s="12">
        <v>0</v>
      </c>
      <c r="E24" s="12">
        <v>6</v>
      </c>
      <c r="F24" s="12">
        <v>5</v>
      </c>
      <c r="G24" s="12">
        <v>0</v>
      </c>
      <c r="H24" s="12">
        <v>2</v>
      </c>
      <c r="I24" s="12">
        <v>2</v>
      </c>
      <c r="J24" s="12">
        <v>0</v>
      </c>
      <c r="K24" s="12">
        <v>1</v>
      </c>
      <c r="L24" s="12">
        <v>0</v>
      </c>
      <c r="M24" s="12">
        <v>0</v>
      </c>
      <c r="N24" s="12">
        <v>0</v>
      </c>
      <c r="O24" s="12">
        <v>1</v>
      </c>
      <c r="P24" s="12">
        <v>0</v>
      </c>
      <c r="Q24" s="12">
        <v>2</v>
      </c>
      <c r="R24" s="12">
        <v>0</v>
      </c>
      <c r="S24" s="12">
        <v>3</v>
      </c>
      <c r="T24" s="12">
        <v>0</v>
      </c>
      <c r="U24" s="12">
        <v>0</v>
      </c>
      <c r="V24" s="12">
        <v>1</v>
      </c>
      <c r="W24" s="12">
        <v>0</v>
      </c>
      <c r="X24" s="12">
        <v>0</v>
      </c>
      <c r="Y24" s="12">
        <v>1</v>
      </c>
      <c r="Z24" s="12">
        <v>0</v>
      </c>
      <c r="AA24" s="12">
        <v>8</v>
      </c>
      <c r="AB24" s="12">
        <v>8</v>
      </c>
      <c r="AC24" s="12">
        <v>0</v>
      </c>
      <c r="AD24" s="12">
        <v>0</v>
      </c>
      <c r="AE24" s="12">
        <v>0</v>
      </c>
      <c r="AF24" s="12">
        <v>0</v>
      </c>
      <c r="AG24" s="12">
        <v>2</v>
      </c>
      <c r="AH24" s="12">
        <v>0</v>
      </c>
      <c r="AI24" s="12">
        <v>0</v>
      </c>
      <c r="AJ24" s="12">
        <v>0</v>
      </c>
      <c r="AK24" s="12">
        <v>1</v>
      </c>
      <c r="AL24" s="12">
        <v>1</v>
      </c>
      <c r="AM24" s="12">
        <v>0</v>
      </c>
      <c r="AN24" s="12">
        <v>0</v>
      </c>
      <c r="AO24" s="12">
        <v>4</v>
      </c>
      <c r="AP24" s="12">
        <v>2</v>
      </c>
      <c r="AQ24" s="12">
        <v>5</v>
      </c>
    </row>
    <row r="25" spans="1:43" ht="21.5" x14ac:dyDescent="0.35">
      <c r="A25" s="19"/>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5">
        <v>0.01</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5">
        <v>0.01</v>
      </c>
    </row>
    <row r="26" spans="1:43" x14ac:dyDescent="0.35">
      <c r="A26" s="19"/>
      <c r="B26" s="11" t="s">
        <v>485</v>
      </c>
      <c r="C26" s="12">
        <v>11</v>
      </c>
      <c r="D26" s="12">
        <v>1</v>
      </c>
      <c r="E26" s="12">
        <v>3</v>
      </c>
      <c r="F26" s="12">
        <v>0</v>
      </c>
      <c r="G26" s="12">
        <v>0</v>
      </c>
      <c r="H26" s="12">
        <v>0</v>
      </c>
      <c r="I26" s="12">
        <v>0</v>
      </c>
      <c r="J26" s="12">
        <v>0</v>
      </c>
      <c r="K26" s="12">
        <v>1</v>
      </c>
      <c r="L26" s="12">
        <v>2</v>
      </c>
      <c r="M26" s="12">
        <v>0</v>
      </c>
      <c r="N26" s="12">
        <v>1</v>
      </c>
      <c r="O26" s="12">
        <v>0</v>
      </c>
      <c r="P26" s="12">
        <v>0</v>
      </c>
      <c r="Q26" s="12">
        <v>0</v>
      </c>
      <c r="R26" s="12">
        <v>0</v>
      </c>
      <c r="S26" s="12">
        <v>2</v>
      </c>
      <c r="T26" s="12">
        <v>2</v>
      </c>
      <c r="U26" s="12">
        <v>0</v>
      </c>
      <c r="V26" s="12">
        <v>0</v>
      </c>
      <c r="W26" s="12">
        <v>0</v>
      </c>
      <c r="X26" s="12">
        <v>0</v>
      </c>
      <c r="Y26" s="12">
        <v>1</v>
      </c>
      <c r="Z26" s="12">
        <v>1</v>
      </c>
      <c r="AA26" s="12">
        <v>1</v>
      </c>
      <c r="AB26" s="12">
        <v>2</v>
      </c>
      <c r="AC26" s="12">
        <v>0</v>
      </c>
      <c r="AD26" s="12">
        <v>0</v>
      </c>
      <c r="AE26" s="12">
        <v>0</v>
      </c>
      <c r="AF26" s="12">
        <v>0</v>
      </c>
      <c r="AG26" s="12">
        <v>2</v>
      </c>
      <c r="AH26" s="12">
        <v>0</v>
      </c>
      <c r="AI26" s="12">
        <v>2</v>
      </c>
      <c r="AJ26" s="12">
        <v>0</v>
      </c>
      <c r="AK26" s="12">
        <v>2</v>
      </c>
      <c r="AL26" s="12">
        <v>5</v>
      </c>
      <c r="AM26" s="12">
        <v>8</v>
      </c>
      <c r="AN26" s="12">
        <v>2</v>
      </c>
      <c r="AO26" s="12">
        <v>4</v>
      </c>
      <c r="AP26" s="12">
        <v>0</v>
      </c>
      <c r="AQ26" s="12">
        <v>8</v>
      </c>
    </row>
    <row r="27" spans="1:43" x14ac:dyDescent="0.35">
      <c r="A27" s="19"/>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5">
        <v>0.01</v>
      </c>
      <c r="AM27" s="15">
        <v>0.01</v>
      </c>
      <c r="AN27" s="14" t="s">
        <v>475</v>
      </c>
      <c r="AO27" s="14" t="s">
        <v>475</v>
      </c>
      <c r="AP27" s="14" t="s">
        <v>475</v>
      </c>
      <c r="AQ27" s="15">
        <v>0.01</v>
      </c>
    </row>
    <row r="28" spans="1:43" ht="21.5" x14ac:dyDescent="0.35">
      <c r="A28" s="19"/>
      <c r="B28" s="11" t="s">
        <v>1263</v>
      </c>
      <c r="C28" s="12">
        <v>17401</v>
      </c>
      <c r="D28" s="12">
        <v>715</v>
      </c>
      <c r="E28" s="12">
        <v>676</v>
      </c>
      <c r="F28" s="12">
        <v>774</v>
      </c>
      <c r="G28" s="12">
        <v>755</v>
      </c>
      <c r="H28" s="12">
        <v>859</v>
      </c>
      <c r="I28" s="12">
        <v>1103</v>
      </c>
      <c r="J28" s="12">
        <v>244</v>
      </c>
      <c r="K28" s="12">
        <v>756</v>
      </c>
      <c r="L28" s="12">
        <v>774</v>
      </c>
      <c r="M28" s="12">
        <v>678</v>
      </c>
      <c r="N28" s="12">
        <v>564</v>
      </c>
      <c r="O28" s="12">
        <v>605</v>
      </c>
      <c r="P28" s="12">
        <v>725</v>
      </c>
      <c r="Q28" s="12">
        <v>673</v>
      </c>
      <c r="R28" s="12">
        <v>345</v>
      </c>
      <c r="S28" s="12">
        <v>621</v>
      </c>
      <c r="T28" s="12">
        <v>670</v>
      </c>
      <c r="U28" s="12">
        <v>351</v>
      </c>
      <c r="V28" s="12">
        <v>626</v>
      </c>
      <c r="W28" s="12">
        <v>335</v>
      </c>
      <c r="X28" s="12">
        <v>678</v>
      </c>
      <c r="Y28" s="12">
        <v>844</v>
      </c>
      <c r="Z28" s="12">
        <v>652</v>
      </c>
      <c r="AA28" s="12">
        <v>710</v>
      </c>
      <c r="AB28" s="12">
        <v>495</v>
      </c>
      <c r="AC28" s="12">
        <v>792</v>
      </c>
      <c r="AD28" s="12">
        <v>805</v>
      </c>
      <c r="AE28" s="12">
        <v>761</v>
      </c>
      <c r="AF28" s="12">
        <v>786</v>
      </c>
      <c r="AG28" s="12">
        <v>398</v>
      </c>
      <c r="AH28" s="12">
        <v>409</v>
      </c>
      <c r="AI28" s="12">
        <v>293</v>
      </c>
      <c r="AJ28" s="12">
        <v>520</v>
      </c>
      <c r="AK28" s="12">
        <v>112</v>
      </c>
      <c r="AL28" s="12">
        <v>344</v>
      </c>
      <c r="AM28" s="12">
        <v>635</v>
      </c>
      <c r="AN28" s="12">
        <v>446</v>
      </c>
      <c r="AO28" s="12">
        <v>322</v>
      </c>
      <c r="AP28" s="12">
        <v>161</v>
      </c>
      <c r="AQ28" s="12">
        <v>121</v>
      </c>
    </row>
    <row r="29" spans="1:43" x14ac:dyDescent="0.35">
      <c r="A29" s="19"/>
      <c r="B29" s="13" t="s">
        <v>1264</v>
      </c>
      <c r="C29" s="15">
        <v>0.66</v>
      </c>
      <c r="D29" s="15">
        <v>0.71</v>
      </c>
      <c r="E29" s="15">
        <v>0.66</v>
      </c>
      <c r="F29" s="15">
        <v>0.70000000000000007</v>
      </c>
      <c r="G29" s="15">
        <v>0.75</v>
      </c>
      <c r="H29" s="15">
        <v>0.70000000000000007</v>
      </c>
      <c r="I29" s="15">
        <v>0.73</v>
      </c>
      <c r="J29" s="15">
        <v>0.83000000000000007</v>
      </c>
      <c r="K29" s="15">
        <v>0.75</v>
      </c>
      <c r="L29" s="15">
        <v>0.77</v>
      </c>
      <c r="M29" s="15">
        <v>0.67</v>
      </c>
      <c r="N29" s="15">
        <v>0.56000000000000005</v>
      </c>
      <c r="O29" s="15">
        <v>0.6</v>
      </c>
      <c r="P29" s="15">
        <v>0.72</v>
      </c>
      <c r="Q29" s="15">
        <v>0.66</v>
      </c>
      <c r="R29" s="15">
        <v>0.68</v>
      </c>
      <c r="S29" s="15">
        <v>0.62</v>
      </c>
      <c r="T29" s="15">
        <v>0.67</v>
      </c>
      <c r="U29" s="15">
        <v>0.70000000000000007</v>
      </c>
      <c r="V29" s="15">
        <v>0.62</v>
      </c>
      <c r="W29" s="15">
        <v>0.66</v>
      </c>
      <c r="X29" s="15">
        <v>0.67</v>
      </c>
      <c r="Y29" s="15">
        <v>0.84</v>
      </c>
      <c r="Z29" s="15">
        <v>0.63</v>
      </c>
      <c r="AA29" s="15">
        <v>0.69000000000000006</v>
      </c>
      <c r="AB29" s="15">
        <v>0.47</v>
      </c>
      <c r="AC29" s="15">
        <v>0.79</v>
      </c>
      <c r="AD29" s="15">
        <v>0.8</v>
      </c>
      <c r="AE29" s="15">
        <v>0.75</v>
      </c>
      <c r="AF29" s="15">
        <v>0.75</v>
      </c>
      <c r="AG29" s="15">
        <v>0.38</v>
      </c>
      <c r="AH29" s="15">
        <v>0.4</v>
      </c>
      <c r="AI29" s="15">
        <v>0.56000000000000005</v>
      </c>
      <c r="AJ29" s="15">
        <v>0.5</v>
      </c>
      <c r="AK29" s="15">
        <v>0.11</v>
      </c>
      <c r="AL29" s="15">
        <v>0.34</v>
      </c>
      <c r="AM29" s="15">
        <v>0.61</v>
      </c>
      <c r="AN29" s="15">
        <v>0.44</v>
      </c>
      <c r="AO29" s="15">
        <v>0.32</v>
      </c>
      <c r="AP29" s="15">
        <v>0.31</v>
      </c>
      <c r="AQ29" s="15">
        <v>0.12</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1273</v>
      </c>
      <c r="C3" s="18"/>
      <c r="D3" s="18"/>
      <c r="E3" s="18"/>
      <c r="F3" s="18"/>
      <c r="H3" s="18" t="s">
        <v>1274</v>
      </c>
      <c r="I3" s="18"/>
      <c r="J3" s="18"/>
      <c r="K3" s="18"/>
      <c r="L3" s="18"/>
    </row>
    <row r="4" spans="1:43" ht="27" customHeight="1" x14ac:dyDescent="0.35">
      <c r="B4" s="18" t="s">
        <v>1275</v>
      </c>
      <c r="C4" s="18"/>
      <c r="D4" s="18"/>
      <c r="E4" s="18"/>
      <c r="F4" s="18"/>
      <c r="H4" s="18" t="s">
        <v>1276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2067</v>
      </c>
      <c r="D12" s="12">
        <v>82</v>
      </c>
      <c r="E12" s="12">
        <v>80</v>
      </c>
      <c r="F12" s="12">
        <v>124</v>
      </c>
      <c r="G12" s="12">
        <v>184</v>
      </c>
      <c r="H12" s="12">
        <v>78</v>
      </c>
      <c r="I12" s="12">
        <v>92</v>
      </c>
      <c r="J12" s="12">
        <v>14</v>
      </c>
      <c r="K12" s="12">
        <v>65</v>
      </c>
      <c r="L12" s="12">
        <v>175</v>
      </c>
      <c r="M12" s="12">
        <v>31</v>
      </c>
      <c r="N12" s="12">
        <v>76</v>
      </c>
      <c r="O12" s="12">
        <v>60</v>
      </c>
      <c r="P12" s="12">
        <v>143</v>
      </c>
      <c r="Q12" s="12">
        <v>76</v>
      </c>
      <c r="R12" s="12">
        <v>51</v>
      </c>
      <c r="S12" s="12">
        <v>146</v>
      </c>
      <c r="T12" s="12">
        <v>119</v>
      </c>
      <c r="U12" s="12">
        <v>50</v>
      </c>
      <c r="V12" s="12">
        <v>73</v>
      </c>
      <c r="W12" s="12">
        <v>46</v>
      </c>
      <c r="X12" s="12">
        <v>127</v>
      </c>
      <c r="Y12" s="12">
        <v>98</v>
      </c>
      <c r="Z12" s="12">
        <v>48</v>
      </c>
      <c r="AA12" s="12">
        <v>48</v>
      </c>
      <c r="AB12" s="12">
        <v>112</v>
      </c>
      <c r="AC12" s="12">
        <v>72</v>
      </c>
      <c r="AD12" s="12">
        <v>104</v>
      </c>
      <c r="AE12" s="12">
        <v>129</v>
      </c>
      <c r="AF12" s="12">
        <v>204</v>
      </c>
      <c r="AG12" s="12">
        <v>106</v>
      </c>
      <c r="AH12" s="12">
        <v>67</v>
      </c>
      <c r="AI12" s="12">
        <v>174</v>
      </c>
      <c r="AJ12" s="12">
        <v>53</v>
      </c>
      <c r="AK12" s="12">
        <v>53</v>
      </c>
      <c r="AL12" s="12">
        <v>92</v>
      </c>
      <c r="AM12" s="12">
        <v>136</v>
      </c>
      <c r="AN12" s="12">
        <v>56</v>
      </c>
      <c r="AO12" s="12">
        <v>162</v>
      </c>
      <c r="AP12" s="12">
        <v>29</v>
      </c>
      <c r="AQ12" s="12">
        <v>68</v>
      </c>
    </row>
    <row r="13" spans="1:43" x14ac:dyDescent="0.35">
      <c r="A13" s="19"/>
      <c r="B13" s="13" t="s">
        <v>1252</v>
      </c>
      <c r="C13" s="15">
        <v>0.08</v>
      </c>
      <c r="D13" s="15">
        <v>0.08</v>
      </c>
      <c r="E13" s="15">
        <v>0.08</v>
      </c>
      <c r="F13" s="15">
        <v>0.11</v>
      </c>
      <c r="G13" s="15">
        <v>0.18</v>
      </c>
      <c r="H13" s="15">
        <v>0.06</v>
      </c>
      <c r="I13" s="15">
        <v>0.06</v>
      </c>
      <c r="J13" s="15">
        <v>0.05</v>
      </c>
      <c r="K13" s="15">
        <v>7.0000000000000007E-2</v>
      </c>
      <c r="L13" s="15">
        <v>0.17</v>
      </c>
      <c r="M13" s="15">
        <v>0.03</v>
      </c>
      <c r="N13" s="15">
        <v>0.08</v>
      </c>
      <c r="O13" s="15">
        <v>0.06</v>
      </c>
      <c r="P13" s="15">
        <v>0.14000000000000001</v>
      </c>
      <c r="Q13" s="15">
        <v>7.0000000000000007E-2</v>
      </c>
      <c r="R13" s="15">
        <v>0.1</v>
      </c>
      <c r="S13" s="15">
        <v>0.15</v>
      </c>
      <c r="T13" s="15">
        <v>0.12</v>
      </c>
      <c r="U13" s="15">
        <v>0.1</v>
      </c>
      <c r="V13" s="15">
        <v>7.0000000000000007E-2</v>
      </c>
      <c r="W13" s="15">
        <v>0.09</v>
      </c>
      <c r="X13" s="15">
        <v>0.12</v>
      </c>
      <c r="Y13" s="15">
        <v>0.1</v>
      </c>
      <c r="Z13" s="15">
        <v>0.05</v>
      </c>
      <c r="AA13" s="15">
        <v>0.05</v>
      </c>
      <c r="AB13" s="15">
        <v>0.11</v>
      </c>
      <c r="AC13" s="15">
        <v>7.0000000000000007E-2</v>
      </c>
      <c r="AD13" s="15">
        <v>0.1</v>
      </c>
      <c r="AE13" s="15">
        <v>0.13</v>
      </c>
      <c r="AF13" s="15">
        <v>0.2</v>
      </c>
      <c r="AG13" s="15">
        <v>0.1</v>
      </c>
      <c r="AH13" s="15">
        <v>0.06</v>
      </c>
      <c r="AI13" s="15">
        <v>0.33</v>
      </c>
      <c r="AJ13" s="15">
        <v>0.05</v>
      </c>
      <c r="AK13" s="15">
        <v>0.05</v>
      </c>
      <c r="AL13" s="15">
        <v>0.09</v>
      </c>
      <c r="AM13" s="15">
        <v>0.13</v>
      </c>
      <c r="AN13" s="15">
        <v>0.06</v>
      </c>
      <c r="AO13" s="15">
        <v>0.16</v>
      </c>
      <c r="AP13" s="15">
        <v>0.06</v>
      </c>
      <c r="AQ13" s="15">
        <v>7.0000000000000007E-2</v>
      </c>
    </row>
    <row r="14" spans="1:43" ht="21.5" x14ac:dyDescent="0.35">
      <c r="A14" s="19"/>
      <c r="B14" s="11" t="s">
        <v>1253</v>
      </c>
      <c r="C14" s="12">
        <v>3006</v>
      </c>
      <c r="D14" s="12">
        <v>100</v>
      </c>
      <c r="E14" s="12">
        <v>124</v>
      </c>
      <c r="F14" s="12">
        <v>150</v>
      </c>
      <c r="G14" s="12">
        <v>133</v>
      </c>
      <c r="H14" s="12">
        <v>135</v>
      </c>
      <c r="I14" s="12">
        <v>160</v>
      </c>
      <c r="J14" s="12">
        <v>25</v>
      </c>
      <c r="K14" s="12">
        <v>102</v>
      </c>
      <c r="L14" s="12">
        <v>172</v>
      </c>
      <c r="M14" s="12">
        <v>64</v>
      </c>
      <c r="N14" s="12">
        <v>113</v>
      </c>
      <c r="O14" s="12">
        <v>108</v>
      </c>
      <c r="P14" s="12">
        <v>110</v>
      </c>
      <c r="Q14" s="12">
        <v>97</v>
      </c>
      <c r="R14" s="12">
        <v>49</v>
      </c>
      <c r="S14" s="12">
        <v>129</v>
      </c>
      <c r="T14" s="12">
        <v>154</v>
      </c>
      <c r="U14" s="12">
        <v>55</v>
      </c>
      <c r="V14" s="12">
        <v>182</v>
      </c>
      <c r="W14" s="12">
        <v>78</v>
      </c>
      <c r="X14" s="12">
        <v>142</v>
      </c>
      <c r="Y14" s="12">
        <v>90</v>
      </c>
      <c r="Z14" s="12">
        <v>129</v>
      </c>
      <c r="AA14" s="12">
        <v>89</v>
      </c>
      <c r="AB14" s="12">
        <v>124</v>
      </c>
      <c r="AC14" s="12">
        <v>108</v>
      </c>
      <c r="AD14" s="12">
        <v>231</v>
      </c>
      <c r="AE14" s="12">
        <v>104</v>
      </c>
      <c r="AF14" s="12">
        <v>165</v>
      </c>
      <c r="AG14" s="12">
        <v>68</v>
      </c>
      <c r="AH14" s="12">
        <v>179</v>
      </c>
      <c r="AI14" s="12">
        <v>38</v>
      </c>
      <c r="AJ14" s="12">
        <v>119</v>
      </c>
      <c r="AK14" s="12">
        <v>113</v>
      </c>
      <c r="AL14" s="12">
        <v>126</v>
      </c>
      <c r="AM14" s="12">
        <v>152</v>
      </c>
      <c r="AN14" s="12">
        <v>126</v>
      </c>
      <c r="AO14" s="12">
        <v>98</v>
      </c>
      <c r="AP14" s="12">
        <v>37</v>
      </c>
      <c r="AQ14" s="12">
        <v>107</v>
      </c>
    </row>
    <row r="15" spans="1:43" x14ac:dyDescent="0.35">
      <c r="A15" s="19"/>
      <c r="B15" s="13" t="s">
        <v>1254</v>
      </c>
      <c r="C15" s="15">
        <v>0.11</v>
      </c>
      <c r="D15" s="15">
        <v>0.1</v>
      </c>
      <c r="E15" s="15">
        <v>0.12</v>
      </c>
      <c r="F15" s="15">
        <v>0.14000000000000001</v>
      </c>
      <c r="G15" s="15">
        <v>0.13</v>
      </c>
      <c r="H15" s="15">
        <v>0.11</v>
      </c>
      <c r="I15" s="15">
        <v>0.11</v>
      </c>
      <c r="J15" s="15">
        <v>0.08</v>
      </c>
      <c r="K15" s="15">
        <v>0.1</v>
      </c>
      <c r="L15" s="15">
        <v>0.17</v>
      </c>
      <c r="M15" s="15">
        <v>7.0000000000000007E-2</v>
      </c>
      <c r="N15" s="15">
        <v>0.11</v>
      </c>
      <c r="O15" s="15">
        <v>0.11</v>
      </c>
      <c r="P15" s="15">
        <v>0.11</v>
      </c>
      <c r="Q15" s="15">
        <v>0.1</v>
      </c>
      <c r="R15" s="15">
        <v>0.1</v>
      </c>
      <c r="S15" s="15">
        <v>0.13</v>
      </c>
      <c r="T15" s="15">
        <v>0.15</v>
      </c>
      <c r="U15" s="15">
        <v>0.11</v>
      </c>
      <c r="V15" s="15">
        <v>0.18</v>
      </c>
      <c r="W15" s="15">
        <v>0.16</v>
      </c>
      <c r="X15" s="15">
        <v>0.14000000000000001</v>
      </c>
      <c r="Y15" s="15">
        <v>0.09</v>
      </c>
      <c r="Z15" s="15">
        <v>0.12</v>
      </c>
      <c r="AA15" s="15">
        <v>0.09</v>
      </c>
      <c r="AB15" s="15">
        <v>0.12</v>
      </c>
      <c r="AC15" s="15">
        <v>0.11</v>
      </c>
      <c r="AD15" s="15">
        <v>0.23</v>
      </c>
      <c r="AE15" s="15">
        <v>0.1</v>
      </c>
      <c r="AF15" s="15">
        <v>0.16</v>
      </c>
      <c r="AG15" s="15">
        <v>7.0000000000000007E-2</v>
      </c>
      <c r="AH15" s="15">
        <v>0.18</v>
      </c>
      <c r="AI15" s="15">
        <v>7.0000000000000007E-2</v>
      </c>
      <c r="AJ15" s="15">
        <v>0.12</v>
      </c>
      <c r="AK15" s="15">
        <v>0.11</v>
      </c>
      <c r="AL15" s="15">
        <v>0.12</v>
      </c>
      <c r="AM15" s="15">
        <v>0.15</v>
      </c>
      <c r="AN15" s="15">
        <v>0.13</v>
      </c>
      <c r="AO15" s="15">
        <v>0.1</v>
      </c>
      <c r="AP15" s="15">
        <v>7.0000000000000007E-2</v>
      </c>
      <c r="AQ15" s="15">
        <v>0.11</v>
      </c>
    </row>
    <row r="16" spans="1:43" ht="21.5" x14ac:dyDescent="0.35">
      <c r="A16" s="19"/>
      <c r="B16" s="11" t="s">
        <v>1255</v>
      </c>
      <c r="C16" s="12">
        <v>2599</v>
      </c>
      <c r="D16" s="12">
        <v>94</v>
      </c>
      <c r="E16" s="12">
        <v>126</v>
      </c>
      <c r="F16" s="12">
        <v>161</v>
      </c>
      <c r="G16" s="12">
        <v>85</v>
      </c>
      <c r="H16" s="12">
        <v>133</v>
      </c>
      <c r="I16" s="12">
        <v>158</v>
      </c>
      <c r="J16" s="12">
        <v>25</v>
      </c>
      <c r="K16" s="12">
        <v>109</v>
      </c>
      <c r="L16" s="12">
        <v>122</v>
      </c>
      <c r="M16" s="12">
        <v>74</v>
      </c>
      <c r="N16" s="12">
        <v>76</v>
      </c>
      <c r="O16" s="12">
        <v>88</v>
      </c>
      <c r="P16" s="12">
        <v>84</v>
      </c>
      <c r="Q16" s="12">
        <v>86</v>
      </c>
      <c r="R16" s="12">
        <v>48</v>
      </c>
      <c r="S16" s="12">
        <v>89</v>
      </c>
      <c r="T16" s="12">
        <v>83</v>
      </c>
      <c r="U16" s="12">
        <v>45</v>
      </c>
      <c r="V16" s="12">
        <v>128</v>
      </c>
      <c r="W16" s="12">
        <v>91</v>
      </c>
      <c r="X16" s="12">
        <v>128</v>
      </c>
      <c r="Y16" s="12">
        <v>99</v>
      </c>
      <c r="Z16" s="12">
        <v>106</v>
      </c>
      <c r="AA16" s="12">
        <v>60</v>
      </c>
      <c r="AB16" s="12">
        <v>127</v>
      </c>
      <c r="AC16" s="12">
        <v>124</v>
      </c>
      <c r="AD16" s="12">
        <v>195</v>
      </c>
      <c r="AE16" s="12">
        <v>126</v>
      </c>
      <c r="AF16" s="12">
        <v>129</v>
      </c>
      <c r="AG16" s="12">
        <v>89</v>
      </c>
      <c r="AH16" s="12">
        <v>151</v>
      </c>
      <c r="AI16" s="12">
        <v>30</v>
      </c>
      <c r="AJ16" s="12">
        <v>141</v>
      </c>
      <c r="AK16" s="12">
        <v>124</v>
      </c>
      <c r="AL16" s="12">
        <v>72</v>
      </c>
      <c r="AM16" s="12">
        <v>122</v>
      </c>
      <c r="AN16" s="12">
        <v>136</v>
      </c>
      <c r="AO16" s="12">
        <v>61</v>
      </c>
      <c r="AP16" s="12">
        <v>12</v>
      </c>
      <c r="AQ16" s="12">
        <v>26</v>
      </c>
    </row>
    <row r="17" spans="1:43" x14ac:dyDescent="0.35">
      <c r="A17" s="19"/>
      <c r="B17" s="13" t="s">
        <v>1256</v>
      </c>
      <c r="C17" s="15">
        <v>0.1</v>
      </c>
      <c r="D17" s="15">
        <v>0.09</v>
      </c>
      <c r="E17" s="15">
        <v>0.12</v>
      </c>
      <c r="F17" s="15">
        <v>0.15</v>
      </c>
      <c r="G17" s="15">
        <v>0.09</v>
      </c>
      <c r="H17" s="15">
        <v>0.11</v>
      </c>
      <c r="I17" s="15">
        <v>0.1</v>
      </c>
      <c r="J17" s="15">
        <v>0.08</v>
      </c>
      <c r="K17" s="15">
        <v>0.11</v>
      </c>
      <c r="L17" s="15">
        <v>0.12</v>
      </c>
      <c r="M17" s="15">
        <v>7.0000000000000007E-2</v>
      </c>
      <c r="N17" s="15">
        <v>0.08</v>
      </c>
      <c r="O17" s="15">
        <v>0.09</v>
      </c>
      <c r="P17" s="15">
        <v>0.08</v>
      </c>
      <c r="Q17" s="15">
        <v>0.09</v>
      </c>
      <c r="R17" s="15">
        <v>0.09</v>
      </c>
      <c r="S17" s="15">
        <v>0.09</v>
      </c>
      <c r="T17" s="15">
        <v>0.08</v>
      </c>
      <c r="U17" s="15">
        <v>0.09</v>
      </c>
      <c r="V17" s="15">
        <v>0.13</v>
      </c>
      <c r="W17" s="15">
        <v>0.18</v>
      </c>
      <c r="X17" s="15">
        <v>0.13</v>
      </c>
      <c r="Y17" s="15">
        <v>0.1</v>
      </c>
      <c r="Z17" s="15">
        <v>0.1</v>
      </c>
      <c r="AA17" s="15">
        <v>0.06</v>
      </c>
      <c r="AB17" s="15">
        <v>0.12</v>
      </c>
      <c r="AC17" s="15">
        <v>0.12</v>
      </c>
      <c r="AD17" s="15">
        <v>0.2</v>
      </c>
      <c r="AE17" s="15">
        <v>0.12</v>
      </c>
      <c r="AF17" s="15">
        <v>0.12</v>
      </c>
      <c r="AG17" s="15">
        <v>0.09</v>
      </c>
      <c r="AH17" s="15">
        <v>0.15</v>
      </c>
      <c r="AI17" s="15">
        <v>0.06</v>
      </c>
      <c r="AJ17" s="15">
        <v>0.14000000000000001</v>
      </c>
      <c r="AK17" s="15">
        <v>0.12</v>
      </c>
      <c r="AL17" s="15">
        <v>7.0000000000000007E-2</v>
      </c>
      <c r="AM17" s="15">
        <v>0.12</v>
      </c>
      <c r="AN17" s="15">
        <v>0.13</v>
      </c>
      <c r="AO17" s="15">
        <v>0.06</v>
      </c>
      <c r="AP17" s="15">
        <v>0.02</v>
      </c>
      <c r="AQ17" s="15">
        <v>0.03</v>
      </c>
    </row>
    <row r="18" spans="1:43" x14ac:dyDescent="0.35">
      <c r="A18" s="19"/>
      <c r="B18" s="11" t="s">
        <v>1257</v>
      </c>
      <c r="C18" s="12">
        <v>1901</v>
      </c>
      <c r="D18" s="12">
        <v>82</v>
      </c>
      <c r="E18" s="12">
        <v>65</v>
      </c>
      <c r="F18" s="12">
        <v>65</v>
      </c>
      <c r="G18" s="12">
        <v>87</v>
      </c>
      <c r="H18" s="12">
        <v>87</v>
      </c>
      <c r="I18" s="12">
        <v>107</v>
      </c>
      <c r="J18" s="12">
        <v>20</v>
      </c>
      <c r="K18" s="12">
        <v>89</v>
      </c>
      <c r="L18" s="12">
        <v>56</v>
      </c>
      <c r="M18" s="12">
        <v>91</v>
      </c>
      <c r="N18" s="12">
        <v>70</v>
      </c>
      <c r="O18" s="12">
        <v>73</v>
      </c>
      <c r="P18" s="12">
        <v>57</v>
      </c>
      <c r="Q18" s="12">
        <v>74</v>
      </c>
      <c r="R18" s="12">
        <v>33</v>
      </c>
      <c r="S18" s="12">
        <v>75</v>
      </c>
      <c r="T18" s="12">
        <v>44</v>
      </c>
      <c r="U18" s="12">
        <v>31</v>
      </c>
      <c r="V18" s="12">
        <v>86</v>
      </c>
      <c r="W18" s="12">
        <v>73</v>
      </c>
      <c r="X18" s="12">
        <v>110</v>
      </c>
      <c r="Y18" s="12">
        <v>69</v>
      </c>
      <c r="Z18" s="12">
        <v>48</v>
      </c>
      <c r="AA18" s="12">
        <v>34</v>
      </c>
      <c r="AB18" s="12">
        <v>84</v>
      </c>
      <c r="AC18" s="12">
        <v>87</v>
      </c>
      <c r="AD18" s="12">
        <v>93</v>
      </c>
      <c r="AE18" s="12">
        <v>97</v>
      </c>
      <c r="AF18" s="12">
        <v>98</v>
      </c>
      <c r="AG18" s="12">
        <v>117</v>
      </c>
      <c r="AH18" s="12">
        <v>69</v>
      </c>
      <c r="AI18" s="12">
        <v>57</v>
      </c>
      <c r="AJ18" s="12">
        <v>98</v>
      </c>
      <c r="AK18" s="12">
        <v>86</v>
      </c>
      <c r="AL18" s="12">
        <v>42</v>
      </c>
      <c r="AM18" s="12">
        <v>84</v>
      </c>
      <c r="AN18" s="12">
        <v>112</v>
      </c>
      <c r="AO18" s="12">
        <v>62</v>
      </c>
      <c r="AP18" s="12">
        <v>38</v>
      </c>
      <c r="AQ18" s="12">
        <v>26</v>
      </c>
    </row>
    <row r="19" spans="1:43" x14ac:dyDescent="0.35">
      <c r="A19" s="19"/>
      <c r="B19" s="13" t="s">
        <v>1258</v>
      </c>
      <c r="C19" s="15">
        <v>7.0000000000000007E-2</v>
      </c>
      <c r="D19" s="15">
        <v>0.08</v>
      </c>
      <c r="E19" s="15">
        <v>0.06</v>
      </c>
      <c r="F19" s="15">
        <v>0.06</v>
      </c>
      <c r="G19" s="15">
        <v>0.09</v>
      </c>
      <c r="H19" s="15">
        <v>7.0000000000000007E-2</v>
      </c>
      <c r="I19" s="15">
        <v>7.0000000000000007E-2</v>
      </c>
      <c r="J19" s="15">
        <v>7.0000000000000007E-2</v>
      </c>
      <c r="K19" s="15">
        <v>0.09</v>
      </c>
      <c r="L19" s="15">
        <v>0.06</v>
      </c>
      <c r="M19" s="15">
        <v>0.09</v>
      </c>
      <c r="N19" s="15">
        <v>7.0000000000000007E-2</v>
      </c>
      <c r="O19" s="15">
        <v>7.0000000000000007E-2</v>
      </c>
      <c r="P19" s="15">
        <v>0.06</v>
      </c>
      <c r="Q19" s="15">
        <v>7.0000000000000007E-2</v>
      </c>
      <c r="R19" s="15">
        <v>7.0000000000000007E-2</v>
      </c>
      <c r="S19" s="15">
        <v>7.0000000000000007E-2</v>
      </c>
      <c r="T19" s="15">
        <v>0.04</v>
      </c>
      <c r="U19" s="15">
        <v>0.06</v>
      </c>
      <c r="V19" s="15">
        <v>0.08</v>
      </c>
      <c r="W19" s="15">
        <v>0.14000000000000001</v>
      </c>
      <c r="X19" s="15">
        <v>0.11</v>
      </c>
      <c r="Y19" s="15">
        <v>7.0000000000000007E-2</v>
      </c>
      <c r="Z19" s="15">
        <v>0.05</v>
      </c>
      <c r="AA19" s="15">
        <v>0.03</v>
      </c>
      <c r="AB19" s="15">
        <v>0.08</v>
      </c>
      <c r="AC19" s="15">
        <v>0.09</v>
      </c>
      <c r="AD19" s="15">
        <v>0.09</v>
      </c>
      <c r="AE19" s="15">
        <v>0.1</v>
      </c>
      <c r="AF19" s="15">
        <v>0.09</v>
      </c>
      <c r="AG19" s="15">
        <v>0.11</v>
      </c>
      <c r="AH19" s="15">
        <v>7.0000000000000007E-2</v>
      </c>
      <c r="AI19" s="15">
        <v>0.11</v>
      </c>
      <c r="AJ19" s="15">
        <v>0.09</v>
      </c>
      <c r="AK19" s="15">
        <v>0.09</v>
      </c>
      <c r="AL19" s="15">
        <v>0.04</v>
      </c>
      <c r="AM19" s="15">
        <v>0.08</v>
      </c>
      <c r="AN19" s="15">
        <v>0.11</v>
      </c>
      <c r="AO19" s="15">
        <v>0.06</v>
      </c>
      <c r="AP19" s="15">
        <v>7.0000000000000007E-2</v>
      </c>
      <c r="AQ19" s="15">
        <v>0.02</v>
      </c>
    </row>
    <row r="20" spans="1:43" x14ac:dyDescent="0.35">
      <c r="A20" s="19"/>
      <c r="B20" s="11" t="s">
        <v>1259</v>
      </c>
      <c r="C20" s="12">
        <v>4344</v>
      </c>
      <c r="D20" s="12">
        <v>260</v>
      </c>
      <c r="E20" s="12">
        <v>143</v>
      </c>
      <c r="F20" s="12">
        <v>202</v>
      </c>
      <c r="G20" s="12">
        <v>182</v>
      </c>
      <c r="H20" s="12">
        <v>246</v>
      </c>
      <c r="I20" s="12">
        <v>316</v>
      </c>
      <c r="J20" s="12">
        <v>70</v>
      </c>
      <c r="K20" s="12">
        <v>209</v>
      </c>
      <c r="L20" s="12">
        <v>136</v>
      </c>
      <c r="M20" s="12">
        <v>208</v>
      </c>
      <c r="N20" s="12">
        <v>163</v>
      </c>
      <c r="O20" s="12">
        <v>120</v>
      </c>
      <c r="P20" s="12">
        <v>207</v>
      </c>
      <c r="Q20" s="12">
        <v>155</v>
      </c>
      <c r="R20" s="12">
        <v>79</v>
      </c>
      <c r="S20" s="12">
        <v>138</v>
      </c>
      <c r="T20" s="12">
        <v>159</v>
      </c>
      <c r="U20" s="12">
        <v>112</v>
      </c>
      <c r="V20" s="12">
        <v>121</v>
      </c>
      <c r="W20" s="12">
        <v>77</v>
      </c>
      <c r="X20" s="12">
        <v>178</v>
      </c>
      <c r="Y20" s="12">
        <v>152</v>
      </c>
      <c r="Z20" s="12">
        <v>168</v>
      </c>
      <c r="AA20" s="12">
        <v>124</v>
      </c>
      <c r="AB20" s="12">
        <v>112</v>
      </c>
      <c r="AC20" s="12">
        <v>231</v>
      </c>
      <c r="AD20" s="12">
        <v>120</v>
      </c>
      <c r="AE20" s="12">
        <v>199</v>
      </c>
      <c r="AF20" s="12">
        <v>206</v>
      </c>
      <c r="AG20" s="12">
        <v>220</v>
      </c>
      <c r="AH20" s="12">
        <v>174</v>
      </c>
      <c r="AI20" s="12">
        <v>156</v>
      </c>
      <c r="AJ20" s="12">
        <v>156</v>
      </c>
      <c r="AK20" s="12">
        <v>97</v>
      </c>
      <c r="AL20" s="12">
        <v>68</v>
      </c>
      <c r="AM20" s="12">
        <v>169</v>
      </c>
      <c r="AN20" s="12">
        <v>158</v>
      </c>
      <c r="AO20" s="12">
        <v>175</v>
      </c>
      <c r="AP20" s="12">
        <v>83</v>
      </c>
      <c r="AQ20" s="12">
        <v>31</v>
      </c>
    </row>
    <row r="21" spans="1:43" x14ac:dyDescent="0.35">
      <c r="A21" s="19"/>
      <c r="B21" s="13" t="s">
        <v>1260</v>
      </c>
      <c r="C21" s="15">
        <v>0.16</v>
      </c>
      <c r="D21" s="15">
        <v>0.26</v>
      </c>
      <c r="E21" s="15">
        <v>0.14000000000000001</v>
      </c>
      <c r="F21" s="15">
        <v>0.18</v>
      </c>
      <c r="G21" s="15">
        <v>0.18</v>
      </c>
      <c r="H21" s="15">
        <v>0.2</v>
      </c>
      <c r="I21" s="15">
        <v>0.21</v>
      </c>
      <c r="J21" s="15">
        <v>0.24</v>
      </c>
      <c r="K21" s="15">
        <v>0.21</v>
      </c>
      <c r="L21" s="15">
        <v>0.14000000000000001</v>
      </c>
      <c r="M21" s="15">
        <v>0.21</v>
      </c>
      <c r="N21" s="15">
        <v>0.16</v>
      </c>
      <c r="O21" s="15">
        <v>0.12</v>
      </c>
      <c r="P21" s="15">
        <v>0.21</v>
      </c>
      <c r="Q21" s="15">
        <v>0.15</v>
      </c>
      <c r="R21" s="15">
        <v>0.16</v>
      </c>
      <c r="S21" s="15">
        <v>0.14000000000000001</v>
      </c>
      <c r="T21" s="15">
        <v>0.16</v>
      </c>
      <c r="U21" s="15">
        <v>0.22</v>
      </c>
      <c r="V21" s="15">
        <v>0.12</v>
      </c>
      <c r="W21" s="15">
        <v>0.15</v>
      </c>
      <c r="X21" s="15">
        <v>0.18</v>
      </c>
      <c r="Y21" s="15">
        <v>0.15</v>
      </c>
      <c r="Z21" s="15">
        <v>0.16</v>
      </c>
      <c r="AA21" s="15">
        <v>0.12</v>
      </c>
      <c r="AB21" s="15">
        <v>0.11</v>
      </c>
      <c r="AC21" s="15">
        <v>0.23</v>
      </c>
      <c r="AD21" s="15">
        <v>0.12</v>
      </c>
      <c r="AE21" s="15">
        <v>0.2</v>
      </c>
      <c r="AF21" s="15">
        <v>0.2</v>
      </c>
      <c r="AG21" s="15">
        <v>0.21</v>
      </c>
      <c r="AH21" s="15">
        <v>0.17</v>
      </c>
      <c r="AI21" s="15">
        <v>0.3</v>
      </c>
      <c r="AJ21" s="15">
        <v>0.15</v>
      </c>
      <c r="AK21" s="15">
        <v>0.1</v>
      </c>
      <c r="AL21" s="15">
        <v>7.0000000000000007E-2</v>
      </c>
      <c r="AM21" s="15">
        <v>0.16</v>
      </c>
      <c r="AN21" s="15">
        <v>0.16</v>
      </c>
      <c r="AO21" s="15">
        <v>0.18</v>
      </c>
      <c r="AP21" s="15">
        <v>0.16</v>
      </c>
      <c r="AQ21" s="15">
        <v>0.03</v>
      </c>
    </row>
    <row r="22" spans="1:43" x14ac:dyDescent="0.35">
      <c r="A22" s="19"/>
      <c r="B22" s="11" t="s">
        <v>500</v>
      </c>
      <c r="C22" s="12">
        <v>12362</v>
      </c>
      <c r="D22" s="12">
        <v>392</v>
      </c>
      <c r="E22" s="12">
        <v>474</v>
      </c>
      <c r="F22" s="12">
        <v>391</v>
      </c>
      <c r="G22" s="12">
        <v>335</v>
      </c>
      <c r="H22" s="12">
        <v>536</v>
      </c>
      <c r="I22" s="12">
        <v>674</v>
      </c>
      <c r="J22" s="12">
        <v>138</v>
      </c>
      <c r="K22" s="12">
        <v>423</v>
      </c>
      <c r="L22" s="12">
        <v>335</v>
      </c>
      <c r="M22" s="12">
        <v>515</v>
      </c>
      <c r="N22" s="12">
        <v>498</v>
      </c>
      <c r="O22" s="12">
        <v>547</v>
      </c>
      <c r="P22" s="12">
        <v>401</v>
      </c>
      <c r="Q22" s="12">
        <v>535</v>
      </c>
      <c r="R22" s="12">
        <v>242</v>
      </c>
      <c r="S22" s="12">
        <v>418</v>
      </c>
      <c r="T22" s="12">
        <v>432</v>
      </c>
      <c r="U22" s="12">
        <v>212</v>
      </c>
      <c r="V22" s="12">
        <v>423</v>
      </c>
      <c r="W22" s="12">
        <v>132</v>
      </c>
      <c r="X22" s="12">
        <v>324</v>
      </c>
      <c r="Y22" s="12">
        <v>482</v>
      </c>
      <c r="Z22" s="12">
        <v>532</v>
      </c>
      <c r="AA22" s="12">
        <v>647</v>
      </c>
      <c r="AB22" s="12">
        <v>480</v>
      </c>
      <c r="AC22" s="12">
        <v>380</v>
      </c>
      <c r="AD22" s="12">
        <v>256</v>
      </c>
      <c r="AE22" s="12">
        <v>350</v>
      </c>
      <c r="AF22" s="12">
        <v>239</v>
      </c>
      <c r="AG22" s="12">
        <v>425</v>
      </c>
      <c r="AH22" s="12">
        <v>357</v>
      </c>
      <c r="AI22" s="12">
        <v>65</v>
      </c>
      <c r="AJ22" s="12">
        <v>468</v>
      </c>
      <c r="AK22" s="12">
        <v>531</v>
      </c>
      <c r="AL22" s="12">
        <v>596</v>
      </c>
      <c r="AM22" s="12">
        <v>369</v>
      </c>
      <c r="AN22" s="12">
        <v>413</v>
      </c>
      <c r="AO22" s="12">
        <v>434</v>
      </c>
      <c r="AP22" s="12">
        <v>322</v>
      </c>
      <c r="AQ22" s="12">
        <v>707</v>
      </c>
    </row>
    <row r="23" spans="1:43" x14ac:dyDescent="0.35">
      <c r="A23" s="19"/>
      <c r="B23" s="13" t="s">
        <v>501</v>
      </c>
      <c r="C23" s="15">
        <v>0.47</v>
      </c>
      <c r="D23" s="15">
        <v>0.39</v>
      </c>
      <c r="E23" s="15">
        <v>0.46</v>
      </c>
      <c r="F23" s="15">
        <v>0.35</v>
      </c>
      <c r="G23" s="15">
        <v>0.33</v>
      </c>
      <c r="H23" s="15">
        <v>0.44</v>
      </c>
      <c r="I23" s="15">
        <v>0.44</v>
      </c>
      <c r="J23" s="15">
        <v>0.47</v>
      </c>
      <c r="K23" s="15">
        <v>0.42</v>
      </c>
      <c r="L23" s="15">
        <v>0.33</v>
      </c>
      <c r="M23" s="15">
        <v>0.51</v>
      </c>
      <c r="N23" s="15">
        <v>0.5</v>
      </c>
      <c r="O23" s="15">
        <v>0.55000000000000004</v>
      </c>
      <c r="P23" s="15">
        <v>0.4</v>
      </c>
      <c r="Q23" s="15">
        <v>0.52</v>
      </c>
      <c r="R23" s="15">
        <v>0.48</v>
      </c>
      <c r="S23" s="15">
        <v>0.42</v>
      </c>
      <c r="T23" s="15">
        <v>0.43</v>
      </c>
      <c r="U23" s="15">
        <v>0.42</v>
      </c>
      <c r="V23" s="15">
        <v>0.42</v>
      </c>
      <c r="W23" s="15">
        <v>0.26</v>
      </c>
      <c r="X23" s="15">
        <v>0.32</v>
      </c>
      <c r="Y23" s="15">
        <v>0.48</v>
      </c>
      <c r="Z23" s="15">
        <v>0.52</v>
      </c>
      <c r="AA23" s="15">
        <v>0.63</v>
      </c>
      <c r="AB23" s="15">
        <v>0.45</v>
      </c>
      <c r="AC23" s="15">
        <v>0.38</v>
      </c>
      <c r="AD23" s="15">
        <v>0.26</v>
      </c>
      <c r="AE23" s="15">
        <v>0.35</v>
      </c>
      <c r="AF23" s="15">
        <v>0.23</v>
      </c>
      <c r="AG23" s="15">
        <v>0.41</v>
      </c>
      <c r="AH23" s="15">
        <v>0.35</v>
      </c>
      <c r="AI23" s="15">
        <v>0.12</v>
      </c>
      <c r="AJ23" s="15">
        <v>0.45</v>
      </c>
      <c r="AK23" s="15">
        <v>0.53</v>
      </c>
      <c r="AL23" s="15">
        <v>0.59</v>
      </c>
      <c r="AM23" s="15">
        <v>0.35</v>
      </c>
      <c r="AN23" s="15">
        <v>0.41</v>
      </c>
      <c r="AO23" s="15">
        <v>0.43</v>
      </c>
      <c r="AP23" s="15">
        <v>0.62</v>
      </c>
      <c r="AQ23" s="15">
        <v>0.70000000000000007</v>
      </c>
    </row>
    <row r="24" spans="1:43" ht="21.5" x14ac:dyDescent="0.35">
      <c r="A24" s="19"/>
      <c r="B24" s="11" t="s">
        <v>1261</v>
      </c>
      <c r="C24" s="12">
        <v>115</v>
      </c>
      <c r="D24" s="12">
        <v>1</v>
      </c>
      <c r="E24" s="12">
        <v>10</v>
      </c>
      <c r="F24" s="12">
        <v>7</v>
      </c>
      <c r="G24" s="12">
        <v>0</v>
      </c>
      <c r="H24" s="12">
        <v>6</v>
      </c>
      <c r="I24" s="12">
        <v>8</v>
      </c>
      <c r="J24" s="12">
        <v>2</v>
      </c>
      <c r="K24" s="12">
        <v>3</v>
      </c>
      <c r="L24" s="12">
        <v>0</v>
      </c>
      <c r="M24" s="12">
        <v>14</v>
      </c>
      <c r="N24" s="12">
        <v>3</v>
      </c>
      <c r="O24" s="12">
        <v>3</v>
      </c>
      <c r="P24" s="12">
        <v>1</v>
      </c>
      <c r="Q24" s="12">
        <v>3</v>
      </c>
      <c r="R24" s="12">
        <v>1</v>
      </c>
      <c r="S24" s="12">
        <v>4</v>
      </c>
      <c r="T24" s="12">
        <v>4</v>
      </c>
      <c r="U24" s="12">
        <v>0</v>
      </c>
      <c r="V24" s="12">
        <v>3</v>
      </c>
      <c r="W24" s="12">
        <v>11</v>
      </c>
      <c r="X24" s="12">
        <v>0</v>
      </c>
      <c r="Y24" s="12">
        <v>11</v>
      </c>
      <c r="Z24" s="12">
        <v>0</v>
      </c>
      <c r="AA24" s="12">
        <v>26</v>
      </c>
      <c r="AB24" s="12">
        <v>11</v>
      </c>
      <c r="AC24" s="12">
        <v>1</v>
      </c>
      <c r="AD24" s="12">
        <v>3</v>
      </c>
      <c r="AE24" s="12">
        <v>3</v>
      </c>
      <c r="AF24" s="12">
        <v>1</v>
      </c>
      <c r="AG24" s="12">
        <v>3</v>
      </c>
      <c r="AH24" s="12">
        <v>0</v>
      </c>
      <c r="AI24" s="12">
        <v>3</v>
      </c>
      <c r="AJ24" s="12">
        <v>1</v>
      </c>
      <c r="AK24" s="12">
        <v>0</v>
      </c>
      <c r="AL24" s="12">
        <v>0</v>
      </c>
      <c r="AM24" s="12">
        <v>1</v>
      </c>
      <c r="AN24" s="12">
        <v>1</v>
      </c>
      <c r="AO24" s="12">
        <v>11</v>
      </c>
      <c r="AP24" s="12">
        <v>0</v>
      </c>
      <c r="AQ24" s="12">
        <v>1</v>
      </c>
    </row>
    <row r="25" spans="1:43" ht="21.5" x14ac:dyDescent="0.35">
      <c r="A25" s="19"/>
      <c r="B25" s="13" t="s">
        <v>1262</v>
      </c>
      <c r="C25" s="15">
        <v>0.01</v>
      </c>
      <c r="D25" s="14" t="s">
        <v>475</v>
      </c>
      <c r="E25" s="15">
        <v>0.01</v>
      </c>
      <c r="F25" s="15">
        <v>0.01</v>
      </c>
      <c r="G25" s="14" t="s">
        <v>475</v>
      </c>
      <c r="H25" s="15">
        <v>0.01</v>
      </c>
      <c r="I25" s="15">
        <v>0.01</v>
      </c>
      <c r="J25" s="15">
        <v>0.01</v>
      </c>
      <c r="K25" s="14" t="s">
        <v>475</v>
      </c>
      <c r="L25" s="14" t="s">
        <v>475</v>
      </c>
      <c r="M25" s="15">
        <v>0.01</v>
      </c>
      <c r="N25" s="14" t="s">
        <v>475</v>
      </c>
      <c r="O25" s="14" t="s">
        <v>475</v>
      </c>
      <c r="P25" s="14" t="s">
        <v>475</v>
      </c>
      <c r="Q25" s="14" t="s">
        <v>475</v>
      </c>
      <c r="R25" s="14" t="s">
        <v>475</v>
      </c>
      <c r="S25" s="14" t="s">
        <v>475</v>
      </c>
      <c r="T25" s="15">
        <v>0.01</v>
      </c>
      <c r="U25" s="14" t="s">
        <v>475</v>
      </c>
      <c r="V25" s="14" t="s">
        <v>475</v>
      </c>
      <c r="W25" s="15">
        <v>0.02</v>
      </c>
      <c r="X25" s="14" t="s">
        <v>475</v>
      </c>
      <c r="Y25" s="15">
        <v>0.01</v>
      </c>
      <c r="Z25" s="14" t="s">
        <v>475</v>
      </c>
      <c r="AA25" s="15">
        <v>0.02</v>
      </c>
      <c r="AB25" s="15">
        <v>0.01</v>
      </c>
      <c r="AC25" s="14" t="s">
        <v>475</v>
      </c>
      <c r="AD25" s="14" t="s">
        <v>475</v>
      </c>
      <c r="AE25" s="14" t="s">
        <v>475</v>
      </c>
      <c r="AF25" s="14" t="s">
        <v>475</v>
      </c>
      <c r="AG25" s="14" t="s">
        <v>475</v>
      </c>
      <c r="AH25" s="14" t="s">
        <v>475</v>
      </c>
      <c r="AI25" s="15">
        <v>0.01</v>
      </c>
      <c r="AJ25" s="14" t="s">
        <v>475</v>
      </c>
      <c r="AK25" s="14" t="s">
        <v>475</v>
      </c>
      <c r="AL25" s="14" t="s">
        <v>475</v>
      </c>
      <c r="AM25" s="14" t="s">
        <v>475</v>
      </c>
      <c r="AN25" s="14" t="s">
        <v>475</v>
      </c>
      <c r="AO25" s="15">
        <v>0.01</v>
      </c>
      <c r="AP25" s="14" t="s">
        <v>475</v>
      </c>
      <c r="AQ25" s="14" t="s">
        <v>475</v>
      </c>
    </row>
    <row r="26" spans="1:43" x14ac:dyDescent="0.35">
      <c r="A26" s="19"/>
      <c r="B26" s="11" t="s">
        <v>485</v>
      </c>
      <c r="C26" s="12">
        <v>52</v>
      </c>
      <c r="D26" s="12">
        <v>1</v>
      </c>
      <c r="E26" s="12">
        <v>7</v>
      </c>
      <c r="F26" s="12">
        <v>1</v>
      </c>
      <c r="G26" s="12">
        <v>0</v>
      </c>
      <c r="H26" s="12">
        <v>0</v>
      </c>
      <c r="I26" s="12">
        <v>1</v>
      </c>
      <c r="J26" s="12">
        <v>1</v>
      </c>
      <c r="K26" s="12">
        <v>1</v>
      </c>
      <c r="L26" s="12">
        <v>6</v>
      </c>
      <c r="M26" s="12">
        <v>12</v>
      </c>
      <c r="N26" s="12">
        <v>4</v>
      </c>
      <c r="O26" s="12">
        <v>1</v>
      </c>
      <c r="P26" s="12">
        <v>0</v>
      </c>
      <c r="Q26" s="12">
        <v>2</v>
      </c>
      <c r="R26" s="12">
        <v>1</v>
      </c>
      <c r="S26" s="12">
        <v>3</v>
      </c>
      <c r="T26" s="12">
        <v>12</v>
      </c>
      <c r="U26" s="12">
        <v>0</v>
      </c>
      <c r="V26" s="12">
        <v>0</v>
      </c>
      <c r="W26" s="12">
        <v>1</v>
      </c>
      <c r="X26" s="12">
        <v>0</v>
      </c>
      <c r="Y26" s="12">
        <v>2</v>
      </c>
      <c r="Z26" s="12">
        <v>1</v>
      </c>
      <c r="AA26" s="12">
        <v>4</v>
      </c>
      <c r="AB26" s="12">
        <v>3</v>
      </c>
      <c r="AC26" s="12">
        <v>0</v>
      </c>
      <c r="AD26" s="12">
        <v>3</v>
      </c>
      <c r="AE26" s="12">
        <v>4</v>
      </c>
      <c r="AF26" s="12">
        <v>1</v>
      </c>
      <c r="AG26" s="12">
        <v>7</v>
      </c>
      <c r="AH26" s="12">
        <v>16</v>
      </c>
      <c r="AI26" s="12">
        <v>0</v>
      </c>
      <c r="AJ26" s="12">
        <v>1</v>
      </c>
      <c r="AK26" s="12">
        <v>1</v>
      </c>
      <c r="AL26" s="12">
        <v>16</v>
      </c>
      <c r="AM26" s="12">
        <v>8</v>
      </c>
      <c r="AN26" s="12">
        <v>2</v>
      </c>
      <c r="AO26" s="12">
        <v>3</v>
      </c>
      <c r="AP26" s="12">
        <v>2</v>
      </c>
      <c r="AQ26" s="12">
        <v>37</v>
      </c>
    </row>
    <row r="27" spans="1:43" x14ac:dyDescent="0.35">
      <c r="A27" s="19"/>
      <c r="B27" s="13" t="s">
        <v>486</v>
      </c>
      <c r="C27" s="14" t="s">
        <v>475</v>
      </c>
      <c r="D27" s="14" t="s">
        <v>475</v>
      </c>
      <c r="E27" s="15">
        <v>0.01</v>
      </c>
      <c r="F27" s="14" t="s">
        <v>475</v>
      </c>
      <c r="G27" s="14" t="s">
        <v>475</v>
      </c>
      <c r="H27" s="14" t="s">
        <v>475</v>
      </c>
      <c r="I27" s="14" t="s">
        <v>475</v>
      </c>
      <c r="J27" s="14" t="s">
        <v>475</v>
      </c>
      <c r="K27" s="14" t="s">
        <v>475</v>
      </c>
      <c r="L27" s="15">
        <v>0.01</v>
      </c>
      <c r="M27" s="15">
        <v>0.01</v>
      </c>
      <c r="N27" s="14" t="s">
        <v>475</v>
      </c>
      <c r="O27" s="14" t="s">
        <v>475</v>
      </c>
      <c r="P27" s="14" t="s">
        <v>475</v>
      </c>
      <c r="Q27" s="14" t="s">
        <v>475</v>
      </c>
      <c r="R27" s="14" t="s">
        <v>475</v>
      </c>
      <c r="S27" s="14" t="s">
        <v>475</v>
      </c>
      <c r="T27" s="15">
        <v>0.01</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5">
        <v>0.01</v>
      </c>
      <c r="AH27" s="15">
        <v>0.02</v>
      </c>
      <c r="AI27" s="14" t="s">
        <v>475</v>
      </c>
      <c r="AJ27" s="14" t="s">
        <v>475</v>
      </c>
      <c r="AK27" s="14" t="s">
        <v>475</v>
      </c>
      <c r="AL27" s="15">
        <v>0.02</v>
      </c>
      <c r="AM27" s="15">
        <v>0.01</v>
      </c>
      <c r="AN27" s="14" t="s">
        <v>475</v>
      </c>
      <c r="AO27" s="14" t="s">
        <v>475</v>
      </c>
      <c r="AP27" s="14" t="s">
        <v>475</v>
      </c>
      <c r="AQ27" s="15">
        <v>0.04</v>
      </c>
    </row>
    <row r="28" spans="1:43" ht="21.5" x14ac:dyDescent="0.35">
      <c r="A28" s="19"/>
      <c r="B28" s="11" t="s">
        <v>1263</v>
      </c>
      <c r="C28" s="12">
        <v>7671</v>
      </c>
      <c r="D28" s="12">
        <v>277</v>
      </c>
      <c r="E28" s="12">
        <v>331</v>
      </c>
      <c r="F28" s="12">
        <v>435</v>
      </c>
      <c r="G28" s="12">
        <v>402</v>
      </c>
      <c r="H28" s="12">
        <v>346</v>
      </c>
      <c r="I28" s="12">
        <v>410</v>
      </c>
      <c r="J28" s="12">
        <v>64</v>
      </c>
      <c r="K28" s="12">
        <v>276</v>
      </c>
      <c r="L28" s="12">
        <v>469</v>
      </c>
      <c r="M28" s="12">
        <v>169</v>
      </c>
      <c r="N28" s="12">
        <v>265</v>
      </c>
      <c r="O28" s="12">
        <v>256</v>
      </c>
      <c r="P28" s="12">
        <v>338</v>
      </c>
      <c r="Q28" s="12">
        <v>259</v>
      </c>
      <c r="R28" s="12">
        <v>148</v>
      </c>
      <c r="S28" s="12">
        <v>363</v>
      </c>
      <c r="T28" s="12">
        <v>356</v>
      </c>
      <c r="U28" s="12">
        <v>149</v>
      </c>
      <c r="V28" s="12">
        <v>382</v>
      </c>
      <c r="W28" s="12">
        <v>215</v>
      </c>
      <c r="X28" s="12">
        <v>397</v>
      </c>
      <c r="Y28" s="12">
        <v>287</v>
      </c>
      <c r="Z28" s="12">
        <v>282</v>
      </c>
      <c r="AA28" s="12">
        <v>197</v>
      </c>
      <c r="AB28" s="12">
        <v>362</v>
      </c>
      <c r="AC28" s="12">
        <v>305</v>
      </c>
      <c r="AD28" s="12">
        <v>530</v>
      </c>
      <c r="AE28" s="12">
        <v>359</v>
      </c>
      <c r="AF28" s="12">
        <v>498</v>
      </c>
      <c r="AG28" s="12">
        <v>263</v>
      </c>
      <c r="AH28" s="12">
        <v>397</v>
      </c>
      <c r="AI28" s="12">
        <v>242</v>
      </c>
      <c r="AJ28" s="12">
        <v>313</v>
      </c>
      <c r="AK28" s="12">
        <v>291</v>
      </c>
      <c r="AL28" s="12">
        <v>289</v>
      </c>
      <c r="AM28" s="12">
        <v>410</v>
      </c>
      <c r="AN28" s="12">
        <v>317</v>
      </c>
      <c r="AO28" s="12">
        <v>321</v>
      </c>
      <c r="AP28" s="12">
        <v>78</v>
      </c>
      <c r="AQ28" s="12">
        <v>201</v>
      </c>
    </row>
    <row r="29" spans="1:43" x14ac:dyDescent="0.35">
      <c r="A29" s="19"/>
      <c r="B29" s="13" t="s">
        <v>1264</v>
      </c>
      <c r="C29" s="15">
        <v>0.28999999999999998</v>
      </c>
      <c r="D29" s="15">
        <v>0.27</v>
      </c>
      <c r="E29" s="15">
        <v>0.32</v>
      </c>
      <c r="F29" s="15">
        <v>0.39</v>
      </c>
      <c r="G29" s="15">
        <v>0.4</v>
      </c>
      <c r="H29" s="15">
        <v>0.28000000000000003</v>
      </c>
      <c r="I29" s="15">
        <v>0.27</v>
      </c>
      <c r="J29" s="15">
        <v>0.22</v>
      </c>
      <c r="K29" s="15">
        <v>0.28000000000000003</v>
      </c>
      <c r="L29" s="15">
        <v>0.47</v>
      </c>
      <c r="M29" s="15">
        <v>0.17</v>
      </c>
      <c r="N29" s="15">
        <v>0.26</v>
      </c>
      <c r="O29" s="15">
        <v>0.26</v>
      </c>
      <c r="P29" s="15">
        <v>0.34</v>
      </c>
      <c r="Q29" s="15">
        <v>0.25</v>
      </c>
      <c r="R29" s="15">
        <v>0.28999999999999998</v>
      </c>
      <c r="S29" s="15">
        <v>0.36</v>
      </c>
      <c r="T29" s="15">
        <v>0.35</v>
      </c>
      <c r="U29" s="15">
        <v>0.3</v>
      </c>
      <c r="V29" s="15">
        <v>0.38</v>
      </c>
      <c r="W29" s="15">
        <v>0.42</v>
      </c>
      <c r="X29" s="15">
        <v>0.39</v>
      </c>
      <c r="Y29" s="15">
        <v>0.28999999999999998</v>
      </c>
      <c r="Z29" s="15">
        <v>0.27</v>
      </c>
      <c r="AA29" s="15">
        <v>0.19</v>
      </c>
      <c r="AB29" s="15">
        <v>0.34</v>
      </c>
      <c r="AC29" s="15">
        <v>0.3</v>
      </c>
      <c r="AD29" s="15">
        <v>0.53</v>
      </c>
      <c r="AE29" s="15">
        <v>0.35</v>
      </c>
      <c r="AF29" s="15">
        <v>0.48</v>
      </c>
      <c r="AG29" s="15">
        <v>0.25</v>
      </c>
      <c r="AH29" s="15">
        <v>0.39</v>
      </c>
      <c r="AI29" s="15">
        <v>0.46</v>
      </c>
      <c r="AJ29" s="15">
        <v>0.3</v>
      </c>
      <c r="AK29" s="15">
        <v>0.28999999999999998</v>
      </c>
      <c r="AL29" s="15">
        <v>0.28999999999999998</v>
      </c>
      <c r="AM29" s="15">
        <v>0.39</v>
      </c>
      <c r="AN29" s="15">
        <v>0.32</v>
      </c>
      <c r="AO29" s="15">
        <v>0.32</v>
      </c>
      <c r="AP29" s="15">
        <v>0.15</v>
      </c>
      <c r="AQ29" s="15">
        <v>0.2</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1277</v>
      </c>
      <c r="C3" s="18"/>
      <c r="D3" s="18"/>
      <c r="E3" s="18"/>
      <c r="F3" s="18"/>
      <c r="H3" s="18" t="s">
        <v>1278</v>
      </c>
      <c r="I3" s="18"/>
      <c r="J3" s="18"/>
      <c r="K3" s="18"/>
      <c r="L3" s="18"/>
    </row>
    <row r="4" spans="1:43" ht="27" customHeight="1" x14ac:dyDescent="0.35">
      <c r="B4" s="18" t="s">
        <v>1279</v>
      </c>
      <c r="C4" s="18"/>
      <c r="D4" s="18"/>
      <c r="E4" s="18"/>
      <c r="F4" s="18"/>
      <c r="H4" s="18" t="s">
        <v>1280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4262</v>
      </c>
      <c r="D12" s="12">
        <v>219</v>
      </c>
      <c r="E12" s="12">
        <v>54</v>
      </c>
      <c r="F12" s="12">
        <v>126</v>
      </c>
      <c r="G12" s="12">
        <v>354</v>
      </c>
      <c r="H12" s="12">
        <v>280</v>
      </c>
      <c r="I12" s="12">
        <v>342</v>
      </c>
      <c r="J12" s="12">
        <v>63</v>
      </c>
      <c r="K12" s="12">
        <v>178</v>
      </c>
      <c r="L12" s="12">
        <v>149</v>
      </c>
      <c r="M12" s="12">
        <v>46</v>
      </c>
      <c r="N12" s="12">
        <v>88</v>
      </c>
      <c r="O12" s="12">
        <v>164</v>
      </c>
      <c r="P12" s="12">
        <v>140</v>
      </c>
      <c r="Q12" s="12">
        <v>137</v>
      </c>
      <c r="R12" s="12">
        <v>49</v>
      </c>
      <c r="S12" s="12">
        <v>59</v>
      </c>
      <c r="T12" s="12">
        <v>110</v>
      </c>
      <c r="U12" s="12">
        <v>169</v>
      </c>
      <c r="V12" s="12">
        <v>55</v>
      </c>
      <c r="W12" s="12">
        <v>69</v>
      </c>
      <c r="X12" s="12">
        <v>393</v>
      </c>
      <c r="Y12" s="12">
        <v>323</v>
      </c>
      <c r="Z12" s="12">
        <v>25</v>
      </c>
      <c r="AA12" s="12">
        <v>99</v>
      </c>
      <c r="AB12" s="12">
        <v>80</v>
      </c>
      <c r="AC12" s="12">
        <v>131</v>
      </c>
      <c r="AD12" s="12">
        <v>64</v>
      </c>
      <c r="AE12" s="12">
        <v>443</v>
      </c>
      <c r="AF12" s="12">
        <v>433</v>
      </c>
      <c r="AG12" s="12">
        <v>167</v>
      </c>
      <c r="AH12" s="12">
        <v>52</v>
      </c>
      <c r="AI12" s="12">
        <v>218</v>
      </c>
      <c r="AJ12" s="12">
        <v>101</v>
      </c>
      <c r="AK12" s="12">
        <v>42</v>
      </c>
      <c r="AL12" s="12">
        <v>65</v>
      </c>
      <c r="AM12" s="12">
        <v>143</v>
      </c>
      <c r="AN12" s="12">
        <v>50</v>
      </c>
      <c r="AO12" s="12">
        <v>125</v>
      </c>
      <c r="AP12" s="12">
        <v>119</v>
      </c>
      <c r="AQ12" s="12">
        <v>28</v>
      </c>
    </row>
    <row r="13" spans="1:43" x14ac:dyDescent="0.35">
      <c r="A13" s="19"/>
      <c r="B13" s="13" t="s">
        <v>1252</v>
      </c>
      <c r="C13" s="15">
        <v>0.16</v>
      </c>
      <c r="D13" s="15">
        <v>0.22</v>
      </c>
      <c r="E13" s="15">
        <v>0.05</v>
      </c>
      <c r="F13" s="15">
        <v>0.11</v>
      </c>
      <c r="G13" s="15">
        <v>0.35</v>
      </c>
      <c r="H13" s="15">
        <v>0.23</v>
      </c>
      <c r="I13" s="15">
        <v>0.23</v>
      </c>
      <c r="J13" s="15">
        <v>0.21</v>
      </c>
      <c r="K13" s="15">
        <v>0.18</v>
      </c>
      <c r="L13" s="15">
        <v>0.15</v>
      </c>
      <c r="M13" s="15">
        <v>0.05</v>
      </c>
      <c r="N13" s="15">
        <v>0.09</v>
      </c>
      <c r="O13" s="15">
        <v>0.16</v>
      </c>
      <c r="P13" s="15">
        <v>0.14000000000000001</v>
      </c>
      <c r="Q13" s="15">
        <v>0.13</v>
      </c>
      <c r="R13" s="15">
        <v>0.1</v>
      </c>
      <c r="S13" s="15">
        <v>0.06</v>
      </c>
      <c r="T13" s="15">
        <v>0.11</v>
      </c>
      <c r="U13" s="15">
        <v>0.33</v>
      </c>
      <c r="V13" s="15">
        <v>0.05</v>
      </c>
      <c r="W13" s="15">
        <v>0.14000000000000001</v>
      </c>
      <c r="X13" s="15">
        <v>0.39</v>
      </c>
      <c r="Y13" s="15">
        <v>0.32</v>
      </c>
      <c r="Z13" s="15">
        <v>0.03</v>
      </c>
      <c r="AA13" s="15">
        <v>0.1</v>
      </c>
      <c r="AB13" s="15">
        <v>0.08</v>
      </c>
      <c r="AC13" s="15">
        <v>0.13</v>
      </c>
      <c r="AD13" s="15">
        <v>0.06</v>
      </c>
      <c r="AE13" s="15">
        <v>0.44</v>
      </c>
      <c r="AF13" s="15">
        <v>0.41</v>
      </c>
      <c r="AG13" s="15">
        <v>0.16</v>
      </c>
      <c r="AH13" s="15">
        <v>0.05</v>
      </c>
      <c r="AI13" s="15">
        <v>0.41</v>
      </c>
      <c r="AJ13" s="15">
        <v>0.1</v>
      </c>
      <c r="AK13" s="15">
        <v>0.04</v>
      </c>
      <c r="AL13" s="15">
        <v>0.06</v>
      </c>
      <c r="AM13" s="15">
        <v>0.14000000000000001</v>
      </c>
      <c r="AN13" s="15">
        <v>0.05</v>
      </c>
      <c r="AO13" s="15">
        <v>0.12</v>
      </c>
      <c r="AP13" s="15">
        <v>0.23</v>
      </c>
      <c r="AQ13" s="15">
        <v>0.03</v>
      </c>
    </row>
    <row r="14" spans="1:43" ht="21.5" x14ac:dyDescent="0.35">
      <c r="A14" s="19"/>
      <c r="B14" s="11" t="s">
        <v>1253</v>
      </c>
      <c r="C14" s="12">
        <v>3571</v>
      </c>
      <c r="D14" s="12">
        <v>158</v>
      </c>
      <c r="E14" s="12">
        <v>115</v>
      </c>
      <c r="F14" s="12">
        <v>119</v>
      </c>
      <c r="G14" s="12">
        <v>92</v>
      </c>
      <c r="H14" s="12">
        <v>219</v>
      </c>
      <c r="I14" s="12">
        <v>252</v>
      </c>
      <c r="J14" s="12">
        <v>33</v>
      </c>
      <c r="K14" s="12">
        <v>133</v>
      </c>
      <c r="L14" s="12">
        <v>154</v>
      </c>
      <c r="M14" s="12">
        <v>76</v>
      </c>
      <c r="N14" s="12">
        <v>142</v>
      </c>
      <c r="O14" s="12">
        <v>104</v>
      </c>
      <c r="P14" s="12">
        <v>107</v>
      </c>
      <c r="Q14" s="12">
        <v>161</v>
      </c>
      <c r="R14" s="12">
        <v>35</v>
      </c>
      <c r="S14" s="12">
        <v>122</v>
      </c>
      <c r="T14" s="12">
        <v>168</v>
      </c>
      <c r="U14" s="12">
        <v>83</v>
      </c>
      <c r="V14" s="12">
        <v>89</v>
      </c>
      <c r="W14" s="12">
        <v>24</v>
      </c>
      <c r="X14" s="12">
        <v>134</v>
      </c>
      <c r="Y14" s="12">
        <v>190</v>
      </c>
      <c r="Z14" s="12">
        <v>96</v>
      </c>
      <c r="AA14" s="12">
        <v>253</v>
      </c>
      <c r="AB14" s="12">
        <v>111</v>
      </c>
      <c r="AC14" s="12">
        <v>144</v>
      </c>
      <c r="AD14" s="12">
        <v>127</v>
      </c>
      <c r="AE14" s="12">
        <v>145</v>
      </c>
      <c r="AF14" s="12">
        <v>120</v>
      </c>
      <c r="AG14" s="12">
        <v>135</v>
      </c>
      <c r="AH14" s="12">
        <v>81</v>
      </c>
      <c r="AI14" s="12">
        <v>46</v>
      </c>
      <c r="AJ14" s="12">
        <v>88</v>
      </c>
      <c r="AK14" s="12">
        <v>63</v>
      </c>
      <c r="AL14" s="12">
        <v>73</v>
      </c>
      <c r="AM14" s="12">
        <v>139</v>
      </c>
      <c r="AN14" s="12">
        <v>90</v>
      </c>
      <c r="AO14" s="12">
        <v>57</v>
      </c>
      <c r="AP14" s="12">
        <v>102</v>
      </c>
      <c r="AQ14" s="12">
        <v>64</v>
      </c>
    </row>
    <row r="15" spans="1:43" x14ac:dyDescent="0.35">
      <c r="A15" s="19"/>
      <c r="B15" s="13" t="s">
        <v>1254</v>
      </c>
      <c r="C15" s="15">
        <v>0.14000000000000001</v>
      </c>
      <c r="D15" s="15">
        <v>0.16</v>
      </c>
      <c r="E15" s="15">
        <v>0.11</v>
      </c>
      <c r="F15" s="15">
        <v>0.11</v>
      </c>
      <c r="G15" s="15">
        <v>0.09</v>
      </c>
      <c r="H15" s="15">
        <v>0.18</v>
      </c>
      <c r="I15" s="15">
        <v>0.17</v>
      </c>
      <c r="J15" s="15">
        <v>0.11</v>
      </c>
      <c r="K15" s="15">
        <v>0.13</v>
      </c>
      <c r="L15" s="15">
        <v>0.16</v>
      </c>
      <c r="M15" s="15">
        <v>7.0000000000000007E-2</v>
      </c>
      <c r="N15" s="15">
        <v>0.14000000000000001</v>
      </c>
      <c r="O15" s="15">
        <v>0.1</v>
      </c>
      <c r="P15" s="15">
        <v>0.11</v>
      </c>
      <c r="Q15" s="15">
        <v>0.16</v>
      </c>
      <c r="R15" s="15">
        <v>7.0000000000000007E-2</v>
      </c>
      <c r="S15" s="15">
        <v>0.12</v>
      </c>
      <c r="T15" s="15">
        <v>0.17</v>
      </c>
      <c r="U15" s="15">
        <v>0.17</v>
      </c>
      <c r="V15" s="15">
        <v>0.09</v>
      </c>
      <c r="W15" s="15">
        <v>0.05</v>
      </c>
      <c r="X15" s="15">
        <v>0.13</v>
      </c>
      <c r="Y15" s="15">
        <v>0.19</v>
      </c>
      <c r="Z15" s="15">
        <v>0.1</v>
      </c>
      <c r="AA15" s="15">
        <v>0.24</v>
      </c>
      <c r="AB15" s="15">
        <v>0.1</v>
      </c>
      <c r="AC15" s="15">
        <v>0.14000000000000001</v>
      </c>
      <c r="AD15" s="15">
        <v>0.13</v>
      </c>
      <c r="AE15" s="15">
        <v>0.14000000000000001</v>
      </c>
      <c r="AF15" s="15">
        <v>0.12</v>
      </c>
      <c r="AG15" s="15">
        <v>0.13</v>
      </c>
      <c r="AH15" s="15">
        <v>0.08</v>
      </c>
      <c r="AI15" s="15">
        <v>0.09</v>
      </c>
      <c r="AJ15" s="15">
        <v>0.08</v>
      </c>
      <c r="AK15" s="15">
        <v>0.06</v>
      </c>
      <c r="AL15" s="15">
        <v>7.0000000000000007E-2</v>
      </c>
      <c r="AM15" s="15">
        <v>0.13</v>
      </c>
      <c r="AN15" s="15">
        <v>0.09</v>
      </c>
      <c r="AO15" s="15">
        <v>0.06</v>
      </c>
      <c r="AP15" s="15">
        <v>0.2</v>
      </c>
      <c r="AQ15" s="15">
        <v>0.06</v>
      </c>
    </row>
    <row r="16" spans="1:43" ht="21.5" x14ac:dyDescent="0.35">
      <c r="A16" s="19"/>
      <c r="B16" s="11" t="s">
        <v>1255</v>
      </c>
      <c r="C16" s="12">
        <v>2869</v>
      </c>
      <c r="D16" s="12">
        <v>117</v>
      </c>
      <c r="E16" s="12">
        <v>97</v>
      </c>
      <c r="F16" s="12">
        <v>184</v>
      </c>
      <c r="G16" s="12">
        <v>82</v>
      </c>
      <c r="H16" s="12">
        <v>112</v>
      </c>
      <c r="I16" s="12">
        <v>154</v>
      </c>
      <c r="J16" s="12">
        <v>42</v>
      </c>
      <c r="K16" s="12">
        <v>128</v>
      </c>
      <c r="L16" s="12">
        <v>143</v>
      </c>
      <c r="M16" s="12">
        <v>86</v>
      </c>
      <c r="N16" s="12">
        <v>95</v>
      </c>
      <c r="O16" s="12">
        <v>106</v>
      </c>
      <c r="P16" s="12">
        <v>105</v>
      </c>
      <c r="Q16" s="12">
        <v>129</v>
      </c>
      <c r="R16" s="12">
        <v>40</v>
      </c>
      <c r="S16" s="12">
        <v>94</v>
      </c>
      <c r="T16" s="12">
        <v>164</v>
      </c>
      <c r="U16" s="12">
        <v>54</v>
      </c>
      <c r="V16" s="12">
        <v>89</v>
      </c>
      <c r="W16" s="12">
        <v>20</v>
      </c>
      <c r="X16" s="12">
        <v>125</v>
      </c>
      <c r="Y16" s="12">
        <v>137</v>
      </c>
      <c r="Z16" s="12">
        <v>104</v>
      </c>
      <c r="AA16" s="12">
        <v>120</v>
      </c>
      <c r="AB16" s="12">
        <v>74</v>
      </c>
      <c r="AC16" s="12">
        <v>118</v>
      </c>
      <c r="AD16" s="12">
        <v>175</v>
      </c>
      <c r="AE16" s="12">
        <v>131</v>
      </c>
      <c r="AF16" s="12">
        <v>123</v>
      </c>
      <c r="AG16" s="12">
        <v>137</v>
      </c>
      <c r="AH16" s="12">
        <v>61</v>
      </c>
      <c r="AI16" s="12">
        <v>33</v>
      </c>
      <c r="AJ16" s="12">
        <v>60</v>
      </c>
      <c r="AK16" s="12">
        <v>50</v>
      </c>
      <c r="AL16" s="12">
        <v>88</v>
      </c>
      <c r="AM16" s="12">
        <v>114</v>
      </c>
      <c r="AN16" s="12">
        <v>86</v>
      </c>
      <c r="AO16" s="12">
        <v>17</v>
      </c>
      <c r="AP16" s="12">
        <v>80</v>
      </c>
      <c r="AQ16" s="12">
        <v>60</v>
      </c>
    </row>
    <row r="17" spans="1:43" x14ac:dyDescent="0.35">
      <c r="A17" s="19"/>
      <c r="B17" s="13" t="s">
        <v>1256</v>
      </c>
      <c r="C17" s="15">
        <v>0.11</v>
      </c>
      <c r="D17" s="15">
        <v>0.11</v>
      </c>
      <c r="E17" s="15">
        <v>0.1</v>
      </c>
      <c r="F17" s="15">
        <v>0.17</v>
      </c>
      <c r="G17" s="15">
        <v>0.08</v>
      </c>
      <c r="H17" s="15">
        <v>0.09</v>
      </c>
      <c r="I17" s="15">
        <v>0.1</v>
      </c>
      <c r="J17" s="15">
        <v>0.14000000000000001</v>
      </c>
      <c r="K17" s="15">
        <v>0.13</v>
      </c>
      <c r="L17" s="15">
        <v>0.14000000000000001</v>
      </c>
      <c r="M17" s="15">
        <v>0.09</v>
      </c>
      <c r="N17" s="15">
        <v>0.09</v>
      </c>
      <c r="O17" s="15">
        <v>0.11</v>
      </c>
      <c r="P17" s="15">
        <v>0.1</v>
      </c>
      <c r="Q17" s="15">
        <v>0.13</v>
      </c>
      <c r="R17" s="15">
        <v>0.08</v>
      </c>
      <c r="S17" s="15">
        <v>0.1</v>
      </c>
      <c r="T17" s="15">
        <v>0.16</v>
      </c>
      <c r="U17" s="15">
        <v>0.11</v>
      </c>
      <c r="V17" s="15">
        <v>0.09</v>
      </c>
      <c r="W17" s="15">
        <v>0.04</v>
      </c>
      <c r="X17" s="15">
        <v>0.13</v>
      </c>
      <c r="Y17" s="15">
        <v>0.14000000000000001</v>
      </c>
      <c r="Z17" s="15">
        <v>0.1</v>
      </c>
      <c r="AA17" s="15">
        <v>0.12</v>
      </c>
      <c r="AB17" s="15">
        <v>7.0000000000000007E-2</v>
      </c>
      <c r="AC17" s="15">
        <v>0.12</v>
      </c>
      <c r="AD17" s="15">
        <v>0.18</v>
      </c>
      <c r="AE17" s="15">
        <v>0.13</v>
      </c>
      <c r="AF17" s="15">
        <v>0.12</v>
      </c>
      <c r="AG17" s="15">
        <v>0.13</v>
      </c>
      <c r="AH17" s="15">
        <v>0.06</v>
      </c>
      <c r="AI17" s="15">
        <v>0.06</v>
      </c>
      <c r="AJ17" s="15">
        <v>0.06</v>
      </c>
      <c r="AK17" s="15">
        <v>0.05</v>
      </c>
      <c r="AL17" s="15">
        <v>0.09</v>
      </c>
      <c r="AM17" s="15">
        <v>0.11</v>
      </c>
      <c r="AN17" s="15">
        <v>0.09</v>
      </c>
      <c r="AO17" s="15">
        <v>0.02</v>
      </c>
      <c r="AP17" s="15">
        <v>0.15</v>
      </c>
      <c r="AQ17" s="15">
        <v>0.06</v>
      </c>
    </row>
    <row r="18" spans="1:43" x14ac:dyDescent="0.35">
      <c r="A18" s="19"/>
      <c r="B18" s="11" t="s">
        <v>1257</v>
      </c>
      <c r="C18" s="12">
        <v>1906</v>
      </c>
      <c r="D18" s="12">
        <v>48</v>
      </c>
      <c r="E18" s="12">
        <v>75</v>
      </c>
      <c r="F18" s="12">
        <v>96</v>
      </c>
      <c r="G18" s="12">
        <v>28</v>
      </c>
      <c r="H18" s="12">
        <v>60</v>
      </c>
      <c r="I18" s="12">
        <v>77</v>
      </c>
      <c r="J18" s="12">
        <v>17</v>
      </c>
      <c r="K18" s="12">
        <v>76</v>
      </c>
      <c r="L18" s="12">
        <v>31</v>
      </c>
      <c r="M18" s="12">
        <v>73</v>
      </c>
      <c r="N18" s="12">
        <v>75</v>
      </c>
      <c r="O18" s="12">
        <v>66</v>
      </c>
      <c r="P18" s="12">
        <v>76</v>
      </c>
      <c r="Q18" s="12">
        <v>89</v>
      </c>
      <c r="R18" s="12">
        <v>28</v>
      </c>
      <c r="S18" s="12">
        <v>103</v>
      </c>
      <c r="T18" s="12">
        <v>45</v>
      </c>
      <c r="U18" s="12">
        <v>23</v>
      </c>
      <c r="V18" s="12">
        <v>96</v>
      </c>
      <c r="W18" s="12">
        <v>14</v>
      </c>
      <c r="X18" s="12">
        <v>53</v>
      </c>
      <c r="Y18" s="12">
        <v>62</v>
      </c>
      <c r="Z18" s="12">
        <v>117</v>
      </c>
      <c r="AA18" s="12">
        <v>77</v>
      </c>
      <c r="AB18" s="12">
        <v>75</v>
      </c>
      <c r="AC18" s="12">
        <v>61</v>
      </c>
      <c r="AD18" s="12">
        <v>120</v>
      </c>
      <c r="AE18" s="12">
        <v>90</v>
      </c>
      <c r="AF18" s="12">
        <v>96</v>
      </c>
      <c r="AG18" s="12">
        <v>121</v>
      </c>
      <c r="AH18" s="12">
        <v>44</v>
      </c>
      <c r="AI18" s="12">
        <v>45</v>
      </c>
      <c r="AJ18" s="12">
        <v>82</v>
      </c>
      <c r="AK18" s="12">
        <v>25</v>
      </c>
      <c r="AL18" s="12">
        <v>54</v>
      </c>
      <c r="AM18" s="12">
        <v>82</v>
      </c>
      <c r="AN18" s="12">
        <v>79</v>
      </c>
      <c r="AO18" s="12">
        <v>16</v>
      </c>
      <c r="AP18" s="12">
        <v>38</v>
      </c>
      <c r="AQ18" s="12">
        <v>34</v>
      </c>
    </row>
    <row r="19" spans="1:43" x14ac:dyDescent="0.35">
      <c r="A19" s="19"/>
      <c r="B19" s="13" t="s">
        <v>1258</v>
      </c>
      <c r="C19" s="15">
        <v>7.0000000000000007E-2</v>
      </c>
      <c r="D19" s="15">
        <v>0.05</v>
      </c>
      <c r="E19" s="15">
        <v>7.0000000000000007E-2</v>
      </c>
      <c r="F19" s="15">
        <v>0.09</v>
      </c>
      <c r="G19" s="15">
        <v>0.03</v>
      </c>
      <c r="H19" s="15">
        <v>0.05</v>
      </c>
      <c r="I19" s="15">
        <v>0.05</v>
      </c>
      <c r="J19" s="15">
        <v>0.06</v>
      </c>
      <c r="K19" s="15">
        <v>0.08</v>
      </c>
      <c r="L19" s="15">
        <v>0.03</v>
      </c>
      <c r="M19" s="15">
        <v>7.0000000000000007E-2</v>
      </c>
      <c r="N19" s="15">
        <v>0.08</v>
      </c>
      <c r="O19" s="15">
        <v>7.0000000000000007E-2</v>
      </c>
      <c r="P19" s="15">
        <v>0.08</v>
      </c>
      <c r="Q19" s="15">
        <v>0.09</v>
      </c>
      <c r="R19" s="15">
        <v>0.05</v>
      </c>
      <c r="S19" s="15">
        <v>0.1</v>
      </c>
      <c r="T19" s="15">
        <v>0.05</v>
      </c>
      <c r="U19" s="15">
        <v>0.04</v>
      </c>
      <c r="V19" s="15">
        <v>0.09</v>
      </c>
      <c r="W19" s="15">
        <v>0.03</v>
      </c>
      <c r="X19" s="15">
        <v>0.05</v>
      </c>
      <c r="Y19" s="15">
        <v>0.06</v>
      </c>
      <c r="Z19" s="15">
        <v>0.11</v>
      </c>
      <c r="AA19" s="15">
        <v>7.0000000000000007E-2</v>
      </c>
      <c r="AB19" s="15">
        <v>7.0000000000000007E-2</v>
      </c>
      <c r="AC19" s="15">
        <v>0.06</v>
      </c>
      <c r="AD19" s="15">
        <v>0.12</v>
      </c>
      <c r="AE19" s="15">
        <v>0.09</v>
      </c>
      <c r="AF19" s="15">
        <v>0.09</v>
      </c>
      <c r="AG19" s="15">
        <v>0.12</v>
      </c>
      <c r="AH19" s="15">
        <v>0.04</v>
      </c>
      <c r="AI19" s="15">
        <v>0.09</v>
      </c>
      <c r="AJ19" s="15">
        <v>0.08</v>
      </c>
      <c r="AK19" s="15">
        <v>0.03</v>
      </c>
      <c r="AL19" s="15">
        <v>0.05</v>
      </c>
      <c r="AM19" s="15">
        <v>0.08</v>
      </c>
      <c r="AN19" s="15">
        <v>0.08</v>
      </c>
      <c r="AO19" s="15">
        <v>0.01</v>
      </c>
      <c r="AP19" s="15">
        <v>7.0000000000000007E-2</v>
      </c>
      <c r="AQ19" s="15">
        <v>0.03</v>
      </c>
    </row>
    <row r="20" spans="1:43" x14ac:dyDescent="0.35">
      <c r="A20" s="19"/>
      <c r="B20" s="11" t="s">
        <v>1259</v>
      </c>
      <c r="C20" s="12">
        <v>4805</v>
      </c>
      <c r="D20" s="12">
        <v>231</v>
      </c>
      <c r="E20" s="12">
        <v>209</v>
      </c>
      <c r="F20" s="12">
        <v>249</v>
      </c>
      <c r="G20" s="12">
        <v>140</v>
      </c>
      <c r="H20" s="12">
        <v>232</v>
      </c>
      <c r="I20" s="12">
        <v>305</v>
      </c>
      <c r="J20" s="12">
        <v>73</v>
      </c>
      <c r="K20" s="12">
        <v>275</v>
      </c>
      <c r="L20" s="12">
        <v>201</v>
      </c>
      <c r="M20" s="12">
        <v>330</v>
      </c>
      <c r="N20" s="12">
        <v>181</v>
      </c>
      <c r="O20" s="12">
        <v>147</v>
      </c>
      <c r="P20" s="12">
        <v>264</v>
      </c>
      <c r="Q20" s="12">
        <v>167</v>
      </c>
      <c r="R20" s="12">
        <v>75</v>
      </c>
      <c r="S20" s="12">
        <v>173</v>
      </c>
      <c r="T20" s="12">
        <v>160</v>
      </c>
      <c r="U20" s="12">
        <v>76</v>
      </c>
      <c r="V20" s="12">
        <v>140</v>
      </c>
      <c r="W20" s="12">
        <v>88</v>
      </c>
      <c r="X20" s="12">
        <v>133</v>
      </c>
      <c r="Y20" s="12">
        <v>135</v>
      </c>
      <c r="Z20" s="12">
        <v>208</v>
      </c>
      <c r="AA20" s="12">
        <v>189</v>
      </c>
      <c r="AB20" s="12">
        <v>222</v>
      </c>
      <c r="AC20" s="12">
        <v>233</v>
      </c>
      <c r="AD20" s="12">
        <v>213</v>
      </c>
      <c r="AE20" s="12">
        <v>103</v>
      </c>
      <c r="AF20" s="12">
        <v>159</v>
      </c>
      <c r="AG20" s="12">
        <v>232</v>
      </c>
      <c r="AH20" s="12">
        <v>160</v>
      </c>
      <c r="AI20" s="12">
        <v>124</v>
      </c>
      <c r="AJ20" s="12">
        <v>263</v>
      </c>
      <c r="AK20" s="12">
        <v>106</v>
      </c>
      <c r="AL20" s="12">
        <v>99</v>
      </c>
      <c r="AM20" s="12">
        <v>191</v>
      </c>
      <c r="AN20" s="12">
        <v>223</v>
      </c>
      <c r="AO20" s="12">
        <v>59</v>
      </c>
      <c r="AP20" s="12">
        <v>48</v>
      </c>
      <c r="AQ20" s="12">
        <v>62</v>
      </c>
    </row>
    <row r="21" spans="1:43" x14ac:dyDescent="0.35">
      <c r="A21" s="19"/>
      <c r="B21" s="13" t="s">
        <v>1260</v>
      </c>
      <c r="C21" s="15">
        <v>0.18</v>
      </c>
      <c r="D21" s="15">
        <v>0.23</v>
      </c>
      <c r="E21" s="15">
        <v>0.21</v>
      </c>
      <c r="F21" s="15">
        <v>0.23</v>
      </c>
      <c r="G21" s="15">
        <v>0.14000000000000001</v>
      </c>
      <c r="H21" s="15">
        <v>0.19</v>
      </c>
      <c r="I21" s="15">
        <v>0.2</v>
      </c>
      <c r="J21" s="15">
        <v>0.25</v>
      </c>
      <c r="K21" s="15">
        <v>0.27</v>
      </c>
      <c r="L21" s="15">
        <v>0.2</v>
      </c>
      <c r="M21" s="15">
        <v>0.33</v>
      </c>
      <c r="N21" s="15">
        <v>0.18</v>
      </c>
      <c r="O21" s="15">
        <v>0.15</v>
      </c>
      <c r="P21" s="15">
        <v>0.26</v>
      </c>
      <c r="Q21" s="15">
        <v>0.16</v>
      </c>
      <c r="R21" s="15">
        <v>0.15</v>
      </c>
      <c r="S21" s="15">
        <v>0.17</v>
      </c>
      <c r="T21" s="15">
        <v>0.16</v>
      </c>
      <c r="U21" s="15">
        <v>0.15</v>
      </c>
      <c r="V21" s="15">
        <v>0.14000000000000001</v>
      </c>
      <c r="W21" s="15">
        <v>0.17</v>
      </c>
      <c r="X21" s="15">
        <v>0.13</v>
      </c>
      <c r="Y21" s="15">
        <v>0.14000000000000001</v>
      </c>
      <c r="Z21" s="15">
        <v>0.2</v>
      </c>
      <c r="AA21" s="15">
        <v>0.18</v>
      </c>
      <c r="AB21" s="15">
        <v>0.21</v>
      </c>
      <c r="AC21" s="15">
        <v>0.23</v>
      </c>
      <c r="AD21" s="15">
        <v>0.21</v>
      </c>
      <c r="AE21" s="15">
        <v>0.1</v>
      </c>
      <c r="AF21" s="15">
        <v>0.15</v>
      </c>
      <c r="AG21" s="15">
        <v>0.23</v>
      </c>
      <c r="AH21" s="15">
        <v>0.16</v>
      </c>
      <c r="AI21" s="15">
        <v>0.24</v>
      </c>
      <c r="AJ21" s="15">
        <v>0.25</v>
      </c>
      <c r="AK21" s="15">
        <v>0.11</v>
      </c>
      <c r="AL21" s="15">
        <v>0.1</v>
      </c>
      <c r="AM21" s="15">
        <v>0.18</v>
      </c>
      <c r="AN21" s="15">
        <v>0.22</v>
      </c>
      <c r="AO21" s="15">
        <v>0.06</v>
      </c>
      <c r="AP21" s="15">
        <v>0.09</v>
      </c>
      <c r="AQ21" s="15">
        <v>0.06</v>
      </c>
    </row>
    <row r="22" spans="1:43" x14ac:dyDescent="0.35">
      <c r="A22" s="19"/>
      <c r="B22" s="11" t="s">
        <v>500</v>
      </c>
      <c r="C22" s="12">
        <v>8971</v>
      </c>
      <c r="D22" s="12">
        <v>238</v>
      </c>
      <c r="E22" s="12">
        <v>475</v>
      </c>
      <c r="F22" s="12">
        <v>322</v>
      </c>
      <c r="G22" s="12">
        <v>310</v>
      </c>
      <c r="H22" s="12">
        <v>317</v>
      </c>
      <c r="I22" s="12">
        <v>384</v>
      </c>
      <c r="J22" s="12">
        <v>67</v>
      </c>
      <c r="K22" s="12">
        <v>210</v>
      </c>
      <c r="L22" s="12">
        <v>322</v>
      </c>
      <c r="M22" s="12">
        <v>398</v>
      </c>
      <c r="N22" s="12">
        <v>419</v>
      </c>
      <c r="O22" s="12">
        <v>412</v>
      </c>
      <c r="P22" s="12">
        <v>312</v>
      </c>
      <c r="Q22" s="12">
        <v>343</v>
      </c>
      <c r="R22" s="12">
        <v>275</v>
      </c>
      <c r="S22" s="12">
        <v>448</v>
      </c>
      <c r="T22" s="12">
        <v>355</v>
      </c>
      <c r="U22" s="12">
        <v>99</v>
      </c>
      <c r="V22" s="12">
        <v>544</v>
      </c>
      <c r="W22" s="12">
        <v>277</v>
      </c>
      <c r="X22" s="12">
        <v>171</v>
      </c>
      <c r="Y22" s="12">
        <v>155</v>
      </c>
      <c r="Z22" s="12">
        <v>477</v>
      </c>
      <c r="AA22" s="12">
        <v>286</v>
      </c>
      <c r="AB22" s="12">
        <v>481</v>
      </c>
      <c r="AC22" s="12">
        <v>317</v>
      </c>
      <c r="AD22" s="12">
        <v>305</v>
      </c>
      <c r="AE22" s="12">
        <v>99</v>
      </c>
      <c r="AF22" s="12">
        <v>112</v>
      </c>
      <c r="AG22" s="12">
        <v>241</v>
      </c>
      <c r="AH22" s="12">
        <v>609</v>
      </c>
      <c r="AI22" s="12">
        <v>56</v>
      </c>
      <c r="AJ22" s="12">
        <v>443</v>
      </c>
      <c r="AK22" s="12">
        <v>718</v>
      </c>
      <c r="AL22" s="12">
        <v>623</v>
      </c>
      <c r="AM22" s="12">
        <v>362</v>
      </c>
      <c r="AN22" s="12">
        <v>472</v>
      </c>
      <c r="AO22" s="12">
        <v>711</v>
      </c>
      <c r="AP22" s="12">
        <v>137</v>
      </c>
      <c r="AQ22" s="12">
        <v>737</v>
      </c>
    </row>
    <row r="23" spans="1:43" x14ac:dyDescent="0.35">
      <c r="A23" s="19"/>
      <c r="B23" s="13" t="s">
        <v>501</v>
      </c>
      <c r="C23" s="15">
        <v>0.34</v>
      </c>
      <c r="D23" s="15">
        <v>0.23</v>
      </c>
      <c r="E23" s="15">
        <v>0.46</v>
      </c>
      <c r="F23" s="15">
        <v>0.28999999999999998</v>
      </c>
      <c r="G23" s="15">
        <v>0.31</v>
      </c>
      <c r="H23" s="15">
        <v>0.26</v>
      </c>
      <c r="I23" s="15">
        <v>0.25</v>
      </c>
      <c r="J23" s="15">
        <v>0.23</v>
      </c>
      <c r="K23" s="15">
        <v>0.21</v>
      </c>
      <c r="L23" s="15">
        <v>0.32</v>
      </c>
      <c r="M23" s="15">
        <v>0.39</v>
      </c>
      <c r="N23" s="15">
        <v>0.42</v>
      </c>
      <c r="O23" s="15">
        <v>0.41</v>
      </c>
      <c r="P23" s="15">
        <v>0.31</v>
      </c>
      <c r="Q23" s="15">
        <v>0.33</v>
      </c>
      <c r="R23" s="15">
        <v>0.55000000000000004</v>
      </c>
      <c r="S23" s="15">
        <v>0.45</v>
      </c>
      <c r="T23" s="15">
        <v>0.35</v>
      </c>
      <c r="U23" s="15">
        <v>0.2</v>
      </c>
      <c r="V23" s="15">
        <v>0.54</v>
      </c>
      <c r="W23" s="15">
        <v>0.54</v>
      </c>
      <c r="X23" s="15">
        <v>0.17</v>
      </c>
      <c r="Y23" s="15">
        <v>0.15</v>
      </c>
      <c r="Z23" s="15">
        <v>0.46</v>
      </c>
      <c r="AA23" s="15">
        <v>0.28000000000000003</v>
      </c>
      <c r="AB23" s="15">
        <v>0.46</v>
      </c>
      <c r="AC23" s="15">
        <v>0.32</v>
      </c>
      <c r="AD23" s="15">
        <v>0.3</v>
      </c>
      <c r="AE23" s="15">
        <v>0.1</v>
      </c>
      <c r="AF23" s="15">
        <v>0.11</v>
      </c>
      <c r="AG23" s="15">
        <v>0.23</v>
      </c>
      <c r="AH23" s="15">
        <v>0.6</v>
      </c>
      <c r="AI23" s="15">
        <v>0.11</v>
      </c>
      <c r="AJ23" s="15">
        <v>0.43</v>
      </c>
      <c r="AK23" s="15">
        <v>0.71</v>
      </c>
      <c r="AL23" s="15">
        <v>0.62</v>
      </c>
      <c r="AM23" s="15">
        <v>0.35</v>
      </c>
      <c r="AN23" s="15">
        <v>0.47</v>
      </c>
      <c r="AO23" s="15">
        <v>0.71</v>
      </c>
      <c r="AP23" s="15">
        <v>0.26</v>
      </c>
      <c r="AQ23" s="15">
        <v>0.74</v>
      </c>
    </row>
    <row r="24" spans="1:43" ht="21.5" x14ac:dyDescent="0.35">
      <c r="A24" s="19"/>
      <c r="B24" s="11" t="s">
        <v>1261</v>
      </c>
      <c r="C24" s="12">
        <v>41</v>
      </c>
      <c r="D24" s="12">
        <v>0</v>
      </c>
      <c r="E24" s="12">
        <v>2</v>
      </c>
      <c r="F24" s="12">
        <v>5</v>
      </c>
      <c r="G24" s="12">
        <v>1</v>
      </c>
      <c r="H24" s="12">
        <v>2</v>
      </c>
      <c r="I24" s="12">
        <v>2</v>
      </c>
      <c r="J24" s="12">
        <v>1</v>
      </c>
      <c r="K24" s="12">
        <v>2</v>
      </c>
      <c r="L24" s="12">
        <v>0</v>
      </c>
      <c r="M24" s="12">
        <v>0</v>
      </c>
      <c r="N24" s="12">
        <v>0</v>
      </c>
      <c r="O24" s="12">
        <v>2</v>
      </c>
      <c r="P24" s="12">
        <v>0</v>
      </c>
      <c r="Q24" s="12">
        <v>2</v>
      </c>
      <c r="R24" s="12">
        <v>2</v>
      </c>
      <c r="S24" s="12">
        <v>3</v>
      </c>
      <c r="T24" s="12">
        <v>0</v>
      </c>
      <c r="U24" s="12">
        <v>0</v>
      </c>
      <c r="V24" s="12">
        <v>2</v>
      </c>
      <c r="W24" s="12">
        <v>17</v>
      </c>
      <c r="X24" s="12">
        <v>0</v>
      </c>
      <c r="Y24" s="12">
        <v>1</v>
      </c>
      <c r="Z24" s="12">
        <v>1</v>
      </c>
      <c r="AA24" s="12">
        <v>7</v>
      </c>
      <c r="AB24" s="12">
        <v>6</v>
      </c>
      <c r="AC24" s="12">
        <v>0</v>
      </c>
      <c r="AD24" s="12">
        <v>0</v>
      </c>
      <c r="AE24" s="12">
        <v>0</v>
      </c>
      <c r="AF24" s="12">
        <v>0</v>
      </c>
      <c r="AG24" s="12">
        <v>2</v>
      </c>
      <c r="AH24" s="12">
        <v>0</v>
      </c>
      <c r="AI24" s="12">
        <v>0</v>
      </c>
      <c r="AJ24" s="12">
        <v>1</v>
      </c>
      <c r="AK24" s="12">
        <v>1</v>
      </c>
      <c r="AL24" s="12">
        <v>0</v>
      </c>
      <c r="AM24" s="12">
        <v>1</v>
      </c>
      <c r="AN24" s="12">
        <v>1</v>
      </c>
      <c r="AO24" s="12">
        <v>14</v>
      </c>
      <c r="AP24" s="12">
        <v>0</v>
      </c>
      <c r="AQ24" s="12">
        <v>4</v>
      </c>
    </row>
    <row r="25" spans="1:43" ht="21.5" x14ac:dyDescent="0.35">
      <c r="A25" s="19"/>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5">
        <v>0.03</v>
      </c>
      <c r="X25" s="14" t="s">
        <v>475</v>
      </c>
      <c r="Y25" s="14" t="s">
        <v>475</v>
      </c>
      <c r="Z25" s="14" t="s">
        <v>475</v>
      </c>
      <c r="AA25" s="15">
        <v>0.01</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5">
        <v>0.01</v>
      </c>
      <c r="AP25" s="14" t="s">
        <v>475</v>
      </c>
      <c r="AQ25" s="15">
        <v>0.01</v>
      </c>
    </row>
    <row r="26" spans="1:43" x14ac:dyDescent="0.35">
      <c r="A26" s="19"/>
      <c r="B26" s="11" t="s">
        <v>485</v>
      </c>
      <c r="C26" s="12">
        <v>21</v>
      </c>
      <c r="D26" s="12">
        <v>2</v>
      </c>
      <c r="E26" s="12">
        <v>3</v>
      </c>
      <c r="F26" s="12">
        <v>0</v>
      </c>
      <c r="G26" s="12">
        <v>0</v>
      </c>
      <c r="H26" s="12">
        <v>0</v>
      </c>
      <c r="I26" s="12">
        <v>0</v>
      </c>
      <c r="J26" s="12">
        <v>0</v>
      </c>
      <c r="K26" s="12">
        <v>0</v>
      </c>
      <c r="L26" s="12">
        <v>2</v>
      </c>
      <c r="M26" s="12">
        <v>1</v>
      </c>
      <c r="N26" s="12">
        <v>3</v>
      </c>
      <c r="O26" s="12">
        <v>0</v>
      </c>
      <c r="P26" s="12">
        <v>0</v>
      </c>
      <c r="Q26" s="12">
        <v>0</v>
      </c>
      <c r="R26" s="12">
        <v>0</v>
      </c>
      <c r="S26" s="12">
        <v>1</v>
      </c>
      <c r="T26" s="12">
        <v>2</v>
      </c>
      <c r="U26" s="12">
        <v>0</v>
      </c>
      <c r="V26" s="12">
        <v>0</v>
      </c>
      <c r="W26" s="12">
        <v>0</v>
      </c>
      <c r="X26" s="12">
        <v>0</v>
      </c>
      <c r="Y26" s="12">
        <v>0</v>
      </c>
      <c r="Z26" s="12">
        <v>3</v>
      </c>
      <c r="AA26" s="12">
        <v>1</v>
      </c>
      <c r="AB26" s="12">
        <v>2</v>
      </c>
      <c r="AC26" s="12">
        <v>0</v>
      </c>
      <c r="AD26" s="12">
        <v>0</v>
      </c>
      <c r="AE26" s="12">
        <v>0</v>
      </c>
      <c r="AF26" s="12">
        <v>0</v>
      </c>
      <c r="AG26" s="12">
        <v>0</v>
      </c>
      <c r="AH26" s="12">
        <v>6</v>
      </c>
      <c r="AI26" s="12">
        <v>0</v>
      </c>
      <c r="AJ26" s="12">
        <v>0</v>
      </c>
      <c r="AK26" s="12">
        <v>0</v>
      </c>
      <c r="AL26" s="12">
        <v>10</v>
      </c>
      <c r="AM26" s="12">
        <v>7</v>
      </c>
      <c r="AN26" s="12">
        <v>2</v>
      </c>
      <c r="AO26" s="12">
        <v>6</v>
      </c>
      <c r="AP26" s="12">
        <v>0</v>
      </c>
      <c r="AQ26" s="12">
        <v>12</v>
      </c>
    </row>
    <row r="27" spans="1:43" x14ac:dyDescent="0.35">
      <c r="A27" s="19"/>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5">
        <v>0.01</v>
      </c>
      <c r="AI27" s="14" t="s">
        <v>475</v>
      </c>
      <c r="AJ27" s="14" t="s">
        <v>475</v>
      </c>
      <c r="AK27" s="14" t="s">
        <v>475</v>
      </c>
      <c r="AL27" s="15">
        <v>0.01</v>
      </c>
      <c r="AM27" s="15">
        <v>0.01</v>
      </c>
      <c r="AN27" s="14" t="s">
        <v>475</v>
      </c>
      <c r="AO27" s="15">
        <v>0.01</v>
      </c>
      <c r="AP27" s="14" t="s">
        <v>475</v>
      </c>
      <c r="AQ27" s="15">
        <v>0.01</v>
      </c>
    </row>
    <row r="28" spans="1:43" ht="21.5" x14ac:dyDescent="0.35">
      <c r="A28" s="19"/>
      <c r="B28" s="11" t="s">
        <v>1263</v>
      </c>
      <c r="C28" s="12">
        <v>10703</v>
      </c>
      <c r="D28" s="12">
        <v>494</v>
      </c>
      <c r="E28" s="12">
        <v>265</v>
      </c>
      <c r="F28" s="12">
        <v>430</v>
      </c>
      <c r="G28" s="12">
        <v>528</v>
      </c>
      <c r="H28" s="12">
        <v>610</v>
      </c>
      <c r="I28" s="12">
        <v>748</v>
      </c>
      <c r="J28" s="12">
        <v>137</v>
      </c>
      <c r="K28" s="12">
        <v>438</v>
      </c>
      <c r="L28" s="12">
        <v>446</v>
      </c>
      <c r="M28" s="12">
        <v>208</v>
      </c>
      <c r="N28" s="12">
        <v>324</v>
      </c>
      <c r="O28" s="12">
        <v>374</v>
      </c>
      <c r="P28" s="12">
        <v>352</v>
      </c>
      <c r="Q28" s="12">
        <v>427</v>
      </c>
      <c r="R28" s="12">
        <v>124</v>
      </c>
      <c r="S28" s="12">
        <v>275</v>
      </c>
      <c r="T28" s="12">
        <v>443</v>
      </c>
      <c r="U28" s="12">
        <v>306</v>
      </c>
      <c r="V28" s="12">
        <v>233</v>
      </c>
      <c r="W28" s="12">
        <v>112</v>
      </c>
      <c r="X28" s="12">
        <v>652</v>
      </c>
      <c r="Y28" s="12">
        <v>651</v>
      </c>
      <c r="Z28" s="12">
        <v>225</v>
      </c>
      <c r="AA28" s="12">
        <v>473</v>
      </c>
      <c r="AB28" s="12">
        <v>266</v>
      </c>
      <c r="AC28" s="12">
        <v>392</v>
      </c>
      <c r="AD28" s="12">
        <v>366</v>
      </c>
      <c r="AE28" s="12">
        <v>719</v>
      </c>
      <c r="AF28" s="12">
        <v>676</v>
      </c>
      <c r="AG28" s="12">
        <v>439</v>
      </c>
      <c r="AH28" s="12">
        <v>195</v>
      </c>
      <c r="AI28" s="12">
        <v>297</v>
      </c>
      <c r="AJ28" s="12">
        <v>248</v>
      </c>
      <c r="AK28" s="12">
        <v>156</v>
      </c>
      <c r="AL28" s="12">
        <v>226</v>
      </c>
      <c r="AM28" s="12">
        <v>397</v>
      </c>
      <c r="AN28" s="12">
        <v>226</v>
      </c>
      <c r="AO28" s="12">
        <v>199</v>
      </c>
      <c r="AP28" s="12">
        <v>301</v>
      </c>
      <c r="AQ28" s="12">
        <v>153</v>
      </c>
    </row>
    <row r="29" spans="1:43" x14ac:dyDescent="0.35">
      <c r="A29" s="19"/>
      <c r="B29" s="13" t="s">
        <v>1264</v>
      </c>
      <c r="C29" s="15">
        <v>0.4</v>
      </c>
      <c r="D29" s="15">
        <v>0.49</v>
      </c>
      <c r="E29" s="15">
        <v>0.26</v>
      </c>
      <c r="F29" s="15">
        <v>0.39</v>
      </c>
      <c r="G29" s="15">
        <v>0.52</v>
      </c>
      <c r="H29" s="15">
        <v>0.5</v>
      </c>
      <c r="I29" s="15">
        <v>0.49</v>
      </c>
      <c r="J29" s="15">
        <v>0.46</v>
      </c>
      <c r="K29" s="15">
        <v>0.44</v>
      </c>
      <c r="L29" s="15">
        <v>0.45</v>
      </c>
      <c r="M29" s="15">
        <v>0.21</v>
      </c>
      <c r="N29" s="15">
        <v>0.32</v>
      </c>
      <c r="O29" s="15">
        <v>0.37</v>
      </c>
      <c r="P29" s="15">
        <v>0.35</v>
      </c>
      <c r="Q29" s="15">
        <v>0.42</v>
      </c>
      <c r="R29" s="15">
        <v>0.25</v>
      </c>
      <c r="S29" s="15">
        <v>0.27</v>
      </c>
      <c r="T29" s="15">
        <v>0.44</v>
      </c>
      <c r="U29" s="15">
        <v>0.61</v>
      </c>
      <c r="V29" s="15">
        <v>0.23</v>
      </c>
      <c r="W29" s="15">
        <v>0.22</v>
      </c>
      <c r="X29" s="15">
        <v>0.65</v>
      </c>
      <c r="Y29" s="15">
        <v>0.65</v>
      </c>
      <c r="Z29" s="15">
        <v>0.22</v>
      </c>
      <c r="AA29" s="15">
        <v>0.46</v>
      </c>
      <c r="AB29" s="15">
        <v>0.25</v>
      </c>
      <c r="AC29" s="15">
        <v>0.39</v>
      </c>
      <c r="AD29" s="15">
        <v>0.36</v>
      </c>
      <c r="AE29" s="15">
        <v>0.71</v>
      </c>
      <c r="AF29" s="15">
        <v>0.65</v>
      </c>
      <c r="AG29" s="15">
        <v>0.42</v>
      </c>
      <c r="AH29" s="15">
        <v>0.19</v>
      </c>
      <c r="AI29" s="15">
        <v>0.56999999999999995</v>
      </c>
      <c r="AJ29" s="15">
        <v>0.24</v>
      </c>
      <c r="AK29" s="15">
        <v>0.15</v>
      </c>
      <c r="AL29" s="15">
        <v>0.22</v>
      </c>
      <c r="AM29" s="15">
        <v>0.38</v>
      </c>
      <c r="AN29" s="15">
        <v>0.23</v>
      </c>
      <c r="AO29" s="15">
        <v>0.2</v>
      </c>
      <c r="AP29" s="15">
        <v>0.56999999999999995</v>
      </c>
      <c r="AQ29" s="15">
        <v>0.15</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1281</v>
      </c>
      <c r="C3" s="18"/>
      <c r="D3" s="18"/>
      <c r="E3" s="18"/>
      <c r="F3" s="18"/>
      <c r="H3" s="18" t="s">
        <v>1282</v>
      </c>
      <c r="I3" s="18"/>
      <c r="J3" s="18"/>
      <c r="K3" s="18"/>
      <c r="L3" s="18"/>
    </row>
    <row r="4" spans="1:43" ht="27" customHeight="1" x14ac:dyDescent="0.35">
      <c r="B4" s="18" t="s">
        <v>1283</v>
      </c>
      <c r="C4" s="18"/>
      <c r="D4" s="18"/>
      <c r="E4" s="18"/>
      <c r="F4" s="18"/>
      <c r="H4" s="18" t="s">
        <v>1284</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11905</v>
      </c>
      <c r="D12" s="12">
        <v>416</v>
      </c>
      <c r="E12" s="12">
        <v>334</v>
      </c>
      <c r="F12" s="12">
        <v>547</v>
      </c>
      <c r="G12" s="12">
        <v>666</v>
      </c>
      <c r="H12" s="12">
        <v>540</v>
      </c>
      <c r="I12" s="12">
        <v>657</v>
      </c>
      <c r="J12" s="12">
        <v>117</v>
      </c>
      <c r="K12" s="12">
        <v>614</v>
      </c>
      <c r="L12" s="12">
        <v>567</v>
      </c>
      <c r="M12" s="12">
        <v>524</v>
      </c>
      <c r="N12" s="12">
        <v>490</v>
      </c>
      <c r="O12" s="12">
        <v>391</v>
      </c>
      <c r="P12" s="12">
        <v>487</v>
      </c>
      <c r="Q12" s="12">
        <v>478</v>
      </c>
      <c r="R12" s="12">
        <v>253</v>
      </c>
      <c r="S12" s="12">
        <v>549</v>
      </c>
      <c r="T12" s="12">
        <v>632</v>
      </c>
      <c r="U12" s="12">
        <v>322</v>
      </c>
      <c r="V12" s="12">
        <v>496</v>
      </c>
      <c r="W12" s="12">
        <v>331</v>
      </c>
      <c r="X12" s="12">
        <v>616</v>
      </c>
      <c r="Y12" s="12">
        <v>423</v>
      </c>
      <c r="Z12" s="12">
        <v>377</v>
      </c>
      <c r="AA12" s="12">
        <v>376</v>
      </c>
      <c r="AB12" s="12">
        <v>260</v>
      </c>
      <c r="AC12" s="12">
        <v>526</v>
      </c>
      <c r="AD12" s="12">
        <v>412</v>
      </c>
      <c r="AE12" s="12">
        <v>761</v>
      </c>
      <c r="AF12" s="12">
        <v>741</v>
      </c>
      <c r="AG12" s="12">
        <v>468</v>
      </c>
      <c r="AH12" s="12">
        <v>387</v>
      </c>
      <c r="AI12" s="12">
        <v>325</v>
      </c>
      <c r="AJ12" s="12">
        <v>520</v>
      </c>
      <c r="AK12" s="12">
        <v>519</v>
      </c>
      <c r="AL12" s="12">
        <v>513</v>
      </c>
      <c r="AM12" s="12">
        <v>470</v>
      </c>
      <c r="AN12" s="12">
        <v>507</v>
      </c>
      <c r="AO12" s="12">
        <v>619</v>
      </c>
      <c r="AP12" s="12">
        <v>333</v>
      </c>
      <c r="AQ12" s="12">
        <v>483</v>
      </c>
    </row>
    <row r="13" spans="1:43" x14ac:dyDescent="0.35">
      <c r="A13" s="19"/>
      <c r="B13" s="13" t="s">
        <v>1252</v>
      </c>
      <c r="C13" s="15">
        <v>0.45</v>
      </c>
      <c r="D13" s="15">
        <v>0.41</v>
      </c>
      <c r="E13" s="15">
        <v>0.32</v>
      </c>
      <c r="F13" s="15">
        <v>0.5</v>
      </c>
      <c r="G13" s="15">
        <v>0.66</v>
      </c>
      <c r="H13" s="15">
        <v>0.44</v>
      </c>
      <c r="I13" s="15">
        <v>0.43</v>
      </c>
      <c r="J13" s="15">
        <v>0.4</v>
      </c>
      <c r="K13" s="15">
        <v>0.61</v>
      </c>
      <c r="L13" s="15">
        <v>0.57000000000000006</v>
      </c>
      <c r="M13" s="15">
        <v>0.52</v>
      </c>
      <c r="N13" s="15">
        <v>0.49</v>
      </c>
      <c r="O13" s="15">
        <v>0.39</v>
      </c>
      <c r="P13" s="15">
        <v>0.49</v>
      </c>
      <c r="Q13" s="15">
        <v>0.47</v>
      </c>
      <c r="R13" s="15">
        <v>0.5</v>
      </c>
      <c r="S13" s="15">
        <v>0.55000000000000004</v>
      </c>
      <c r="T13" s="15">
        <v>0.63</v>
      </c>
      <c r="U13" s="15">
        <v>0.64</v>
      </c>
      <c r="V13" s="15">
        <v>0.49</v>
      </c>
      <c r="W13" s="15">
        <v>0.65</v>
      </c>
      <c r="X13" s="15">
        <v>0.61</v>
      </c>
      <c r="Y13" s="15">
        <v>0.42</v>
      </c>
      <c r="Z13" s="15">
        <v>0.37</v>
      </c>
      <c r="AA13" s="15">
        <v>0.36</v>
      </c>
      <c r="AB13" s="15">
        <v>0.25</v>
      </c>
      <c r="AC13" s="15">
        <v>0.52</v>
      </c>
      <c r="AD13" s="15">
        <v>0.41</v>
      </c>
      <c r="AE13" s="15">
        <v>0.75</v>
      </c>
      <c r="AF13" s="15">
        <v>0.71</v>
      </c>
      <c r="AG13" s="15">
        <v>0.45</v>
      </c>
      <c r="AH13" s="15">
        <v>0.38</v>
      </c>
      <c r="AI13" s="15">
        <v>0.62</v>
      </c>
      <c r="AJ13" s="15">
        <v>0.5</v>
      </c>
      <c r="AK13" s="15">
        <v>0.52</v>
      </c>
      <c r="AL13" s="15">
        <v>0.51</v>
      </c>
      <c r="AM13" s="15">
        <v>0.45</v>
      </c>
      <c r="AN13" s="15">
        <v>0.51</v>
      </c>
      <c r="AO13" s="15">
        <v>0.62</v>
      </c>
      <c r="AP13" s="15">
        <v>0.63</v>
      </c>
      <c r="AQ13" s="15">
        <v>0.48</v>
      </c>
    </row>
    <row r="14" spans="1:43" ht="21.5" x14ac:dyDescent="0.35">
      <c r="A14" s="19"/>
      <c r="B14" s="11" t="s">
        <v>1253</v>
      </c>
      <c r="C14" s="12">
        <v>5141</v>
      </c>
      <c r="D14" s="12">
        <v>204</v>
      </c>
      <c r="E14" s="12">
        <v>260</v>
      </c>
      <c r="F14" s="12">
        <v>178</v>
      </c>
      <c r="G14" s="12">
        <v>134</v>
      </c>
      <c r="H14" s="12">
        <v>212</v>
      </c>
      <c r="I14" s="12">
        <v>279</v>
      </c>
      <c r="J14" s="12">
        <v>67</v>
      </c>
      <c r="K14" s="12">
        <v>147</v>
      </c>
      <c r="L14" s="12">
        <v>187</v>
      </c>
      <c r="M14" s="12">
        <v>164</v>
      </c>
      <c r="N14" s="12">
        <v>190</v>
      </c>
      <c r="O14" s="12">
        <v>202</v>
      </c>
      <c r="P14" s="12">
        <v>199</v>
      </c>
      <c r="Q14" s="12">
        <v>202</v>
      </c>
      <c r="R14" s="12">
        <v>106</v>
      </c>
      <c r="S14" s="12">
        <v>150</v>
      </c>
      <c r="T14" s="12">
        <v>153</v>
      </c>
      <c r="U14" s="12">
        <v>86</v>
      </c>
      <c r="V14" s="12">
        <v>249</v>
      </c>
      <c r="W14" s="12">
        <v>67</v>
      </c>
      <c r="X14" s="12">
        <v>163</v>
      </c>
      <c r="Y14" s="12">
        <v>195</v>
      </c>
      <c r="Z14" s="12">
        <v>260</v>
      </c>
      <c r="AA14" s="12">
        <v>243</v>
      </c>
      <c r="AB14" s="12">
        <v>223</v>
      </c>
      <c r="AC14" s="12">
        <v>166</v>
      </c>
      <c r="AD14" s="12">
        <v>227</v>
      </c>
      <c r="AE14" s="12">
        <v>101</v>
      </c>
      <c r="AF14" s="12">
        <v>111</v>
      </c>
      <c r="AG14" s="12">
        <v>274</v>
      </c>
      <c r="AH14" s="12">
        <v>198</v>
      </c>
      <c r="AI14" s="12">
        <v>81</v>
      </c>
      <c r="AJ14" s="12">
        <v>162</v>
      </c>
      <c r="AK14" s="12">
        <v>238</v>
      </c>
      <c r="AL14" s="12">
        <v>158</v>
      </c>
      <c r="AM14" s="12">
        <v>187</v>
      </c>
      <c r="AN14" s="12">
        <v>164</v>
      </c>
      <c r="AO14" s="12">
        <v>150</v>
      </c>
      <c r="AP14" s="12">
        <v>74</v>
      </c>
      <c r="AQ14" s="12">
        <v>202</v>
      </c>
    </row>
    <row r="15" spans="1:43" x14ac:dyDescent="0.35">
      <c r="A15" s="19"/>
      <c r="B15" s="13" t="s">
        <v>1254</v>
      </c>
      <c r="C15" s="15">
        <v>0.19</v>
      </c>
      <c r="D15" s="15">
        <v>0.2</v>
      </c>
      <c r="E15" s="15">
        <v>0.25</v>
      </c>
      <c r="F15" s="15">
        <v>0.16</v>
      </c>
      <c r="G15" s="15">
        <v>0.13</v>
      </c>
      <c r="H15" s="15">
        <v>0.17</v>
      </c>
      <c r="I15" s="15">
        <v>0.18</v>
      </c>
      <c r="J15" s="15">
        <v>0.23</v>
      </c>
      <c r="K15" s="15">
        <v>0.15</v>
      </c>
      <c r="L15" s="15">
        <v>0.19</v>
      </c>
      <c r="M15" s="15">
        <v>0.16</v>
      </c>
      <c r="N15" s="15">
        <v>0.19</v>
      </c>
      <c r="O15" s="15">
        <v>0.2</v>
      </c>
      <c r="P15" s="15">
        <v>0.2</v>
      </c>
      <c r="Q15" s="15">
        <v>0.2</v>
      </c>
      <c r="R15" s="15">
        <v>0.21</v>
      </c>
      <c r="S15" s="15">
        <v>0.15</v>
      </c>
      <c r="T15" s="15">
        <v>0.15</v>
      </c>
      <c r="U15" s="15">
        <v>0.17</v>
      </c>
      <c r="V15" s="15">
        <v>0.24</v>
      </c>
      <c r="W15" s="15">
        <v>0.13</v>
      </c>
      <c r="X15" s="15">
        <v>0.16</v>
      </c>
      <c r="Y15" s="15">
        <v>0.2</v>
      </c>
      <c r="Z15" s="15">
        <v>0.25</v>
      </c>
      <c r="AA15" s="15">
        <v>0.24</v>
      </c>
      <c r="AB15" s="15">
        <v>0.21</v>
      </c>
      <c r="AC15" s="15">
        <v>0.17</v>
      </c>
      <c r="AD15" s="15">
        <v>0.23</v>
      </c>
      <c r="AE15" s="15">
        <v>0.1</v>
      </c>
      <c r="AF15" s="15">
        <v>0.1</v>
      </c>
      <c r="AG15" s="15">
        <v>0.27</v>
      </c>
      <c r="AH15" s="15">
        <v>0.2</v>
      </c>
      <c r="AI15" s="15">
        <v>0.16</v>
      </c>
      <c r="AJ15" s="15">
        <v>0.16</v>
      </c>
      <c r="AK15" s="15">
        <v>0.24</v>
      </c>
      <c r="AL15" s="15">
        <v>0.16</v>
      </c>
      <c r="AM15" s="15">
        <v>0.18</v>
      </c>
      <c r="AN15" s="15">
        <v>0.16</v>
      </c>
      <c r="AO15" s="15">
        <v>0.15</v>
      </c>
      <c r="AP15" s="15">
        <v>0.14000000000000001</v>
      </c>
      <c r="AQ15" s="15">
        <v>0.2</v>
      </c>
    </row>
    <row r="16" spans="1:43" ht="21.5" x14ac:dyDescent="0.35">
      <c r="A16" s="19"/>
      <c r="B16" s="11" t="s">
        <v>1255</v>
      </c>
      <c r="C16" s="12">
        <v>1923</v>
      </c>
      <c r="D16" s="12">
        <v>83</v>
      </c>
      <c r="E16" s="12">
        <v>102</v>
      </c>
      <c r="F16" s="12">
        <v>82</v>
      </c>
      <c r="G16" s="12">
        <v>55</v>
      </c>
      <c r="H16" s="12">
        <v>70</v>
      </c>
      <c r="I16" s="12">
        <v>90</v>
      </c>
      <c r="J16" s="12">
        <v>19</v>
      </c>
      <c r="K16" s="12">
        <v>55</v>
      </c>
      <c r="L16" s="12">
        <v>62</v>
      </c>
      <c r="M16" s="12">
        <v>60</v>
      </c>
      <c r="N16" s="12">
        <v>55</v>
      </c>
      <c r="O16" s="12">
        <v>83</v>
      </c>
      <c r="P16" s="12">
        <v>62</v>
      </c>
      <c r="Q16" s="12">
        <v>68</v>
      </c>
      <c r="R16" s="12">
        <v>23</v>
      </c>
      <c r="S16" s="12">
        <v>68</v>
      </c>
      <c r="T16" s="12">
        <v>36</v>
      </c>
      <c r="U16" s="12">
        <v>23</v>
      </c>
      <c r="V16" s="12">
        <v>59</v>
      </c>
      <c r="W16" s="12">
        <v>18</v>
      </c>
      <c r="X16" s="12">
        <v>92</v>
      </c>
      <c r="Y16" s="12">
        <v>67</v>
      </c>
      <c r="Z16" s="12">
        <v>117</v>
      </c>
      <c r="AA16" s="12">
        <v>69</v>
      </c>
      <c r="AB16" s="12">
        <v>109</v>
      </c>
      <c r="AC16" s="12">
        <v>55</v>
      </c>
      <c r="AD16" s="12">
        <v>108</v>
      </c>
      <c r="AE16" s="12">
        <v>39</v>
      </c>
      <c r="AF16" s="12">
        <v>61</v>
      </c>
      <c r="AG16" s="12">
        <v>100</v>
      </c>
      <c r="AH16" s="12">
        <v>94</v>
      </c>
      <c r="AI16" s="12">
        <v>18</v>
      </c>
      <c r="AJ16" s="12">
        <v>39</v>
      </c>
      <c r="AK16" s="12">
        <v>39</v>
      </c>
      <c r="AL16" s="12">
        <v>52</v>
      </c>
      <c r="AM16" s="12">
        <v>87</v>
      </c>
      <c r="AN16" s="12">
        <v>65</v>
      </c>
      <c r="AO16" s="12">
        <v>42</v>
      </c>
      <c r="AP16" s="12">
        <v>41</v>
      </c>
      <c r="AQ16" s="12">
        <v>70</v>
      </c>
    </row>
    <row r="17" spans="1:43" x14ac:dyDescent="0.35">
      <c r="A17" s="19"/>
      <c r="B17" s="13" t="s">
        <v>1256</v>
      </c>
      <c r="C17" s="15">
        <v>7.0000000000000007E-2</v>
      </c>
      <c r="D17" s="15">
        <v>0.08</v>
      </c>
      <c r="E17" s="15">
        <v>0.1</v>
      </c>
      <c r="F17" s="15">
        <v>7.0000000000000007E-2</v>
      </c>
      <c r="G17" s="15">
        <v>0.06</v>
      </c>
      <c r="H17" s="15">
        <v>0.06</v>
      </c>
      <c r="I17" s="15">
        <v>0.06</v>
      </c>
      <c r="J17" s="15">
        <v>0.06</v>
      </c>
      <c r="K17" s="15">
        <v>0.06</v>
      </c>
      <c r="L17" s="15">
        <v>0.06</v>
      </c>
      <c r="M17" s="15">
        <v>0.06</v>
      </c>
      <c r="N17" s="15">
        <v>0.06</v>
      </c>
      <c r="O17" s="15">
        <v>0.08</v>
      </c>
      <c r="P17" s="15">
        <v>0.06</v>
      </c>
      <c r="Q17" s="15">
        <v>7.0000000000000007E-2</v>
      </c>
      <c r="R17" s="15">
        <v>0.05</v>
      </c>
      <c r="S17" s="15">
        <v>7.0000000000000007E-2</v>
      </c>
      <c r="T17" s="15">
        <v>0.04</v>
      </c>
      <c r="U17" s="15">
        <v>0.05</v>
      </c>
      <c r="V17" s="15">
        <v>0.06</v>
      </c>
      <c r="W17" s="15">
        <v>0.03</v>
      </c>
      <c r="X17" s="15">
        <v>0.09</v>
      </c>
      <c r="Y17" s="15">
        <v>7.0000000000000007E-2</v>
      </c>
      <c r="Z17" s="15">
        <v>0.11</v>
      </c>
      <c r="AA17" s="15">
        <v>7.0000000000000007E-2</v>
      </c>
      <c r="AB17" s="15">
        <v>0.1</v>
      </c>
      <c r="AC17" s="15">
        <v>0.05</v>
      </c>
      <c r="AD17" s="15">
        <v>0.11</v>
      </c>
      <c r="AE17" s="15">
        <v>0.04</v>
      </c>
      <c r="AF17" s="15">
        <v>0.06</v>
      </c>
      <c r="AG17" s="15">
        <v>0.1</v>
      </c>
      <c r="AH17" s="15">
        <v>0.09</v>
      </c>
      <c r="AI17" s="15">
        <v>0.03</v>
      </c>
      <c r="AJ17" s="15">
        <v>0.04</v>
      </c>
      <c r="AK17" s="15">
        <v>0.04</v>
      </c>
      <c r="AL17" s="15">
        <v>0.05</v>
      </c>
      <c r="AM17" s="15">
        <v>0.09</v>
      </c>
      <c r="AN17" s="15">
        <v>7.0000000000000007E-2</v>
      </c>
      <c r="AO17" s="15">
        <v>0.04</v>
      </c>
      <c r="AP17" s="15">
        <v>0.08</v>
      </c>
      <c r="AQ17" s="15">
        <v>7.0000000000000007E-2</v>
      </c>
    </row>
    <row r="18" spans="1:43" x14ac:dyDescent="0.35">
      <c r="A18" s="19"/>
      <c r="B18" s="11" t="s">
        <v>1257</v>
      </c>
      <c r="C18" s="12">
        <v>828</v>
      </c>
      <c r="D18" s="12">
        <v>37</v>
      </c>
      <c r="E18" s="12">
        <v>29</v>
      </c>
      <c r="F18" s="12">
        <v>38</v>
      </c>
      <c r="G18" s="12">
        <v>27</v>
      </c>
      <c r="H18" s="12">
        <v>37</v>
      </c>
      <c r="I18" s="12">
        <v>42</v>
      </c>
      <c r="J18" s="12">
        <v>5</v>
      </c>
      <c r="K18" s="12">
        <v>25</v>
      </c>
      <c r="L18" s="12">
        <v>15</v>
      </c>
      <c r="M18" s="12">
        <v>15</v>
      </c>
      <c r="N18" s="12">
        <v>22</v>
      </c>
      <c r="O18" s="12">
        <v>30</v>
      </c>
      <c r="P18" s="12">
        <v>25</v>
      </c>
      <c r="Q18" s="12">
        <v>40</v>
      </c>
      <c r="R18" s="12">
        <v>17</v>
      </c>
      <c r="S18" s="12">
        <v>40</v>
      </c>
      <c r="T18" s="12">
        <v>10</v>
      </c>
      <c r="U18" s="12">
        <v>7</v>
      </c>
      <c r="V18" s="12">
        <v>22</v>
      </c>
      <c r="W18" s="12">
        <v>9</v>
      </c>
      <c r="X18" s="12">
        <v>34</v>
      </c>
      <c r="Y18" s="12">
        <v>47</v>
      </c>
      <c r="Z18" s="12">
        <v>38</v>
      </c>
      <c r="AA18" s="12">
        <v>22</v>
      </c>
      <c r="AB18" s="12">
        <v>65</v>
      </c>
      <c r="AC18" s="12">
        <v>15</v>
      </c>
      <c r="AD18" s="12">
        <v>34</v>
      </c>
      <c r="AE18" s="12">
        <v>23</v>
      </c>
      <c r="AF18" s="12">
        <v>40</v>
      </c>
      <c r="AG18" s="12">
        <v>47</v>
      </c>
      <c r="AH18" s="12">
        <v>46</v>
      </c>
      <c r="AI18" s="12">
        <v>17</v>
      </c>
      <c r="AJ18" s="12">
        <v>17</v>
      </c>
      <c r="AK18" s="12">
        <v>13</v>
      </c>
      <c r="AL18" s="12">
        <v>23</v>
      </c>
      <c r="AM18" s="12">
        <v>45</v>
      </c>
      <c r="AN18" s="12">
        <v>40</v>
      </c>
      <c r="AO18" s="12">
        <v>15</v>
      </c>
      <c r="AP18" s="12">
        <v>26</v>
      </c>
      <c r="AQ18" s="12">
        <v>29</v>
      </c>
    </row>
    <row r="19" spans="1:43" x14ac:dyDescent="0.35">
      <c r="A19" s="19"/>
      <c r="B19" s="13" t="s">
        <v>1258</v>
      </c>
      <c r="C19" s="15">
        <v>0.03</v>
      </c>
      <c r="D19" s="15">
        <v>0.04</v>
      </c>
      <c r="E19" s="15">
        <v>0.03</v>
      </c>
      <c r="F19" s="15">
        <v>0.03</v>
      </c>
      <c r="G19" s="15">
        <v>0.03</v>
      </c>
      <c r="H19" s="15">
        <v>0.03</v>
      </c>
      <c r="I19" s="15">
        <v>0.03</v>
      </c>
      <c r="J19" s="15">
        <v>0.02</v>
      </c>
      <c r="K19" s="15">
        <v>0.03</v>
      </c>
      <c r="L19" s="15">
        <v>0.01</v>
      </c>
      <c r="M19" s="15">
        <v>0.01</v>
      </c>
      <c r="N19" s="15">
        <v>0.02</v>
      </c>
      <c r="O19" s="15">
        <v>0.03</v>
      </c>
      <c r="P19" s="15">
        <v>0.02</v>
      </c>
      <c r="Q19" s="15">
        <v>0.04</v>
      </c>
      <c r="R19" s="15">
        <v>0.03</v>
      </c>
      <c r="S19" s="15">
        <v>0.04</v>
      </c>
      <c r="T19" s="15">
        <v>0.01</v>
      </c>
      <c r="U19" s="15">
        <v>0.01</v>
      </c>
      <c r="V19" s="15">
        <v>0.02</v>
      </c>
      <c r="W19" s="15">
        <v>0.02</v>
      </c>
      <c r="X19" s="15">
        <v>0.03</v>
      </c>
      <c r="Y19" s="15">
        <v>0.05</v>
      </c>
      <c r="Z19" s="15">
        <v>0.04</v>
      </c>
      <c r="AA19" s="15">
        <v>0.02</v>
      </c>
      <c r="AB19" s="15">
        <v>0.06</v>
      </c>
      <c r="AC19" s="15">
        <v>0.02</v>
      </c>
      <c r="AD19" s="15">
        <v>0.03</v>
      </c>
      <c r="AE19" s="15">
        <v>0.02</v>
      </c>
      <c r="AF19" s="15">
        <v>0.04</v>
      </c>
      <c r="AG19" s="15">
        <v>0.04</v>
      </c>
      <c r="AH19" s="15">
        <v>0.05</v>
      </c>
      <c r="AI19" s="15">
        <v>0.03</v>
      </c>
      <c r="AJ19" s="15">
        <v>0.01</v>
      </c>
      <c r="AK19" s="15">
        <v>0.01</v>
      </c>
      <c r="AL19" s="15">
        <v>0.02</v>
      </c>
      <c r="AM19" s="15">
        <v>0.04</v>
      </c>
      <c r="AN19" s="15">
        <v>0.04</v>
      </c>
      <c r="AO19" s="15">
        <v>0.01</v>
      </c>
      <c r="AP19" s="15">
        <v>0.05</v>
      </c>
      <c r="AQ19" s="15">
        <v>0.03</v>
      </c>
    </row>
    <row r="20" spans="1:43" x14ac:dyDescent="0.35">
      <c r="A20" s="19"/>
      <c r="B20" s="11" t="s">
        <v>1259</v>
      </c>
      <c r="C20" s="12">
        <v>1995</v>
      </c>
      <c r="D20" s="12">
        <v>135</v>
      </c>
      <c r="E20" s="12">
        <v>78</v>
      </c>
      <c r="F20" s="12">
        <v>88</v>
      </c>
      <c r="G20" s="12">
        <v>60</v>
      </c>
      <c r="H20" s="12">
        <v>147</v>
      </c>
      <c r="I20" s="12">
        <v>190</v>
      </c>
      <c r="J20" s="12">
        <v>43</v>
      </c>
      <c r="K20" s="12">
        <v>54</v>
      </c>
      <c r="L20" s="12">
        <v>50</v>
      </c>
      <c r="M20" s="12">
        <v>30</v>
      </c>
      <c r="N20" s="12">
        <v>49</v>
      </c>
      <c r="O20" s="12">
        <v>92</v>
      </c>
      <c r="P20" s="12">
        <v>103</v>
      </c>
      <c r="Q20" s="12">
        <v>57</v>
      </c>
      <c r="R20" s="12">
        <v>17</v>
      </c>
      <c r="S20" s="12">
        <v>50</v>
      </c>
      <c r="T20" s="12">
        <v>21</v>
      </c>
      <c r="U20" s="12">
        <v>17</v>
      </c>
      <c r="V20" s="12">
        <v>38</v>
      </c>
      <c r="W20" s="12">
        <v>14</v>
      </c>
      <c r="X20" s="12">
        <v>56</v>
      </c>
      <c r="Y20" s="12">
        <v>105</v>
      </c>
      <c r="Z20" s="12">
        <v>47</v>
      </c>
      <c r="AA20" s="12">
        <v>59</v>
      </c>
      <c r="AB20" s="12">
        <v>69</v>
      </c>
      <c r="AC20" s="12">
        <v>80</v>
      </c>
      <c r="AD20" s="12">
        <v>81</v>
      </c>
      <c r="AE20" s="12">
        <v>27</v>
      </c>
      <c r="AF20" s="12">
        <v>41</v>
      </c>
      <c r="AG20" s="12">
        <v>52</v>
      </c>
      <c r="AH20" s="12">
        <v>93</v>
      </c>
      <c r="AI20" s="12">
        <v>62</v>
      </c>
      <c r="AJ20" s="12">
        <v>41</v>
      </c>
      <c r="AK20" s="12">
        <v>32</v>
      </c>
      <c r="AL20" s="12">
        <v>38</v>
      </c>
      <c r="AM20" s="12">
        <v>85</v>
      </c>
      <c r="AN20" s="12">
        <v>50</v>
      </c>
      <c r="AO20" s="12">
        <v>46</v>
      </c>
      <c r="AP20" s="12">
        <v>16</v>
      </c>
      <c r="AQ20" s="12">
        <v>15</v>
      </c>
    </row>
    <row r="21" spans="1:43" x14ac:dyDescent="0.35">
      <c r="A21" s="19"/>
      <c r="B21" s="13" t="s">
        <v>1260</v>
      </c>
      <c r="C21" s="15">
        <v>0.08</v>
      </c>
      <c r="D21" s="15">
        <v>0.14000000000000001</v>
      </c>
      <c r="E21" s="15">
        <v>0.08</v>
      </c>
      <c r="F21" s="15">
        <v>0.08</v>
      </c>
      <c r="G21" s="15">
        <v>0.06</v>
      </c>
      <c r="H21" s="15">
        <v>0.12</v>
      </c>
      <c r="I21" s="15">
        <v>0.13</v>
      </c>
      <c r="J21" s="15">
        <v>0.14000000000000001</v>
      </c>
      <c r="K21" s="15">
        <v>0.05</v>
      </c>
      <c r="L21" s="15">
        <v>0.05</v>
      </c>
      <c r="M21" s="15">
        <v>0.03</v>
      </c>
      <c r="N21" s="15">
        <v>0.05</v>
      </c>
      <c r="O21" s="15">
        <v>0.09</v>
      </c>
      <c r="P21" s="15">
        <v>0.1</v>
      </c>
      <c r="Q21" s="15">
        <v>0.05</v>
      </c>
      <c r="R21" s="15">
        <v>0.04</v>
      </c>
      <c r="S21" s="15">
        <v>0.05</v>
      </c>
      <c r="T21" s="15">
        <v>0.02</v>
      </c>
      <c r="U21" s="15">
        <v>0.03</v>
      </c>
      <c r="V21" s="15">
        <v>0.04</v>
      </c>
      <c r="W21" s="15">
        <v>0.03</v>
      </c>
      <c r="X21" s="15">
        <v>0.06</v>
      </c>
      <c r="Y21" s="15">
        <v>0.1</v>
      </c>
      <c r="Z21" s="15">
        <v>0.05</v>
      </c>
      <c r="AA21" s="15">
        <v>0.06</v>
      </c>
      <c r="AB21" s="15">
        <v>7.0000000000000007E-2</v>
      </c>
      <c r="AC21" s="15">
        <v>0.08</v>
      </c>
      <c r="AD21" s="15">
        <v>0.08</v>
      </c>
      <c r="AE21" s="15">
        <v>0.03</v>
      </c>
      <c r="AF21" s="15">
        <v>0.04</v>
      </c>
      <c r="AG21" s="15">
        <v>0.05</v>
      </c>
      <c r="AH21" s="15">
        <v>0.09</v>
      </c>
      <c r="AI21" s="15">
        <v>0.12</v>
      </c>
      <c r="AJ21" s="15">
        <v>0.04</v>
      </c>
      <c r="AK21" s="15">
        <v>0.03</v>
      </c>
      <c r="AL21" s="15">
        <v>0.04</v>
      </c>
      <c r="AM21" s="15">
        <v>0.08</v>
      </c>
      <c r="AN21" s="15">
        <v>0.05</v>
      </c>
      <c r="AO21" s="15">
        <v>0.05</v>
      </c>
      <c r="AP21" s="15">
        <v>0.03</v>
      </c>
      <c r="AQ21" s="15">
        <v>0.02</v>
      </c>
    </row>
    <row r="22" spans="1:43" x14ac:dyDescent="0.35">
      <c r="A22" s="19"/>
      <c r="B22" s="11" t="s">
        <v>500</v>
      </c>
      <c r="C22" s="12">
        <v>4512</v>
      </c>
      <c r="D22" s="12">
        <v>135</v>
      </c>
      <c r="E22" s="12">
        <v>215</v>
      </c>
      <c r="F22" s="12">
        <v>162</v>
      </c>
      <c r="G22" s="12">
        <v>62</v>
      </c>
      <c r="H22" s="12">
        <v>208</v>
      </c>
      <c r="I22" s="12">
        <v>253</v>
      </c>
      <c r="J22" s="12">
        <v>44</v>
      </c>
      <c r="K22" s="12">
        <v>100</v>
      </c>
      <c r="L22" s="12">
        <v>118</v>
      </c>
      <c r="M22" s="12">
        <v>201</v>
      </c>
      <c r="N22" s="12">
        <v>191</v>
      </c>
      <c r="O22" s="12">
        <v>197</v>
      </c>
      <c r="P22" s="12">
        <v>126</v>
      </c>
      <c r="Q22" s="12">
        <v>179</v>
      </c>
      <c r="R22" s="12">
        <v>87</v>
      </c>
      <c r="S22" s="12">
        <v>127</v>
      </c>
      <c r="T22" s="12">
        <v>144</v>
      </c>
      <c r="U22" s="12">
        <v>49</v>
      </c>
      <c r="V22" s="12">
        <v>149</v>
      </c>
      <c r="W22" s="12">
        <v>54</v>
      </c>
      <c r="X22" s="12">
        <v>47</v>
      </c>
      <c r="Y22" s="12">
        <v>155</v>
      </c>
      <c r="Z22" s="12">
        <v>191</v>
      </c>
      <c r="AA22" s="12">
        <v>236</v>
      </c>
      <c r="AB22" s="12">
        <v>316</v>
      </c>
      <c r="AC22" s="12">
        <v>159</v>
      </c>
      <c r="AD22" s="12">
        <v>142</v>
      </c>
      <c r="AE22" s="12">
        <v>56</v>
      </c>
      <c r="AF22" s="12">
        <v>48</v>
      </c>
      <c r="AG22" s="12">
        <v>91</v>
      </c>
      <c r="AH22" s="12">
        <v>193</v>
      </c>
      <c r="AI22" s="12">
        <v>21</v>
      </c>
      <c r="AJ22" s="12">
        <v>258</v>
      </c>
      <c r="AK22" s="12">
        <v>165</v>
      </c>
      <c r="AL22" s="12">
        <v>222</v>
      </c>
      <c r="AM22" s="12">
        <v>157</v>
      </c>
      <c r="AN22" s="12">
        <v>174</v>
      </c>
      <c r="AO22" s="12">
        <v>131</v>
      </c>
      <c r="AP22" s="12">
        <v>35</v>
      </c>
      <c r="AQ22" s="12">
        <v>195</v>
      </c>
    </row>
    <row r="23" spans="1:43" x14ac:dyDescent="0.35">
      <c r="A23" s="19"/>
      <c r="B23" s="13" t="s">
        <v>501</v>
      </c>
      <c r="C23" s="15">
        <v>0.17</v>
      </c>
      <c r="D23" s="15">
        <v>0.13</v>
      </c>
      <c r="E23" s="15">
        <v>0.21</v>
      </c>
      <c r="F23" s="15">
        <v>0.15</v>
      </c>
      <c r="G23" s="15">
        <v>0.06</v>
      </c>
      <c r="H23" s="15">
        <v>0.17</v>
      </c>
      <c r="I23" s="15">
        <v>0.17</v>
      </c>
      <c r="J23" s="15">
        <v>0.15</v>
      </c>
      <c r="K23" s="15">
        <v>0.1</v>
      </c>
      <c r="L23" s="15">
        <v>0.12</v>
      </c>
      <c r="M23" s="15">
        <v>0.2</v>
      </c>
      <c r="N23" s="15">
        <v>0.19</v>
      </c>
      <c r="O23" s="15">
        <v>0.2</v>
      </c>
      <c r="P23" s="15">
        <v>0.13</v>
      </c>
      <c r="Q23" s="15">
        <v>0.17</v>
      </c>
      <c r="R23" s="15">
        <v>0.17</v>
      </c>
      <c r="S23" s="15">
        <v>0.12</v>
      </c>
      <c r="T23" s="15">
        <v>0.14000000000000001</v>
      </c>
      <c r="U23" s="15">
        <v>0.1</v>
      </c>
      <c r="V23" s="15">
        <v>0.15</v>
      </c>
      <c r="W23" s="15">
        <v>0.11</v>
      </c>
      <c r="X23" s="15">
        <v>0.05</v>
      </c>
      <c r="Y23" s="15">
        <v>0.15</v>
      </c>
      <c r="Z23" s="15">
        <v>0.18</v>
      </c>
      <c r="AA23" s="15">
        <v>0.23</v>
      </c>
      <c r="AB23" s="15">
        <v>0.3</v>
      </c>
      <c r="AC23" s="15">
        <v>0.16</v>
      </c>
      <c r="AD23" s="15">
        <v>0.14000000000000001</v>
      </c>
      <c r="AE23" s="15">
        <v>0.06</v>
      </c>
      <c r="AF23" s="15">
        <v>0.05</v>
      </c>
      <c r="AG23" s="15">
        <v>0.09</v>
      </c>
      <c r="AH23" s="15">
        <v>0.19</v>
      </c>
      <c r="AI23" s="15">
        <v>0.04</v>
      </c>
      <c r="AJ23" s="15">
        <v>0.25</v>
      </c>
      <c r="AK23" s="15">
        <v>0.16</v>
      </c>
      <c r="AL23" s="15">
        <v>0.22</v>
      </c>
      <c r="AM23" s="15">
        <v>0.15</v>
      </c>
      <c r="AN23" s="15">
        <v>0.17</v>
      </c>
      <c r="AO23" s="15">
        <v>0.13</v>
      </c>
      <c r="AP23" s="15">
        <v>7.0000000000000007E-2</v>
      </c>
      <c r="AQ23" s="15">
        <v>0.2</v>
      </c>
    </row>
    <row r="24" spans="1:43" ht="21.5" x14ac:dyDescent="0.35">
      <c r="A24" s="19"/>
      <c r="B24" s="11" t="s">
        <v>1261</v>
      </c>
      <c r="C24" s="12">
        <v>123</v>
      </c>
      <c r="D24" s="12">
        <v>0</v>
      </c>
      <c r="E24" s="12">
        <v>10</v>
      </c>
      <c r="F24" s="12">
        <v>7</v>
      </c>
      <c r="G24" s="12">
        <v>1</v>
      </c>
      <c r="H24" s="12">
        <v>5</v>
      </c>
      <c r="I24" s="12">
        <v>5</v>
      </c>
      <c r="J24" s="12">
        <v>0</v>
      </c>
      <c r="K24" s="12">
        <v>4</v>
      </c>
      <c r="L24" s="12">
        <v>0</v>
      </c>
      <c r="M24" s="12">
        <v>16</v>
      </c>
      <c r="N24" s="12">
        <v>4</v>
      </c>
      <c r="O24" s="12">
        <v>7</v>
      </c>
      <c r="P24" s="12">
        <v>2</v>
      </c>
      <c r="Q24" s="12">
        <v>3</v>
      </c>
      <c r="R24" s="12">
        <v>1</v>
      </c>
      <c r="S24" s="12">
        <v>17</v>
      </c>
      <c r="T24" s="12">
        <v>6</v>
      </c>
      <c r="U24" s="12">
        <v>0</v>
      </c>
      <c r="V24" s="12">
        <v>1</v>
      </c>
      <c r="W24" s="12">
        <v>15</v>
      </c>
      <c r="X24" s="12">
        <v>0</v>
      </c>
      <c r="Y24" s="12">
        <v>11</v>
      </c>
      <c r="Z24" s="12">
        <v>1</v>
      </c>
      <c r="AA24" s="12">
        <v>24</v>
      </c>
      <c r="AB24" s="12">
        <v>9</v>
      </c>
      <c r="AC24" s="12">
        <v>1</v>
      </c>
      <c r="AD24" s="12">
        <v>3</v>
      </c>
      <c r="AE24" s="12">
        <v>5</v>
      </c>
      <c r="AF24" s="12">
        <v>1</v>
      </c>
      <c r="AG24" s="12">
        <v>2</v>
      </c>
      <c r="AH24" s="12">
        <v>1</v>
      </c>
      <c r="AI24" s="12">
        <v>0</v>
      </c>
      <c r="AJ24" s="12">
        <v>0</v>
      </c>
      <c r="AK24" s="12">
        <v>0</v>
      </c>
      <c r="AL24" s="12">
        <v>2</v>
      </c>
      <c r="AM24" s="12">
        <v>0</v>
      </c>
      <c r="AN24" s="12">
        <v>2</v>
      </c>
      <c r="AO24" s="12">
        <v>2</v>
      </c>
      <c r="AP24" s="12">
        <v>0</v>
      </c>
      <c r="AQ24" s="12">
        <v>4</v>
      </c>
    </row>
    <row r="25" spans="1:43" ht="21.5" x14ac:dyDescent="0.35">
      <c r="A25" s="19"/>
      <c r="B25" s="13" t="s">
        <v>1262</v>
      </c>
      <c r="C25" s="15">
        <v>0.01</v>
      </c>
      <c r="D25" s="14" t="s">
        <v>475</v>
      </c>
      <c r="E25" s="15">
        <v>0.01</v>
      </c>
      <c r="F25" s="15">
        <v>0.01</v>
      </c>
      <c r="G25" s="14" t="s">
        <v>475</v>
      </c>
      <c r="H25" s="15">
        <v>0.01</v>
      </c>
      <c r="I25" s="14" t="s">
        <v>475</v>
      </c>
      <c r="J25" s="14" t="s">
        <v>475</v>
      </c>
      <c r="K25" s="14" t="s">
        <v>475</v>
      </c>
      <c r="L25" s="14" t="s">
        <v>475</v>
      </c>
      <c r="M25" s="15">
        <v>0.02</v>
      </c>
      <c r="N25" s="14" t="s">
        <v>475</v>
      </c>
      <c r="O25" s="15">
        <v>0.01</v>
      </c>
      <c r="P25" s="14" t="s">
        <v>475</v>
      </c>
      <c r="Q25" s="14" t="s">
        <v>475</v>
      </c>
      <c r="R25" s="14" t="s">
        <v>475</v>
      </c>
      <c r="S25" s="15">
        <v>0.02</v>
      </c>
      <c r="T25" s="15">
        <v>0.01</v>
      </c>
      <c r="U25" s="14" t="s">
        <v>475</v>
      </c>
      <c r="V25" s="14" t="s">
        <v>475</v>
      </c>
      <c r="W25" s="15">
        <v>0.03</v>
      </c>
      <c r="X25" s="14" t="s">
        <v>475</v>
      </c>
      <c r="Y25" s="15">
        <v>0.01</v>
      </c>
      <c r="Z25" s="14" t="s">
        <v>475</v>
      </c>
      <c r="AA25" s="15">
        <v>0.02</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x14ac:dyDescent="0.35">
      <c r="A26" s="19"/>
      <c r="B26" s="11" t="s">
        <v>485</v>
      </c>
      <c r="C26" s="12">
        <v>18</v>
      </c>
      <c r="D26" s="12">
        <v>3</v>
      </c>
      <c r="E26" s="12">
        <v>3</v>
      </c>
      <c r="F26" s="12">
        <v>1</v>
      </c>
      <c r="G26" s="12">
        <v>0</v>
      </c>
      <c r="H26" s="12">
        <v>2</v>
      </c>
      <c r="I26" s="12">
        <v>2</v>
      </c>
      <c r="J26" s="12">
        <v>0</v>
      </c>
      <c r="K26" s="12">
        <v>3</v>
      </c>
      <c r="L26" s="12">
        <v>3</v>
      </c>
      <c r="M26" s="12">
        <v>0</v>
      </c>
      <c r="N26" s="12">
        <v>1</v>
      </c>
      <c r="O26" s="12">
        <v>0</v>
      </c>
      <c r="P26" s="12">
        <v>0</v>
      </c>
      <c r="Q26" s="12">
        <v>0</v>
      </c>
      <c r="R26" s="12">
        <v>0</v>
      </c>
      <c r="S26" s="12">
        <v>1</v>
      </c>
      <c r="T26" s="12">
        <v>4</v>
      </c>
      <c r="U26" s="12">
        <v>0</v>
      </c>
      <c r="V26" s="12">
        <v>1</v>
      </c>
      <c r="W26" s="12">
        <v>0</v>
      </c>
      <c r="X26" s="12">
        <v>0</v>
      </c>
      <c r="Y26" s="12">
        <v>0</v>
      </c>
      <c r="Z26" s="12">
        <v>0</v>
      </c>
      <c r="AA26" s="12">
        <v>4</v>
      </c>
      <c r="AB26" s="12">
        <v>0</v>
      </c>
      <c r="AC26" s="12">
        <v>1</v>
      </c>
      <c r="AD26" s="12">
        <v>0</v>
      </c>
      <c r="AE26" s="12">
        <v>0</v>
      </c>
      <c r="AF26" s="12">
        <v>0</v>
      </c>
      <c r="AG26" s="12">
        <v>0</v>
      </c>
      <c r="AH26" s="12">
        <v>0</v>
      </c>
      <c r="AI26" s="12">
        <v>0</v>
      </c>
      <c r="AJ26" s="12">
        <v>0</v>
      </c>
      <c r="AK26" s="12">
        <v>0</v>
      </c>
      <c r="AL26" s="12">
        <v>4</v>
      </c>
      <c r="AM26" s="12">
        <v>8</v>
      </c>
      <c r="AN26" s="12">
        <v>1</v>
      </c>
      <c r="AO26" s="12">
        <v>0</v>
      </c>
      <c r="AP26" s="12">
        <v>0</v>
      </c>
      <c r="AQ26" s="12">
        <v>5</v>
      </c>
    </row>
    <row r="27" spans="1:43" x14ac:dyDescent="0.35">
      <c r="A27" s="19"/>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ht="21.5" x14ac:dyDescent="0.35">
      <c r="A28" s="19"/>
      <c r="B28" s="11" t="s">
        <v>1263</v>
      </c>
      <c r="C28" s="12">
        <v>18969</v>
      </c>
      <c r="D28" s="12">
        <v>702</v>
      </c>
      <c r="E28" s="12">
        <v>696</v>
      </c>
      <c r="F28" s="12">
        <v>806</v>
      </c>
      <c r="G28" s="12">
        <v>855</v>
      </c>
      <c r="H28" s="12">
        <v>822</v>
      </c>
      <c r="I28" s="12">
        <v>1025</v>
      </c>
      <c r="J28" s="12">
        <v>203</v>
      </c>
      <c r="K28" s="12">
        <v>815</v>
      </c>
      <c r="L28" s="12">
        <v>816</v>
      </c>
      <c r="M28" s="12">
        <v>748</v>
      </c>
      <c r="N28" s="12">
        <v>736</v>
      </c>
      <c r="O28" s="12">
        <v>676</v>
      </c>
      <c r="P28" s="12">
        <v>748</v>
      </c>
      <c r="Q28" s="12">
        <v>748</v>
      </c>
      <c r="R28" s="12">
        <v>382</v>
      </c>
      <c r="S28" s="12">
        <v>767</v>
      </c>
      <c r="T28" s="12">
        <v>820</v>
      </c>
      <c r="U28" s="12">
        <v>431</v>
      </c>
      <c r="V28" s="12">
        <v>804</v>
      </c>
      <c r="W28" s="12">
        <v>416</v>
      </c>
      <c r="X28" s="12">
        <v>871</v>
      </c>
      <c r="Y28" s="12">
        <v>685</v>
      </c>
      <c r="Z28" s="12">
        <v>754</v>
      </c>
      <c r="AA28" s="12">
        <v>689</v>
      </c>
      <c r="AB28" s="12">
        <v>592</v>
      </c>
      <c r="AC28" s="12">
        <v>747</v>
      </c>
      <c r="AD28" s="12">
        <v>746</v>
      </c>
      <c r="AE28" s="12">
        <v>901</v>
      </c>
      <c r="AF28" s="12">
        <v>913</v>
      </c>
      <c r="AG28" s="12">
        <v>842</v>
      </c>
      <c r="AH28" s="12">
        <v>680</v>
      </c>
      <c r="AI28" s="12">
        <v>424</v>
      </c>
      <c r="AJ28" s="12">
        <v>721</v>
      </c>
      <c r="AK28" s="12">
        <v>796</v>
      </c>
      <c r="AL28" s="12">
        <v>723</v>
      </c>
      <c r="AM28" s="12">
        <v>745</v>
      </c>
      <c r="AN28" s="12">
        <v>736</v>
      </c>
      <c r="AO28" s="12">
        <v>811</v>
      </c>
      <c r="AP28" s="12">
        <v>447</v>
      </c>
      <c r="AQ28" s="12">
        <v>755</v>
      </c>
    </row>
    <row r="29" spans="1:43" x14ac:dyDescent="0.35">
      <c r="A29" s="19"/>
      <c r="B29" s="13" t="s">
        <v>1264</v>
      </c>
      <c r="C29" s="15">
        <v>0.72</v>
      </c>
      <c r="D29" s="15">
        <v>0.69000000000000006</v>
      </c>
      <c r="E29" s="15">
        <v>0.68</v>
      </c>
      <c r="F29" s="15">
        <v>0.73</v>
      </c>
      <c r="G29" s="15">
        <v>0.85</v>
      </c>
      <c r="H29" s="15">
        <v>0.67</v>
      </c>
      <c r="I29" s="15">
        <v>0.68</v>
      </c>
      <c r="J29" s="15">
        <v>0.69000000000000006</v>
      </c>
      <c r="K29" s="15">
        <v>0.81</v>
      </c>
      <c r="L29" s="15">
        <v>0.81</v>
      </c>
      <c r="M29" s="15">
        <v>0.74</v>
      </c>
      <c r="N29" s="15">
        <v>0.73</v>
      </c>
      <c r="O29" s="15">
        <v>0.68</v>
      </c>
      <c r="P29" s="15">
        <v>0.75</v>
      </c>
      <c r="Q29" s="15">
        <v>0.73</v>
      </c>
      <c r="R29" s="15">
        <v>0.76</v>
      </c>
      <c r="S29" s="15">
        <v>0.77</v>
      </c>
      <c r="T29" s="15">
        <v>0.82000000000000006</v>
      </c>
      <c r="U29" s="15">
        <v>0.86</v>
      </c>
      <c r="V29" s="15">
        <v>0.79</v>
      </c>
      <c r="W29" s="15">
        <v>0.82000000000000006</v>
      </c>
      <c r="X29" s="15">
        <v>0.86</v>
      </c>
      <c r="Y29" s="15">
        <v>0.68</v>
      </c>
      <c r="Z29" s="15">
        <v>0.73</v>
      </c>
      <c r="AA29" s="15">
        <v>0.67</v>
      </c>
      <c r="AB29" s="15">
        <v>0.56000000000000005</v>
      </c>
      <c r="AC29" s="15">
        <v>0.74</v>
      </c>
      <c r="AD29" s="15">
        <v>0.74</v>
      </c>
      <c r="AE29" s="15">
        <v>0.89</v>
      </c>
      <c r="AF29" s="15">
        <v>0.88</v>
      </c>
      <c r="AG29" s="15">
        <v>0.81</v>
      </c>
      <c r="AH29" s="15">
        <v>0.67</v>
      </c>
      <c r="AI29" s="15">
        <v>0.81</v>
      </c>
      <c r="AJ29" s="15">
        <v>0.70000000000000007</v>
      </c>
      <c r="AK29" s="15">
        <v>0.79</v>
      </c>
      <c r="AL29" s="15">
        <v>0.71</v>
      </c>
      <c r="AM29" s="15">
        <v>0.72</v>
      </c>
      <c r="AN29" s="15">
        <v>0.73</v>
      </c>
      <c r="AO29" s="15">
        <v>0.81</v>
      </c>
      <c r="AP29" s="15">
        <v>0.85</v>
      </c>
      <c r="AQ29" s="15">
        <v>0.75</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1285</v>
      </c>
      <c r="C3" s="18"/>
      <c r="D3" s="18"/>
      <c r="E3" s="18"/>
      <c r="F3" s="18"/>
      <c r="H3" s="18" t="s">
        <v>1286</v>
      </c>
      <c r="I3" s="18"/>
      <c r="J3" s="18"/>
      <c r="K3" s="18"/>
      <c r="L3" s="18"/>
    </row>
    <row r="4" spans="1:43" ht="27" customHeight="1" x14ac:dyDescent="0.35">
      <c r="B4" s="18" t="s">
        <v>1287</v>
      </c>
      <c r="C4" s="18"/>
      <c r="D4" s="18"/>
      <c r="E4" s="18"/>
      <c r="F4" s="18"/>
      <c r="H4" s="18" t="s">
        <v>1288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13802</v>
      </c>
      <c r="D12" s="12">
        <v>634</v>
      </c>
      <c r="E12" s="12">
        <v>595</v>
      </c>
      <c r="F12" s="12">
        <v>588</v>
      </c>
      <c r="G12" s="12">
        <v>729</v>
      </c>
      <c r="H12" s="12">
        <v>507</v>
      </c>
      <c r="I12" s="12">
        <v>639</v>
      </c>
      <c r="J12" s="12">
        <v>132</v>
      </c>
      <c r="K12" s="12">
        <v>648</v>
      </c>
      <c r="L12" s="12">
        <v>619</v>
      </c>
      <c r="M12" s="12">
        <v>609</v>
      </c>
      <c r="N12" s="12">
        <v>583</v>
      </c>
      <c r="O12" s="12">
        <v>506</v>
      </c>
      <c r="P12" s="12">
        <v>579</v>
      </c>
      <c r="Q12" s="12">
        <v>515</v>
      </c>
      <c r="R12" s="12">
        <v>340</v>
      </c>
      <c r="S12" s="12">
        <v>595</v>
      </c>
      <c r="T12" s="12">
        <v>715</v>
      </c>
      <c r="U12" s="12">
        <v>293</v>
      </c>
      <c r="V12" s="12">
        <v>598</v>
      </c>
      <c r="W12" s="12">
        <v>374</v>
      </c>
      <c r="X12" s="12">
        <v>609</v>
      </c>
      <c r="Y12" s="12">
        <v>527</v>
      </c>
      <c r="Z12" s="12">
        <v>448</v>
      </c>
      <c r="AA12" s="12">
        <v>623</v>
      </c>
      <c r="AB12" s="12">
        <v>566</v>
      </c>
      <c r="AC12" s="12">
        <v>533</v>
      </c>
      <c r="AD12" s="12">
        <v>517</v>
      </c>
      <c r="AE12" s="12">
        <v>688</v>
      </c>
      <c r="AF12" s="12">
        <v>669</v>
      </c>
      <c r="AG12" s="12">
        <v>772</v>
      </c>
      <c r="AH12" s="12">
        <v>683</v>
      </c>
      <c r="AI12" s="12">
        <v>396</v>
      </c>
      <c r="AJ12" s="12">
        <v>607</v>
      </c>
      <c r="AK12" s="12">
        <v>740</v>
      </c>
      <c r="AL12" s="12">
        <v>730</v>
      </c>
      <c r="AM12" s="12">
        <v>562</v>
      </c>
      <c r="AN12" s="12">
        <v>673</v>
      </c>
      <c r="AO12" s="12">
        <v>763</v>
      </c>
      <c r="AP12" s="12">
        <v>419</v>
      </c>
      <c r="AQ12" s="12">
        <v>714</v>
      </c>
    </row>
    <row r="13" spans="1:43" x14ac:dyDescent="0.35">
      <c r="A13" s="19"/>
      <c r="B13" s="13" t="s">
        <v>1252</v>
      </c>
      <c r="C13" s="15">
        <v>0.52</v>
      </c>
      <c r="D13" s="15">
        <v>0.63</v>
      </c>
      <c r="E13" s="15">
        <v>0.57999999999999996</v>
      </c>
      <c r="F13" s="15">
        <v>0.53</v>
      </c>
      <c r="G13" s="15">
        <v>0.72</v>
      </c>
      <c r="H13" s="15">
        <v>0.42</v>
      </c>
      <c r="I13" s="15">
        <v>0.42</v>
      </c>
      <c r="J13" s="15">
        <v>0.45</v>
      </c>
      <c r="K13" s="15">
        <v>0.65</v>
      </c>
      <c r="L13" s="15">
        <v>0.62</v>
      </c>
      <c r="M13" s="15">
        <v>0.6</v>
      </c>
      <c r="N13" s="15">
        <v>0.57999999999999996</v>
      </c>
      <c r="O13" s="15">
        <v>0.51</v>
      </c>
      <c r="P13" s="15">
        <v>0.57999999999999996</v>
      </c>
      <c r="Q13" s="15">
        <v>0.5</v>
      </c>
      <c r="R13" s="15">
        <v>0.68</v>
      </c>
      <c r="S13" s="15">
        <v>0.59</v>
      </c>
      <c r="T13" s="15">
        <v>0.71</v>
      </c>
      <c r="U13" s="15">
        <v>0.57999999999999996</v>
      </c>
      <c r="V13" s="15">
        <v>0.59</v>
      </c>
      <c r="W13" s="15">
        <v>0.74</v>
      </c>
      <c r="X13" s="15">
        <v>0.6</v>
      </c>
      <c r="Y13" s="15">
        <v>0.52</v>
      </c>
      <c r="Z13" s="15">
        <v>0.43</v>
      </c>
      <c r="AA13" s="15">
        <v>0.6</v>
      </c>
      <c r="AB13" s="15">
        <v>0.54</v>
      </c>
      <c r="AC13" s="15">
        <v>0.53</v>
      </c>
      <c r="AD13" s="15">
        <v>0.51</v>
      </c>
      <c r="AE13" s="15">
        <v>0.68</v>
      </c>
      <c r="AF13" s="15">
        <v>0.64</v>
      </c>
      <c r="AG13" s="15">
        <v>0.74</v>
      </c>
      <c r="AH13" s="15">
        <v>0.68</v>
      </c>
      <c r="AI13" s="15">
        <v>0.76</v>
      </c>
      <c r="AJ13" s="15">
        <v>0.59</v>
      </c>
      <c r="AK13" s="15">
        <v>0.73</v>
      </c>
      <c r="AL13" s="15">
        <v>0.72</v>
      </c>
      <c r="AM13" s="15">
        <v>0.54</v>
      </c>
      <c r="AN13" s="15">
        <v>0.67</v>
      </c>
      <c r="AO13" s="15">
        <v>0.76</v>
      </c>
      <c r="AP13" s="15">
        <v>0.8</v>
      </c>
      <c r="AQ13" s="15">
        <v>0.71</v>
      </c>
    </row>
    <row r="14" spans="1:43" ht="21.5" x14ac:dyDescent="0.35">
      <c r="A14" s="19"/>
      <c r="B14" s="11" t="s">
        <v>1253</v>
      </c>
      <c r="C14" s="12">
        <v>3570</v>
      </c>
      <c r="D14" s="12">
        <v>111</v>
      </c>
      <c r="E14" s="12">
        <v>153</v>
      </c>
      <c r="F14" s="12">
        <v>148</v>
      </c>
      <c r="G14" s="12">
        <v>107</v>
      </c>
      <c r="H14" s="12">
        <v>187</v>
      </c>
      <c r="I14" s="12">
        <v>240</v>
      </c>
      <c r="J14" s="12">
        <v>53</v>
      </c>
      <c r="K14" s="12">
        <v>83</v>
      </c>
      <c r="L14" s="12">
        <v>113</v>
      </c>
      <c r="M14" s="12">
        <v>106</v>
      </c>
      <c r="N14" s="12">
        <v>116</v>
      </c>
      <c r="O14" s="12">
        <v>108</v>
      </c>
      <c r="P14" s="12">
        <v>104</v>
      </c>
      <c r="Q14" s="12">
        <v>140</v>
      </c>
      <c r="R14" s="12">
        <v>48</v>
      </c>
      <c r="S14" s="12">
        <v>103</v>
      </c>
      <c r="T14" s="12">
        <v>70</v>
      </c>
      <c r="U14" s="12">
        <v>54</v>
      </c>
      <c r="V14" s="12">
        <v>169</v>
      </c>
      <c r="W14" s="12">
        <v>44</v>
      </c>
      <c r="X14" s="12">
        <v>120</v>
      </c>
      <c r="Y14" s="12">
        <v>149</v>
      </c>
      <c r="Z14" s="12">
        <v>202</v>
      </c>
      <c r="AA14" s="12">
        <v>120</v>
      </c>
      <c r="AB14" s="12">
        <v>155</v>
      </c>
      <c r="AC14" s="12">
        <v>106</v>
      </c>
      <c r="AD14" s="12">
        <v>176</v>
      </c>
      <c r="AE14" s="12">
        <v>91</v>
      </c>
      <c r="AF14" s="12">
        <v>110</v>
      </c>
      <c r="AG14" s="12">
        <v>135</v>
      </c>
      <c r="AH14" s="12">
        <v>119</v>
      </c>
      <c r="AI14" s="12">
        <v>42</v>
      </c>
      <c r="AJ14" s="12">
        <v>94</v>
      </c>
      <c r="AK14" s="12">
        <v>102</v>
      </c>
      <c r="AL14" s="12">
        <v>67</v>
      </c>
      <c r="AM14" s="12">
        <v>159</v>
      </c>
      <c r="AN14" s="12">
        <v>116</v>
      </c>
      <c r="AO14" s="12">
        <v>98</v>
      </c>
      <c r="AP14" s="12">
        <v>34</v>
      </c>
      <c r="AQ14" s="12">
        <v>74</v>
      </c>
    </row>
    <row r="15" spans="1:43" x14ac:dyDescent="0.35">
      <c r="A15" s="19"/>
      <c r="B15" s="13" t="s">
        <v>1254</v>
      </c>
      <c r="C15" s="15">
        <v>0.14000000000000001</v>
      </c>
      <c r="D15" s="15">
        <v>0.11</v>
      </c>
      <c r="E15" s="15">
        <v>0.15</v>
      </c>
      <c r="F15" s="15">
        <v>0.13</v>
      </c>
      <c r="G15" s="15">
        <v>0.11</v>
      </c>
      <c r="H15" s="15">
        <v>0.15</v>
      </c>
      <c r="I15" s="15">
        <v>0.16</v>
      </c>
      <c r="J15" s="15">
        <v>0.18</v>
      </c>
      <c r="K15" s="15">
        <v>0.08</v>
      </c>
      <c r="L15" s="15">
        <v>0.11</v>
      </c>
      <c r="M15" s="15">
        <v>0.11</v>
      </c>
      <c r="N15" s="15">
        <v>0.12</v>
      </c>
      <c r="O15" s="15">
        <v>0.11</v>
      </c>
      <c r="P15" s="15">
        <v>0.1</v>
      </c>
      <c r="Q15" s="15">
        <v>0.14000000000000001</v>
      </c>
      <c r="R15" s="15">
        <v>0.09</v>
      </c>
      <c r="S15" s="15">
        <v>0.1</v>
      </c>
      <c r="T15" s="15">
        <v>7.0000000000000007E-2</v>
      </c>
      <c r="U15" s="15">
        <v>0.11</v>
      </c>
      <c r="V15" s="15">
        <v>0.17</v>
      </c>
      <c r="W15" s="15">
        <v>0.08</v>
      </c>
      <c r="X15" s="15">
        <v>0.12</v>
      </c>
      <c r="Y15" s="15">
        <v>0.15</v>
      </c>
      <c r="Z15" s="15">
        <v>0.2</v>
      </c>
      <c r="AA15" s="15">
        <v>0.12</v>
      </c>
      <c r="AB15" s="15">
        <v>0.15</v>
      </c>
      <c r="AC15" s="15">
        <v>0.11</v>
      </c>
      <c r="AD15" s="15">
        <v>0.18</v>
      </c>
      <c r="AE15" s="15">
        <v>0.09</v>
      </c>
      <c r="AF15" s="15">
        <v>0.11</v>
      </c>
      <c r="AG15" s="15">
        <v>0.13</v>
      </c>
      <c r="AH15" s="15">
        <v>0.12</v>
      </c>
      <c r="AI15" s="15">
        <v>0.08</v>
      </c>
      <c r="AJ15" s="15">
        <v>0.09</v>
      </c>
      <c r="AK15" s="15">
        <v>0.1</v>
      </c>
      <c r="AL15" s="15">
        <v>7.0000000000000007E-2</v>
      </c>
      <c r="AM15" s="15">
        <v>0.15</v>
      </c>
      <c r="AN15" s="15">
        <v>0.12</v>
      </c>
      <c r="AO15" s="15">
        <v>0.1</v>
      </c>
      <c r="AP15" s="15">
        <v>7.0000000000000007E-2</v>
      </c>
      <c r="AQ15" s="15">
        <v>7.0000000000000007E-2</v>
      </c>
    </row>
    <row r="16" spans="1:43" ht="21.5" x14ac:dyDescent="0.35">
      <c r="A16" s="19"/>
      <c r="B16" s="11" t="s">
        <v>1255</v>
      </c>
      <c r="C16" s="12">
        <v>1270</v>
      </c>
      <c r="D16" s="12">
        <v>46</v>
      </c>
      <c r="E16" s="12">
        <v>51</v>
      </c>
      <c r="F16" s="12">
        <v>56</v>
      </c>
      <c r="G16" s="12">
        <v>28</v>
      </c>
      <c r="H16" s="12">
        <v>62</v>
      </c>
      <c r="I16" s="12">
        <v>77</v>
      </c>
      <c r="J16" s="12">
        <v>15</v>
      </c>
      <c r="K16" s="12">
        <v>43</v>
      </c>
      <c r="L16" s="12">
        <v>38</v>
      </c>
      <c r="M16" s="12">
        <v>19</v>
      </c>
      <c r="N16" s="12">
        <v>43</v>
      </c>
      <c r="O16" s="12">
        <v>33</v>
      </c>
      <c r="P16" s="12">
        <v>50</v>
      </c>
      <c r="Q16" s="12">
        <v>64</v>
      </c>
      <c r="R16" s="12">
        <v>9</v>
      </c>
      <c r="S16" s="12">
        <v>44</v>
      </c>
      <c r="T16" s="12">
        <v>9</v>
      </c>
      <c r="U16" s="12">
        <v>17</v>
      </c>
      <c r="V16" s="12">
        <v>54</v>
      </c>
      <c r="W16" s="12">
        <v>9</v>
      </c>
      <c r="X16" s="12">
        <v>56</v>
      </c>
      <c r="Y16" s="12">
        <v>46</v>
      </c>
      <c r="Z16" s="12">
        <v>73</v>
      </c>
      <c r="AA16" s="12">
        <v>23</v>
      </c>
      <c r="AB16" s="12">
        <v>52</v>
      </c>
      <c r="AC16" s="12">
        <v>46</v>
      </c>
      <c r="AD16" s="12">
        <v>74</v>
      </c>
      <c r="AE16" s="12">
        <v>39</v>
      </c>
      <c r="AF16" s="12">
        <v>51</v>
      </c>
      <c r="AG16" s="12">
        <v>41</v>
      </c>
      <c r="AH16" s="12">
        <v>24</v>
      </c>
      <c r="AI16" s="12">
        <v>12</v>
      </c>
      <c r="AJ16" s="12">
        <v>14</v>
      </c>
      <c r="AK16" s="12">
        <v>18</v>
      </c>
      <c r="AL16" s="12">
        <v>23</v>
      </c>
      <c r="AM16" s="12">
        <v>46</v>
      </c>
      <c r="AN16" s="12">
        <v>43</v>
      </c>
      <c r="AO16" s="12">
        <v>17</v>
      </c>
      <c r="AP16" s="12">
        <v>12</v>
      </c>
      <c r="AQ16" s="12">
        <v>30</v>
      </c>
    </row>
    <row r="17" spans="1:43" x14ac:dyDescent="0.35">
      <c r="A17" s="19"/>
      <c r="B17" s="13" t="s">
        <v>1256</v>
      </c>
      <c r="C17" s="15">
        <v>0.05</v>
      </c>
      <c r="D17" s="15">
        <v>0.05</v>
      </c>
      <c r="E17" s="15">
        <v>0.05</v>
      </c>
      <c r="F17" s="15">
        <v>0.05</v>
      </c>
      <c r="G17" s="15">
        <v>0.03</v>
      </c>
      <c r="H17" s="15">
        <v>0.05</v>
      </c>
      <c r="I17" s="15">
        <v>0.05</v>
      </c>
      <c r="J17" s="15">
        <v>0.05</v>
      </c>
      <c r="K17" s="15">
        <v>0.04</v>
      </c>
      <c r="L17" s="15">
        <v>0.04</v>
      </c>
      <c r="M17" s="15">
        <v>0.02</v>
      </c>
      <c r="N17" s="15">
        <v>0.04</v>
      </c>
      <c r="O17" s="15">
        <v>0.03</v>
      </c>
      <c r="P17" s="15">
        <v>0.05</v>
      </c>
      <c r="Q17" s="15">
        <v>0.06</v>
      </c>
      <c r="R17" s="15">
        <v>0.02</v>
      </c>
      <c r="S17" s="15">
        <v>0.05</v>
      </c>
      <c r="T17" s="15">
        <v>0.01</v>
      </c>
      <c r="U17" s="15">
        <v>0.03</v>
      </c>
      <c r="V17" s="15">
        <v>0.05</v>
      </c>
      <c r="W17" s="15">
        <v>0.02</v>
      </c>
      <c r="X17" s="15">
        <v>0.05</v>
      </c>
      <c r="Y17" s="15">
        <v>0.05</v>
      </c>
      <c r="Z17" s="15">
        <v>7.0000000000000007E-2</v>
      </c>
      <c r="AA17" s="15">
        <v>0.02</v>
      </c>
      <c r="AB17" s="15">
        <v>0.05</v>
      </c>
      <c r="AC17" s="15">
        <v>0.05</v>
      </c>
      <c r="AD17" s="15">
        <v>7.0000000000000007E-2</v>
      </c>
      <c r="AE17" s="15">
        <v>0.04</v>
      </c>
      <c r="AF17" s="15">
        <v>0.05</v>
      </c>
      <c r="AG17" s="15">
        <v>0.04</v>
      </c>
      <c r="AH17" s="15">
        <v>0.02</v>
      </c>
      <c r="AI17" s="15">
        <v>0.02</v>
      </c>
      <c r="AJ17" s="15">
        <v>0.01</v>
      </c>
      <c r="AK17" s="15">
        <v>0.02</v>
      </c>
      <c r="AL17" s="15">
        <v>0.02</v>
      </c>
      <c r="AM17" s="15">
        <v>0.05</v>
      </c>
      <c r="AN17" s="15">
        <v>0.04</v>
      </c>
      <c r="AO17" s="15">
        <v>0.02</v>
      </c>
      <c r="AP17" s="15">
        <v>0.02</v>
      </c>
      <c r="AQ17" s="15">
        <v>0.03</v>
      </c>
    </row>
    <row r="18" spans="1:43" x14ac:dyDescent="0.35">
      <c r="A18" s="19"/>
      <c r="B18" s="11" t="s">
        <v>1257</v>
      </c>
      <c r="C18" s="12">
        <v>559</v>
      </c>
      <c r="D18" s="12">
        <v>24</v>
      </c>
      <c r="E18" s="12">
        <v>14</v>
      </c>
      <c r="F18" s="12">
        <v>17</v>
      </c>
      <c r="G18" s="12">
        <v>13</v>
      </c>
      <c r="H18" s="12">
        <v>31</v>
      </c>
      <c r="I18" s="12">
        <v>36</v>
      </c>
      <c r="J18" s="12">
        <v>5</v>
      </c>
      <c r="K18" s="12">
        <v>19</v>
      </c>
      <c r="L18" s="12">
        <v>12</v>
      </c>
      <c r="M18" s="12">
        <v>11</v>
      </c>
      <c r="N18" s="12">
        <v>12</v>
      </c>
      <c r="O18" s="12">
        <v>20</v>
      </c>
      <c r="P18" s="12">
        <v>29</v>
      </c>
      <c r="Q18" s="12">
        <v>27</v>
      </c>
      <c r="R18" s="12">
        <v>5</v>
      </c>
      <c r="S18" s="12">
        <v>19</v>
      </c>
      <c r="T18" s="12">
        <v>0</v>
      </c>
      <c r="U18" s="12">
        <v>7</v>
      </c>
      <c r="V18" s="12">
        <v>11</v>
      </c>
      <c r="W18" s="12">
        <v>3</v>
      </c>
      <c r="X18" s="12">
        <v>27</v>
      </c>
      <c r="Y18" s="12">
        <v>22</v>
      </c>
      <c r="Z18" s="12">
        <v>28</v>
      </c>
      <c r="AA18" s="12">
        <v>7</v>
      </c>
      <c r="AB18" s="12">
        <v>30</v>
      </c>
      <c r="AC18" s="12">
        <v>21</v>
      </c>
      <c r="AD18" s="12">
        <v>19</v>
      </c>
      <c r="AE18" s="12">
        <v>25</v>
      </c>
      <c r="AF18" s="12">
        <v>26</v>
      </c>
      <c r="AG18" s="12">
        <v>7</v>
      </c>
      <c r="AH18" s="12">
        <v>13</v>
      </c>
      <c r="AI18" s="12">
        <v>10</v>
      </c>
      <c r="AJ18" s="12">
        <v>11</v>
      </c>
      <c r="AK18" s="12">
        <v>3</v>
      </c>
      <c r="AL18" s="12">
        <v>3</v>
      </c>
      <c r="AM18" s="12">
        <v>14</v>
      </c>
      <c r="AN18" s="12">
        <v>28</v>
      </c>
      <c r="AO18" s="12">
        <v>9</v>
      </c>
      <c r="AP18" s="12">
        <v>19</v>
      </c>
      <c r="AQ18" s="12">
        <v>7</v>
      </c>
    </row>
    <row r="19" spans="1:43" x14ac:dyDescent="0.35">
      <c r="A19" s="19"/>
      <c r="B19" s="13" t="s">
        <v>1258</v>
      </c>
      <c r="C19" s="15">
        <v>0.02</v>
      </c>
      <c r="D19" s="15">
        <v>0.02</v>
      </c>
      <c r="E19" s="15">
        <v>0.01</v>
      </c>
      <c r="F19" s="15">
        <v>0.02</v>
      </c>
      <c r="G19" s="15">
        <v>0.01</v>
      </c>
      <c r="H19" s="15">
        <v>0.03</v>
      </c>
      <c r="I19" s="15">
        <v>0.02</v>
      </c>
      <c r="J19" s="15">
        <v>0.02</v>
      </c>
      <c r="K19" s="15">
        <v>0.02</v>
      </c>
      <c r="L19" s="15">
        <v>0.01</v>
      </c>
      <c r="M19" s="15">
        <v>0.01</v>
      </c>
      <c r="N19" s="15">
        <v>0.01</v>
      </c>
      <c r="O19" s="15">
        <v>0.02</v>
      </c>
      <c r="P19" s="15">
        <v>0.03</v>
      </c>
      <c r="Q19" s="15">
        <v>0.03</v>
      </c>
      <c r="R19" s="15">
        <v>0.01</v>
      </c>
      <c r="S19" s="15">
        <v>0.02</v>
      </c>
      <c r="T19" s="14" t="s">
        <v>475</v>
      </c>
      <c r="U19" s="15">
        <v>0.01</v>
      </c>
      <c r="V19" s="15">
        <v>0.01</v>
      </c>
      <c r="W19" s="15">
        <v>0.01</v>
      </c>
      <c r="X19" s="15">
        <v>0.03</v>
      </c>
      <c r="Y19" s="15">
        <v>0.02</v>
      </c>
      <c r="Z19" s="15">
        <v>0.03</v>
      </c>
      <c r="AA19" s="15">
        <v>0.01</v>
      </c>
      <c r="AB19" s="15">
        <v>0.03</v>
      </c>
      <c r="AC19" s="15">
        <v>0.02</v>
      </c>
      <c r="AD19" s="15">
        <v>0.02</v>
      </c>
      <c r="AE19" s="15">
        <v>0.03</v>
      </c>
      <c r="AF19" s="15">
        <v>0.03</v>
      </c>
      <c r="AG19" s="15">
        <v>0.01</v>
      </c>
      <c r="AH19" s="15">
        <v>0.01</v>
      </c>
      <c r="AI19" s="15">
        <v>0.02</v>
      </c>
      <c r="AJ19" s="15">
        <v>0.01</v>
      </c>
      <c r="AK19" s="14" t="s">
        <v>475</v>
      </c>
      <c r="AL19" s="14" t="s">
        <v>475</v>
      </c>
      <c r="AM19" s="15">
        <v>0.01</v>
      </c>
      <c r="AN19" s="15">
        <v>0.03</v>
      </c>
      <c r="AO19" s="15">
        <v>0.01</v>
      </c>
      <c r="AP19" s="15">
        <v>0.04</v>
      </c>
      <c r="AQ19" s="15">
        <v>0.01</v>
      </c>
    </row>
    <row r="20" spans="1:43" x14ac:dyDescent="0.35">
      <c r="A20" s="19"/>
      <c r="B20" s="11" t="s">
        <v>1259</v>
      </c>
      <c r="C20" s="12">
        <v>1400</v>
      </c>
      <c r="D20" s="12">
        <v>56</v>
      </c>
      <c r="E20" s="12">
        <v>26</v>
      </c>
      <c r="F20" s="12">
        <v>73</v>
      </c>
      <c r="G20" s="12">
        <v>28</v>
      </c>
      <c r="H20" s="12">
        <v>103</v>
      </c>
      <c r="I20" s="12">
        <v>132</v>
      </c>
      <c r="J20" s="12">
        <v>30</v>
      </c>
      <c r="K20" s="12">
        <v>54</v>
      </c>
      <c r="L20" s="12">
        <v>46</v>
      </c>
      <c r="M20" s="12">
        <v>21</v>
      </c>
      <c r="N20" s="12">
        <v>29</v>
      </c>
      <c r="O20" s="12">
        <v>65</v>
      </c>
      <c r="P20" s="12">
        <v>62</v>
      </c>
      <c r="Q20" s="12">
        <v>52</v>
      </c>
      <c r="R20" s="12">
        <v>26</v>
      </c>
      <c r="S20" s="12">
        <v>42</v>
      </c>
      <c r="T20" s="12">
        <v>16</v>
      </c>
      <c r="U20" s="12">
        <v>41</v>
      </c>
      <c r="V20" s="12">
        <v>21</v>
      </c>
      <c r="W20" s="12">
        <v>13</v>
      </c>
      <c r="X20" s="12">
        <v>70</v>
      </c>
      <c r="Y20" s="12">
        <v>49</v>
      </c>
      <c r="Z20" s="12">
        <v>32</v>
      </c>
      <c r="AA20" s="12">
        <v>23</v>
      </c>
      <c r="AB20" s="12">
        <v>27</v>
      </c>
      <c r="AC20" s="12">
        <v>72</v>
      </c>
      <c r="AD20" s="12">
        <v>46</v>
      </c>
      <c r="AE20" s="12">
        <v>33</v>
      </c>
      <c r="AF20" s="12">
        <v>66</v>
      </c>
      <c r="AG20" s="12">
        <v>17</v>
      </c>
      <c r="AH20" s="12">
        <v>27</v>
      </c>
      <c r="AI20" s="12">
        <v>19</v>
      </c>
      <c r="AJ20" s="12">
        <v>28</v>
      </c>
      <c r="AK20" s="12">
        <v>25</v>
      </c>
      <c r="AL20" s="12">
        <v>18</v>
      </c>
      <c r="AM20" s="12">
        <v>54</v>
      </c>
      <c r="AN20" s="12">
        <v>22</v>
      </c>
      <c r="AO20" s="12">
        <v>22</v>
      </c>
      <c r="AP20" s="12">
        <v>18</v>
      </c>
      <c r="AQ20" s="12">
        <v>17</v>
      </c>
    </row>
    <row r="21" spans="1:43" x14ac:dyDescent="0.35">
      <c r="A21" s="19"/>
      <c r="B21" s="13" t="s">
        <v>1260</v>
      </c>
      <c r="C21" s="15">
        <v>0.05</v>
      </c>
      <c r="D21" s="15">
        <v>0.06</v>
      </c>
      <c r="E21" s="15">
        <v>0.02</v>
      </c>
      <c r="F21" s="15">
        <v>7.0000000000000007E-2</v>
      </c>
      <c r="G21" s="15">
        <v>0.03</v>
      </c>
      <c r="H21" s="15">
        <v>0.08</v>
      </c>
      <c r="I21" s="15">
        <v>0.09</v>
      </c>
      <c r="J21" s="15">
        <v>0.1</v>
      </c>
      <c r="K21" s="15">
        <v>0.06</v>
      </c>
      <c r="L21" s="15">
        <v>0.05</v>
      </c>
      <c r="M21" s="15">
        <v>0.02</v>
      </c>
      <c r="N21" s="15">
        <v>0.03</v>
      </c>
      <c r="O21" s="15">
        <v>0.06</v>
      </c>
      <c r="P21" s="15">
        <v>0.06</v>
      </c>
      <c r="Q21" s="15">
        <v>0.05</v>
      </c>
      <c r="R21" s="15">
        <v>0.05</v>
      </c>
      <c r="S21" s="15">
        <v>0.04</v>
      </c>
      <c r="T21" s="15">
        <v>0.02</v>
      </c>
      <c r="U21" s="15">
        <v>0.08</v>
      </c>
      <c r="V21" s="15">
        <v>0.02</v>
      </c>
      <c r="W21" s="15">
        <v>0.02</v>
      </c>
      <c r="X21" s="15">
        <v>7.0000000000000007E-2</v>
      </c>
      <c r="Y21" s="15">
        <v>0.05</v>
      </c>
      <c r="Z21" s="15">
        <v>0.03</v>
      </c>
      <c r="AA21" s="15">
        <v>0.02</v>
      </c>
      <c r="AB21" s="15">
        <v>0.02</v>
      </c>
      <c r="AC21" s="15">
        <v>7.0000000000000007E-2</v>
      </c>
      <c r="AD21" s="15">
        <v>0.05</v>
      </c>
      <c r="AE21" s="15">
        <v>0.03</v>
      </c>
      <c r="AF21" s="15">
        <v>0.06</v>
      </c>
      <c r="AG21" s="15">
        <v>0.02</v>
      </c>
      <c r="AH21" s="15">
        <v>0.03</v>
      </c>
      <c r="AI21" s="15">
        <v>0.04</v>
      </c>
      <c r="AJ21" s="15">
        <v>0.03</v>
      </c>
      <c r="AK21" s="15">
        <v>0.03</v>
      </c>
      <c r="AL21" s="15">
        <v>0.02</v>
      </c>
      <c r="AM21" s="15">
        <v>0.05</v>
      </c>
      <c r="AN21" s="15">
        <v>0.02</v>
      </c>
      <c r="AO21" s="15">
        <v>0.02</v>
      </c>
      <c r="AP21" s="15">
        <v>0.03</v>
      </c>
      <c r="AQ21" s="15">
        <v>0.02</v>
      </c>
    </row>
    <row r="22" spans="1:43" x14ac:dyDescent="0.35">
      <c r="A22" s="19"/>
      <c r="B22" s="11" t="s">
        <v>500</v>
      </c>
      <c r="C22" s="12">
        <v>5699</v>
      </c>
      <c r="D22" s="12">
        <v>134</v>
      </c>
      <c r="E22" s="12">
        <v>181</v>
      </c>
      <c r="F22" s="12">
        <v>209</v>
      </c>
      <c r="G22" s="12">
        <v>101</v>
      </c>
      <c r="H22" s="12">
        <v>326</v>
      </c>
      <c r="I22" s="12">
        <v>385</v>
      </c>
      <c r="J22" s="12">
        <v>59</v>
      </c>
      <c r="K22" s="12">
        <v>144</v>
      </c>
      <c r="L22" s="12">
        <v>172</v>
      </c>
      <c r="M22" s="12">
        <v>226</v>
      </c>
      <c r="N22" s="12">
        <v>216</v>
      </c>
      <c r="O22" s="12">
        <v>262</v>
      </c>
      <c r="P22" s="12">
        <v>178</v>
      </c>
      <c r="Q22" s="12">
        <v>227</v>
      </c>
      <c r="R22" s="12">
        <v>75</v>
      </c>
      <c r="S22" s="12">
        <v>180</v>
      </c>
      <c r="T22" s="12">
        <v>185</v>
      </c>
      <c r="U22" s="12">
        <v>89</v>
      </c>
      <c r="V22" s="12">
        <v>159</v>
      </c>
      <c r="W22" s="12">
        <v>50</v>
      </c>
      <c r="X22" s="12">
        <v>128</v>
      </c>
      <c r="Y22" s="12">
        <v>200</v>
      </c>
      <c r="Z22" s="12">
        <v>243</v>
      </c>
      <c r="AA22" s="12">
        <v>206</v>
      </c>
      <c r="AB22" s="12">
        <v>211</v>
      </c>
      <c r="AC22" s="12">
        <v>224</v>
      </c>
      <c r="AD22" s="12">
        <v>170</v>
      </c>
      <c r="AE22" s="12">
        <v>132</v>
      </c>
      <c r="AF22" s="12">
        <v>119</v>
      </c>
      <c r="AG22" s="12">
        <v>62</v>
      </c>
      <c r="AH22" s="12">
        <v>144</v>
      </c>
      <c r="AI22" s="12">
        <v>42</v>
      </c>
      <c r="AJ22" s="12">
        <v>282</v>
      </c>
      <c r="AK22" s="12">
        <v>119</v>
      </c>
      <c r="AL22" s="12">
        <v>167</v>
      </c>
      <c r="AM22" s="12">
        <v>197</v>
      </c>
      <c r="AN22" s="12">
        <v>120</v>
      </c>
      <c r="AO22" s="12">
        <v>96</v>
      </c>
      <c r="AP22" s="12">
        <v>22</v>
      </c>
      <c r="AQ22" s="12">
        <v>149</v>
      </c>
    </row>
    <row r="23" spans="1:43" x14ac:dyDescent="0.35">
      <c r="A23" s="19"/>
      <c r="B23" s="13" t="s">
        <v>501</v>
      </c>
      <c r="C23" s="15">
        <v>0.22</v>
      </c>
      <c r="D23" s="15">
        <v>0.13</v>
      </c>
      <c r="E23" s="15">
        <v>0.18</v>
      </c>
      <c r="F23" s="15">
        <v>0.19</v>
      </c>
      <c r="G23" s="15">
        <v>0.1</v>
      </c>
      <c r="H23" s="15">
        <v>0.27</v>
      </c>
      <c r="I23" s="15">
        <v>0.26</v>
      </c>
      <c r="J23" s="15">
        <v>0.2</v>
      </c>
      <c r="K23" s="15">
        <v>0.14000000000000001</v>
      </c>
      <c r="L23" s="15">
        <v>0.17</v>
      </c>
      <c r="M23" s="15">
        <v>0.22</v>
      </c>
      <c r="N23" s="15">
        <v>0.22</v>
      </c>
      <c r="O23" s="15">
        <v>0.26</v>
      </c>
      <c r="P23" s="15">
        <v>0.18</v>
      </c>
      <c r="Q23" s="15">
        <v>0.22</v>
      </c>
      <c r="R23" s="15">
        <v>0.15</v>
      </c>
      <c r="S23" s="15">
        <v>0.18</v>
      </c>
      <c r="T23" s="15">
        <v>0.18</v>
      </c>
      <c r="U23" s="15">
        <v>0.18</v>
      </c>
      <c r="V23" s="15">
        <v>0.16</v>
      </c>
      <c r="W23" s="15">
        <v>0.1</v>
      </c>
      <c r="X23" s="15">
        <v>0.13</v>
      </c>
      <c r="Y23" s="15">
        <v>0.2</v>
      </c>
      <c r="Z23" s="15">
        <v>0.24</v>
      </c>
      <c r="AA23" s="15">
        <v>0.2</v>
      </c>
      <c r="AB23" s="15">
        <v>0.2</v>
      </c>
      <c r="AC23" s="15">
        <v>0.22</v>
      </c>
      <c r="AD23" s="15">
        <v>0.17</v>
      </c>
      <c r="AE23" s="15">
        <v>0.13</v>
      </c>
      <c r="AF23" s="15">
        <v>0.11</v>
      </c>
      <c r="AG23" s="15">
        <v>0.06</v>
      </c>
      <c r="AH23" s="15">
        <v>0.14000000000000001</v>
      </c>
      <c r="AI23" s="15">
        <v>0.08</v>
      </c>
      <c r="AJ23" s="15">
        <v>0.27</v>
      </c>
      <c r="AK23" s="15">
        <v>0.12</v>
      </c>
      <c r="AL23" s="15">
        <v>0.17</v>
      </c>
      <c r="AM23" s="15">
        <v>0.19</v>
      </c>
      <c r="AN23" s="15">
        <v>0.12</v>
      </c>
      <c r="AO23" s="15">
        <v>0.09</v>
      </c>
      <c r="AP23" s="15">
        <v>0.04</v>
      </c>
      <c r="AQ23" s="15">
        <v>0.15</v>
      </c>
    </row>
    <row r="24" spans="1:43" ht="21.5" x14ac:dyDescent="0.35">
      <c r="A24" s="19"/>
      <c r="B24" s="11" t="s">
        <v>1261</v>
      </c>
      <c r="C24" s="12">
        <v>125</v>
      </c>
      <c r="D24" s="12">
        <v>4</v>
      </c>
      <c r="E24" s="12">
        <v>12</v>
      </c>
      <c r="F24" s="12">
        <v>9</v>
      </c>
      <c r="G24" s="12">
        <v>1</v>
      </c>
      <c r="H24" s="12">
        <v>5</v>
      </c>
      <c r="I24" s="12">
        <v>6</v>
      </c>
      <c r="J24" s="12">
        <v>0</v>
      </c>
      <c r="K24" s="12">
        <v>9</v>
      </c>
      <c r="L24" s="12">
        <v>0</v>
      </c>
      <c r="M24" s="12">
        <v>17</v>
      </c>
      <c r="N24" s="12">
        <v>4</v>
      </c>
      <c r="O24" s="12">
        <v>6</v>
      </c>
      <c r="P24" s="12">
        <v>1</v>
      </c>
      <c r="Q24" s="12">
        <v>2</v>
      </c>
      <c r="R24" s="12">
        <v>1</v>
      </c>
      <c r="S24" s="12">
        <v>16</v>
      </c>
      <c r="T24" s="12">
        <v>8</v>
      </c>
      <c r="U24" s="12">
        <v>3</v>
      </c>
      <c r="V24" s="12">
        <v>1</v>
      </c>
      <c r="W24" s="12">
        <v>15</v>
      </c>
      <c r="X24" s="12">
        <v>0</v>
      </c>
      <c r="Y24" s="12">
        <v>11</v>
      </c>
      <c r="Z24" s="12">
        <v>0</v>
      </c>
      <c r="AA24" s="12">
        <v>28</v>
      </c>
      <c r="AB24" s="12">
        <v>9</v>
      </c>
      <c r="AC24" s="12">
        <v>1</v>
      </c>
      <c r="AD24" s="12">
        <v>3</v>
      </c>
      <c r="AE24" s="12">
        <v>4</v>
      </c>
      <c r="AF24" s="12">
        <v>1</v>
      </c>
      <c r="AG24" s="12">
        <v>1</v>
      </c>
      <c r="AH24" s="12">
        <v>2</v>
      </c>
      <c r="AI24" s="12">
        <v>0</v>
      </c>
      <c r="AJ24" s="12">
        <v>0</v>
      </c>
      <c r="AK24" s="12">
        <v>0</v>
      </c>
      <c r="AL24" s="12">
        <v>2</v>
      </c>
      <c r="AM24" s="12">
        <v>1</v>
      </c>
      <c r="AN24" s="12">
        <v>1</v>
      </c>
      <c r="AO24" s="12">
        <v>0</v>
      </c>
      <c r="AP24" s="12">
        <v>0</v>
      </c>
      <c r="AQ24" s="12">
        <v>8</v>
      </c>
    </row>
    <row r="25" spans="1:43" ht="21.5" x14ac:dyDescent="0.35">
      <c r="A25" s="19"/>
      <c r="B25" s="13" t="s">
        <v>1262</v>
      </c>
      <c r="C25" s="14" t="s">
        <v>475</v>
      </c>
      <c r="D25" s="14" t="s">
        <v>475</v>
      </c>
      <c r="E25" s="15">
        <v>0.01</v>
      </c>
      <c r="F25" s="15">
        <v>0.01</v>
      </c>
      <c r="G25" s="14" t="s">
        <v>475</v>
      </c>
      <c r="H25" s="14" t="s">
        <v>475</v>
      </c>
      <c r="I25" s="14" t="s">
        <v>475</v>
      </c>
      <c r="J25" s="14" t="s">
        <v>475</v>
      </c>
      <c r="K25" s="15">
        <v>0.01</v>
      </c>
      <c r="L25" s="14" t="s">
        <v>475</v>
      </c>
      <c r="M25" s="15">
        <v>0.02</v>
      </c>
      <c r="N25" s="14" t="s">
        <v>475</v>
      </c>
      <c r="O25" s="15">
        <v>0.01</v>
      </c>
      <c r="P25" s="14" t="s">
        <v>475</v>
      </c>
      <c r="Q25" s="14" t="s">
        <v>475</v>
      </c>
      <c r="R25" s="14" t="s">
        <v>475</v>
      </c>
      <c r="S25" s="15">
        <v>0.02</v>
      </c>
      <c r="T25" s="15">
        <v>0.01</v>
      </c>
      <c r="U25" s="15">
        <v>0.01</v>
      </c>
      <c r="V25" s="14" t="s">
        <v>475</v>
      </c>
      <c r="W25" s="15">
        <v>0.03</v>
      </c>
      <c r="X25" s="14" t="s">
        <v>475</v>
      </c>
      <c r="Y25" s="15">
        <v>0.01</v>
      </c>
      <c r="Z25" s="14" t="s">
        <v>475</v>
      </c>
      <c r="AA25" s="15">
        <v>0.03</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5">
        <v>0.01</v>
      </c>
    </row>
    <row r="26" spans="1:43" x14ac:dyDescent="0.35">
      <c r="A26" s="19"/>
      <c r="B26" s="11" t="s">
        <v>485</v>
      </c>
      <c r="C26" s="12">
        <v>19</v>
      </c>
      <c r="D26" s="12">
        <v>4</v>
      </c>
      <c r="E26" s="12">
        <v>0</v>
      </c>
      <c r="F26" s="12">
        <v>2</v>
      </c>
      <c r="G26" s="12">
        <v>0</v>
      </c>
      <c r="H26" s="12">
        <v>0</v>
      </c>
      <c r="I26" s="12">
        <v>0</v>
      </c>
      <c r="J26" s="12">
        <v>0</v>
      </c>
      <c r="K26" s="12">
        <v>2</v>
      </c>
      <c r="L26" s="12">
        <v>3</v>
      </c>
      <c r="M26" s="12">
        <v>0</v>
      </c>
      <c r="N26" s="12">
        <v>0</v>
      </c>
      <c r="O26" s="12">
        <v>0</v>
      </c>
      <c r="P26" s="12">
        <v>0</v>
      </c>
      <c r="Q26" s="12">
        <v>0</v>
      </c>
      <c r="R26" s="12">
        <v>0</v>
      </c>
      <c r="S26" s="12">
        <v>2</v>
      </c>
      <c r="T26" s="12">
        <v>3</v>
      </c>
      <c r="U26" s="12">
        <v>0</v>
      </c>
      <c r="V26" s="12">
        <v>1</v>
      </c>
      <c r="W26" s="12">
        <v>0</v>
      </c>
      <c r="X26" s="12">
        <v>0</v>
      </c>
      <c r="Y26" s="12">
        <v>0</v>
      </c>
      <c r="Z26" s="12">
        <v>5</v>
      </c>
      <c r="AA26" s="12">
        <v>3</v>
      </c>
      <c r="AB26" s="12">
        <v>1</v>
      </c>
      <c r="AC26" s="12">
        <v>0</v>
      </c>
      <c r="AD26" s="12">
        <v>0</v>
      </c>
      <c r="AE26" s="12">
        <v>0</v>
      </c>
      <c r="AF26" s="12">
        <v>1</v>
      </c>
      <c r="AG26" s="12">
        <v>0</v>
      </c>
      <c r="AH26" s="12">
        <v>0</v>
      </c>
      <c r="AI26" s="12">
        <v>2</v>
      </c>
      <c r="AJ26" s="12">
        <v>0</v>
      </c>
      <c r="AK26" s="12">
        <v>0</v>
      </c>
      <c r="AL26" s="12">
        <v>2</v>
      </c>
      <c r="AM26" s="12">
        <v>7</v>
      </c>
      <c r="AN26" s="12">
        <v>0</v>
      </c>
      <c r="AO26" s="12">
        <v>0</v>
      </c>
      <c r="AP26" s="12">
        <v>0</v>
      </c>
      <c r="AQ26" s="12">
        <v>4</v>
      </c>
    </row>
    <row r="27" spans="1:43" x14ac:dyDescent="0.35">
      <c r="A27" s="19"/>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ht="21.5" x14ac:dyDescent="0.35">
      <c r="A28" s="19"/>
      <c r="B28" s="11" t="s">
        <v>1263</v>
      </c>
      <c r="C28" s="12">
        <v>18642</v>
      </c>
      <c r="D28" s="12">
        <v>791</v>
      </c>
      <c r="E28" s="12">
        <v>798</v>
      </c>
      <c r="F28" s="12">
        <v>792</v>
      </c>
      <c r="G28" s="12">
        <v>864</v>
      </c>
      <c r="H28" s="12">
        <v>756</v>
      </c>
      <c r="I28" s="12">
        <v>957</v>
      </c>
      <c r="J28" s="12">
        <v>200</v>
      </c>
      <c r="K28" s="12">
        <v>774</v>
      </c>
      <c r="L28" s="12">
        <v>769</v>
      </c>
      <c r="M28" s="12">
        <v>734</v>
      </c>
      <c r="N28" s="12">
        <v>742</v>
      </c>
      <c r="O28" s="12">
        <v>648</v>
      </c>
      <c r="P28" s="12">
        <v>734</v>
      </c>
      <c r="Q28" s="12">
        <v>719</v>
      </c>
      <c r="R28" s="12">
        <v>397</v>
      </c>
      <c r="S28" s="12">
        <v>742</v>
      </c>
      <c r="T28" s="12">
        <v>794</v>
      </c>
      <c r="U28" s="12">
        <v>364</v>
      </c>
      <c r="V28" s="12">
        <v>822</v>
      </c>
      <c r="W28" s="12">
        <v>427</v>
      </c>
      <c r="X28" s="12">
        <v>785</v>
      </c>
      <c r="Y28" s="12">
        <v>721</v>
      </c>
      <c r="Z28" s="12">
        <v>723</v>
      </c>
      <c r="AA28" s="12">
        <v>766</v>
      </c>
      <c r="AB28" s="12">
        <v>774</v>
      </c>
      <c r="AC28" s="12">
        <v>685</v>
      </c>
      <c r="AD28" s="12">
        <v>767</v>
      </c>
      <c r="AE28" s="12">
        <v>818</v>
      </c>
      <c r="AF28" s="12">
        <v>830</v>
      </c>
      <c r="AG28" s="12">
        <v>948</v>
      </c>
      <c r="AH28" s="12">
        <v>827</v>
      </c>
      <c r="AI28" s="12">
        <v>451</v>
      </c>
      <c r="AJ28" s="12">
        <v>715</v>
      </c>
      <c r="AK28" s="12">
        <v>860</v>
      </c>
      <c r="AL28" s="12">
        <v>820</v>
      </c>
      <c r="AM28" s="12">
        <v>767</v>
      </c>
      <c r="AN28" s="12">
        <v>832</v>
      </c>
      <c r="AO28" s="12">
        <v>878</v>
      </c>
      <c r="AP28" s="12">
        <v>465</v>
      </c>
      <c r="AQ28" s="12">
        <v>818</v>
      </c>
    </row>
    <row r="29" spans="1:43" x14ac:dyDescent="0.35">
      <c r="A29" s="19"/>
      <c r="B29" s="13" t="s">
        <v>1264</v>
      </c>
      <c r="C29" s="15">
        <v>0.70000000000000007</v>
      </c>
      <c r="D29" s="15">
        <v>0.78</v>
      </c>
      <c r="E29" s="15">
        <v>0.77</v>
      </c>
      <c r="F29" s="15">
        <v>0.72</v>
      </c>
      <c r="G29" s="15">
        <v>0.86</v>
      </c>
      <c r="H29" s="15">
        <v>0.62</v>
      </c>
      <c r="I29" s="15">
        <v>0.63</v>
      </c>
      <c r="J29" s="15">
        <v>0.68</v>
      </c>
      <c r="K29" s="15">
        <v>0.77</v>
      </c>
      <c r="L29" s="15">
        <v>0.77</v>
      </c>
      <c r="M29" s="15">
        <v>0.73</v>
      </c>
      <c r="N29" s="15">
        <v>0.74</v>
      </c>
      <c r="O29" s="15">
        <v>0.65</v>
      </c>
      <c r="P29" s="15">
        <v>0.73</v>
      </c>
      <c r="Q29" s="15">
        <v>0.70000000000000007</v>
      </c>
      <c r="R29" s="15">
        <v>0.79</v>
      </c>
      <c r="S29" s="15">
        <v>0.74</v>
      </c>
      <c r="T29" s="15">
        <v>0.79</v>
      </c>
      <c r="U29" s="15">
        <v>0.72</v>
      </c>
      <c r="V29" s="15">
        <v>0.81</v>
      </c>
      <c r="W29" s="15">
        <v>0.84</v>
      </c>
      <c r="X29" s="15">
        <v>0.78</v>
      </c>
      <c r="Y29" s="15">
        <v>0.72</v>
      </c>
      <c r="Z29" s="15">
        <v>0.70000000000000007</v>
      </c>
      <c r="AA29" s="15">
        <v>0.74</v>
      </c>
      <c r="AB29" s="15">
        <v>0.74</v>
      </c>
      <c r="AC29" s="15">
        <v>0.68</v>
      </c>
      <c r="AD29" s="15">
        <v>0.76</v>
      </c>
      <c r="AE29" s="15">
        <v>0.81</v>
      </c>
      <c r="AF29" s="15">
        <v>0.8</v>
      </c>
      <c r="AG29" s="15">
        <v>0.92</v>
      </c>
      <c r="AH29" s="15">
        <v>0.82000000000000006</v>
      </c>
      <c r="AI29" s="15">
        <v>0.86</v>
      </c>
      <c r="AJ29" s="15">
        <v>0.69000000000000006</v>
      </c>
      <c r="AK29" s="15">
        <v>0.85</v>
      </c>
      <c r="AL29" s="15">
        <v>0.81</v>
      </c>
      <c r="AM29" s="15">
        <v>0.74</v>
      </c>
      <c r="AN29" s="15">
        <v>0.83000000000000007</v>
      </c>
      <c r="AO29" s="15">
        <v>0.87</v>
      </c>
      <c r="AP29" s="15">
        <v>0.89</v>
      </c>
      <c r="AQ29" s="15">
        <v>0.82000000000000006</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Q29"/>
  <sheetViews>
    <sheetView workbookViewId="0">
      <pane xSplit="3" ySplit="9" topLeftCell="D10" activePane="bottomRight" state="frozen"/>
      <selection pane="topRight"/>
      <selection pane="bottomLeft"/>
      <selection pane="bottomRight" activeCell="B28" sqref="A28:XFD29"/>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291</v>
      </c>
      <c r="C3" s="18"/>
      <c r="D3" s="18"/>
      <c r="E3" s="18"/>
      <c r="F3" s="18"/>
      <c r="H3" s="18" t="s">
        <v>292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20057</v>
      </c>
      <c r="D12" s="12">
        <v>740</v>
      </c>
      <c r="E12" s="12">
        <v>886</v>
      </c>
      <c r="F12" s="12">
        <v>694</v>
      </c>
      <c r="G12" s="12">
        <v>746</v>
      </c>
      <c r="H12" s="12">
        <v>864</v>
      </c>
      <c r="I12" s="12">
        <v>1103</v>
      </c>
      <c r="J12" s="12">
        <v>238</v>
      </c>
      <c r="K12" s="12">
        <v>668</v>
      </c>
      <c r="L12" s="12">
        <v>776</v>
      </c>
      <c r="M12" s="12">
        <v>807</v>
      </c>
      <c r="N12" s="12">
        <v>763</v>
      </c>
      <c r="O12" s="12">
        <v>702</v>
      </c>
      <c r="P12" s="12">
        <v>819</v>
      </c>
      <c r="Q12" s="12">
        <v>891</v>
      </c>
      <c r="R12" s="12">
        <v>346</v>
      </c>
      <c r="S12" s="12">
        <v>605</v>
      </c>
      <c r="T12" s="12">
        <v>753</v>
      </c>
      <c r="U12" s="12">
        <v>300</v>
      </c>
      <c r="V12" s="12">
        <v>687</v>
      </c>
      <c r="W12" s="12">
        <v>321</v>
      </c>
      <c r="X12" s="12">
        <v>641</v>
      </c>
      <c r="Y12" s="12">
        <v>821</v>
      </c>
      <c r="Z12" s="12">
        <v>816</v>
      </c>
      <c r="AA12" s="12">
        <v>959</v>
      </c>
      <c r="AB12" s="12">
        <v>876</v>
      </c>
      <c r="AC12" s="12">
        <v>581</v>
      </c>
      <c r="AD12" s="12">
        <v>717</v>
      </c>
      <c r="AE12" s="12">
        <v>702</v>
      </c>
      <c r="AF12" s="12">
        <v>770</v>
      </c>
      <c r="AG12" s="12">
        <v>902</v>
      </c>
      <c r="AH12" s="12">
        <v>736</v>
      </c>
      <c r="AI12" s="12">
        <v>478</v>
      </c>
      <c r="AJ12" s="12">
        <v>807</v>
      </c>
      <c r="AK12" s="12">
        <v>791</v>
      </c>
      <c r="AL12" s="12">
        <v>581</v>
      </c>
      <c r="AM12" s="12">
        <v>747</v>
      </c>
      <c r="AN12" s="12">
        <v>755</v>
      </c>
      <c r="AO12" s="12">
        <v>766</v>
      </c>
      <c r="AP12" s="12">
        <v>413</v>
      </c>
      <c r="AQ12" s="12">
        <v>548</v>
      </c>
    </row>
    <row r="13" spans="1:43" x14ac:dyDescent="0.35">
      <c r="A13" s="19"/>
      <c r="B13" s="13" t="s">
        <v>1252</v>
      </c>
      <c r="C13" s="15">
        <v>0.76</v>
      </c>
      <c r="D13" s="15">
        <v>0.73</v>
      </c>
      <c r="E13" s="15">
        <v>0.86</v>
      </c>
      <c r="F13" s="15">
        <v>0.63</v>
      </c>
      <c r="G13" s="15">
        <v>0.74</v>
      </c>
      <c r="H13" s="15">
        <v>0.71</v>
      </c>
      <c r="I13" s="15">
        <v>0.73</v>
      </c>
      <c r="J13" s="15">
        <v>0.81</v>
      </c>
      <c r="K13" s="15">
        <v>0.67</v>
      </c>
      <c r="L13" s="15">
        <v>0.77</v>
      </c>
      <c r="M13" s="15">
        <v>0.8</v>
      </c>
      <c r="N13" s="15">
        <v>0.76</v>
      </c>
      <c r="O13" s="15">
        <v>0.70000000000000007</v>
      </c>
      <c r="P13" s="15">
        <v>0.82000000000000006</v>
      </c>
      <c r="Q13" s="15">
        <v>0.87</v>
      </c>
      <c r="R13" s="15">
        <v>0.69000000000000006</v>
      </c>
      <c r="S13" s="15">
        <v>0.6</v>
      </c>
      <c r="T13" s="15">
        <v>0.75</v>
      </c>
      <c r="U13" s="15">
        <v>0.6</v>
      </c>
      <c r="V13" s="15">
        <v>0.68</v>
      </c>
      <c r="W13" s="15">
        <v>0.63</v>
      </c>
      <c r="X13" s="15">
        <v>0.63</v>
      </c>
      <c r="Y13" s="15">
        <v>0.82000000000000006</v>
      </c>
      <c r="Z13" s="15">
        <v>0.79</v>
      </c>
      <c r="AA13" s="15">
        <v>0.93</v>
      </c>
      <c r="AB13" s="15">
        <v>0.83000000000000007</v>
      </c>
      <c r="AC13" s="15">
        <v>0.57999999999999996</v>
      </c>
      <c r="AD13" s="15">
        <v>0.72</v>
      </c>
      <c r="AE13" s="15">
        <v>0.69000000000000006</v>
      </c>
      <c r="AF13" s="15">
        <v>0.74</v>
      </c>
      <c r="AG13" s="15">
        <v>0.87</v>
      </c>
      <c r="AH13" s="15">
        <v>0.73</v>
      </c>
      <c r="AI13" s="15">
        <v>0.91</v>
      </c>
      <c r="AJ13" s="15">
        <v>0.78</v>
      </c>
      <c r="AK13" s="15">
        <v>0.79</v>
      </c>
      <c r="AL13" s="15">
        <v>0.57999999999999996</v>
      </c>
      <c r="AM13" s="15">
        <v>0.72</v>
      </c>
      <c r="AN13" s="15">
        <v>0.75</v>
      </c>
      <c r="AO13" s="15">
        <v>0.76</v>
      </c>
      <c r="AP13" s="15">
        <v>0.79</v>
      </c>
      <c r="AQ13" s="15">
        <v>0.55000000000000004</v>
      </c>
    </row>
    <row r="14" spans="1:43" ht="21.5" x14ac:dyDescent="0.35">
      <c r="A14" s="19"/>
      <c r="B14" s="11" t="s">
        <v>1253</v>
      </c>
      <c r="C14" s="12">
        <v>3296</v>
      </c>
      <c r="D14" s="12">
        <v>145</v>
      </c>
      <c r="E14" s="12">
        <v>110</v>
      </c>
      <c r="F14" s="12">
        <v>219</v>
      </c>
      <c r="G14" s="12">
        <v>139</v>
      </c>
      <c r="H14" s="12">
        <v>187</v>
      </c>
      <c r="I14" s="12">
        <v>224</v>
      </c>
      <c r="J14" s="12">
        <v>37</v>
      </c>
      <c r="K14" s="12">
        <v>149</v>
      </c>
      <c r="L14" s="12">
        <v>150</v>
      </c>
      <c r="M14" s="12">
        <v>104</v>
      </c>
      <c r="N14" s="12">
        <v>122</v>
      </c>
      <c r="O14" s="12">
        <v>124</v>
      </c>
      <c r="P14" s="12">
        <v>110</v>
      </c>
      <c r="Q14" s="12">
        <v>71</v>
      </c>
      <c r="R14" s="12">
        <v>79</v>
      </c>
      <c r="S14" s="12">
        <v>108</v>
      </c>
      <c r="T14" s="12">
        <v>121</v>
      </c>
      <c r="U14" s="12">
        <v>82</v>
      </c>
      <c r="V14" s="12">
        <v>196</v>
      </c>
      <c r="W14" s="12">
        <v>101</v>
      </c>
      <c r="X14" s="12">
        <v>190</v>
      </c>
      <c r="Y14" s="12">
        <v>141</v>
      </c>
      <c r="Z14" s="12">
        <v>119</v>
      </c>
      <c r="AA14" s="12">
        <v>44</v>
      </c>
      <c r="AB14" s="12">
        <v>91</v>
      </c>
      <c r="AC14" s="12">
        <v>198</v>
      </c>
      <c r="AD14" s="12">
        <v>182</v>
      </c>
      <c r="AE14" s="12">
        <v>146</v>
      </c>
      <c r="AF14" s="12">
        <v>140</v>
      </c>
      <c r="AG14" s="12">
        <v>98</v>
      </c>
      <c r="AH14" s="12">
        <v>184</v>
      </c>
      <c r="AI14" s="12">
        <v>31</v>
      </c>
      <c r="AJ14" s="12">
        <v>143</v>
      </c>
      <c r="AK14" s="12">
        <v>144</v>
      </c>
      <c r="AL14" s="12">
        <v>146</v>
      </c>
      <c r="AM14" s="12">
        <v>157</v>
      </c>
      <c r="AN14" s="12">
        <v>181</v>
      </c>
      <c r="AO14" s="12">
        <v>155</v>
      </c>
      <c r="AP14" s="12">
        <v>48</v>
      </c>
      <c r="AQ14" s="12">
        <v>171</v>
      </c>
    </row>
    <row r="15" spans="1:43" x14ac:dyDescent="0.35">
      <c r="A15" s="19"/>
      <c r="B15" s="13" t="s">
        <v>1254</v>
      </c>
      <c r="C15" s="15">
        <v>0.12</v>
      </c>
      <c r="D15" s="15">
        <v>0.14000000000000001</v>
      </c>
      <c r="E15" s="15">
        <v>0.11</v>
      </c>
      <c r="F15" s="15">
        <v>0.2</v>
      </c>
      <c r="G15" s="15">
        <v>0.14000000000000001</v>
      </c>
      <c r="H15" s="15">
        <v>0.15</v>
      </c>
      <c r="I15" s="15">
        <v>0.15</v>
      </c>
      <c r="J15" s="15">
        <v>0.13</v>
      </c>
      <c r="K15" s="15">
        <v>0.15</v>
      </c>
      <c r="L15" s="15">
        <v>0.15</v>
      </c>
      <c r="M15" s="15">
        <v>0.1</v>
      </c>
      <c r="N15" s="15">
        <v>0.12</v>
      </c>
      <c r="O15" s="15">
        <v>0.12</v>
      </c>
      <c r="P15" s="15">
        <v>0.11</v>
      </c>
      <c r="Q15" s="15">
        <v>7.0000000000000007E-2</v>
      </c>
      <c r="R15" s="15">
        <v>0.16</v>
      </c>
      <c r="S15" s="15">
        <v>0.11</v>
      </c>
      <c r="T15" s="15">
        <v>0.12</v>
      </c>
      <c r="U15" s="15">
        <v>0.16</v>
      </c>
      <c r="V15" s="15">
        <v>0.19</v>
      </c>
      <c r="W15" s="15">
        <v>0.2</v>
      </c>
      <c r="X15" s="15">
        <v>0.19</v>
      </c>
      <c r="Y15" s="15">
        <v>0.14000000000000001</v>
      </c>
      <c r="Z15" s="15">
        <v>0.12</v>
      </c>
      <c r="AA15" s="15">
        <v>0.04</v>
      </c>
      <c r="AB15" s="15">
        <v>0.09</v>
      </c>
      <c r="AC15" s="15">
        <v>0.2</v>
      </c>
      <c r="AD15" s="15">
        <v>0.18</v>
      </c>
      <c r="AE15" s="15">
        <v>0.14000000000000001</v>
      </c>
      <c r="AF15" s="15">
        <v>0.13</v>
      </c>
      <c r="AG15" s="15">
        <v>0.09</v>
      </c>
      <c r="AH15" s="15">
        <v>0.18</v>
      </c>
      <c r="AI15" s="15">
        <v>0.06</v>
      </c>
      <c r="AJ15" s="15">
        <v>0.14000000000000001</v>
      </c>
      <c r="AK15" s="15">
        <v>0.14000000000000001</v>
      </c>
      <c r="AL15" s="15">
        <v>0.14000000000000001</v>
      </c>
      <c r="AM15" s="15">
        <v>0.15</v>
      </c>
      <c r="AN15" s="15">
        <v>0.18</v>
      </c>
      <c r="AO15" s="15">
        <v>0.15</v>
      </c>
      <c r="AP15" s="15">
        <v>0.09</v>
      </c>
      <c r="AQ15" s="15">
        <v>0.17</v>
      </c>
    </row>
    <row r="16" spans="1:43" ht="21.5" x14ac:dyDescent="0.35">
      <c r="A16" s="19"/>
      <c r="B16" s="11" t="s">
        <v>1255</v>
      </c>
      <c r="C16" s="12">
        <v>1033</v>
      </c>
      <c r="D16" s="12">
        <v>46</v>
      </c>
      <c r="E16" s="12">
        <v>15</v>
      </c>
      <c r="F16" s="12">
        <v>62</v>
      </c>
      <c r="G16" s="12">
        <v>45</v>
      </c>
      <c r="H16" s="12">
        <v>57</v>
      </c>
      <c r="I16" s="12">
        <v>64</v>
      </c>
      <c r="J16" s="12">
        <v>7</v>
      </c>
      <c r="K16" s="12">
        <v>54</v>
      </c>
      <c r="L16" s="12">
        <v>28</v>
      </c>
      <c r="M16" s="12">
        <v>30</v>
      </c>
      <c r="N16" s="12">
        <v>29</v>
      </c>
      <c r="O16" s="12">
        <v>46</v>
      </c>
      <c r="P16" s="12">
        <v>40</v>
      </c>
      <c r="Q16" s="12">
        <v>27</v>
      </c>
      <c r="R16" s="12">
        <v>21</v>
      </c>
      <c r="S16" s="12">
        <v>57</v>
      </c>
      <c r="T16" s="12">
        <v>26</v>
      </c>
      <c r="U16" s="12">
        <v>35</v>
      </c>
      <c r="V16" s="12">
        <v>60</v>
      </c>
      <c r="W16" s="12">
        <v>38</v>
      </c>
      <c r="X16" s="12">
        <v>79</v>
      </c>
      <c r="Y16" s="12">
        <v>18</v>
      </c>
      <c r="Z16" s="12">
        <v>34</v>
      </c>
      <c r="AA16" s="12">
        <v>9</v>
      </c>
      <c r="AB16" s="12">
        <v>52</v>
      </c>
      <c r="AC16" s="12">
        <v>71</v>
      </c>
      <c r="AD16" s="12">
        <v>61</v>
      </c>
      <c r="AE16" s="12">
        <v>69</v>
      </c>
      <c r="AF16" s="12">
        <v>27</v>
      </c>
      <c r="AG16" s="12">
        <v>17</v>
      </c>
      <c r="AH16" s="12">
        <v>43</v>
      </c>
      <c r="AI16" s="12">
        <v>5</v>
      </c>
      <c r="AJ16" s="12">
        <v>25</v>
      </c>
      <c r="AK16" s="12">
        <v>36</v>
      </c>
      <c r="AL16" s="12">
        <v>49</v>
      </c>
      <c r="AM16" s="12">
        <v>34</v>
      </c>
      <c r="AN16" s="12">
        <v>42</v>
      </c>
      <c r="AO16" s="12">
        <v>37</v>
      </c>
      <c r="AP16" s="12">
        <v>22</v>
      </c>
      <c r="AQ16" s="12">
        <v>64</v>
      </c>
    </row>
    <row r="17" spans="1:43" x14ac:dyDescent="0.35">
      <c r="A17" s="19"/>
      <c r="B17" s="13" t="s">
        <v>1256</v>
      </c>
      <c r="C17" s="15">
        <v>0.04</v>
      </c>
      <c r="D17" s="15">
        <v>0.04</v>
      </c>
      <c r="E17" s="15">
        <v>0.01</v>
      </c>
      <c r="F17" s="15">
        <v>0.06</v>
      </c>
      <c r="G17" s="15">
        <v>0.04</v>
      </c>
      <c r="H17" s="15">
        <v>0.05</v>
      </c>
      <c r="I17" s="15">
        <v>0.04</v>
      </c>
      <c r="J17" s="15">
        <v>0.02</v>
      </c>
      <c r="K17" s="15">
        <v>0.05</v>
      </c>
      <c r="L17" s="15">
        <v>0.03</v>
      </c>
      <c r="M17" s="15">
        <v>0.03</v>
      </c>
      <c r="N17" s="15">
        <v>0.03</v>
      </c>
      <c r="O17" s="15">
        <v>0.05</v>
      </c>
      <c r="P17" s="15">
        <v>0.04</v>
      </c>
      <c r="Q17" s="15">
        <v>0.02</v>
      </c>
      <c r="R17" s="15">
        <v>0.04</v>
      </c>
      <c r="S17" s="15">
        <v>0.05</v>
      </c>
      <c r="T17" s="15">
        <v>0.03</v>
      </c>
      <c r="U17" s="15">
        <v>7.0000000000000007E-2</v>
      </c>
      <c r="V17" s="15">
        <v>0.06</v>
      </c>
      <c r="W17" s="15">
        <v>7.0000000000000007E-2</v>
      </c>
      <c r="X17" s="15">
        <v>0.08</v>
      </c>
      <c r="Y17" s="15">
        <v>0.02</v>
      </c>
      <c r="Z17" s="15">
        <v>0.03</v>
      </c>
      <c r="AA17" s="15">
        <v>0.01</v>
      </c>
      <c r="AB17" s="15">
        <v>0.05</v>
      </c>
      <c r="AC17" s="15">
        <v>7.0000000000000007E-2</v>
      </c>
      <c r="AD17" s="15">
        <v>0.06</v>
      </c>
      <c r="AE17" s="15">
        <v>7.0000000000000007E-2</v>
      </c>
      <c r="AF17" s="15">
        <v>0.03</v>
      </c>
      <c r="AG17" s="15">
        <v>0.02</v>
      </c>
      <c r="AH17" s="15">
        <v>0.04</v>
      </c>
      <c r="AI17" s="15">
        <v>0.01</v>
      </c>
      <c r="AJ17" s="15">
        <v>0.02</v>
      </c>
      <c r="AK17" s="15">
        <v>0.03</v>
      </c>
      <c r="AL17" s="15">
        <v>0.05</v>
      </c>
      <c r="AM17" s="15">
        <v>0.03</v>
      </c>
      <c r="AN17" s="15">
        <v>0.04</v>
      </c>
      <c r="AO17" s="15">
        <v>0.04</v>
      </c>
      <c r="AP17" s="15">
        <v>0.04</v>
      </c>
      <c r="AQ17" s="15">
        <v>0.06</v>
      </c>
    </row>
    <row r="18" spans="1:43" x14ac:dyDescent="0.35">
      <c r="A18" s="19"/>
      <c r="B18" s="11" t="s">
        <v>1257</v>
      </c>
      <c r="C18" s="12">
        <v>396</v>
      </c>
      <c r="D18" s="12">
        <v>18</v>
      </c>
      <c r="E18" s="12">
        <v>7</v>
      </c>
      <c r="F18" s="12">
        <v>23</v>
      </c>
      <c r="G18" s="12">
        <v>27</v>
      </c>
      <c r="H18" s="12">
        <v>35</v>
      </c>
      <c r="I18" s="12">
        <v>38</v>
      </c>
      <c r="J18" s="12">
        <v>4</v>
      </c>
      <c r="K18" s="12">
        <v>22</v>
      </c>
      <c r="L18" s="12">
        <v>8</v>
      </c>
      <c r="M18" s="12">
        <v>17</v>
      </c>
      <c r="N18" s="12">
        <v>9</v>
      </c>
      <c r="O18" s="12">
        <v>10</v>
      </c>
      <c r="P18" s="12">
        <v>11</v>
      </c>
      <c r="Q18" s="12">
        <v>9</v>
      </c>
      <c r="R18" s="12">
        <v>17</v>
      </c>
      <c r="S18" s="12">
        <v>37</v>
      </c>
      <c r="T18" s="12">
        <v>11</v>
      </c>
      <c r="U18" s="12">
        <v>12</v>
      </c>
      <c r="V18" s="12">
        <v>7</v>
      </c>
      <c r="W18" s="12">
        <v>9</v>
      </c>
      <c r="X18" s="12">
        <v>25</v>
      </c>
      <c r="Y18" s="12">
        <v>6</v>
      </c>
      <c r="Z18" s="12">
        <v>12</v>
      </c>
      <c r="AA18" s="12">
        <v>3</v>
      </c>
      <c r="AB18" s="12">
        <v>10</v>
      </c>
      <c r="AC18" s="12">
        <v>22</v>
      </c>
      <c r="AD18" s="12">
        <v>12</v>
      </c>
      <c r="AE18" s="12">
        <v>36</v>
      </c>
      <c r="AF18" s="12">
        <v>40</v>
      </c>
      <c r="AG18" s="12">
        <v>5</v>
      </c>
      <c r="AH18" s="12">
        <v>16</v>
      </c>
      <c r="AI18" s="12">
        <v>1</v>
      </c>
      <c r="AJ18" s="12">
        <v>13</v>
      </c>
      <c r="AK18" s="12">
        <v>9</v>
      </c>
      <c r="AL18" s="12">
        <v>27</v>
      </c>
      <c r="AM18" s="12">
        <v>17</v>
      </c>
      <c r="AN18" s="12">
        <v>11</v>
      </c>
      <c r="AO18" s="12">
        <v>13</v>
      </c>
      <c r="AP18" s="12">
        <v>7</v>
      </c>
      <c r="AQ18" s="12">
        <v>32</v>
      </c>
    </row>
    <row r="19" spans="1:43" x14ac:dyDescent="0.35">
      <c r="A19" s="19"/>
      <c r="B19" s="13" t="s">
        <v>1258</v>
      </c>
      <c r="C19" s="15">
        <v>0.02</v>
      </c>
      <c r="D19" s="15">
        <v>0.02</v>
      </c>
      <c r="E19" s="15">
        <v>0.01</v>
      </c>
      <c r="F19" s="15">
        <v>0.02</v>
      </c>
      <c r="G19" s="15">
        <v>0.03</v>
      </c>
      <c r="H19" s="15">
        <v>0.03</v>
      </c>
      <c r="I19" s="15">
        <v>0.02</v>
      </c>
      <c r="J19" s="15">
        <v>0.01</v>
      </c>
      <c r="K19" s="15">
        <v>0.02</v>
      </c>
      <c r="L19" s="15">
        <v>0.01</v>
      </c>
      <c r="M19" s="15">
        <v>0.02</v>
      </c>
      <c r="N19" s="15">
        <v>0.01</v>
      </c>
      <c r="O19" s="15">
        <v>0.01</v>
      </c>
      <c r="P19" s="15">
        <v>0.01</v>
      </c>
      <c r="Q19" s="15">
        <v>0.01</v>
      </c>
      <c r="R19" s="15">
        <v>0.03</v>
      </c>
      <c r="S19" s="15">
        <v>0.04</v>
      </c>
      <c r="T19" s="15">
        <v>0.01</v>
      </c>
      <c r="U19" s="15">
        <v>0.02</v>
      </c>
      <c r="V19" s="15">
        <v>0.01</v>
      </c>
      <c r="W19" s="15">
        <v>0.02</v>
      </c>
      <c r="X19" s="15">
        <v>0.02</v>
      </c>
      <c r="Y19" s="15">
        <v>0.01</v>
      </c>
      <c r="Z19" s="15">
        <v>0.01</v>
      </c>
      <c r="AA19" s="14" t="s">
        <v>475</v>
      </c>
      <c r="AB19" s="15">
        <v>0.01</v>
      </c>
      <c r="AC19" s="15">
        <v>0.02</v>
      </c>
      <c r="AD19" s="15">
        <v>0.01</v>
      </c>
      <c r="AE19" s="15">
        <v>0.04</v>
      </c>
      <c r="AF19" s="15">
        <v>0.04</v>
      </c>
      <c r="AG19" s="14" t="s">
        <v>475</v>
      </c>
      <c r="AH19" s="15">
        <v>0.02</v>
      </c>
      <c r="AI19" s="14" t="s">
        <v>475</v>
      </c>
      <c r="AJ19" s="15">
        <v>0.01</v>
      </c>
      <c r="AK19" s="15">
        <v>0.01</v>
      </c>
      <c r="AL19" s="15">
        <v>0.03</v>
      </c>
      <c r="AM19" s="15">
        <v>0.02</v>
      </c>
      <c r="AN19" s="15">
        <v>0.01</v>
      </c>
      <c r="AO19" s="15">
        <v>0.01</v>
      </c>
      <c r="AP19" s="15">
        <v>0.01</v>
      </c>
      <c r="AQ19" s="15">
        <v>0.03</v>
      </c>
    </row>
    <row r="20" spans="1:43" x14ac:dyDescent="0.35">
      <c r="A20" s="19"/>
      <c r="B20" s="11" t="s">
        <v>1259</v>
      </c>
      <c r="C20" s="12">
        <v>814</v>
      </c>
      <c r="D20" s="12">
        <v>38</v>
      </c>
      <c r="E20" s="12">
        <v>12</v>
      </c>
      <c r="F20" s="12">
        <v>61</v>
      </c>
      <c r="G20" s="12">
        <v>33</v>
      </c>
      <c r="H20" s="12">
        <v>42</v>
      </c>
      <c r="I20" s="12">
        <v>47</v>
      </c>
      <c r="J20" s="12">
        <v>5</v>
      </c>
      <c r="K20" s="12">
        <v>40</v>
      </c>
      <c r="L20" s="12">
        <v>26</v>
      </c>
      <c r="M20" s="12">
        <v>35</v>
      </c>
      <c r="N20" s="12">
        <v>30</v>
      </c>
      <c r="O20" s="12">
        <v>54</v>
      </c>
      <c r="P20" s="12">
        <v>19</v>
      </c>
      <c r="Q20" s="12">
        <v>13</v>
      </c>
      <c r="R20" s="12">
        <v>16</v>
      </c>
      <c r="S20" s="12">
        <v>67</v>
      </c>
      <c r="T20" s="12">
        <v>32</v>
      </c>
      <c r="U20" s="12">
        <v>37</v>
      </c>
      <c r="V20" s="12">
        <v>37</v>
      </c>
      <c r="W20" s="12">
        <v>18</v>
      </c>
      <c r="X20" s="12">
        <v>47</v>
      </c>
      <c r="Y20" s="12">
        <v>6</v>
      </c>
      <c r="Z20" s="12">
        <v>18</v>
      </c>
      <c r="AA20" s="12">
        <v>11</v>
      </c>
      <c r="AB20" s="12">
        <v>12</v>
      </c>
      <c r="AC20" s="12">
        <v>84</v>
      </c>
      <c r="AD20" s="12">
        <v>21</v>
      </c>
      <c r="AE20" s="12">
        <v>41</v>
      </c>
      <c r="AF20" s="12">
        <v>41</v>
      </c>
      <c r="AG20" s="12">
        <v>6</v>
      </c>
      <c r="AH20" s="12">
        <v>20</v>
      </c>
      <c r="AI20" s="12">
        <v>5</v>
      </c>
      <c r="AJ20" s="12">
        <v>22</v>
      </c>
      <c r="AK20" s="12">
        <v>19</v>
      </c>
      <c r="AL20" s="12">
        <v>54</v>
      </c>
      <c r="AM20" s="12">
        <v>43</v>
      </c>
      <c r="AN20" s="12">
        <v>7</v>
      </c>
      <c r="AO20" s="12">
        <v>25</v>
      </c>
      <c r="AP20" s="12">
        <v>16</v>
      </c>
      <c r="AQ20" s="12">
        <v>61</v>
      </c>
    </row>
    <row r="21" spans="1:43" x14ac:dyDescent="0.35">
      <c r="A21" s="19"/>
      <c r="B21" s="13" t="s">
        <v>1260</v>
      </c>
      <c r="C21" s="15">
        <v>0.03</v>
      </c>
      <c r="D21" s="15">
        <v>0.04</v>
      </c>
      <c r="E21" s="15">
        <v>0.01</v>
      </c>
      <c r="F21" s="15">
        <v>0.05</v>
      </c>
      <c r="G21" s="15">
        <v>0.03</v>
      </c>
      <c r="H21" s="15">
        <v>0.03</v>
      </c>
      <c r="I21" s="15">
        <v>0.03</v>
      </c>
      <c r="J21" s="15">
        <v>0.02</v>
      </c>
      <c r="K21" s="15">
        <v>0.04</v>
      </c>
      <c r="L21" s="15">
        <v>0.03</v>
      </c>
      <c r="M21" s="15">
        <v>0.03</v>
      </c>
      <c r="N21" s="15">
        <v>0.03</v>
      </c>
      <c r="O21" s="15">
        <v>0.05</v>
      </c>
      <c r="P21" s="15">
        <v>0.02</v>
      </c>
      <c r="Q21" s="15">
        <v>0.01</v>
      </c>
      <c r="R21" s="15">
        <v>0.03</v>
      </c>
      <c r="S21" s="15">
        <v>7.0000000000000007E-2</v>
      </c>
      <c r="T21" s="15">
        <v>0.03</v>
      </c>
      <c r="U21" s="15">
        <v>7.0000000000000007E-2</v>
      </c>
      <c r="V21" s="15">
        <v>0.03</v>
      </c>
      <c r="W21" s="15">
        <v>0.04</v>
      </c>
      <c r="X21" s="15">
        <v>0.05</v>
      </c>
      <c r="Y21" s="14" t="s">
        <v>475</v>
      </c>
      <c r="Z21" s="15">
        <v>0.02</v>
      </c>
      <c r="AA21" s="15">
        <v>0.01</v>
      </c>
      <c r="AB21" s="15">
        <v>0.01</v>
      </c>
      <c r="AC21" s="15">
        <v>0.08</v>
      </c>
      <c r="AD21" s="15">
        <v>0.02</v>
      </c>
      <c r="AE21" s="15">
        <v>0.04</v>
      </c>
      <c r="AF21" s="15">
        <v>0.04</v>
      </c>
      <c r="AG21" s="15">
        <v>0.01</v>
      </c>
      <c r="AH21" s="15">
        <v>0.02</v>
      </c>
      <c r="AI21" s="15">
        <v>0.01</v>
      </c>
      <c r="AJ21" s="15">
        <v>0.02</v>
      </c>
      <c r="AK21" s="15">
        <v>0.02</v>
      </c>
      <c r="AL21" s="15">
        <v>0.05</v>
      </c>
      <c r="AM21" s="15">
        <v>0.04</v>
      </c>
      <c r="AN21" s="15">
        <v>0.01</v>
      </c>
      <c r="AO21" s="15">
        <v>0.03</v>
      </c>
      <c r="AP21" s="15">
        <v>0.03</v>
      </c>
      <c r="AQ21" s="15">
        <v>0.06</v>
      </c>
    </row>
    <row r="22" spans="1:43" x14ac:dyDescent="0.35">
      <c r="A22" s="19"/>
      <c r="B22" s="11" t="s">
        <v>500</v>
      </c>
      <c r="C22" s="12">
        <v>848</v>
      </c>
      <c r="D22" s="12">
        <v>26</v>
      </c>
      <c r="E22" s="12">
        <v>0</v>
      </c>
      <c r="F22" s="12">
        <v>43</v>
      </c>
      <c r="G22" s="12">
        <v>16</v>
      </c>
      <c r="H22" s="12">
        <v>36</v>
      </c>
      <c r="I22" s="12">
        <v>40</v>
      </c>
      <c r="J22" s="12">
        <v>4</v>
      </c>
      <c r="K22" s="12">
        <v>69</v>
      </c>
      <c r="L22" s="12">
        <v>14</v>
      </c>
      <c r="M22" s="12">
        <v>18</v>
      </c>
      <c r="N22" s="12">
        <v>50</v>
      </c>
      <c r="O22" s="12">
        <v>65</v>
      </c>
      <c r="P22" s="12">
        <v>5</v>
      </c>
      <c r="Q22" s="12">
        <v>17</v>
      </c>
      <c r="R22" s="12">
        <v>25</v>
      </c>
      <c r="S22" s="12">
        <v>128</v>
      </c>
      <c r="T22" s="12">
        <v>60</v>
      </c>
      <c r="U22" s="12">
        <v>39</v>
      </c>
      <c r="V22" s="12">
        <v>28</v>
      </c>
      <c r="W22" s="12">
        <v>20</v>
      </c>
      <c r="X22" s="12">
        <v>28</v>
      </c>
      <c r="Y22" s="12">
        <v>11</v>
      </c>
      <c r="Z22" s="12">
        <v>31</v>
      </c>
      <c r="AA22" s="12">
        <v>5</v>
      </c>
      <c r="AB22" s="12">
        <v>11</v>
      </c>
      <c r="AC22" s="12">
        <v>46</v>
      </c>
      <c r="AD22" s="12">
        <v>11</v>
      </c>
      <c r="AE22" s="12">
        <v>17</v>
      </c>
      <c r="AF22" s="12">
        <v>25</v>
      </c>
      <c r="AG22" s="12">
        <v>8</v>
      </c>
      <c r="AH22" s="12">
        <v>14</v>
      </c>
      <c r="AI22" s="12">
        <v>1</v>
      </c>
      <c r="AJ22" s="12">
        <v>26</v>
      </c>
      <c r="AK22" s="12">
        <v>8</v>
      </c>
      <c r="AL22" s="12">
        <v>155</v>
      </c>
      <c r="AM22" s="12">
        <v>39</v>
      </c>
      <c r="AN22" s="12">
        <v>7</v>
      </c>
      <c r="AO22" s="12">
        <v>9</v>
      </c>
      <c r="AP22" s="12">
        <v>18</v>
      </c>
      <c r="AQ22" s="12">
        <v>126</v>
      </c>
    </row>
    <row r="23" spans="1:43" x14ac:dyDescent="0.35">
      <c r="A23" s="19"/>
      <c r="B23" s="13" t="s">
        <v>501</v>
      </c>
      <c r="C23" s="15">
        <v>0.03</v>
      </c>
      <c r="D23" s="15">
        <v>0.03</v>
      </c>
      <c r="E23" s="14" t="s">
        <v>475</v>
      </c>
      <c r="F23" s="15">
        <v>0.04</v>
      </c>
      <c r="G23" s="15">
        <v>0.02</v>
      </c>
      <c r="H23" s="15">
        <v>0.03</v>
      </c>
      <c r="I23" s="15">
        <v>0.03</v>
      </c>
      <c r="J23" s="15">
        <v>0.01</v>
      </c>
      <c r="K23" s="15">
        <v>7.0000000000000007E-2</v>
      </c>
      <c r="L23" s="15">
        <v>0.01</v>
      </c>
      <c r="M23" s="15">
        <v>0.02</v>
      </c>
      <c r="N23" s="15">
        <v>0.05</v>
      </c>
      <c r="O23" s="15">
        <v>7.0000000000000007E-2</v>
      </c>
      <c r="P23" s="14" t="s">
        <v>475</v>
      </c>
      <c r="Q23" s="15">
        <v>0.02</v>
      </c>
      <c r="R23" s="15">
        <v>0.05</v>
      </c>
      <c r="S23" s="15">
        <v>0.13</v>
      </c>
      <c r="T23" s="15">
        <v>0.06</v>
      </c>
      <c r="U23" s="15">
        <v>0.08</v>
      </c>
      <c r="V23" s="15">
        <v>0.03</v>
      </c>
      <c r="W23" s="15">
        <v>0.04</v>
      </c>
      <c r="X23" s="15">
        <v>0.03</v>
      </c>
      <c r="Y23" s="15">
        <v>0.01</v>
      </c>
      <c r="Z23" s="15">
        <v>0.03</v>
      </c>
      <c r="AA23" s="15">
        <v>0.01</v>
      </c>
      <c r="AB23" s="15">
        <v>0.01</v>
      </c>
      <c r="AC23" s="15">
        <v>0.05</v>
      </c>
      <c r="AD23" s="15">
        <v>0.01</v>
      </c>
      <c r="AE23" s="15">
        <v>0.02</v>
      </c>
      <c r="AF23" s="15">
        <v>0.02</v>
      </c>
      <c r="AG23" s="15">
        <v>0.01</v>
      </c>
      <c r="AH23" s="15">
        <v>0.01</v>
      </c>
      <c r="AI23" s="14" t="s">
        <v>475</v>
      </c>
      <c r="AJ23" s="15">
        <v>0.03</v>
      </c>
      <c r="AK23" s="15">
        <v>0.01</v>
      </c>
      <c r="AL23" s="15">
        <v>0.15</v>
      </c>
      <c r="AM23" s="15">
        <v>0.04</v>
      </c>
      <c r="AN23" s="15">
        <v>0.01</v>
      </c>
      <c r="AO23" s="15">
        <v>0.01</v>
      </c>
      <c r="AP23" s="15">
        <v>0.04</v>
      </c>
      <c r="AQ23" s="15">
        <v>0.13</v>
      </c>
    </row>
    <row r="24" spans="1:43" ht="21.5" x14ac:dyDescent="0.35">
      <c r="A24" s="19"/>
      <c r="B24" s="11" t="s">
        <v>1289</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1</v>
      </c>
      <c r="T24" s="12">
        <v>0</v>
      </c>
      <c r="U24" s="12">
        <v>0</v>
      </c>
      <c r="V24" s="12">
        <v>0</v>
      </c>
      <c r="W24" s="12">
        <v>0</v>
      </c>
      <c r="X24" s="12">
        <v>0</v>
      </c>
      <c r="Y24" s="12">
        <v>0</v>
      </c>
      <c r="Z24" s="12">
        <v>0</v>
      </c>
      <c r="AA24" s="12">
        <v>0</v>
      </c>
      <c r="AB24" s="12">
        <v>0</v>
      </c>
      <c r="AC24" s="12">
        <v>1</v>
      </c>
      <c r="AD24" s="12">
        <v>1</v>
      </c>
      <c r="AE24" s="12">
        <v>0</v>
      </c>
      <c r="AF24" s="12">
        <v>0</v>
      </c>
      <c r="AG24" s="12">
        <v>0</v>
      </c>
      <c r="AH24" s="12">
        <v>0</v>
      </c>
      <c r="AI24" s="12">
        <v>0</v>
      </c>
      <c r="AJ24" s="12">
        <v>0</v>
      </c>
      <c r="AK24" s="12">
        <v>0</v>
      </c>
      <c r="AL24" s="12">
        <v>0</v>
      </c>
      <c r="AM24" s="12">
        <v>0</v>
      </c>
      <c r="AN24" s="12">
        <v>0</v>
      </c>
      <c r="AO24" s="12">
        <v>0</v>
      </c>
      <c r="AP24" s="12">
        <v>0</v>
      </c>
      <c r="AQ24" s="12">
        <v>0</v>
      </c>
    </row>
    <row r="25" spans="1:43" ht="21.5" x14ac:dyDescent="0.35">
      <c r="A25" s="19"/>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x14ac:dyDescent="0.35">
      <c r="A26" s="19"/>
      <c r="B26" s="11" t="s">
        <v>485</v>
      </c>
      <c r="C26" s="12">
        <v>1</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2</v>
      </c>
      <c r="U26" s="12">
        <v>0</v>
      </c>
      <c r="V26" s="12">
        <v>0</v>
      </c>
      <c r="W26" s="12">
        <v>0</v>
      </c>
      <c r="X26" s="12">
        <v>0</v>
      </c>
      <c r="Y26" s="12">
        <v>0</v>
      </c>
      <c r="Z26" s="12">
        <v>0</v>
      </c>
      <c r="AA26" s="12">
        <v>1</v>
      </c>
      <c r="AB26" s="12">
        <v>0</v>
      </c>
      <c r="AC26" s="12">
        <v>0</v>
      </c>
      <c r="AD26" s="12">
        <v>0</v>
      </c>
      <c r="AE26" s="12">
        <v>0</v>
      </c>
      <c r="AF26" s="12">
        <v>0</v>
      </c>
      <c r="AG26" s="12">
        <v>0</v>
      </c>
      <c r="AH26" s="12">
        <v>0</v>
      </c>
      <c r="AI26" s="12">
        <v>2</v>
      </c>
      <c r="AJ26" s="12">
        <v>0</v>
      </c>
      <c r="AK26" s="12">
        <v>0</v>
      </c>
      <c r="AL26" s="12">
        <v>0</v>
      </c>
      <c r="AM26" s="12">
        <v>2</v>
      </c>
      <c r="AN26" s="12">
        <v>0</v>
      </c>
      <c r="AO26" s="12">
        <v>0</v>
      </c>
      <c r="AP26" s="12">
        <v>0</v>
      </c>
      <c r="AQ26" s="12">
        <v>0</v>
      </c>
    </row>
    <row r="27" spans="1:43" x14ac:dyDescent="0.35">
      <c r="A27" s="19"/>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5">
        <v>0.01</v>
      </c>
      <c r="AJ27" s="14" t="s">
        <v>475</v>
      </c>
      <c r="AK27" s="14" t="s">
        <v>475</v>
      </c>
      <c r="AL27" s="14" t="s">
        <v>475</v>
      </c>
      <c r="AM27" s="14" t="s">
        <v>475</v>
      </c>
      <c r="AN27" s="14" t="s">
        <v>475</v>
      </c>
      <c r="AO27" s="14" t="s">
        <v>475</v>
      </c>
      <c r="AP27" s="14" t="s">
        <v>475</v>
      </c>
      <c r="AQ27" s="14" t="s">
        <v>475</v>
      </c>
    </row>
    <row r="28" spans="1:43" ht="21.5" x14ac:dyDescent="0.35">
      <c r="A28" s="19"/>
      <c r="B28" s="11" t="s">
        <v>1263</v>
      </c>
      <c r="C28" s="12">
        <v>24386</v>
      </c>
      <c r="D28" s="12">
        <v>931</v>
      </c>
      <c r="E28" s="12">
        <v>1011</v>
      </c>
      <c r="F28" s="12">
        <v>975</v>
      </c>
      <c r="G28" s="12">
        <v>930</v>
      </c>
      <c r="H28" s="12">
        <v>1108</v>
      </c>
      <c r="I28" s="12">
        <v>1391</v>
      </c>
      <c r="J28" s="12">
        <v>282</v>
      </c>
      <c r="K28" s="12">
        <v>872</v>
      </c>
      <c r="L28" s="12">
        <v>954</v>
      </c>
      <c r="M28" s="12">
        <v>940</v>
      </c>
      <c r="N28" s="12">
        <v>914</v>
      </c>
      <c r="O28" s="12">
        <v>872</v>
      </c>
      <c r="P28" s="12">
        <v>969</v>
      </c>
      <c r="Q28" s="12">
        <v>989</v>
      </c>
      <c r="R28" s="12">
        <v>446</v>
      </c>
      <c r="S28" s="12">
        <v>769</v>
      </c>
      <c r="T28" s="12">
        <v>901</v>
      </c>
      <c r="U28" s="12">
        <v>417</v>
      </c>
      <c r="V28" s="12">
        <v>944</v>
      </c>
      <c r="W28" s="12">
        <v>461</v>
      </c>
      <c r="X28" s="12">
        <v>909</v>
      </c>
      <c r="Y28" s="12">
        <v>980</v>
      </c>
      <c r="Z28" s="12">
        <v>970</v>
      </c>
      <c r="AA28" s="12">
        <v>1013</v>
      </c>
      <c r="AB28" s="12">
        <v>1018</v>
      </c>
      <c r="AC28" s="12">
        <v>850</v>
      </c>
      <c r="AD28" s="12">
        <v>960</v>
      </c>
      <c r="AE28" s="12">
        <v>917</v>
      </c>
      <c r="AF28" s="12">
        <v>937</v>
      </c>
      <c r="AG28" s="12">
        <v>1016</v>
      </c>
      <c r="AH28" s="12">
        <v>963</v>
      </c>
      <c r="AI28" s="12">
        <v>514</v>
      </c>
      <c r="AJ28" s="12">
        <v>976</v>
      </c>
      <c r="AK28" s="12">
        <v>970</v>
      </c>
      <c r="AL28" s="12">
        <v>776</v>
      </c>
      <c r="AM28" s="12">
        <v>939</v>
      </c>
      <c r="AN28" s="12">
        <v>979</v>
      </c>
      <c r="AO28" s="12">
        <v>958</v>
      </c>
      <c r="AP28" s="12">
        <v>483</v>
      </c>
      <c r="AQ28" s="12">
        <v>783</v>
      </c>
    </row>
    <row r="29" spans="1:43" x14ac:dyDescent="0.35">
      <c r="A29" s="19"/>
      <c r="B29" s="13" t="s">
        <v>1264</v>
      </c>
      <c r="C29" s="15">
        <v>0.92</v>
      </c>
      <c r="D29" s="15">
        <v>0.92</v>
      </c>
      <c r="E29" s="15">
        <v>0.98</v>
      </c>
      <c r="F29" s="15">
        <v>0.88</v>
      </c>
      <c r="G29" s="15">
        <v>0.92</v>
      </c>
      <c r="H29" s="15">
        <v>0.91</v>
      </c>
      <c r="I29" s="15">
        <v>0.92</v>
      </c>
      <c r="J29" s="15">
        <v>0.96</v>
      </c>
      <c r="K29" s="15">
        <v>0.87</v>
      </c>
      <c r="L29" s="15">
        <v>0.95000000000000007</v>
      </c>
      <c r="M29" s="15">
        <v>0.93</v>
      </c>
      <c r="N29" s="15">
        <v>0.91</v>
      </c>
      <c r="O29" s="15">
        <v>0.87</v>
      </c>
      <c r="P29" s="15">
        <v>0.97</v>
      </c>
      <c r="Q29" s="15">
        <v>0.96</v>
      </c>
      <c r="R29" s="15">
        <v>0.88</v>
      </c>
      <c r="S29" s="15">
        <v>0.77</v>
      </c>
      <c r="T29" s="15">
        <v>0.9</v>
      </c>
      <c r="U29" s="15">
        <v>0.83000000000000007</v>
      </c>
      <c r="V29" s="15">
        <v>0.93</v>
      </c>
      <c r="W29" s="15">
        <v>0.91</v>
      </c>
      <c r="X29" s="15">
        <v>0.9</v>
      </c>
      <c r="Y29" s="15">
        <v>0.98</v>
      </c>
      <c r="Z29" s="15">
        <v>0.94000000000000006</v>
      </c>
      <c r="AA29" s="15">
        <v>0.98</v>
      </c>
      <c r="AB29" s="15">
        <v>0.97</v>
      </c>
      <c r="AC29" s="15">
        <v>0.85</v>
      </c>
      <c r="AD29" s="15">
        <v>0.96</v>
      </c>
      <c r="AE29" s="15">
        <v>0.91</v>
      </c>
      <c r="AF29" s="15">
        <v>0.9</v>
      </c>
      <c r="AG29" s="15">
        <v>0.98</v>
      </c>
      <c r="AH29" s="15">
        <v>0.95000000000000007</v>
      </c>
      <c r="AI29" s="15">
        <v>0.98</v>
      </c>
      <c r="AJ29" s="15">
        <v>0.94000000000000006</v>
      </c>
      <c r="AK29" s="15">
        <v>0.96</v>
      </c>
      <c r="AL29" s="15">
        <v>0.77</v>
      </c>
      <c r="AM29" s="15">
        <v>0.9</v>
      </c>
      <c r="AN29" s="15">
        <v>0.98</v>
      </c>
      <c r="AO29" s="15">
        <v>0.95000000000000007</v>
      </c>
      <c r="AP29" s="15">
        <v>0.92</v>
      </c>
      <c r="AQ29" s="15">
        <v>0.78</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293</v>
      </c>
      <c r="C3" s="18"/>
      <c r="D3" s="18"/>
      <c r="E3" s="18"/>
      <c r="F3" s="18"/>
      <c r="H3" s="18" t="s">
        <v>294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HYPERLINK("#Content!A149","&lt;&lt;Back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1290</v>
      </c>
      <c r="C12" s="12">
        <v>6754</v>
      </c>
      <c r="D12" s="12">
        <v>333</v>
      </c>
      <c r="E12" s="12">
        <v>219</v>
      </c>
      <c r="F12" s="12">
        <v>305</v>
      </c>
      <c r="G12" s="12">
        <v>480</v>
      </c>
      <c r="H12" s="12">
        <v>303</v>
      </c>
      <c r="I12" s="12">
        <v>400</v>
      </c>
      <c r="J12" s="12">
        <v>97</v>
      </c>
      <c r="K12" s="12">
        <v>340</v>
      </c>
      <c r="L12" s="12">
        <v>446</v>
      </c>
      <c r="M12" s="12">
        <v>206</v>
      </c>
      <c r="N12" s="12">
        <v>204</v>
      </c>
      <c r="O12" s="12">
        <v>188</v>
      </c>
      <c r="P12" s="12">
        <v>328</v>
      </c>
      <c r="Q12" s="12">
        <v>274</v>
      </c>
      <c r="R12" s="12">
        <v>152</v>
      </c>
      <c r="S12" s="12">
        <v>228</v>
      </c>
      <c r="T12" s="12">
        <v>332</v>
      </c>
      <c r="U12" s="12">
        <v>178</v>
      </c>
      <c r="V12" s="12">
        <v>176</v>
      </c>
      <c r="W12" s="12">
        <v>157</v>
      </c>
      <c r="X12" s="12">
        <v>406</v>
      </c>
      <c r="Y12" s="12">
        <v>364</v>
      </c>
      <c r="Z12" s="12">
        <v>138</v>
      </c>
      <c r="AA12" s="12">
        <v>205</v>
      </c>
      <c r="AB12" s="12">
        <v>246</v>
      </c>
      <c r="AC12" s="12">
        <v>269</v>
      </c>
      <c r="AD12" s="12">
        <v>360</v>
      </c>
      <c r="AE12" s="12">
        <v>530</v>
      </c>
      <c r="AF12" s="12">
        <v>578</v>
      </c>
      <c r="AG12" s="12">
        <v>368</v>
      </c>
      <c r="AH12" s="12">
        <v>202</v>
      </c>
      <c r="AI12" s="12">
        <v>315</v>
      </c>
      <c r="AJ12" s="12">
        <v>185</v>
      </c>
      <c r="AK12" s="12">
        <v>145</v>
      </c>
      <c r="AL12" s="12">
        <v>184</v>
      </c>
      <c r="AM12" s="12">
        <v>358</v>
      </c>
      <c r="AN12" s="12">
        <v>192</v>
      </c>
      <c r="AO12" s="12">
        <v>286</v>
      </c>
      <c r="AP12" s="12">
        <v>169</v>
      </c>
      <c r="AQ12" s="12">
        <v>63</v>
      </c>
    </row>
    <row r="13" spans="1:43" x14ac:dyDescent="0.35">
      <c r="A13" s="19"/>
      <c r="B13" s="13" t="s">
        <v>1291</v>
      </c>
      <c r="C13" s="15">
        <v>0.25</v>
      </c>
      <c r="D13" s="15">
        <v>0.33</v>
      </c>
      <c r="E13" s="15">
        <v>0.21</v>
      </c>
      <c r="F13" s="15">
        <v>0.28000000000000003</v>
      </c>
      <c r="G13" s="15">
        <v>0.48</v>
      </c>
      <c r="H13" s="15">
        <v>0.25</v>
      </c>
      <c r="I13" s="15">
        <v>0.27</v>
      </c>
      <c r="J13" s="15">
        <v>0.33</v>
      </c>
      <c r="K13" s="15">
        <v>0.34</v>
      </c>
      <c r="L13" s="15">
        <v>0.44</v>
      </c>
      <c r="M13" s="15">
        <v>0.2</v>
      </c>
      <c r="N13" s="15">
        <v>0.2</v>
      </c>
      <c r="O13" s="15">
        <v>0.19</v>
      </c>
      <c r="P13" s="15">
        <v>0.33</v>
      </c>
      <c r="Q13" s="15">
        <v>0.27</v>
      </c>
      <c r="R13" s="15">
        <v>0.3</v>
      </c>
      <c r="S13" s="15">
        <v>0.23</v>
      </c>
      <c r="T13" s="15">
        <v>0.33</v>
      </c>
      <c r="U13" s="15">
        <v>0.35</v>
      </c>
      <c r="V13" s="15">
        <v>0.17</v>
      </c>
      <c r="W13" s="15">
        <v>0.31</v>
      </c>
      <c r="X13" s="15">
        <v>0.4</v>
      </c>
      <c r="Y13" s="15">
        <v>0.36</v>
      </c>
      <c r="Z13" s="15">
        <v>0.13</v>
      </c>
      <c r="AA13" s="15">
        <v>0.2</v>
      </c>
      <c r="AB13" s="15">
        <v>0.23</v>
      </c>
      <c r="AC13" s="15">
        <v>0.27</v>
      </c>
      <c r="AD13" s="15">
        <v>0.36</v>
      </c>
      <c r="AE13" s="15">
        <v>0.52</v>
      </c>
      <c r="AF13" s="15">
        <v>0.55000000000000004</v>
      </c>
      <c r="AG13" s="15">
        <v>0.36</v>
      </c>
      <c r="AH13" s="15">
        <v>0.2</v>
      </c>
      <c r="AI13" s="15">
        <v>0.6</v>
      </c>
      <c r="AJ13" s="15">
        <v>0.18</v>
      </c>
      <c r="AK13" s="15">
        <v>0.14000000000000001</v>
      </c>
      <c r="AL13" s="15">
        <v>0.18</v>
      </c>
      <c r="AM13" s="15">
        <v>0.34</v>
      </c>
      <c r="AN13" s="15">
        <v>0.19</v>
      </c>
      <c r="AO13" s="15">
        <v>0.28999999999999998</v>
      </c>
      <c r="AP13" s="15">
        <v>0.32</v>
      </c>
      <c r="AQ13" s="15">
        <v>0.06</v>
      </c>
    </row>
    <row r="14" spans="1:43" x14ac:dyDescent="0.35">
      <c r="A14" s="19"/>
      <c r="B14" s="11" t="s">
        <v>1292</v>
      </c>
      <c r="C14" s="12">
        <v>11822</v>
      </c>
      <c r="D14" s="12">
        <v>472</v>
      </c>
      <c r="E14" s="12">
        <v>481</v>
      </c>
      <c r="F14" s="12">
        <v>494</v>
      </c>
      <c r="G14" s="12">
        <v>432</v>
      </c>
      <c r="H14" s="12">
        <v>586</v>
      </c>
      <c r="I14" s="12">
        <v>717</v>
      </c>
      <c r="J14" s="12">
        <v>131</v>
      </c>
      <c r="K14" s="12">
        <v>453</v>
      </c>
      <c r="L14" s="12">
        <v>390</v>
      </c>
      <c r="M14" s="12">
        <v>483</v>
      </c>
      <c r="N14" s="12">
        <v>471</v>
      </c>
      <c r="O14" s="12">
        <v>427</v>
      </c>
      <c r="P14" s="12">
        <v>444</v>
      </c>
      <c r="Q14" s="12">
        <v>433</v>
      </c>
      <c r="R14" s="12">
        <v>222</v>
      </c>
      <c r="S14" s="12">
        <v>433</v>
      </c>
      <c r="T14" s="12">
        <v>401</v>
      </c>
      <c r="U14" s="12">
        <v>222</v>
      </c>
      <c r="V14" s="12">
        <v>515</v>
      </c>
      <c r="W14" s="12">
        <v>254</v>
      </c>
      <c r="X14" s="12">
        <v>471</v>
      </c>
      <c r="Y14" s="12">
        <v>431</v>
      </c>
      <c r="Z14" s="12">
        <v>521</v>
      </c>
      <c r="AA14" s="12">
        <v>502</v>
      </c>
      <c r="AB14" s="12">
        <v>328</v>
      </c>
      <c r="AC14" s="12">
        <v>456</v>
      </c>
      <c r="AD14" s="12">
        <v>440</v>
      </c>
      <c r="AE14" s="12">
        <v>378</v>
      </c>
      <c r="AF14" s="12">
        <v>385</v>
      </c>
      <c r="AG14" s="12">
        <v>504</v>
      </c>
      <c r="AH14" s="12">
        <v>472</v>
      </c>
      <c r="AI14" s="12">
        <v>144</v>
      </c>
      <c r="AJ14" s="12">
        <v>468</v>
      </c>
      <c r="AK14" s="12">
        <v>518</v>
      </c>
      <c r="AL14" s="12">
        <v>384</v>
      </c>
      <c r="AM14" s="12">
        <v>412</v>
      </c>
      <c r="AN14" s="12">
        <v>513</v>
      </c>
      <c r="AO14" s="12">
        <v>474</v>
      </c>
      <c r="AP14" s="12">
        <v>269</v>
      </c>
      <c r="AQ14" s="12">
        <v>369</v>
      </c>
    </row>
    <row r="15" spans="1:43" x14ac:dyDescent="0.35">
      <c r="A15" s="19"/>
      <c r="B15" s="13" t="s">
        <v>1293</v>
      </c>
      <c r="C15" s="15">
        <v>0.45</v>
      </c>
      <c r="D15" s="15">
        <v>0.46</v>
      </c>
      <c r="E15" s="15">
        <v>0.47</v>
      </c>
      <c r="F15" s="15">
        <v>0.45</v>
      </c>
      <c r="G15" s="15">
        <v>0.43</v>
      </c>
      <c r="H15" s="15">
        <v>0.48</v>
      </c>
      <c r="I15" s="15">
        <v>0.47</v>
      </c>
      <c r="J15" s="15">
        <v>0.44</v>
      </c>
      <c r="K15" s="15">
        <v>0.45</v>
      </c>
      <c r="L15" s="15">
        <v>0.39</v>
      </c>
      <c r="M15" s="15">
        <v>0.48</v>
      </c>
      <c r="N15" s="15">
        <v>0.47</v>
      </c>
      <c r="O15" s="15">
        <v>0.43</v>
      </c>
      <c r="P15" s="15">
        <v>0.44</v>
      </c>
      <c r="Q15" s="15">
        <v>0.42</v>
      </c>
      <c r="R15" s="15">
        <v>0.44</v>
      </c>
      <c r="S15" s="15">
        <v>0.43</v>
      </c>
      <c r="T15" s="15">
        <v>0.4</v>
      </c>
      <c r="U15" s="15">
        <v>0.44</v>
      </c>
      <c r="V15" s="15">
        <v>0.51</v>
      </c>
      <c r="W15" s="15">
        <v>0.5</v>
      </c>
      <c r="X15" s="15">
        <v>0.47</v>
      </c>
      <c r="Y15" s="15">
        <v>0.43</v>
      </c>
      <c r="Z15" s="15">
        <v>0.51</v>
      </c>
      <c r="AA15" s="15">
        <v>0.48</v>
      </c>
      <c r="AB15" s="15">
        <v>0.31</v>
      </c>
      <c r="AC15" s="15">
        <v>0.46</v>
      </c>
      <c r="AD15" s="15">
        <v>0.44</v>
      </c>
      <c r="AE15" s="15">
        <v>0.38</v>
      </c>
      <c r="AF15" s="15">
        <v>0.37</v>
      </c>
      <c r="AG15" s="15">
        <v>0.49</v>
      </c>
      <c r="AH15" s="15">
        <v>0.46</v>
      </c>
      <c r="AI15" s="15">
        <v>0.28000000000000003</v>
      </c>
      <c r="AJ15" s="15">
        <v>0.45</v>
      </c>
      <c r="AK15" s="15">
        <v>0.52</v>
      </c>
      <c r="AL15" s="15">
        <v>0.38</v>
      </c>
      <c r="AM15" s="15">
        <v>0.4</v>
      </c>
      <c r="AN15" s="15">
        <v>0.51</v>
      </c>
      <c r="AO15" s="15">
        <v>0.47</v>
      </c>
      <c r="AP15" s="15">
        <v>0.51</v>
      </c>
      <c r="AQ15" s="15">
        <v>0.37</v>
      </c>
    </row>
    <row r="16" spans="1:43" x14ac:dyDescent="0.35">
      <c r="A16" s="19"/>
      <c r="B16" s="11" t="s">
        <v>1294</v>
      </c>
      <c r="C16" s="12">
        <v>6604</v>
      </c>
      <c r="D16" s="12">
        <v>190</v>
      </c>
      <c r="E16" s="12">
        <v>260</v>
      </c>
      <c r="F16" s="12">
        <v>238</v>
      </c>
      <c r="G16" s="12">
        <v>89</v>
      </c>
      <c r="H16" s="12">
        <v>272</v>
      </c>
      <c r="I16" s="12">
        <v>334</v>
      </c>
      <c r="J16" s="12">
        <v>62</v>
      </c>
      <c r="K16" s="12">
        <v>197</v>
      </c>
      <c r="L16" s="12">
        <v>157</v>
      </c>
      <c r="M16" s="12">
        <v>252</v>
      </c>
      <c r="N16" s="12">
        <v>276</v>
      </c>
      <c r="O16" s="12">
        <v>333</v>
      </c>
      <c r="P16" s="12">
        <v>210</v>
      </c>
      <c r="Q16" s="12">
        <v>261</v>
      </c>
      <c r="R16" s="12">
        <v>98</v>
      </c>
      <c r="S16" s="12">
        <v>285</v>
      </c>
      <c r="T16" s="12">
        <v>254</v>
      </c>
      <c r="U16" s="12">
        <v>98</v>
      </c>
      <c r="V16" s="12">
        <v>289</v>
      </c>
      <c r="W16" s="12">
        <v>88</v>
      </c>
      <c r="X16" s="12">
        <v>121</v>
      </c>
      <c r="Y16" s="12">
        <v>206</v>
      </c>
      <c r="Z16" s="12">
        <v>310</v>
      </c>
      <c r="AA16" s="12">
        <v>245</v>
      </c>
      <c r="AB16" s="12">
        <v>368</v>
      </c>
      <c r="AC16" s="12">
        <v>253</v>
      </c>
      <c r="AD16" s="12">
        <v>181</v>
      </c>
      <c r="AE16" s="12">
        <v>100</v>
      </c>
      <c r="AF16" s="12">
        <v>79</v>
      </c>
      <c r="AG16" s="12">
        <v>117</v>
      </c>
      <c r="AH16" s="12">
        <v>251</v>
      </c>
      <c r="AI16" s="12">
        <v>57</v>
      </c>
      <c r="AJ16" s="12">
        <v>314</v>
      </c>
      <c r="AK16" s="12">
        <v>266</v>
      </c>
      <c r="AL16" s="12">
        <v>334</v>
      </c>
      <c r="AM16" s="12">
        <v>230</v>
      </c>
      <c r="AN16" s="12">
        <v>248</v>
      </c>
      <c r="AO16" s="12">
        <v>185</v>
      </c>
      <c r="AP16" s="12">
        <v>70</v>
      </c>
      <c r="AQ16" s="12">
        <v>423</v>
      </c>
    </row>
    <row r="17" spans="1:43" x14ac:dyDescent="0.35">
      <c r="A17" s="19"/>
      <c r="B17" s="13" t="s">
        <v>1295</v>
      </c>
      <c r="C17" s="15">
        <v>0.25</v>
      </c>
      <c r="D17" s="15">
        <v>0.19</v>
      </c>
      <c r="E17" s="15">
        <v>0.25</v>
      </c>
      <c r="F17" s="15">
        <v>0.21</v>
      </c>
      <c r="G17" s="15">
        <v>0.09</v>
      </c>
      <c r="H17" s="15">
        <v>0.22</v>
      </c>
      <c r="I17" s="15">
        <v>0.22</v>
      </c>
      <c r="J17" s="15">
        <v>0.21</v>
      </c>
      <c r="K17" s="15">
        <v>0.2</v>
      </c>
      <c r="L17" s="15">
        <v>0.16</v>
      </c>
      <c r="M17" s="15">
        <v>0.25</v>
      </c>
      <c r="N17" s="15">
        <v>0.28000000000000003</v>
      </c>
      <c r="O17" s="15">
        <v>0.33</v>
      </c>
      <c r="P17" s="15">
        <v>0.21</v>
      </c>
      <c r="Q17" s="15">
        <v>0.25</v>
      </c>
      <c r="R17" s="15">
        <v>0.2</v>
      </c>
      <c r="S17" s="15">
        <v>0.28000000000000003</v>
      </c>
      <c r="T17" s="15">
        <v>0.25</v>
      </c>
      <c r="U17" s="15">
        <v>0.2</v>
      </c>
      <c r="V17" s="15">
        <v>0.28999999999999998</v>
      </c>
      <c r="W17" s="15">
        <v>0.17</v>
      </c>
      <c r="X17" s="15">
        <v>0.12</v>
      </c>
      <c r="Y17" s="15">
        <v>0.21</v>
      </c>
      <c r="Z17" s="15">
        <v>0.3</v>
      </c>
      <c r="AA17" s="15">
        <v>0.24</v>
      </c>
      <c r="AB17" s="15">
        <v>0.35</v>
      </c>
      <c r="AC17" s="15">
        <v>0.25</v>
      </c>
      <c r="AD17" s="15">
        <v>0.18</v>
      </c>
      <c r="AE17" s="15">
        <v>0.1</v>
      </c>
      <c r="AF17" s="15">
        <v>0.08</v>
      </c>
      <c r="AG17" s="15">
        <v>0.11</v>
      </c>
      <c r="AH17" s="15">
        <v>0.25</v>
      </c>
      <c r="AI17" s="15">
        <v>0.11</v>
      </c>
      <c r="AJ17" s="15">
        <v>0.3</v>
      </c>
      <c r="AK17" s="15">
        <v>0.26</v>
      </c>
      <c r="AL17" s="15">
        <v>0.33</v>
      </c>
      <c r="AM17" s="15">
        <v>0.22</v>
      </c>
      <c r="AN17" s="15">
        <v>0.25</v>
      </c>
      <c r="AO17" s="15">
        <v>0.18</v>
      </c>
      <c r="AP17" s="15">
        <v>0.14000000000000001</v>
      </c>
      <c r="AQ17" s="15">
        <v>0.42</v>
      </c>
    </row>
    <row r="18" spans="1:43" x14ac:dyDescent="0.35">
      <c r="A18" s="19"/>
      <c r="B18" s="11" t="s">
        <v>1296</v>
      </c>
      <c r="C18" s="12">
        <v>1265</v>
      </c>
      <c r="D18" s="12">
        <v>18</v>
      </c>
      <c r="E18" s="12">
        <v>71</v>
      </c>
      <c r="F18" s="12">
        <v>65</v>
      </c>
      <c r="G18" s="12">
        <v>5</v>
      </c>
      <c r="H18" s="12">
        <v>61</v>
      </c>
      <c r="I18" s="12">
        <v>66</v>
      </c>
      <c r="J18" s="12">
        <v>5</v>
      </c>
      <c r="K18" s="12">
        <v>13</v>
      </c>
      <c r="L18" s="12">
        <v>9</v>
      </c>
      <c r="M18" s="12">
        <v>69</v>
      </c>
      <c r="N18" s="12">
        <v>52</v>
      </c>
      <c r="O18" s="12">
        <v>53</v>
      </c>
      <c r="P18" s="12">
        <v>22</v>
      </c>
      <c r="Q18" s="12">
        <v>60</v>
      </c>
      <c r="R18" s="12">
        <v>32</v>
      </c>
      <c r="S18" s="12">
        <v>57</v>
      </c>
      <c r="T18" s="12">
        <v>20</v>
      </c>
      <c r="U18" s="12">
        <v>6</v>
      </c>
      <c r="V18" s="12">
        <v>35</v>
      </c>
      <c r="W18" s="12">
        <v>10</v>
      </c>
      <c r="X18" s="12">
        <v>11</v>
      </c>
      <c r="Y18" s="12">
        <v>3</v>
      </c>
      <c r="Z18" s="12">
        <v>62</v>
      </c>
      <c r="AA18" s="12">
        <v>81</v>
      </c>
      <c r="AB18" s="12">
        <v>109</v>
      </c>
      <c r="AC18" s="12">
        <v>24</v>
      </c>
      <c r="AD18" s="12">
        <v>24</v>
      </c>
      <c r="AE18" s="12">
        <v>4</v>
      </c>
      <c r="AF18" s="12">
        <v>1</v>
      </c>
      <c r="AG18" s="12">
        <v>46</v>
      </c>
      <c r="AH18" s="12">
        <v>88</v>
      </c>
      <c r="AI18" s="12">
        <v>7</v>
      </c>
      <c r="AJ18" s="12">
        <v>70</v>
      </c>
      <c r="AK18" s="12">
        <v>78</v>
      </c>
      <c r="AL18" s="12">
        <v>110</v>
      </c>
      <c r="AM18" s="12">
        <v>41</v>
      </c>
      <c r="AN18" s="12">
        <v>51</v>
      </c>
      <c r="AO18" s="12">
        <v>60</v>
      </c>
      <c r="AP18" s="12">
        <v>16</v>
      </c>
      <c r="AQ18" s="12">
        <v>147</v>
      </c>
    </row>
    <row r="19" spans="1:43" x14ac:dyDescent="0.35">
      <c r="A19" s="19"/>
      <c r="B19" s="13" t="s">
        <v>1297</v>
      </c>
      <c r="C19" s="15">
        <v>0.05</v>
      </c>
      <c r="D19" s="15">
        <v>0.02</v>
      </c>
      <c r="E19" s="15">
        <v>7.0000000000000007E-2</v>
      </c>
      <c r="F19" s="15">
        <v>0.06</v>
      </c>
      <c r="G19" s="14" t="s">
        <v>475</v>
      </c>
      <c r="H19" s="15">
        <v>0.05</v>
      </c>
      <c r="I19" s="15">
        <v>0.04</v>
      </c>
      <c r="J19" s="15">
        <v>0.02</v>
      </c>
      <c r="K19" s="15">
        <v>0.01</v>
      </c>
      <c r="L19" s="15">
        <v>0.01</v>
      </c>
      <c r="M19" s="15">
        <v>7.0000000000000007E-2</v>
      </c>
      <c r="N19" s="15">
        <v>0.05</v>
      </c>
      <c r="O19" s="15">
        <v>0.05</v>
      </c>
      <c r="P19" s="15">
        <v>0.02</v>
      </c>
      <c r="Q19" s="15">
        <v>0.06</v>
      </c>
      <c r="R19" s="15">
        <v>0.06</v>
      </c>
      <c r="S19" s="15">
        <v>0.06</v>
      </c>
      <c r="T19" s="15">
        <v>0.02</v>
      </c>
      <c r="U19" s="15">
        <v>0.01</v>
      </c>
      <c r="V19" s="15">
        <v>0.03</v>
      </c>
      <c r="W19" s="15">
        <v>0.02</v>
      </c>
      <c r="X19" s="15">
        <v>0.01</v>
      </c>
      <c r="Y19" s="14" t="s">
        <v>475</v>
      </c>
      <c r="Z19" s="15">
        <v>0.06</v>
      </c>
      <c r="AA19" s="15">
        <v>0.08</v>
      </c>
      <c r="AB19" s="15">
        <v>0.11</v>
      </c>
      <c r="AC19" s="15">
        <v>0.02</v>
      </c>
      <c r="AD19" s="15">
        <v>0.02</v>
      </c>
      <c r="AE19" s="14" t="s">
        <v>475</v>
      </c>
      <c r="AF19" s="14" t="s">
        <v>475</v>
      </c>
      <c r="AG19" s="15">
        <v>0.04</v>
      </c>
      <c r="AH19" s="15">
        <v>0.09</v>
      </c>
      <c r="AI19" s="15">
        <v>0.01</v>
      </c>
      <c r="AJ19" s="15">
        <v>7.0000000000000007E-2</v>
      </c>
      <c r="AK19" s="15">
        <v>0.08</v>
      </c>
      <c r="AL19" s="15">
        <v>0.11</v>
      </c>
      <c r="AM19" s="15">
        <v>0.04</v>
      </c>
      <c r="AN19" s="15">
        <v>0.05</v>
      </c>
      <c r="AO19" s="15">
        <v>0.06</v>
      </c>
      <c r="AP19" s="15">
        <v>0.03</v>
      </c>
      <c r="AQ19" s="15">
        <v>0.15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1298</v>
      </c>
      <c r="C3" s="18"/>
      <c r="D3" s="18"/>
      <c r="E3" s="18"/>
      <c r="F3" s="18"/>
      <c r="H3" s="18" t="s">
        <v>1299</v>
      </c>
      <c r="I3" s="18"/>
      <c r="J3" s="18"/>
      <c r="K3" s="18"/>
      <c r="L3" s="18"/>
    </row>
    <row r="4" spans="1:43" ht="27" customHeight="1" x14ac:dyDescent="0.35">
      <c r="B4" s="18" t="s">
        <v>1300</v>
      </c>
      <c r="C4" s="18"/>
      <c r="D4" s="18"/>
      <c r="E4" s="18"/>
      <c r="F4" s="18"/>
      <c r="H4" s="18" t="s">
        <v>1301</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15714</v>
      </c>
      <c r="D12" s="12">
        <v>658</v>
      </c>
      <c r="E12" s="12">
        <v>429</v>
      </c>
      <c r="F12" s="12">
        <v>538</v>
      </c>
      <c r="G12" s="12">
        <v>748</v>
      </c>
      <c r="H12" s="12">
        <v>757</v>
      </c>
      <c r="I12" s="12">
        <v>893</v>
      </c>
      <c r="J12" s="12">
        <v>136</v>
      </c>
      <c r="K12" s="12">
        <v>608</v>
      </c>
      <c r="L12" s="12">
        <v>576</v>
      </c>
      <c r="M12" s="12">
        <v>493</v>
      </c>
      <c r="N12" s="12">
        <v>475</v>
      </c>
      <c r="O12" s="12">
        <v>593</v>
      </c>
      <c r="P12" s="12">
        <v>576</v>
      </c>
      <c r="Q12" s="12">
        <v>653</v>
      </c>
      <c r="R12" s="12">
        <v>223</v>
      </c>
      <c r="S12" s="12">
        <v>447</v>
      </c>
      <c r="T12" s="12">
        <v>507</v>
      </c>
      <c r="U12" s="12">
        <v>328</v>
      </c>
      <c r="V12" s="12">
        <v>461</v>
      </c>
      <c r="W12" s="12">
        <v>215</v>
      </c>
      <c r="X12" s="12">
        <v>769</v>
      </c>
      <c r="Y12" s="12">
        <v>692</v>
      </c>
      <c r="Z12" s="12">
        <v>656</v>
      </c>
      <c r="AA12" s="12">
        <v>851</v>
      </c>
      <c r="AB12" s="12">
        <v>544</v>
      </c>
      <c r="AC12" s="12">
        <v>405</v>
      </c>
      <c r="AD12" s="12">
        <v>513</v>
      </c>
      <c r="AE12" s="12">
        <v>746</v>
      </c>
      <c r="AF12" s="12">
        <v>792</v>
      </c>
      <c r="AG12" s="12">
        <v>556</v>
      </c>
      <c r="AH12" s="12">
        <v>376</v>
      </c>
      <c r="AI12" s="12">
        <v>330</v>
      </c>
      <c r="AJ12" s="12">
        <v>356</v>
      </c>
      <c r="AK12" s="12">
        <v>305</v>
      </c>
      <c r="AL12" s="12">
        <v>290</v>
      </c>
      <c r="AM12" s="12">
        <v>319</v>
      </c>
      <c r="AN12" s="12">
        <v>361</v>
      </c>
      <c r="AO12" s="12">
        <v>461</v>
      </c>
      <c r="AP12" s="12">
        <v>285</v>
      </c>
      <c r="AQ12" s="12">
        <v>309</v>
      </c>
    </row>
    <row r="13" spans="1:43" x14ac:dyDescent="0.35">
      <c r="A13" s="19"/>
      <c r="B13" s="13" t="s">
        <v>658</v>
      </c>
      <c r="C13" s="15">
        <v>0.59</v>
      </c>
      <c r="D13" s="15">
        <v>0.65</v>
      </c>
      <c r="E13" s="15">
        <v>0.42</v>
      </c>
      <c r="F13" s="15">
        <v>0.49</v>
      </c>
      <c r="G13" s="15">
        <v>0.74</v>
      </c>
      <c r="H13" s="15">
        <v>0.62</v>
      </c>
      <c r="I13" s="15">
        <v>0.59</v>
      </c>
      <c r="J13" s="15">
        <v>0.46</v>
      </c>
      <c r="K13" s="15">
        <v>0.6</v>
      </c>
      <c r="L13" s="15">
        <v>0.57999999999999996</v>
      </c>
      <c r="M13" s="15">
        <v>0.49</v>
      </c>
      <c r="N13" s="15">
        <v>0.47</v>
      </c>
      <c r="O13" s="15">
        <v>0.59</v>
      </c>
      <c r="P13" s="15">
        <v>0.57000000000000006</v>
      </c>
      <c r="Q13" s="15">
        <v>0.64</v>
      </c>
      <c r="R13" s="15">
        <v>0.44</v>
      </c>
      <c r="S13" s="15">
        <v>0.45</v>
      </c>
      <c r="T13" s="15">
        <v>0.5</v>
      </c>
      <c r="U13" s="15">
        <v>0.65</v>
      </c>
      <c r="V13" s="15">
        <v>0.46</v>
      </c>
      <c r="W13" s="15">
        <v>0.42</v>
      </c>
      <c r="X13" s="15">
        <v>0.76</v>
      </c>
      <c r="Y13" s="15">
        <v>0.69000000000000006</v>
      </c>
      <c r="Z13" s="15">
        <v>0.64</v>
      </c>
      <c r="AA13" s="15">
        <v>0.82000000000000006</v>
      </c>
      <c r="AB13" s="15">
        <v>0.52</v>
      </c>
      <c r="AC13" s="15">
        <v>0.41</v>
      </c>
      <c r="AD13" s="15">
        <v>0.51</v>
      </c>
      <c r="AE13" s="15">
        <v>0.74</v>
      </c>
      <c r="AF13" s="15">
        <v>0.76</v>
      </c>
      <c r="AG13" s="15">
        <v>0.54</v>
      </c>
      <c r="AH13" s="15">
        <v>0.37</v>
      </c>
      <c r="AI13" s="15">
        <v>0.63</v>
      </c>
      <c r="AJ13" s="15">
        <v>0.34</v>
      </c>
      <c r="AK13" s="15">
        <v>0.3</v>
      </c>
      <c r="AL13" s="15">
        <v>0.28999999999999998</v>
      </c>
      <c r="AM13" s="15">
        <v>0.31</v>
      </c>
      <c r="AN13" s="15">
        <v>0.36</v>
      </c>
      <c r="AO13" s="15">
        <v>0.46</v>
      </c>
      <c r="AP13" s="15">
        <v>0.54</v>
      </c>
      <c r="AQ13" s="15">
        <v>0.31</v>
      </c>
    </row>
    <row r="14" spans="1:43" x14ac:dyDescent="0.35">
      <c r="A14" s="19"/>
      <c r="B14" s="11" t="s">
        <v>659</v>
      </c>
      <c r="C14" s="12">
        <v>9190</v>
      </c>
      <c r="D14" s="12">
        <v>339</v>
      </c>
      <c r="E14" s="12">
        <v>448</v>
      </c>
      <c r="F14" s="12">
        <v>525</v>
      </c>
      <c r="G14" s="12">
        <v>198</v>
      </c>
      <c r="H14" s="12">
        <v>358</v>
      </c>
      <c r="I14" s="12">
        <v>505</v>
      </c>
      <c r="J14" s="12">
        <v>147</v>
      </c>
      <c r="K14" s="12">
        <v>288</v>
      </c>
      <c r="L14" s="12">
        <v>362</v>
      </c>
      <c r="M14" s="12">
        <v>475</v>
      </c>
      <c r="N14" s="12">
        <v>467</v>
      </c>
      <c r="O14" s="12">
        <v>336</v>
      </c>
      <c r="P14" s="12">
        <v>403</v>
      </c>
      <c r="Q14" s="12">
        <v>344</v>
      </c>
      <c r="R14" s="12">
        <v>244</v>
      </c>
      <c r="S14" s="12">
        <v>384</v>
      </c>
      <c r="T14" s="12">
        <v>370</v>
      </c>
      <c r="U14" s="12">
        <v>153</v>
      </c>
      <c r="V14" s="12">
        <v>519</v>
      </c>
      <c r="W14" s="12">
        <v>240</v>
      </c>
      <c r="X14" s="12">
        <v>218</v>
      </c>
      <c r="Y14" s="12">
        <v>282</v>
      </c>
      <c r="Z14" s="12">
        <v>298</v>
      </c>
      <c r="AA14" s="12">
        <v>128</v>
      </c>
      <c r="AB14" s="12">
        <v>437</v>
      </c>
      <c r="AC14" s="12">
        <v>554</v>
      </c>
      <c r="AD14" s="12">
        <v>429</v>
      </c>
      <c r="AE14" s="12">
        <v>227</v>
      </c>
      <c r="AF14" s="12">
        <v>225</v>
      </c>
      <c r="AG14" s="12">
        <v>474</v>
      </c>
      <c r="AH14" s="12">
        <v>539</v>
      </c>
      <c r="AI14" s="12">
        <v>176</v>
      </c>
      <c r="AJ14" s="12">
        <v>663</v>
      </c>
      <c r="AK14" s="12">
        <v>629</v>
      </c>
      <c r="AL14" s="12">
        <v>636</v>
      </c>
      <c r="AM14" s="12">
        <v>665</v>
      </c>
      <c r="AN14" s="12">
        <v>607</v>
      </c>
      <c r="AO14" s="12">
        <v>325</v>
      </c>
      <c r="AP14" s="12">
        <v>235</v>
      </c>
      <c r="AQ14" s="12">
        <v>540</v>
      </c>
    </row>
    <row r="15" spans="1:43" x14ac:dyDescent="0.35">
      <c r="A15" s="19"/>
      <c r="B15" s="13" t="s">
        <v>660</v>
      </c>
      <c r="C15" s="15">
        <v>0.35</v>
      </c>
      <c r="D15" s="15">
        <v>0.33</v>
      </c>
      <c r="E15" s="15">
        <v>0.43</v>
      </c>
      <c r="F15" s="15">
        <v>0.48</v>
      </c>
      <c r="G15" s="15">
        <v>0.2</v>
      </c>
      <c r="H15" s="15">
        <v>0.28999999999999998</v>
      </c>
      <c r="I15" s="15">
        <v>0.33</v>
      </c>
      <c r="J15" s="15">
        <v>0.5</v>
      </c>
      <c r="K15" s="15">
        <v>0.28999999999999998</v>
      </c>
      <c r="L15" s="15">
        <v>0.36</v>
      </c>
      <c r="M15" s="15">
        <v>0.47</v>
      </c>
      <c r="N15" s="15">
        <v>0.47</v>
      </c>
      <c r="O15" s="15">
        <v>0.34</v>
      </c>
      <c r="P15" s="15">
        <v>0.4</v>
      </c>
      <c r="Q15" s="15">
        <v>0.33</v>
      </c>
      <c r="R15" s="15">
        <v>0.49</v>
      </c>
      <c r="S15" s="15">
        <v>0.38</v>
      </c>
      <c r="T15" s="15">
        <v>0.37</v>
      </c>
      <c r="U15" s="15">
        <v>0.3</v>
      </c>
      <c r="V15" s="15">
        <v>0.51</v>
      </c>
      <c r="W15" s="15">
        <v>0.47</v>
      </c>
      <c r="X15" s="15">
        <v>0.22</v>
      </c>
      <c r="Y15" s="15">
        <v>0.28000000000000003</v>
      </c>
      <c r="Z15" s="15">
        <v>0.28999999999999998</v>
      </c>
      <c r="AA15" s="15">
        <v>0.13</v>
      </c>
      <c r="AB15" s="15">
        <v>0.41</v>
      </c>
      <c r="AC15" s="15">
        <v>0.55000000000000004</v>
      </c>
      <c r="AD15" s="15">
        <v>0.43</v>
      </c>
      <c r="AE15" s="15">
        <v>0.22</v>
      </c>
      <c r="AF15" s="15">
        <v>0.22</v>
      </c>
      <c r="AG15" s="15">
        <v>0.46</v>
      </c>
      <c r="AH15" s="15">
        <v>0.53</v>
      </c>
      <c r="AI15" s="15">
        <v>0.34</v>
      </c>
      <c r="AJ15" s="15">
        <v>0.64</v>
      </c>
      <c r="AK15" s="15">
        <v>0.63</v>
      </c>
      <c r="AL15" s="15">
        <v>0.63</v>
      </c>
      <c r="AM15" s="15">
        <v>0.64</v>
      </c>
      <c r="AN15" s="15">
        <v>0.6</v>
      </c>
      <c r="AO15" s="15">
        <v>0.32</v>
      </c>
      <c r="AP15" s="15">
        <v>0.45</v>
      </c>
      <c r="AQ15" s="15">
        <v>0.54</v>
      </c>
    </row>
    <row r="16" spans="1:43" x14ac:dyDescent="0.35">
      <c r="A16" s="19"/>
      <c r="B16" s="11" t="s">
        <v>485</v>
      </c>
      <c r="C16" s="12">
        <v>1541</v>
      </c>
      <c r="D16" s="12">
        <v>16</v>
      </c>
      <c r="E16" s="12">
        <v>153</v>
      </c>
      <c r="F16" s="12">
        <v>40</v>
      </c>
      <c r="G16" s="12">
        <v>60</v>
      </c>
      <c r="H16" s="12">
        <v>106</v>
      </c>
      <c r="I16" s="12">
        <v>118</v>
      </c>
      <c r="J16" s="12">
        <v>12</v>
      </c>
      <c r="K16" s="12">
        <v>107</v>
      </c>
      <c r="L16" s="12">
        <v>64</v>
      </c>
      <c r="M16" s="12">
        <v>42</v>
      </c>
      <c r="N16" s="12">
        <v>60</v>
      </c>
      <c r="O16" s="12">
        <v>72</v>
      </c>
      <c r="P16" s="12">
        <v>25</v>
      </c>
      <c r="Q16" s="12">
        <v>30</v>
      </c>
      <c r="R16" s="12">
        <v>37</v>
      </c>
      <c r="S16" s="12">
        <v>171</v>
      </c>
      <c r="T16" s="12">
        <v>129</v>
      </c>
      <c r="U16" s="12">
        <v>23</v>
      </c>
      <c r="V16" s="12">
        <v>34</v>
      </c>
      <c r="W16" s="12">
        <v>53</v>
      </c>
      <c r="X16" s="12">
        <v>22</v>
      </c>
      <c r="Y16" s="12">
        <v>29</v>
      </c>
      <c r="Z16" s="12">
        <v>76</v>
      </c>
      <c r="AA16" s="12">
        <v>54</v>
      </c>
      <c r="AB16" s="12">
        <v>71</v>
      </c>
      <c r="AC16" s="12">
        <v>44</v>
      </c>
      <c r="AD16" s="12">
        <v>63</v>
      </c>
      <c r="AE16" s="12">
        <v>38</v>
      </c>
      <c r="AF16" s="12">
        <v>26</v>
      </c>
      <c r="AG16" s="12">
        <v>4</v>
      </c>
      <c r="AH16" s="12">
        <v>98</v>
      </c>
      <c r="AI16" s="12">
        <v>17</v>
      </c>
      <c r="AJ16" s="12">
        <v>19</v>
      </c>
      <c r="AK16" s="12">
        <v>73</v>
      </c>
      <c r="AL16" s="12">
        <v>86</v>
      </c>
      <c r="AM16" s="12">
        <v>56</v>
      </c>
      <c r="AN16" s="12">
        <v>35</v>
      </c>
      <c r="AO16" s="12">
        <v>219</v>
      </c>
      <c r="AP16" s="12">
        <v>5</v>
      </c>
      <c r="AQ16" s="12">
        <v>153</v>
      </c>
    </row>
    <row r="17" spans="1:43" x14ac:dyDescent="0.35">
      <c r="A17" s="19"/>
      <c r="B17" s="13" t="s">
        <v>486</v>
      </c>
      <c r="C17" s="15">
        <v>0.06</v>
      </c>
      <c r="D17" s="15">
        <v>0.02</v>
      </c>
      <c r="E17" s="15">
        <v>0.15</v>
      </c>
      <c r="F17" s="15">
        <v>0.03</v>
      </c>
      <c r="G17" s="15">
        <v>0.06</v>
      </c>
      <c r="H17" s="15">
        <v>0.09</v>
      </c>
      <c r="I17" s="15">
        <v>0.08</v>
      </c>
      <c r="J17" s="15">
        <v>0.04</v>
      </c>
      <c r="K17" s="15">
        <v>0.11</v>
      </c>
      <c r="L17" s="15">
        <v>0.06</v>
      </c>
      <c r="M17" s="15">
        <v>0.04</v>
      </c>
      <c r="N17" s="15">
        <v>0.06</v>
      </c>
      <c r="O17" s="15">
        <v>7.0000000000000007E-2</v>
      </c>
      <c r="P17" s="15">
        <v>0.03</v>
      </c>
      <c r="Q17" s="15">
        <v>0.03</v>
      </c>
      <c r="R17" s="15">
        <v>7.0000000000000007E-2</v>
      </c>
      <c r="S17" s="15">
        <v>0.17</v>
      </c>
      <c r="T17" s="15">
        <v>0.13</v>
      </c>
      <c r="U17" s="15">
        <v>0.05</v>
      </c>
      <c r="V17" s="15">
        <v>0.03</v>
      </c>
      <c r="W17" s="15">
        <v>0.11</v>
      </c>
      <c r="X17" s="15">
        <v>0.02</v>
      </c>
      <c r="Y17" s="15">
        <v>0.03</v>
      </c>
      <c r="Z17" s="15">
        <v>7.0000000000000007E-2</v>
      </c>
      <c r="AA17" s="15">
        <v>0.05</v>
      </c>
      <c r="AB17" s="15">
        <v>7.0000000000000007E-2</v>
      </c>
      <c r="AC17" s="15">
        <v>0.04</v>
      </c>
      <c r="AD17" s="15">
        <v>0.06</v>
      </c>
      <c r="AE17" s="15">
        <v>0.04</v>
      </c>
      <c r="AF17" s="15">
        <v>0.02</v>
      </c>
      <c r="AG17" s="14" t="s">
        <v>475</v>
      </c>
      <c r="AH17" s="15">
        <v>0.1</v>
      </c>
      <c r="AI17" s="15">
        <v>0.03</v>
      </c>
      <c r="AJ17" s="15">
        <v>0.02</v>
      </c>
      <c r="AK17" s="15">
        <v>7.0000000000000007E-2</v>
      </c>
      <c r="AL17" s="15">
        <v>0.08</v>
      </c>
      <c r="AM17" s="15">
        <v>0.05</v>
      </c>
      <c r="AN17" s="15">
        <v>0.04</v>
      </c>
      <c r="AO17" s="15">
        <v>0.22</v>
      </c>
      <c r="AP17" s="15">
        <v>0.01</v>
      </c>
      <c r="AQ17" s="15">
        <v>0.15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1302</v>
      </c>
      <c r="C3" s="18"/>
      <c r="D3" s="18"/>
      <c r="E3" s="18"/>
      <c r="F3" s="18"/>
      <c r="H3" s="18" t="s">
        <v>1303</v>
      </c>
      <c r="I3" s="18"/>
      <c r="J3" s="18"/>
      <c r="K3" s="18"/>
      <c r="L3" s="18"/>
    </row>
    <row r="4" spans="1:43" ht="27" customHeight="1" x14ac:dyDescent="0.35">
      <c r="B4" s="18" t="s">
        <v>1304</v>
      </c>
      <c r="C4" s="18"/>
      <c r="D4" s="18"/>
      <c r="E4" s="18"/>
      <c r="F4" s="18"/>
      <c r="H4" s="18" t="s">
        <v>1305</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17923</v>
      </c>
      <c r="D12" s="12">
        <v>727</v>
      </c>
      <c r="E12" s="12">
        <v>633</v>
      </c>
      <c r="F12" s="12">
        <v>742</v>
      </c>
      <c r="G12" s="12">
        <v>870</v>
      </c>
      <c r="H12" s="12">
        <v>852</v>
      </c>
      <c r="I12" s="12">
        <v>1033</v>
      </c>
      <c r="J12" s="12">
        <v>181</v>
      </c>
      <c r="K12" s="12">
        <v>730</v>
      </c>
      <c r="L12" s="12">
        <v>759</v>
      </c>
      <c r="M12" s="12">
        <v>588</v>
      </c>
      <c r="N12" s="12">
        <v>589</v>
      </c>
      <c r="O12" s="12">
        <v>632</v>
      </c>
      <c r="P12" s="12">
        <v>666</v>
      </c>
      <c r="Q12" s="12">
        <v>717</v>
      </c>
      <c r="R12" s="12">
        <v>312</v>
      </c>
      <c r="S12" s="12">
        <v>630</v>
      </c>
      <c r="T12" s="12">
        <v>652</v>
      </c>
      <c r="U12" s="12">
        <v>348</v>
      </c>
      <c r="V12" s="12">
        <v>546</v>
      </c>
      <c r="W12" s="12">
        <v>240</v>
      </c>
      <c r="X12" s="12">
        <v>770</v>
      </c>
      <c r="Y12" s="12">
        <v>729</v>
      </c>
      <c r="Z12" s="12">
        <v>769</v>
      </c>
      <c r="AA12" s="12">
        <v>887</v>
      </c>
      <c r="AB12" s="12">
        <v>622</v>
      </c>
      <c r="AC12" s="12">
        <v>577</v>
      </c>
      <c r="AD12" s="12">
        <v>660</v>
      </c>
      <c r="AE12" s="12">
        <v>844</v>
      </c>
      <c r="AF12" s="12">
        <v>896</v>
      </c>
      <c r="AG12" s="12">
        <v>477</v>
      </c>
      <c r="AH12" s="12">
        <v>408</v>
      </c>
      <c r="AI12" s="12">
        <v>284</v>
      </c>
      <c r="AJ12" s="12">
        <v>460</v>
      </c>
      <c r="AK12" s="12">
        <v>218</v>
      </c>
      <c r="AL12" s="12">
        <v>312</v>
      </c>
      <c r="AM12" s="12">
        <v>546</v>
      </c>
      <c r="AN12" s="12">
        <v>384</v>
      </c>
      <c r="AO12" s="12">
        <v>531</v>
      </c>
      <c r="AP12" s="12">
        <v>201</v>
      </c>
      <c r="AQ12" s="12">
        <v>277</v>
      </c>
    </row>
    <row r="13" spans="1:43" x14ac:dyDescent="0.35">
      <c r="A13" s="19"/>
      <c r="B13" s="13" t="s">
        <v>658</v>
      </c>
      <c r="C13" s="15">
        <v>0.68</v>
      </c>
      <c r="D13" s="15">
        <v>0.72</v>
      </c>
      <c r="E13" s="15">
        <v>0.61</v>
      </c>
      <c r="F13" s="15">
        <v>0.67</v>
      </c>
      <c r="G13" s="15">
        <v>0.87</v>
      </c>
      <c r="H13" s="15">
        <v>0.70000000000000007</v>
      </c>
      <c r="I13" s="15">
        <v>0.68</v>
      </c>
      <c r="J13" s="15">
        <v>0.62</v>
      </c>
      <c r="K13" s="15">
        <v>0.73</v>
      </c>
      <c r="L13" s="15">
        <v>0.76</v>
      </c>
      <c r="M13" s="15">
        <v>0.57999999999999996</v>
      </c>
      <c r="N13" s="15">
        <v>0.59</v>
      </c>
      <c r="O13" s="15">
        <v>0.63</v>
      </c>
      <c r="P13" s="15">
        <v>0.66</v>
      </c>
      <c r="Q13" s="15">
        <v>0.70000000000000007</v>
      </c>
      <c r="R13" s="15">
        <v>0.62</v>
      </c>
      <c r="S13" s="15">
        <v>0.63</v>
      </c>
      <c r="T13" s="15">
        <v>0.65</v>
      </c>
      <c r="U13" s="15">
        <v>0.69000000000000006</v>
      </c>
      <c r="V13" s="15">
        <v>0.54</v>
      </c>
      <c r="W13" s="15">
        <v>0.47</v>
      </c>
      <c r="X13" s="15">
        <v>0.76</v>
      </c>
      <c r="Y13" s="15">
        <v>0.73</v>
      </c>
      <c r="Z13" s="15">
        <v>0.75</v>
      </c>
      <c r="AA13" s="15">
        <v>0.86</v>
      </c>
      <c r="AB13" s="15">
        <v>0.59</v>
      </c>
      <c r="AC13" s="15">
        <v>0.57999999999999996</v>
      </c>
      <c r="AD13" s="15">
        <v>0.66</v>
      </c>
      <c r="AE13" s="15">
        <v>0.84</v>
      </c>
      <c r="AF13" s="15">
        <v>0.86</v>
      </c>
      <c r="AG13" s="15">
        <v>0.46</v>
      </c>
      <c r="AH13" s="15">
        <v>0.4</v>
      </c>
      <c r="AI13" s="15">
        <v>0.54</v>
      </c>
      <c r="AJ13" s="15">
        <v>0.44</v>
      </c>
      <c r="AK13" s="15">
        <v>0.22</v>
      </c>
      <c r="AL13" s="15">
        <v>0.31</v>
      </c>
      <c r="AM13" s="15">
        <v>0.53</v>
      </c>
      <c r="AN13" s="15">
        <v>0.38</v>
      </c>
      <c r="AO13" s="15">
        <v>0.53</v>
      </c>
      <c r="AP13" s="15">
        <v>0.39</v>
      </c>
      <c r="AQ13" s="15">
        <v>0.28000000000000003</v>
      </c>
    </row>
    <row r="14" spans="1:43" x14ac:dyDescent="0.35">
      <c r="A14" s="19"/>
      <c r="B14" s="11" t="s">
        <v>659</v>
      </c>
      <c r="C14" s="12">
        <v>6959</v>
      </c>
      <c r="D14" s="12">
        <v>273</v>
      </c>
      <c r="E14" s="12">
        <v>295</v>
      </c>
      <c r="F14" s="12">
        <v>328</v>
      </c>
      <c r="G14" s="12">
        <v>94</v>
      </c>
      <c r="H14" s="12">
        <v>249</v>
      </c>
      <c r="I14" s="12">
        <v>348</v>
      </c>
      <c r="J14" s="12">
        <v>99</v>
      </c>
      <c r="K14" s="12">
        <v>193</v>
      </c>
      <c r="L14" s="12">
        <v>183</v>
      </c>
      <c r="M14" s="12">
        <v>391</v>
      </c>
      <c r="N14" s="12">
        <v>337</v>
      </c>
      <c r="O14" s="12">
        <v>288</v>
      </c>
      <c r="P14" s="12">
        <v>309</v>
      </c>
      <c r="Q14" s="12">
        <v>280</v>
      </c>
      <c r="R14" s="12">
        <v>160</v>
      </c>
      <c r="S14" s="12">
        <v>234</v>
      </c>
      <c r="T14" s="12">
        <v>224</v>
      </c>
      <c r="U14" s="12">
        <v>116</v>
      </c>
      <c r="V14" s="12">
        <v>449</v>
      </c>
      <c r="W14" s="12">
        <v>215</v>
      </c>
      <c r="X14" s="12">
        <v>194</v>
      </c>
      <c r="Y14" s="12">
        <v>243</v>
      </c>
      <c r="Z14" s="12">
        <v>221</v>
      </c>
      <c r="AA14" s="12">
        <v>91</v>
      </c>
      <c r="AB14" s="12">
        <v>373</v>
      </c>
      <c r="AC14" s="12">
        <v>394</v>
      </c>
      <c r="AD14" s="12">
        <v>301</v>
      </c>
      <c r="AE14" s="12">
        <v>114</v>
      </c>
      <c r="AF14" s="12">
        <v>131</v>
      </c>
      <c r="AG14" s="12">
        <v>553</v>
      </c>
      <c r="AH14" s="12">
        <v>501</v>
      </c>
      <c r="AI14" s="12">
        <v>184</v>
      </c>
      <c r="AJ14" s="12">
        <v>540</v>
      </c>
      <c r="AK14" s="12">
        <v>625</v>
      </c>
      <c r="AL14" s="12">
        <v>596</v>
      </c>
      <c r="AM14" s="12">
        <v>421</v>
      </c>
      <c r="AN14" s="12">
        <v>584</v>
      </c>
      <c r="AO14" s="12">
        <v>267</v>
      </c>
      <c r="AP14" s="12">
        <v>316</v>
      </c>
      <c r="AQ14" s="12">
        <v>445</v>
      </c>
    </row>
    <row r="15" spans="1:43" x14ac:dyDescent="0.35">
      <c r="A15" s="19"/>
      <c r="B15" s="13" t="s">
        <v>660</v>
      </c>
      <c r="C15" s="15">
        <v>0.26</v>
      </c>
      <c r="D15" s="15">
        <v>0.27</v>
      </c>
      <c r="E15" s="15">
        <v>0.28999999999999998</v>
      </c>
      <c r="F15" s="15">
        <v>0.3</v>
      </c>
      <c r="G15" s="15">
        <v>0.09</v>
      </c>
      <c r="H15" s="15">
        <v>0.2</v>
      </c>
      <c r="I15" s="15">
        <v>0.23</v>
      </c>
      <c r="J15" s="15">
        <v>0.33</v>
      </c>
      <c r="K15" s="15">
        <v>0.19</v>
      </c>
      <c r="L15" s="15">
        <v>0.18</v>
      </c>
      <c r="M15" s="15">
        <v>0.39</v>
      </c>
      <c r="N15" s="15">
        <v>0.33</v>
      </c>
      <c r="O15" s="15">
        <v>0.28999999999999998</v>
      </c>
      <c r="P15" s="15">
        <v>0.31</v>
      </c>
      <c r="Q15" s="15">
        <v>0.27</v>
      </c>
      <c r="R15" s="15">
        <v>0.32</v>
      </c>
      <c r="S15" s="15">
        <v>0.23</v>
      </c>
      <c r="T15" s="15">
        <v>0.22</v>
      </c>
      <c r="U15" s="15">
        <v>0.23</v>
      </c>
      <c r="V15" s="15">
        <v>0.44</v>
      </c>
      <c r="W15" s="15">
        <v>0.42</v>
      </c>
      <c r="X15" s="15">
        <v>0.19</v>
      </c>
      <c r="Y15" s="15">
        <v>0.24</v>
      </c>
      <c r="Z15" s="15">
        <v>0.21</v>
      </c>
      <c r="AA15" s="15">
        <v>0.09</v>
      </c>
      <c r="AB15" s="15">
        <v>0.36</v>
      </c>
      <c r="AC15" s="15">
        <v>0.39</v>
      </c>
      <c r="AD15" s="15">
        <v>0.3</v>
      </c>
      <c r="AE15" s="15">
        <v>0.11</v>
      </c>
      <c r="AF15" s="15">
        <v>0.12</v>
      </c>
      <c r="AG15" s="15">
        <v>0.53</v>
      </c>
      <c r="AH15" s="15">
        <v>0.5</v>
      </c>
      <c r="AI15" s="15">
        <v>0.35</v>
      </c>
      <c r="AJ15" s="15">
        <v>0.52</v>
      </c>
      <c r="AK15" s="15">
        <v>0.62</v>
      </c>
      <c r="AL15" s="15">
        <v>0.59</v>
      </c>
      <c r="AM15" s="15">
        <v>0.4</v>
      </c>
      <c r="AN15" s="15">
        <v>0.57999999999999996</v>
      </c>
      <c r="AO15" s="15">
        <v>0.27</v>
      </c>
      <c r="AP15" s="15">
        <v>0.6</v>
      </c>
      <c r="AQ15" s="15">
        <v>0.44</v>
      </c>
    </row>
    <row r="16" spans="1:43" x14ac:dyDescent="0.35">
      <c r="A16" s="19"/>
      <c r="B16" s="11" t="s">
        <v>485</v>
      </c>
      <c r="C16" s="12">
        <v>1562</v>
      </c>
      <c r="D16" s="12">
        <v>13</v>
      </c>
      <c r="E16" s="12">
        <v>102</v>
      </c>
      <c r="F16" s="12">
        <v>32</v>
      </c>
      <c r="G16" s="12">
        <v>42</v>
      </c>
      <c r="H16" s="12">
        <v>120</v>
      </c>
      <c r="I16" s="12">
        <v>135</v>
      </c>
      <c r="J16" s="12">
        <v>15</v>
      </c>
      <c r="K16" s="12">
        <v>78</v>
      </c>
      <c r="L16" s="12">
        <v>60</v>
      </c>
      <c r="M16" s="12">
        <v>31</v>
      </c>
      <c r="N16" s="12">
        <v>78</v>
      </c>
      <c r="O16" s="12">
        <v>82</v>
      </c>
      <c r="P16" s="12">
        <v>29</v>
      </c>
      <c r="Q16" s="12">
        <v>30</v>
      </c>
      <c r="R16" s="12">
        <v>32</v>
      </c>
      <c r="S16" s="12">
        <v>139</v>
      </c>
      <c r="T16" s="12">
        <v>129</v>
      </c>
      <c r="U16" s="12">
        <v>41</v>
      </c>
      <c r="V16" s="12">
        <v>20</v>
      </c>
      <c r="W16" s="12">
        <v>53</v>
      </c>
      <c r="X16" s="12">
        <v>45</v>
      </c>
      <c r="Y16" s="12">
        <v>31</v>
      </c>
      <c r="Z16" s="12">
        <v>41</v>
      </c>
      <c r="AA16" s="12">
        <v>54</v>
      </c>
      <c r="AB16" s="12">
        <v>56</v>
      </c>
      <c r="AC16" s="12">
        <v>31</v>
      </c>
      <c r="AD16" s="12">
        <v>44</v>
      </c>
      <c r="AE16" s="12">
        <v>54</v>
      </c>
      <c r="AF16" s="12">
        <v>16</v>
      </c>
      <c r="AG16" s="12">
        <v>5</v>
      </c>
      <c r="AH16" s="12">
        <v>104</v>
      </c>
      <c r="AI16" s="12">
        <v>55</v>
      </c>
      <c r="AJ16" s="12">
        <v>37</v>
      </c>
      <c r="AK16" s="12">
        <v>164</v>
      </c>
      <c r="AL16" s="12">
        <v>104</v>
      </c>
      <c r="AM16" s="12">
        <v>73</v>
      </c>
      <c r="AN16" s="12">
        <v>35</v>
      </c>
      <c r="AO16" s="12">
        <v>206</v>
      </c>
      <c r="AP16" s="12">
        <v>7</v>
      </c>
      <c r="AQ16" s="12">
        <v>280</v>
      </c>
    </row>
    <row r="17" spans="1:43" x14ac:dyDescent="0.35">
      <c r="A17" s="19"/>
      <c r="B17" s="13" t="s">
        <v>486</v>
      </c>
      <c r="C17" s="15">
        <v>0.06</v>
      </c>
      <c r="D17" s="15">
        <v>0.01</v>
      </c>
      <c r="E17" s="15">
        <v>0.1</v>
      </c>
      <c r="F17" s="15">
        <v>0.03</v>
      </c>
      <c r="G17" s="15">
        <v>0.04</v>
      </c>
      <c r="H17" s="15">
        <v>0.1</v>
      </c>
      <c r="I17" s="15">
        <v>0.09</v>
      </c>
      <c r="J17" s="15">
        <v>0.05</v>
      </c>
      <c r="K17" s="15">
        <v>0.08</v>
      </c>
      <c r="L17" s="15">
        <v>0.06</v>
      </c>
      <c r="M17" s="15">
        <v>0.03</v>
      </c>
      <c r="N17" s="15">
        <v>0.08</v>
      </c>
      <c r="O17" s="15">
        <v>0.08</v>
      </c>
      <c r="P17" s="15">
        <v>0.03</v>
      </c>
      <c r="Q17" s="15">
        <v>0.03</v>
      </c>
      <c r="R17" s="15">
        <v>0.06</v>
      </c>
      <c r="S17" s="15">
        <v>0.14000000000000001</v>
      </c>
      <c r="T17" s="15">
        <v>0.13</v>
      </c>
      <c r="U17" s="15">
        <v>0.08</v>
      </c>
      <c r="V17" s="15">
        <v>0.02</v>
      </c>
      <c r="W17" s="15">
        <v>0.11</v>
      </c>
      <c r="X17" s="15">
        <v>0.05</v>
      </c>
      <c r="Y17" s="15">
        <v>0.03</v>
      </c>
      <c r="Z17" s="15">
        <v>0.04</v>
      </c>
      <c r="AA17" s="15">
        <v>0.05</v>
      </c>
      <c r="AB17" s="15">
        <v>0.05</v>
      </c>
      <c r="AC17" s="15">
        <v>0.03</v>
      </c>
      <c r="AD17" s="15">
        <v>0.04</v>
      </c>
      <c r="AE17" s="15">
        <v>0.05</v>
      </c>
      <c r="AF17" s="15">
        <v>0.02</v>
      </c>
      <c r="AG17" s="15">
        <v>0.01</v>
      </c>
      <c r="AH17" s="15">
        <v>0.1</v>
      </c>
      <c r="AI17" s="15">
        <v>0.11</v>
      </c>
      <c r="AJ17" s="15">
        <v>0.04</v>
      </c>
      <c r="AK17" s="15">
        <v>0.16</v>
      </c>
      <c r="AL17" s="15">
        <v>0.1</v>
      </c>
      <c r="AM17" s="15">
        <v>7.0000000000000007E-2</v>
      </c>
      <c r="AN17" s="15">
        <v>0.04</v>
      </c>
      <c r="AO17" s="15">
        <v>0.2</v>
      </c>
      <c r="AP17" s="15">
        <v>0.01</v>
      </c>
      <c r="AQ17" s="15">
        <v>0.28000000000000003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1306</v>
      </c>
      <c r="C3" s="18"/>
      <c r="D3" s="18"/>
      <c r="E3" s="18"/>
      <c r="F3" s="18"/>
      <c r="H3" s="18" t="s">
        <v>1307</v>
      </c>
      <c r="I3" s="18"/>
      <c r="J3" s="18"/>
      <c r="K3" s="18"/>
      <c r="L3" s="18"/>
    </row>
    <row r="4" spans="1:43" ht="27" customHeight="1" x14ac:dyDescent="0.35">
      <c r="B4" s="18" t="s">
        <v>1308</v>
      </c>
      <c r="C4" s="18"/>
      <c r="D4" s="18"/>
      <c r="E4" s="18"/>
      <c r="F4" s="18"/>
      <c r="H4" s="18" t="s">
        <v>1309</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16118</v>
      </c>
      <c r="D12" s="12">
        <v>695</v>
      </c>
      <c r="E12" s="12">
        <v>689</v>
      </c>
      <c r="F12" s="12">
        <v>608</v>
      </c>
      <c r="G12" s="12">
        <v>843</v>
      </c>
      <c r="H12" s="12">
        <v>812</v>
      </c>
      <c r="I12" s="12">
        <v>976</v>
      </c>
      <c r="J12" s="12">
        <v>164</v>
      </c>
      <c r="K12" s="12">
        <v>694</v>
      </c>
      <c r="L12" s="12">
        <v>707</v>
      </c>
      <c r="M12" s="12">
        <v>245</v>
      </c>
      <c r="N12" s="12">
        <v>430</v>
      </c>
      <c r="O12" s="12">
        <v>492</v>
      </c>
      <c r="P12" s="12">
        <v>669</v>
      </c>
      <c r="Q12" s="12">
        <v>702</v>
      </c>
      <c r="R12" s="12">
        <v>279</v>
      </c>
      <c r="S12" s="12">
        <v>568</v>
      </c>
      <c r="T12" s="12">
        <v>636</v>
      </c>
      <c r="U12" s="12">
        <v>288</v>
      </c>
      <c r="V12" s="12">
        <v>582</v>
      </c>
      <c r="W12" s="12">
        <v>239</v>
      </c>
      <c r="X12" s="12">
        <v>725</v>
      </c>
      <c r="Y12" s="12">
        <v>747</v>
      </c>
      <c r="Z12" s="12">
        <v>705</v>
      </c>
      <c r="AA12" s="12">
        <v>903</v>
      </c>
      <c r="AB12" s="12">
        <v>620</v>
      </c>
      <c r="AC12" s="12">
        <v>496</v>
      </c>
      <c r="AD12" s="12">
        <v>580</v>
      </c>
      <c r="AE12" s="12">
        <v>816</v>
      </c>
      <c r="AF12" s="12">
        <v>825</v>
      </c>
      <c r="AG12" s="12">
        <v>546</v>
      </c>
      <c r="AH12" s="12">
        <v>585</v>
      </c>
      <c r="AI12" s="12">
        <v>400</v>
      </c>
      <c r="AJ12" s="12">
        <v>495</v>
      </c>
      <c r="AK12" s="12">
        <v>494</v>
      </c>
      <c r="AL12" s="12">
        <v>387</v>
      </c>
      <c r="AM12" s="12">
        <v>490</v>
      </c>
      <c r="AN12" s="12">
        <v>584</v>
      </c>
      <c r="AO12" s="12">
        <v>804</v>
      </c>
      <c r="AP12" s="12">
        <v>284</v>
      </c>
      <c r="AQ12" s="12">
        <v>478</v>
      </c>
    </row>
    <row r="13" spans="1:43" x14ac:dyDescent="0.35">
      <c r="A13" s="19"/>
      <c r="B13" s="13" t="s">
        <v>658</v>
      </c>
      <c r="C13" s="15">
        <v>0.61</v>
      </c>
      <c r="D13" s="15">
        <v>0.69000000000000006</v>
      </c>
      <c r="E13" s="15">
        <v>0.67</v>
      </c>
      <c r="F13" s="15">
        <v>0.55000000000000004</v>
      </c>
      <c r="G13" s="15">
        <v>0.84</v>
      </c>
      <c r="H13" s="15">
        <v>0.66</v>
      </c>
      <c r="I13" s="15">
        <v>0.64</v>
      </c>
      <c r="J13" s="15">
        <v>0.56000000000000005</v>
      </c>
      <c r="K13" s="15">
        <v>0.69000000000000006</v>
      </c>
      <c r="L13" s="15">
        <v>0.70000000000000007</v>
      </c>
      <c r="M13" s="15">
        <v>0.24</v>
      </c>
      <c r="N13" s="15">
        <v>0.43</v>
      </c>
      <c r="O13" s="15">
        <v>0.49</v>
      </c>
      <c r="P13" s="15">
        <v>0.67</v>
      </c>
      <c r="Q13" s="15">
        <v>0.68</v>
      </c>
      <c r="R13" s="15">
        <v>0.55000000000000004</v>
      </c>
      <c r="S13" s="15">
        <v>0.56000000000000005</v>
      </c>
      <c r="T13" s="15">
        <v>0.63</v>
      </c>
      <c r="U13" s="15">
        <v>0.57000000000000006</v>
      </c>
      <c r="V13" s="15">
        <v>0.57000000000000006</v>
      </c>
      <c r="W13" s="15">
        <v>0.47</v>
      </c>
      <c r="X13" s="15">
        <v>0.72</v>
      </c>
      <c r="Y13" s="15">
        <v>0.75</v>
      </c>
      <c r="Z13" s="15">
        <v>0.68</v>
      </c>
      <c r="AA13" s="15">
        <v>0.87</v>
      </c>
      <c r="AB13" s="15">
        <v>0.59</v>
      </c>
      <c r="AC13" s="15">
        <v>0.49</v>
      </c>
      <c r="AD13" s="15">
        <v>0.57999999999999996</v>
      </c>
      <c r="AE13" s="15">
        <v>0.81</v>
      </c>
      <c r="AF13" s="15">
        <v>0.79</v>
      </c>
      <c r="AG13" s="15">
        <v>0.53</v>
      </c>
      <c r="AH13" s="15">
        <v>0.57999999999999996</v>
      </c>
      <c r="AI13" s="15">
        <v>0.77</v>
      </c>
      <c r="AJ13" s="15">
        <v>0.48</v>
      </c>
      <c r="AK13" s="15">
        <v>0.49</v>
      </c>
      <c r="AL13" s="15">
        <v>0.38</v>
      </c>
      <c r="AM13" s="15">
        <v>0.47</v>
      </c>
      <c r="AN13" s="15">
        <v>0.57999999999999996</v>
      </c>
      <c r="AO13" s="15">
        <v>0.8</v>
      </c>
      <c r="AP13" s="15">
        <v>0.54</v>
      </c>
      <c r="AQ13" s="15">
        <v>0.48</v>
      </c>
    </row>
    <row r="14" spans="1:43" x14ac:dyDescent="0.35">
      <c r="A14" s="19"/>
      <c r="B14" s="11" t="s">
        <v>659</v>
      </c>
      <c r="C14" s="12">
        <v>9173</v>
      </c>
      <c r="D14" s="12">
        <v>305</v>
      </c>
      <c r="E14" s="12">
        <v>307</v>
      </c>
      <c r="F14" s="12">
        <v>470</v>
      </c>
      <c r="G14" s="12">
        <v>135</v>
      </c>
      <c r="H14" s="12">
        <v>316</v>
      </c>
      <c r="I14" s="12">
        <v>433</v>
      </c>
      <c r="J14" s="12">
        <v>117</v>
      </c>
      <c r="K14" s="12">
        <v>235</v>
      </c>
      <c r="L14" s="12">
        <v>237</v>
      </c>
      <c r="M14" s="12">
        <v>758</v>
      </c>
      <c r="N14" s="12">
        <v>535</v>
      </c>
      <c r="O14" s="12">
        <v>447</v>
      </c>
      <c r="P14" s="12">
        <v>313</v>
      </c>
      <c r="Q14" s="12">
        <v>297</v>
      </c>
      <c r="R14" s="12">
        <v>205</v>
      </c>
      <c r="S14" s="12">
        <v>337</v>
      </c>
      <c r="T14" s="12">
        <v>301</v>
      </c>
      <c r="U14" s="12">
        <v>191</v>
      </c>
      <c r="V14" s="12">
        <v>415</v>
      </c>
      <c r="W14" s="12">
        <v>221</v>
      </c>
      <c r="X14" s="12">
        <v>262</v>
      </c>
      <c r="Y14" s="12">
        <v>233</v>
      </c>
      <c r="Z14" s="12">
        <v>268</v>
      </c>
      <c r="AA14" s="12">
        <v>113</v>
      </c>
      <c r="AB14" s="12">
        <v>401</v>
      </c>
      <c r="AC14" s="12">
        <v>480</v>
      </c>
      <c r="AD14" s="12">
        <v>393</v>
      </c>
      <c r="AE14" s="12">
        <v>145</v>
      </c>
      <c r="AF14" s="12">
        <v>196</v>
      </c>
      <c r="AG14" s="12">
        <v>486</v>
      </c>
      <c r="AH14" s="12">
        <v>418</v>
      </c>
      <c r="AI14" s="12">
        <v>101</v>
      </c>
      <c r="AJ14" s="12">
        <v>537</v>
      </c>
      <c r="AK14" s="12">
        <v>491</v>
      </c>
      <c r="AL14" s="12">
        <v>566</v>
      </c>
      <c r="AM14" s="12">
        <v>485</v>
      </c>
      <c r="AN14" s="12">
        <v>402</v>
      </c>
      <c r="AO14" s="12">
        <v>173</v>
      </c>
      <c r="AP14" s="12">
        <v>237</v>
      </c>
      <c r="AQ14" s="12">
        <v>453</v>
      </c>
    </row>
    <row r="15" spans="1:43" x14ac:dyDescent="0.35">
      <c r="A15" s="19"/>
      <c r="B15" s="13" t="s">
        <v>660</v>
      </c>
      <c r="C15" s="15">
        <v>0.35</v>
      </c>
      <c r="D15" s="15">
        <v>0.3</v>
      </c>
      <c r="E15" s="15">
        <v>0.3</v>
      </c>
      <c r="F15" s="15">
        <v>0.43</v>
      </c>
      <c r="G15" s="15">
        <v>0.13</v>
      </c>
      <c r="H15" s="15">
        <v>0.26</v>
      </c>
      <c r="I15" s="15">
        <v>0.28999999999999998</v>
      </c>
      <c r="J15" s="15">
        <v>0.39</v>
      </c>
      <c r="K15" s="15">
        <v>0.24</v>
      </c>
      <c r="L15" s="15">
        <v>0.24</v>
      </c>
      <c r="M15" s="15">
        <v>0.75</v>
      </c>
      <c r="N15" s="15">
        <v>0.53</v>
      </c>
      <c r="O15" s="15">
        <v>0.45</v>
      </c>
      <c r="P15" s="15">
        <v>0.31</v>
      </c>
      <c r="Q15" s="15">
        <v>0.28999999999999998</v>
      </c>
      <c r="R15" s="15">
        <v>0.41</v>
      </c>
      <c r="S15" s="15">
        <v>0.34</v>
      </c>
      <c r="T15" s="15">
        <v>0.3</v>
      </c>
      <c r="U15" s="15">
        <v>0.38</v>
      </c>
      <c r="V15" s="15">
        <v>0.41</v>
      </c>
      <c r="W15" s="15">
        <v>0.44</v>
      </c>
      <c r="X15" s="15">
        <v>0.26</v>
      </c>
      <c r="Y15" s="15">
        <v>0.23</v>
      </c>
      <c r="Z15" s="15">
        <v>0.26</v>
      </c>
      <c r="AA15" s="15">
        <v>0.11</v>
      </c>
      <c r="AB15" s="15">
        <v>0.38</v>
      </c>
      <c r="AC15" s="15">
        <v>0.48</v>
      </c>
      <c r="AD15" s="15">
        <v>0.39</v>
      </c>
      <c r="AE15" s="15">
        <v>0.14000000000000001</v>
      </c>
      <c r="AF15" s="15">
        <v>0.19</v>
      </c>
      <c r="AG15" s="15">
        <v>0.47</v>
      </c>
      <c r="AH15" s="15">
        <v>0.41</v>
      </c>
      <c r="AI15" s="15">
        <v>0.19</v>
      </c>
      <c r="AJ15" s="15">
        <v>0.52</v>
      </c>
      <c r="AK15" s="15">
        <v>0.49</v>
      </c>
      <c r="AL15" s="15">
        <v>0.56000000000000005</v>
      </c>
      <c r="AM15" s="15">
        <v>0.47</v>
      </c>
      <c r="AN15" s="15">
        <v>0.4</v>
      </c>
      <c r="AO15" s="15">
        <v>0.17</v>
      </c>
      <c r="AP15" s="15">
        <v>0.45</v>
      </c>
      <c r="AQ15" s="15">
        <v>0.45</v>
      </c>
    </row>
    <row r="16" spans="1:43" x14ac:dyDescent="0.35">
      <c r="A16" s="19"/>
      <c r="B16" s="11" t="s">
        <v>485</v>
      </c>
      <c r="C16" s="12">
        <v>1154</v>
      </c>
      <c r="D16" s="12">
        <v>13</v>
      </c>
      <c r="E16" s="12">
        <v>35</v>
      </c>
      <c r="F16" s="12">
        <v>24</v>
      </c>
      <c r="G16" s="12">
        <v>28</v>
      </c>
      <c r="H16" s="12">
        <v>93</v>
      </c>
      <c r="I16" s="12">
        <v>107</v>
      </c>
      <c r="J16" s="12">
        <v>14</v>
      </c>
      <c r="K16" s="12">
        <v>73</v>
      </c>
      <c r="L16" s="12">
        <v>58</v>
      </c>
      <c r="M16" s="12">
        <v>6</v>
      </c>
      <c r="N16" s="12">
        <v>38</v>
      </c>
      <c r="O16" s="12">
        <v>62</v>
      </c>
      <c r="P16" s="12">
        <v>23</v>
      </c>
      <c r="Q16" s="12">
        <v>28</v>
      </c>
      <c r="R16" s="12">
        <v>21</v>
      </c>
      <c r="S16" s="12">
        <v>97</v>
      </c>
      <c r="T16" s="12">
        <v>69</v>
      </c>
      <c r="U16" s="12">
        <v>25</v>
      </c>
      <c r="V16" s="12">
        <v>18</v>
      </c>
      <c r="W16" s="12">
        <v>47</v>
      </c>
      <c r="X16" s="12">
        <v>22</v>
      </c>
      <c r="Y16" s="12">
        <v>23</v>
      </c>
      <c r="Z16" s="12">
        <v>58</v>
      </c>
      <c r="AA16" s="12">
        <v>17</v>
      </c>
      <c r="AB16" s="12">
        <v>30</v>
      </c>
      <c r="AC16" s="12">
        <v>28</v>
      </c>
      <c r="AD16" s="12">
        <v>32</v>
      </c>
      <c r="AE16" s="12">
        <v>51</v>
      </c>
      <c r="AF16" s="12">
        <v>22</v>
      </c>
      <c r="AG16" s="12">
        <v>3</v>
      </c>
      <c r="AH16" s="12">
        <v>10</v>
      </c>
      <c r="AI16" s="12">
        <v>21</v>
      </c>
      <c r="AJ16" s="12">
        <v>6</v>
      </c>
      <c r="AK16" s="12">
        <v>22</v>
      </c>
      <c r="AL16" s="12">
        <v>59</v>
      </c>
      <c r="AM16" s="12">
        <v>65</v>
      </c>
      <c r="AN16" s="12">
        <v>17</v>
      </c>
      <c r="AO16" s="12">
        <v>27</v>
      </c>
      <c r="AP16" s="12">
        <v>3</v>
      </c>
      <c r="AQ16" s="12">
        <v>71</v>
      </c>
    </row>
    <row r="17" spans="1:43" x14ac:dyDescent="0.35">
      <c r="A17" s="19"/>
      <c r="B17" s="13" t="s">
        <v>486</v>
      </c>
      <c r="C17" s="15">
        <v>0.04</v>
      </c>
      <c r="D17" s="15">
        <v>0.01</v>
      </c>
      <c r="E17" s="15">
        <v>0.03</v>
      </c>
      <c r="F17" s="15">
        <v>0.02</v>
      </c>
      <c r="G17" s="15">
        <v>0.03</v>
      </c>
      <c r="H17" s="15">
        <v>0.08</v>
      </c>
      <c r="I17" s="15">
        <v>7.0000000000000007E-2</v>
      </c>
      <c r="J17" s="15">
        <v>0.05</v>
      </c>
      <c r="K17" s="15">
        <v>7.0000000000000007E-2</v>
      </c>
      <c r="L17" s="15">
        <v>0.06</v>
      </c>
      <c r="M17" s="15">
        <v>0.01</v>
      </c>
      <c r="N17" s="15">
        <v>0.04</v>
      </c>
      <c r="O17" s="15">
        <v>0.06</v>
      </c>
      <c r="P17" s="15">
        <v>0.02</v>
      </c>
      <c r="Q17" s="15">
        <v>0.03</v>
      </c>
      <c r="R17" s="15">
        <v>0.04</v>
      </c>
      <c r="S17" s="15">
        <v>0.1</v>
      </c>
      <c r="T17" s="15">
        <v>7.0000000000000007E-2</v>
      </c>
      <c r="U17" s="15">
        <v>0.05</v>
      </c>
      <c r="V17" s="15">
        <v>0.02</v>
      </c>
      <c r="W17" s="15">
        <v>0.09</v>
      </c>
      <c r="X17" s="15">
        <v>0.02</v>
      </c>
      <c r="Y17" s="15">
        <v>0.02</v>
      </c>
      <c r="Z17" s="15">
        <v>0.06</v>
      </c>
      <c r="AA17" s="15">
        <v>0.02</v>
      </c>
      <c r="AB17" s="15">
        <v>0.03</v>
      </c>
      <c r="AC17" s="15">
        <v>0.03</v>
      </c>
      <c r="AD17" s="15">
        <v>0.03</v>
      </c>
      <c r="AE17" s="15">
        <v>0.05</v>
      </c>
      <c r="AF17" s="15">
        <v>0.02</v>
      </c>
      <c r="AG17" s="14" t="s">
        <v>475</v>
      </c>
      <c r="AH17" s="15">
        <v>0.01</v>
      </c>
      <c r="AI17" s="15">
        <v>0.04</v>
      </c>
      <c r="AJ17" s="14" t="s">
        <v>475</v>
      </c>
      <c r="AK17" s="15">
        <v>0.02</v>
      </c>
      <c r="AL17" s="15">
        <v>0.06</v>
      </c>
      <c r="AM17" s="15">
        <v>0.06</v>
      </c>
      <c r="AN17" s="15">
        <v>0.02</v>
      </c>
      <c r="AO17" s="15">
        <v>0.03</v>
      </c>
      <c r="AP17" s="15">
        <v>0.01</v>
      </c>
      <c r="AQ17" s="15">
        <v>7.0000000000000007E-2</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1310</v>
      </c>
      <c r="C3" s="18"/>
      <c r="D3" s="18"/>
      <c r="E3" s="18"/>
      <c r="F3" s="18"/>
      <c r="H3" s="18" t="s">
        <v>1311</v>
      </c>
      <c r="I3" s="18"/>
      <c r="J3" s="18"/>
      <c r="K3" s="18"/>
      <c r="L3" s="18"/>
    </row>
    <row r="4" spans="1:43" ht="27" customHeight="1" x14ac:dyDescent="0.35">
      <c r="B4" s="18" t="s">
        <v>1312</v>
      </c>
      <c r="C4" s="18"/>
      <c r="D4" s="18"/>
      <c r="E4" s="18"/>
      <c r="F4" s="18"/>
      <c r="H4" s="18" t="s">
        <v>1313</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11113</v>
      </c>
      <c r="D12" s="12">
        <v>391</v>
      </c>
      <c r="E12" s="12">
        <v>493</v>
      </c>
      <c r="F12" s="12">
        <v>566</v>
      </c>
      <c r="G12" s="12">
        <v>348</v>
      </c>
      <c r="H12" s="12">
        <v>393</v>
      </c>
      <c r="I12" s="12">
        <v>492</v>
      </c>
      <c r="J12" s="12">
        <v>100</v>
      </c>
      <c r="K12" s="12">
        <v>492</v>
      </c>
      <c r="L12" s="12">
        <v>427</v>
      </c>
      <c r="M12" s="12">
        <v>574</v>
      </c>
      <c r="N12" s="12">
        <v>360</v>
      </c>
      <c r="O12" s="12">
        <v>320</v>
      </c>
      <c r="P12" s="12">
        <v>507</v>
      </c>
      <c r="Q12" s="12">
        <v>524</v>
      </c>
      <c r="R12" s="12">
        <v>133</v>
      </c>
      <c r="S12" s="12">
        <v>350</v>
      </c>
      <c r="T12" s="12">
        <v>413</v>
      </c>
      <c r="U12" s="12">
        <v>171</v>
      </c>
      <c r="V12" s="12">
        <v>611</v>
      </c>
      <c r="W12" s="12">
        <v>185</v>
      </c>
      <c r="X12" s="12">
        <v>424</v>
      </c>
      <c r="Y12" s="12">
        <v>562</v>
      </c>
      <c r="Z12" s="12">
        <v>632</v>
      </c>
      <c r="AA12" s="12">
        <v>550</v>
      </c>
      <c r="AB12" s="12">
        <v>473</v>
      </c>
      <c r="AC12" s="12">
        <v>297</v>
      </c>
      <c r="AD12" s="12">
        <v>482</v>
      </c>
      <c r="AE12" s="12">
        <v>410</v>
      </c>
      <c r="AF12" s="12">
        <v>265</v>
      </c>
      <c r="AG12" s="12">
        <v>537</v>
      </c>
      <c r="AH12" s="12">
        <v>418</v>
      </c>
      <c r="AI12" s="12">
        <v>270</v>
      </c>
      <c r="AJ12" s="12">
        <v>455</v>
      </c>
      <c r="AK12" s="12">
        <v>237</v>
      </c>
      <c r="AL12" s="12">
        <v>308</v>
      </c>
      <c r="AM12" s="12">
        <v>255</v>
      </c>
      <c r="AN12" s="12">
        <v>410</v>
      </c>
      <c r="AO12" s="12">
        <v>636</v>
      </c>
      <c r="AP12" s="12">
        <v>237</v>
      </c>
      <c r="AQ12" s="12">
        <v>316</v>
      </c>
    </row>
    <row r="13" spans="1:43" x14ac:dyDescent="0.35">
      <c r="A13" s="19"/>
      <c r="B13" s="13" t="s">
        <v>658</v>
      </c>
      <c r="C13" s="15">
        <v>0.42</v>
      </c>
      <c r="D13" s="15">
        <v>0.39</v>
      </c>
      <c r="E13" s="15">
        <v>0.48</v>
      </c>
      <c r="F13" s="15">
        <v>0.51</v>
      </c>
      <c r="G13" s="15">
        <v>0.34</v>
      </c>
      <c r="H13" s="15">
        <v>0.32</v>
      </c>
      <c r="I13" s="15">
        <v>0.33</v>
      </c>
      <c r="J13" s="15">
        <v>0.34</v>
      </c>
      <c r="K13" s="15">
        <v>0.49</v>
      </c>
      <c r="L13" s="15">
        <v>0.43</v>
      </c>
      <c r="M13" s="15">
        <v>0.57000000000000006</v>
      </c>
      <c r="N13" s="15">
        <v>0.36</v>
      </c>
      <c r="O13" s="15">
        <v>0.32</v>
      </c>
      <c r="P13" s="15">
        <v>0.51</v>
      </c>
      <c r="Q13" s="15">
        <v>0.51</v>
      </c>
      <c r="R13" s="15">
        <v>0.26</v>
      </c>
      <c r="S13" s="15">
        <v>0.35</v>
      </c>
      <c r="T13" s="15">
        <v>0.41</v>
      </c>
      <c r="U13" s="15">
        <v>0.34</v>
      </c>
      <c r="V13" s="15">
        <v>0.6</v>
      </c>
      <c r="W13" s="15">
        <v>0.36</v>
      </c>
      <c r="X13" s="15">
        <v>0.42</v>
      </c>
      <c r="Y13" s="15">
        <v>0.56000000000000005</v>
      </c>
      <c r="Z13" s="15">
        <v>0.61</v>
      </c>
      <c r="AA13" s="15">
        <v>0.53</v>
      </c>
      <c r="AB13" s="15">
        <v>0.45</v>
      </c>
      <c r="AC13" s="15">
        <v>0.28999999999999998</v>
      </c>
      <c r="AD13" s="15">
        <v>0.48</v>
      </c>
      <c r="AE13" s="15">
        <v>0.41</v>
      </c>
      <c r="AF13" s="15">
        <v>0.25</v>
      </c>
      <c r="AG13" s="15">
        <v>0.52</v>
      </c>
      <c r="AH13" s="15">
        <v>0.41</v>
      </c>
      <c r="AI13" s="15">
        <v>0.51</v>
      </c>
      <c r="AJ13" s="15">
        <v>0.44</v>
      </c>
      <c r="AK13" s="15">
        <v>0.24</v>
      </c>
      <c r="AL13" s="15">
        <v>0.3</v>
      </c>
      <c r="AM13" s="15">
        <v>0.24</v>
      </c>
      <c r="AN13" s="15">
        <v>0.41</v>
      </c>
      <c r="AO13" s="15">
        <v>0.63</v>
      </c>
      <c r="AP13" s="15">
        <v>0.45</v>
      </c>
      <c r="AQ13" s="15">
        <v>0.32</v>
      </c>
    </row>
    <row r="14" spans="1:43" x14ac:dyDescent="0.35">
      <c r="A14" s="19"/>
      <c r="B14" s="11" t="s">
        <v>659</v>
      </c>
      <c r="C14" s="12">
        <v>12581</v>
      </c>
      <c r="D14" s="12">
        <v>598</v>
      </c>
      <c r="E14" s="12">
        <v>368</v>
      </c>
      <c r="F14" s="12">
        <v>465</v>
      </c>
      <c r="G14" s="12">
        <v>571</v>
      </c>
      <c r="H14" s="12">
        <v>570</v>
      </c>
      <c r="I14" s="12">
        <v>735</v>
      </c>
      <c r="J14" s="12">
        <v>165</v>
      </c>
      <c r="K14" s="12">
        <v>323</v>
      </c>
      <c r="L14" s="12">
        <v>475</v>
      </c>
      <c r="M14" s="12">
        <v>365</v>
      </c>
      <c r="N14" s="12">
        <v>547</v>
      </c>
      <c r="O14" s="12">
        <v>586</v>
      </c>
      <c r="P14" s="12">
        <v>453</v>
      </c>
      <c r="Q14" s="12">
        <v>453</v>
      </c>
      <c r="R14" s="12">
        <v>311</v>
      </c>
      <c r="S14" s="12">
        <v>497</v>
      </c>
      <c r="T14" s="12">
        <v>433</v>
      </c>
      <c r="U14" s="12">
        <v>315</v>
      </c>
      <c r="V14" s="12">
        <v>350</v>
      </c>
      <c r="W14" s="12">
        <v>239</v>
      </c>
      <c r="X14" s="12">
        <v>527</v>
      </c>
      <c r="Y14" s="12">
        <v>346</v>
      </c>
      <c r="Z14" s="12">
        <v>302</v>
      </c>
      <c r="AA14" s="12">
        <v>301</v>
      </c>
      <c r="AB14" s="12">
        <v>477</v>
      </c>
      <c r="AC14" s="12">
        <v>658</v>
      </c>
      <c r="AD14" s="12">
        <v>437</v>
      </c>
      <c r="AE14" s="12">
        <v>508</v>
      </c>
      <c r="AF14" s="12">
        <v>688</v>
      </c>
      <c r="AG14" s="12">
        <v>494</v>
      </c>
      <c r="AH14" s="12">
        <v>520</v>
      </c>
      <c r="AI14" s="12">
        <v>207</v>
      </c>
      <c r="AJ14" s="12">
        <v>522</v>
      </c>
      <c r="AK14" s="12">
        <v>727</v>
      </c>
      <c r="AL14" s="12">
        <v>612</v>
      </c>
      <c r="AM14" s="12">
        <v>692</v>
      </c>
      <c r="AN14" s="12">
        <v>564</v>
      </c>
      <c r="AO14" s="12">
        <v>302</v>
      </c>
      <c r="AP14" s="12">
        <v>283</v>
      </c>
      <c r="AQ14" s="12">
        <v>553</v>
      </c>
    </row>
    <row r="15" spans="1:43" x14ac:dyDescent="0.35">
      <c r="A15" s="19"/>
      <c r="B15" s="13" t="s">
        <v>660</v>
      </c>
      <c r="C15" s="15">
        <v>0.48</v>
      </c>
      <c r="D15" s="15">
        <v>0.59</v>
      </c>
      <c r="E15" s="15">
        <v>0.36</v>
      </c>
      <c r="F15" s="15">
        <v>0.42</v>
      </c>
      <c r="G15" s="15">
        <v>0.57000000000000006</v>
      </c>
      <c r="H15" s="15">
        <v>0.47</v>
      </c>
      <c r="I15" s="15">
        <v>0.48</v>
      </c>
      <c r="J15" s="15">
        <v>0.56000000000000005</v>
      </c>
      <c r="K15" s="15">
        <v>0.32</v>
      </c>
      <c r="L15" s="15">
        <v>0.47</v>
      </c>
      <c r="M15" s="15">
        <v>0.36</v>
      </c>
      <c r="N15" s="15">
        <v>0.54</v>
      </c>
      <c r="O15" s="15">
        <v>0.59</v>
      </c>
      <c r="P15" s="15">
        <v>0.45</v>
      </c>
      <c r="Q15" s="15">
        <v>0.44</v>
      </c>
      <c r="R15" s="15">
        <v>0.62</v>
      </c>
      <c r="S15" s="15">
        <v>0.5</v>
      </c>
      <c r="T15" s="15">
        <v>0.43</v>
      </c>
      <c r="U15" s="15">
        <v>0.63</v>
      </c>
      <c r="V15" s="15">
        <v>0.35</v>
      </c>
      <c r="W15" s="15">
        <v>0.47</v>
      </c>
      <c r="X15" s="15">
        <v>0.52</v>
      </c>
      <c r="Y15" s="15">
        <v>0.34</v>
      </c>
      <c r="Z15" s="15">
        <v>0.28999999999999998</v>
      </c>
      <c r="AA15" s="15">
        <v>0.28999999999999998</v>
      </c>
      <c r="AB15" s="15">
        <v>0.45</v>
      </c>
      <c r="AC15" s="15">
        <v>0.66</v>
      </c>
      <c r="AD15" s="15">
        <v>0.43</v>
      </c>
      <c r="AE15" s="15">
        <v>0.5</v>
      </c>
      <c r="AF15" s="15">
        <v>0.66</v>
      </c>
      <c r="AG15" s="15">
        <v>0.48</v>
      </c>
      <c r="AH15" s="15">
        <v>0.51</v>
      </c>
      <c r="AI15" s="15">
        <v>0.4</v>
      </c>
      <c r="AJ15" s="15">
        <v>0.5</v>
      </c>
      <c r="AK15" s="15">
        <v>0.72</v>
      </c>
      <c r="AL15" s="15">
        <v>0.61</v>
      </c>
      <c r="AM15" s="15">
        <v>0.67</v>
      </c>
      <c r="AN15" s="15">
        <v>0.56000000000000005</v>
      </c>
      <c r="AO15" s="15">
        <v>0.3</v>
      </c>
      <c r="AP15" s="15">
        <v>0.54</v>
      </c>
      <c r="AQ15" s="15">
        <v>0.55000000000000004</v>
      </c>
    </row>
    <row r="16" spans="1:43" x14ac:dyDescent="0.35">
      <c r="A16" s="19"/>
      <c r="B16" s="11" t="s">
        <v>485</v>
      </c>
      <c r="C16" s="12">
        <v>2751</v>
      </c>
      <c r="D16" s="12">
        <v>24</v>
      </c>
      <c r="E16" s="12">
        <v>169</v>
      </c>
      <c r="F16" s="12">
        <v>71</v>
      </c>
      <c r="G16" s="12">
        <v>87</v>
      </c>
      <c r="H16" s="12">
        <v>258</v>
      </c>
      <c r="I16" s="12">
        <v>289</v>
      </c>
      <c r="J16" s="12">
        <v>30</v>
      </c>
      <c r="K16" s="12">
        <v>187</v>
      </c>
      <c r="L16" s="12">
        <v>100</v>
      </c>
      <c r="M16" s="12">
        <v>71</v>
      </c>
      <c r="N16" s="12">
        <v>96</v>
      </c>
      <c r="O16" s="12">
        <v>95</v>
      </c>
      <c r="P16" s="12">
        <v>44</v>
      </c>
      <c r="Q16" s="12">
        <v>50</v>
      </c>
      <c r="R16" s="12">
        <v>60</v>
      </c>
      <c r="S16" s="12">
        <v>155</v>
      </c>
      <c r="T16" s="12">
        <v>160</v>
      </c>
      <c r="U16" s="12">
        <v>18</v>
      </c>
      <c r="V16" s="12">
        <v>54</v>
      </c>
      <c r="W16" s="12">
        <v>84</v>
      </c>
      <c r="X16" s="12">
        <v>58</v>
      </c>
      <c r="Y16" s="12">
        <v>95</v>
      </c>
      <c r="Z16" s="12">
        <v>96</v>
      </c>
      <c r="AA16" s="12">
        <v>182</v>
      </c>
      <c r="AB16" s="12">
        <v>101</v>
      </c>
      <c r="AC16" s="12">
        <v>49</v>
      </c>
      <c r="AD16" s="12">
        <v>86</v>
      </c>
      <c r="AE16" s="12">
        <v>94</v>
      </c>
      <c r="AF16" s="12">
        <v>90</v>
      </c>
      <c r="AG16" s="12">
        <v>4</v>
      </c>
      <c r="AH16" s="12">
        <v>75</v>
      </c>
      <c r="AI16" s="12">
        <v>46</v>
      </c>
      <c r="AJ16" s="12">
        <v>60</v>
      </c>
      <c r="AK16" s="12">
        <v>43</v>
      </c>
      <c r="AL16" s="12">
        <v>91</v>
      </c>
      <c r="AM16" s="12">
        <v>94</v>
      </c>
      <c r="AN16" s="12">
        <v>29</v>
      </c>
      <c r="AO16" s="12">
        <v>67</v>
      </c>
      <c r="AP16" s="12">
        <v>4</v>
      </c>
      <c r="AQ16" s="12">
        <v>133</v>
      </c>
    </row>
    <row r="17" spans="1:43" x14ac:dyDescent="0.35">
      <c r="A17" s="19"/>
      <c r="B17" s="13" t="s">
        <v>486</v>
      </c>
      <c r="C17" s="15">
        <v>0.1</v>
      </c>
      <c r="D17" s="15">
        <v>0.02</v>
      </c>
      <c r="E17" s="15">
        <v>0.16</v>
      </c>
      <c r="F17" s="15">
        <v>7.0000000000000007E-2</v>
      </c>
      <c r="G17" s="15">
        <v>0.09</v>
      </c>
      <c r="H17" s="15">
        <v>0.21</v>
      </c>
      <c r="I17" s="15">
        <v>0.19</v>
      </c>
      <c r="J17" s="15">
        <v>0.1</v>
      </c>
      <c r="K17" s="15">
        <v>0.19</v>
      </c>
      <c r="L17" s="15">
        <v>0.1</v>
      </c>
      <c r="M17" s="15">
        <v>7.0000000000000007E-2</v>
      </c>
      <c r="N17" s="15">
        <v>0.1</v>
      </c>
      <c r="O17" s="15">
        <v>0.09</v>
      </c>
      <c r="P17" s="15">
        <v>0.04</v>
      </c>
      <c r="Q17" s="15">
        <v>0.05</v>
      </c>
      <c r="R17" s="15">
        <v>0.12</v>
      </c>
      <c r="S17" s="15">
        <v>0.15</v>
      </c>
      <c r="T17" s="15">
        <v>0.16</v>
      </c>
      <c r="U17" s="15">
        <v>0.03</v>
      </c>
      <c r="V17" s="15">
        <v>0.05</v>
      </c>
      <c r="W17" s="15">
        <v>0.17</v>
      </c>
      <c r="X17" s="15">
        <v>0.06</v>
      </c>
      <c r="Y17" s="15">
        <v>0.1</v>
      </c>
      <c r="Z17" s="15">
        <v>0.1</v>
      </c>
      <c r="AA17" s="15">
        <v>0.18</v>
      </c>
      <c r="AB17" s="15">
        <v>0.1</v>
      </c>
      <c r="AC17" s="15">
        <v>0.05</v>
      </c>
      <c r="AD17" s="15">
        <v>0.09</v>
      </c>
      <c r="AE17" s="15">
        <v>0.09</v>
      </c>
      <c r="AF17" s="15">
        <v>0.09</v>
      </c>
      <c r="AG17" s="14" t="s">
        <v>475</v>
      </c>
      <c r="AH17" s="15">
        <v>0.08</v>
      </c>
      <c r="AI17" s="15">
        <v>0.09</v>
      </c>
      <c r="AJ17" s="15">
        <v>0.06</v>
      </c>
      <c r="AK17" s="15">
        <v>0.04</v>
      </c>
      <c r="AL17" s="15">
        <v>0.09</v>
      </c>
      <c r="AM17" s="15">
        <v>0.09</v>
      </c>
      <c r="AN17" s="15">
        <v>0.03</v>
      </c>
      <c r="AO17" s="15">
        <v>7.0000000000000007E-2</v>
      </c>
      <c r="AP17" s="15">
        <v>0.01</v>
      </c>
      <c r="AQ17" s="15">
        <v>0.13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1314</v>
      </c>
      <c r="C3" s="18"/>
      <c r="D3" s="18"/>
      <c r="E3" s="18"/>
      <c r="F3" s="18"/>
      <c r="H3" s="18" t="s">
        <v>1315</v>
      </c>
      <c r="I3" s="18"/>
      <c r="J3" s="18"/>
      <c r="K3" s="18"/>
      <c r="L3" s="18"/>
    </row>
    <row r="4" spans="1:43" ht="27" customHeight="1" x14ac:dyDescent="0.35">
      <c r="B4" s="18" t="s">
        <v>1316</v>
      </c>
      <c r="C4" s="18"/>
      <c r="D4" s="18"/>
      <c r="E4" s="18"/>
      <c r="F4" s="18"/>
      <c r="H4" s="18" t="s">
        <v>1317</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657</v>
      </c>
      <c r="C12" s="12">
        <v>7703</v>
      </c>
      <c r="D12" s="12">
        <v>236</v>
      </c>
      <c r="E12" s="12">
        <v>491</v>
      </c>
      <c r="F12" s="12">
        <v>401</v>
      </c>
      <c r="G12" s="12">
        <v>174</v>
      </c>
      <c r="H12" s="12">
        <v>253</v>
      </c>
      <c r="I12" s="12">
        <v>326</v>
      </c>
      <c r="J12" s="12">
        <v>74</v>
      </c>
      <c r="K12" s="12">
        <v>334</v>
      </c>
      <c r="L12" s="12">
        <v>270</v>
      </c>
      <c r="M12" s="12">
        <v>321</v>
      </c>
      <c r="N12" s="12">
        <v>221</v>
      </c>
      <c r="O12" s="12">
        <v>163</v>
      </c>
      <c r="P12" s="12">
        <v>401</v>
      </c>
      <c r="Q12" s="12">
        <v>390</v>
      </c>
      <c r="R12" s="12">
        <v>149</v>
      </c>
      <c r="S12" s="12">
        <v>249</v>
      </c>
      <c r="T12" s="12">
        <v>315</v>
      </c>
      <c r="U12" s="12">
        <v>66</v>
      </c>
      <c r="V12" s="12">
        <v>475</v>
      </c>
      <c r="W12" s="12">
        <v>92</v>
      </c>
      <c r="X12" s="12">
        <v>186</v>
      </c>
      <c r="Y12" s="12">
        <v>485</v>
      </c>
      <c r="Z12" s="12">
        <v>562</v>
      </c>
      <c r="AA12" s="12">
        <v>462</v>
      </c>
      <c r="AB12" s="12">
        <v>449</v>
      </c>
      <c r="AC12" s="12">
        <v>196</v>
      </c>
      <c r="AD12" s="12">
        <v>326</v>
      </c>
      <c r="AE12" s="12">
        <v>133</v>
      </c>
      <c r="AF12" s="12">
        <v>85</v>
      </c>
      <c r="AG12" s="12">
        <v>507</v>
      </c>
      <c r="AH12" s="12">
        <v>403</v>
      </c>
      <c r="AI12" s="12">
        <v>349</v>
      </c>
      <c r="AJ12" s="12">
        <v>435</v>
      </c>
      <c r="AK12" s="12">
        <v>196</v>
      </c>
      <c r="AL12" s="12">
        <v>302</v>
      </c>
      <c r="AM12" s="12">
        <v>143</v>
      </c>
      <c r="AN12" s="12">
        <v>415</v>
      </c>
      <c r="AO12" s="12">
        <v>462</v>
      </c>
      <c r="AP12" s="12">
        <v>259</v>
      </c>
      <c r="AQ12" s="12">
        <v>395</v>
      </c>
    </row>
    <row r="13" spans="1:43" x14ac:dyDescent="0.35">
      <c r="A13" s="19"/>
      <c r="B13" s="13" t="s">
        <v>658</v>
      </c>
      <c r="C13" s="15">
        <v>0.28999999999999998</v>
      </c>
      <c r="D13" s="15">
        <v>0.23</v>
      </c>
      <c r="E13" s="15">
        <v>0.48</v>
      </c>
      <c r="F13" s="15">
        <v>0.36</v>
      </c>
      <c r="G13" s="15">
        <v>0.17</v>
      </c>
      <c r="H13" s="15">
        <v>0.21</v>
      </c>
      <c r="I13" s="15">
        <v>0.22</v>
      </c>
      <c r="J13" s="15">
        <v>0.25</v>
      </c>
      <c r="K13" s="15">
        <v>0.33</v>
      </c>
      <c r="L13" s="15">
        <v>0.27</v>
      </c>
      <c r="M13" s="15">
        <v>0.32</v>
      </c>
      <c r="N13" s="15">
        <v>0.22</v>
      </c>
      <c r="O13" s="15">
        <v>0.16</v>
      </c>
      <c r="P13" s="15">
        <v>0.4</v>
      </c>
      <c r="Q13" s="15">
        <v>0.38</v>
      </c>
      <c r="R13" s="15">
        <v>0.3</v>
      </c>
      <c r="S13" s="15">
        <v>0.25</v>
      </c>
      <c r="T13" s="15">
        <v>0.31</v>
      </c>
      <c r="U13" s="15">
        <v>0.13</v>
      </c>
      <c r="V13" s="15">
        <v>0.47</v>
      </c>
      <c r="W13" s="15">
        <v>0.18</v>
      </c>
      <c r="X13" s="15">
        <v>0.18</v>
      </c>
      <c r="Y13" s="15">
        <v>0.48</v>
      </c>
      <c r="Z13" s="15">
        <v>0.55000000000000004</v>
      </c>
      <c r="AA13" s="15">
        <v>0.45</v>
      </c>
      <c r="AB13" s="15">
        <v>0.43</v>
      </c>
      <c r="AC13" s="15">
        <v>0.2</v>
      </c>
      <c r="AD13" s="15">
        <v>0.33</v>
      </c>
      <c r="AE13" s="15">
        <v>0.13</v>
      </c>
      <c r="AF13" s="15">
        <v>0.08</v>
      </c>
      <c r="AG13" s="15">
        <v>0.49</v>
      </c>
      <c r="AH13" s="15">
        <v>0.4</v>
      </c>
      <c r="AI13" s="15">
        <v>0.67</v>
      </c>
      <c r="AJ13" s="15">
        <v>0.42</v>
      </c>
      <c r="AK13" s="15">
        <v>0.19</v>
      </c>
      <c r="AL13" s="15">
        <v>0.3</v>
      </c>
      <c r="AM13" s="15">
        <v>0.14000000000000001</v>
      </c>
      <c r="AN13" s="15">
        <v>0.41</v>
      </c>
      <c r="AO13" s="15">
        <v>0.46</v>
      </c>
      <c r="AP13" s="15">
        <v>0.49</v>
      </c>
      <c r="AQ13" s="15">
        <v>0.4</v>
      </c>
    </row>
    <row r="14" spans="1:43" x14ac:dyDescent="0.35">
      <c r="A14" s="19"/>
      <c r="B14" s="11" t="s">
        <v>659</v>
      </c>
      <c r="C14" s="12">
        <v>16205</v>
      </c>
      <c r="D14" s="12">
        <v>752</v>
      </c>
      <c r="E14" s="12">
        <v>389</v>
      </c>
      <c r="F14" s="12">
        <v>639</v>
      </c>
      <c r="G14" s="12">
        <v>762</v>
      </c>
      <c r="H14" s="12">
        <v>729</v>
      </c>
      <c r="I14" s="12">
        <v>926</v>
      </c>
      <c r="J14" s="12">
        <v>198</v>
      </c>
      <c r="K14" s="12">
        <v>495</v>
      </c>
      <c r="L14" s="12">
        <v>652</v>
      </c>
      <c r="M14" s="12">
        <v>622</v>
      </c>
      <c r="N14" s="12">
        <v>678</v>
      </c>
      <c r="O14" s="12">
        <v>757</v>
      </c>
      <c r="P14" s="12">
        <v>557</v>
      </c>
      <c r="Q14" s="12">
        <v>591</v>
      </c>
      <c r="R14" s="12">
        <v>315</v>
      </c>
      <c r="S14" s="12">
        <v>595</v>
      </c>
      <c r="T14" s="12">
        <v>537</v>
      </c>
      <c r="U14" s="12">
        <v>415</v>
      </c>
      <c r="V14" s="12">
        <v>482</v>
      </c>
      <c r="W14" s="12">
        <v>345</v>
      </c>
      <c r="X14" s="12">
        <v>787</v>
      </c>
      <c r="Y14" s="12">
        <v>438</v>
      </c>
      <c r="Z14" s="12">
        <v>354</v>
      </c>
      <c r="AA14" s="12">
        <v>440</v>
      </c>
      <c r="AB14" s="12">
        <v>503</v>
      </c>
      <c r="AC14" s="12">
        <v>746</v>
      </c>
      <c r="AD14" s="12">
        <v>596</v>
      </c>
      <c r="AE14" s="12">
        <v>802</v>
      </c>
      <c r="AF14" s="12">
        <v>910</v>
      </c>
      <c r="AG14" s="12">
        <v>524</v>
      </c>
      <c r="AH14" s="12">
        <v>563</v>
      </c>
      <c r="AI14" s="12">
        <v>153</v>
      </c>
      <c r="AJ14" s="12">
        <v>554</v>
      </c>
      <c r="AK14" s="12">
        <v>765</v>
      </c>
      <c r="AL14" s="12">
        <v>630</v>
      </c>
      <c r="AM14" s="12">
        <v>797</v>
      </c>
      <c r="AN14" s="12">
        <v>556</v>
      </c>
      <c r="AO14" s="12">
        <v>471</v>
      </c>
      <c r="AP14" s="12">
        <v>259</v>
      </c>
      <c r="AQ14" s="12">
        <v>504</v>
      </c>
    </row>
    <row r="15" spans="1:43" x14ac:dyDescent="0.35">
      <c r="A15" s="19"/>
      <c r="B15" s="13" t="s">
        <v>660</v>
      </c>
      <c r="C15" s="15">
        <v>0.61</v>
      </c>
      <c r="D15" s="15">
        <v>0.74</v>
      </c>
      <c r="E15" s="15">
        <v>0.38</v>
      </c>
      <c r="F15" s="15">
        <v>0.57999999999999996</v>
      </c>
      <c r="G15" s="15">
        <v>0.76</v>
      </c>
      <c r="H15" s="15">
        <v>0.6</v>
      </c>
      <c r="I15" s="15">
        <v>0.61</v>
      </c>
      <c r="J15" s="15">
        <v>0.67</v>
      </c>
      <c r="K15" s="15">
        <v>0.5</v>
      </c>
      <c r="L15" s="15">
        <v>0.65</v>
      </c>
      <c r="M15" s="15">
        <v>0.61</v>
      </c>
      <c r="N15" s="15">
        <v>0.68</v>
      </c>
      <c r="O15" s="15">
        <v>0.76</v>
      </c>
      <c r="P15" s="15">
        <v>0.55000000000000004</v>
      </c>
      <c r="Q15" s="15">
        <v>0.57999999999999996</v>
      </c>
      <c r="R15" s="15">
        <v>0.62</v>
      </c>
      <c r="S15" s="15">
        <v>0.59</v>
      </c>
      <c r="T15" s="15">
        <v>0.54</v>
      </c>
      <c r="U15" s="15">
        <v>0.82000000000000006</v>
      </c>
      <c r="V15" s="15">
        <v>0.47</v>
      </c>
      <c r="W15" s="15">
        <v>0.68</v>
      </c>
      <c r="X15" s="15">
        <v>0.78</v>
      </c>
      <c r="Y15" s="15">
        <v>0.44</v>
      </c>
      <c r="Z15" s="15">
        <v>0.34</v>
      </c>
      <c r="AA15" s="15">
        <v>0.42</v>
      </c>
      <c r="AB15" s="15">
        <v>0.48</v>
      </c>
      <c r="AC15" s="15">
        <v>0.74</v>
      </c>
      <c r="AD15" s="15">
        <v>0.59</v>
      </c>
      <c r="AE15" s="15">
        <v>0.79</v>
      </c>
      <c r="AF15" s="15">
        <v>0.87</v>
      </c>
      <c r="AG15" s="15">
        <v>0.51</v>
      </c>
      <c r="AH15" s="15">
        <v>0.55000000000000004</v>
      </c>
      <c r="AI15" s="15">
        <v>0.28999999999999998</v>
      </c>
      <c r="AJ15" s="15">
        <v>0.53</v>
      </c>
      <c r="AK15" s="15">
        <v>0.76</v>
      </c>
      <c r="AL15" s="15">
        <v>0.62</v>
      </c>
      <c r="AM15" s="15">
        <v>0.77</v>
      </c>
      <c r="AN15" s="15">
        <v>0.56000000000000005</v>
      </c>
      <c r="AO15" s="15">
        <v>0.47</v>
      </c>
      <c r="AP15" s="15">
        <v>0.5</v>
      </c>
      <c r="AQ15" s="15">
        <v>0.5</v>
      </c>
    </row>
    <row r="16" spans="1:43" x14ac:dyDescent="0.35">
      <c r="A16" s="19"/>
      <c r="B16" s="11" t="s">
        <v>485</v>
      </c>
      <c r="C16" s="12">
        <v>2536</v>
      </c>
      <c r="D16" s="12">
        <v>25</v>
      </c>
      <c r="E16" s="12">
        <v>150</v>
      </c>
      <c r="F16" s="12">
        <v>62</v>
      </c>
      <c r="G16" s="12">
        <v>70</v>
      </c>
      <c r="H16" s="12">
        <v>240</v>
      </c>
      <c r="I16" s="12">
        <v>263</v>
      </c>
      <c r="J16" s="12">
        <v>24</v>
      </c>
      <c r="K16" s="12">
        <v>173</v>
      </c>
      <c r="L16" s="12">
        <v>80</v>
      </c>
      <c r="M16" s="12">
        <v>67</v>
      </c>
      <c r="N16" s="12">
        <v>104</v>
      </c>
      <c r="O16" s="12">
        <v>80</v>
      </c>
      <c r="P16" s="12">
        <v>46</v>
      </c>
      <c r="Q16" s="12">
        <v>46</v>
      </c>
      <c r="R16" s="12">
        <v>40</v>
      </c>
      <c r="S16" s="12">
        <v>158</v>
      </c>
      <c r="T16" s="12">
        <v>154</v>
      </c>
      <c r="U16" s="12">
        <v>23</v>
      </c>
      <c r="V16" s="12">
        <v>58</v>
      </c>
      <c r="W16" s="12">
        <v>71</v>
      </c>
      <c r="X16" s="12">
        <v>37</v>
      </c>
      <c r="Y16" s="12">
        <v>80</v>
      </c>
      <c r="Z16" s="12">
        <v>115</v>
      </c>
      <c r="AA16" s="12">
        <v>131</v>
      </c>
      <c r="AB16" s="12">
        <v>99</v>
      </c>
      <c r="AC16" s="12">
        <v>61</v>
      </c>
      <c r="AD16" s="12">
        <v>83</v>
      </c>
      <c r="AE16" s="12">
        <v>76</v>
      </c>
      <c r="AF16" s="12">
        <v>48</v>
      </c>
      <c r="AG16" s="12">
        <v>4</v>
      </c>
      <c r="AH16" s="12">
        <v>47</v>
      </c>
      <c r="AI16" s="12">
        <v>21</v>
      </c>
      <c r="AJ16" s="12">
        <v>47</v>
      </c>
      <c r="AK16" s="12">
        <v>46</v>
      </c>
      <c r="AL16" s="12">
        <v>80</v>
      </c>
      <c r="AM16" s="12">
        <v>100</v>
      </c>
      <c r="AN16" s="12">
        <v>32</v>
      </c>
      <c r="AO16" s="12">
        <v>72</v>
      </c>
      <c r="AP16" s="12">
        <v>5</v>
      </c>
      <c r="AQ16" s="12">
        <v>103</v>
      </c>
    </row>
    <row r="17" spans="1:43" x14ac:dyDescent="0.35">
      <c r="A17" s="19"/>
      <c r="B17" s="13" t="s">
        <v>486</v>
      </c>
      <c r="C17" s="15">
        <v>0.1</v>
      </c>
      <c r="D17" s="15">
        <v>0.03</v>
      </c>
      <c r="E17" s="15">
        <v>0.14000000000000001</v>
      </c>
      <c r="F17" s="15">
        <v>0.06</v>
      </c>
      <c r="G17" s="15">
        <v>7.0000000000000007E-2</v>
      </c>
      <c r="H17" s="15">
        <v>0.19</v>
      </c>
      <c r="I17" s="15">
        <v>0.17</v>
      </c>
      <c r="J17" s="15">
        <v>0.08</v>
      </c>
      <c r="K17" s="15">
        <v>0.17</v>
      </c>
      <c r="L17" s="15">
        <v>0.08</v>
      </c>
      <c r="M17" s="15">
        <v>7.0000000000000007E-2</v>
      </c>
      <c r="N17" s="15">
        <v>0.1</v>
      </c>
      <c r="O17" s="15">
        <v>0.08</v>
      </c>
      <c r="P17" s="15">
        <v>0.05</v>
      </c>
      <c r="Q17" s="15">
        <v>0.04</v>
      </c>
      <c r="R17" s="15">
        <v>0.08</v>
      </c>
      <c r="S17" s="15">
        <v>0.16</v>
      </c>
      <c r="T17" s="15">
        <v>0.15</v>
      </c>
      <c r="U17" s="15">
        <v>0.05</v>
      </c>
      <c r="V17" s="15">
        <v>0.06</v>
      </c>
      <c r="W17" s="15">
        <v>0.14000000000000001</v>
      </c>
      <c r="X17" s="15">
        <v>0.04</v>
      </c>
      <c r="Y17" s="15">
        <v>0.08</v>
      </c>
      <c r="Z17" s="15">
        <v>0.11</v>
      </c>
      <c r="AA17" s="15">
        <v>0.13</v>
      </c>
      <c r="AB17" s="15">
        <v>0.09</v>
      </c>
      <c r="AC17" s="15">
        <v>0.06</v>
      </c>
      <c r="AD17" s="15">
        <v>0.08</v>
      </c>
      <c r="AE17" s="15">
        <v>0.08</v>
      </c>
      <c r="AF17" s="15">
        <v>0.05</v>
      </c>
      <c r="AG17" s="14" t="s">
        <v>475</v>
      </c>
      <c r="AH17" s="15">
        <v>0.05</v>
      </c>
      <c r="AI17" s="15">
        <v>0.04</v>
      </c>
      <c r="AJ17" s="15">
        <v>0.05</v>
      </c>
      <c r="AK17" s="15">
        <v>0.05</v>
      </c>
      <c r="AL17" s="15">
        <v>0.08</v>
      </c>
      <c r="AM17" s="15">
        <v>0.09</v>
      </c>
      <c r="AN17" s="15">
        <v>0.03</v>
      </c>
      <c r="AO17" s="15">
        <v>7.0000000000000007E-2</v>
      </c>
      <c r="AP17" s="15">
        <v>0.01</v>
      </c>
      <c r="AQ17" s="15">
        <v>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305</v>
      </c>
      <c r="C3" s="18"/>
      <c r="D3" s="18"/>
      <c r="E3" s="18"/>
      <c r="F3" s="18"/>
      <c r="H3" s="18" t="s">
        <v>306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1318</v>
      </c>
      <c r="C12" s="12">
        <v>8467</v>
      </c>
      <c r="D12" s="12">
        <v>336</v>
      </c>
      <c r="E12" s="12">
        <v>348</v>
      </c>
      <c r="F12" s="12">
        <v>357</v>
      </c>
      <c r="G12" s="12">
        <v>305</v>
      </c>
      <c r="H12" s="12">
        <v>308</v>
      </c>
      <c r="I12" s="12">
        <v>375</v>
      </c>
      <c r="J12" s="12">
        <v>67</v>
      </c>
      <c r="K12" s="12">
        <v>386</v>
      </c>
      <c r="L12" s="12">
        <v>343</v>
      </c>
      <c r="M12" s="12">
        <v>216</v>
      </c>
      <c r="N12" s="12">
        <v>260</v>
      </c>
      <c r="O12" s="12">
        <v>208</v>
      </c>
      <c r="P12" s="12">
        <v>422</v>
      </c>
      <c r="Q12" s="12">
        <v>450</v>
      </c>
      <c r="R12" s="12">
        <v>107</v>
      </c>
      <c r="S12" s="12">
        <v>219</v>
      </c>
      <c r="T12" s="12">
        <v>325</v>
      </c>
      <c r="U12" s="12">
        <v>116</v>
      </c>
      <c r="V12" s="12">
        <v>337</v>
      </c>
      <c r="W12" s="12">
        <v>115</v>
      </c>
      <c r="X12" s="12">
        <v>359</v>
      </c>
      <c r="Y12" s="12">
        <v>499</v>
      </c>
      <c r="Z12" s="12">
        <v>526</v>
      </c>
      <c r="AA12" s="12">
        <v>550</v>
      </c>
      <c r="AB12" s="12">
        <v>328</v>
      </c>
      <c r="AC12" s="12">
        <v>197</v>
      </c>
      <c r="AD12" s="12">
        <v>320</v>
      </c>
      <c r="AE12" s="12">
        <v>334</v>
      </c>
      <c r="AF12" s="12">
        <v>225</v>
      </c>
      <c r="AG12" s="12">
        <v>409</v>
      </c>
      <c r="AH12" s="12">
        <v>217</v>
      </c>
      <c r="AI12" s="12">
        <v>232</v>
      </c>
      <c r="AJ12" s="12">
        <v>169</v>
      </c>
      <c r="AK12" s="12">
        <v>127</v>
      </c>
      <c r="AL12" s="12">
        <v>187</v>
      </c>
      <c r="AM12" s="12">
        <v>140</v>
      </c>
      <c r="AN12" s="12">
        <v>208</v>
      </c>
      <c r="AO12" s="12">
        <v>404</v>
      </c>
      <c r="AP12" s="12">
        <v>149</v>
      </c>
      <c r="AQ12" s="12">
        <v>155</v>
      </c>
    </row>
    <row r="13" spans="1:43" x14ac:dyDescent="0.35">
      <c r="A13" s="19"/>
      <c r="B13" s="13" t="s">
        <v>1319</v>
      </c>
      <c r="C13" s="15">
        <v>0.32</v>
      </c>
      <c r="D13" s="15">
        <v>0.33</v>
      </c>
      <c r="E13" s="15">
        <v>0.34</v>
      </c>
      <c r="F13" s="15">
        <v>0.32</v>
      </c>
      <c r="G13" s="15">
        <v>0.3</v>
      </c>
      <c r="H13" s="15">
        <v>0.25</v>
      </c>
      <c r="I13" s="15">
        <v>0.25</v>
      </c>
      <c r="J13" s="15">
        <v>0.23</v>
      </c>
      <c r="K13" s="15">
        <v>0.39</v>
      </c>
      <c r="L13" s="15">
        <v>0.34</v>
      </c>
      <c r="M13" s="15">
        <v>0.21</v>
      </c>
      <c r="N13" s="15">
        <v>0.26</v>
      </c>
      <c r="O13" s="15">
        <v>0.21</v>
      </c>
      <c r="P13" s="15">
        <v>0.42</v>
      </c>
      <c r="Q13" s="15">
        <v>0.44</v>
      </c>
      <c r="R13" s="15">
        <v>0.21</v>
      </c>
      <c r="S13" s="15">
        <v>0.22</v>
      </c>
      <c r="T13" s="15">
        <v>0.32</v>
      </c>
      <c r="U13" s="15">
        <v>0.23</v>
      </c>
      <c r="V13" s="15">
        <v>0.33</v>
      </c>
      <c r="W13" s="15">
        <v>0.23</v>
      </c>
      <c r="X13" s="15">
        <v>0.36</v>
      </c>
      <c r="Y13" s="15">
        <v>0.5</v>
      </c>
      <c r="Z13" s="15">
        <v>0.51</v>
      </c>
      <c r="AA13" s="15">
        <v>0.53</v>
      </c>
      <c r="AB13" s="15">
        <v>0.31</v>
      </c>
      <c r="AC13" s="15">
        <v>0.2</v>
      </c>
      <c r="AD13" s="15">
        <v>0.32</v>
      </c>
      <c r="AE13" s="15">
        <v>0.33</v>
      </c>
      <c r="AF13" s="15">
        <v>0.22</v>
      </c>
      <c r="AG13" s="15">
        <v>0.4</v>
      </c>
      <c r="AH13" s="15">
        <v>0.21</v>
      </c>
      <c r="AI13" s="15">
        <v>0.44</v>
      </c>
      <c r="AJ13" s="15">
        <v>0.16</v>
      </c>
      <c r="AK13" s="15">
        <v>0.13</v>
      </c>
      <c r="AL13" s="15">
        <v>0.18</v>
      </c>
      <c r="AM13" s="15">
        <v>0.13</v>
      </c>
      <c r="AN13" s="15">
        <v>0.21</v>
      </c>
      <c r="AO13" s="15">
        <v>0.4</v>
      </c>
      <c r="AP13" s="15">
        <v>0.28000000000000003</v>
      </c>
      <c r="AQ13" s="15">
        <v>0.16</v>
      </c>
    </row>
    <row r="14" spans="1:43" ht="21.5" x14ac:dyDescent="0.35">
      <c r="A14" s="19"/>
      <c r="B14" s="11" t="s">
        <v>1320</v>
      </c>
      <c r="C14" s="12">
        <v>10452</v>
      </c>
      <c r="D14" s="12">
        <v>428</v>
      </c>
      <c r="E14" s="12">
        <v>408</v>
      </c>
      <c r="F14" s="12">
        <v>425</v>
      </c>
      <c r="G14" s="12">
        <v>570</v>
      </c>
      <c r="H14" s="12">
        <v>592</v>
      </c>
      <c r="I14" s="12">
        <v>717</v>
      </c>
      <c r="J14" s="12">
        <v>125</v>
      </c>
      <c r="K14" s="12">
        <v>384</v>
      </c>
      <c r="L14" s="12">
        <v>415</v>
      </c>
      <c r="M14" s="12">
        <v>442</v>
      </c>
      <c r="N14" s="12">
        <v>307</v>
      </c>
      <c r="O14" s="12">
        <v>448</v>
      </c>
      <c r="P14" s="12">
        <v>292</v>
      </c>
      <c r="Q14" s="12">
        <v>305</v>
      </c>
      <c r="R14" s="12">
        <v>224</v>
      </c>
      <c r="S14" s="12">
        <v>441</v>
      </c>
      <c r="T14" s="12">
        <v>352</v>
      </c>
      <c r="U14" s="12">
        <v>244</v>
      </c>
      <c r="V14" s="12">
        <v>402</v>
      </c>
      <c r="W14" s="12">
        <v>145</v>
      </c>
      <c r="X14" s="12">
        <v>467</v>
      </c>
      <c r="Y14" s="12">
        <v>325</v>
      </c>
      <c r="Z14" s="12">
        <v>290</v>
      </c>
      <c r="AA14" s="12">
        <v>354</v>
      </c>
      <c r="AB14" s="12">
        <v>417</v>
      </c>
      <c r="AC14" s="12">
        <v>367</v>
      </c>
      <c r="AD14" s="12">
        <v>397</v>
      </c>
      <c r="AE14" s="12">
        <v>523</v>
      </c>
      <c r="AF14" s="12">
        <v>669</v>
      </c>
      <c r="AG14" s="12">
        <v>230</v>
      </c>
      <c r="AH14" s="12">
        <v>403</v>
      </c>
      <c r="AI14" s="12">
        <v>192</v>
      </c>
      <c r="AJ14" s="12">
        <v>519</v>
      </c>
      <c r="AK14" s="12">
        <v>287</v>
      </c>
      <c r="AL14" s="12">
        <v>240</v>
      </c>
      <c r="AM14" s="12">
        <v>400</v>
      </c>
      <c r="AN14" s="12">
        <v>423</v>
      </c>
      <c r="AO14" s="12">
        <v>359</v>
      </c>
      <c r="AP14" s="12">
        <v>199</v>
      </c>
      <c r="AQ14" s="12">
        <v>364</v>
      </c>
    </row>
    <row r="15" spans="1:43" x14ac:dyDescent="0.35">
      <c r="A15" s="19"/>
      <c r="B15" s="13" t="s">
        <v>1321</v>
      </c>
      <c r="C15" s="15">
        <v>0.4</v>
      </c>
      <c r="D15" s="15">
        <v>0.42</v>
      </c>
      <c r="E15" s="15">
        <v>0.4</v>
      </c>
      <c r="F15" s="15">
        <v>0.39</v>
      </c>
      <c r="G15" s="15">
        <v>0.57000000000000006</v>
      </c>
      <c r="H15" s="15">
        <v>0.49</v>
      </c>
      <c r="I15" s="15">
        <v>0.47</v>
      </c>
      <c r="J15" s="15">
        <v>0.42</v>
      </c>
      <c r="K15" s="15">
        <v>0.38</v>
      </c>
      <c r="L15" s="15">
        <v>0.42</v>
      </c>
      <c r="M15" s="15">
        <v>0.44</v>
      </c>
      <c r="N15" s="15">
        <v>0.31</v>
      </c>
      <c r="O15" s="15">
        <v>0.45</v>
      </c>
      <c r="P15" s="15">
        <v>0.28999999999999998</v>
      </c>
      <c r="Q15" s="15">
        <v>0.3</v>
      </c>
      <c r="R15" s="15">
        <v>0.45</v>
      </c>
      <c r="S15" s="15">
        <v>0.44</v>
      </c>
      <c r="T15" s="15">
        <v>0.35</v>
      </c>
      <c r="U15" s="15">
        <v>0.48</v>
      </c>
      <c r="V15" s="15">
        <v>0.4</v>
      </c>
      <c r="W15" s="15">
        <v>0.28000000000000003</v>
      </c>
      <c r="X15" s="15">
        <v>0.46</v>
      </c>
      <c r="Y15" s="15">
        <v>0.32</v>
      </c>
      <c r="Z15" s="15">
        <v>0.28000000000000003</v>
      </c>
      <c r="AA15" s="15">
        <v>0.34</v>
      </c>
      <c r="AB15" s="15">
        <v>0.4</v>
      </c>
      <c r="AC15" s="15">
        <v>0.36</v>
      </c>
      <c r="AD15" s="15">
        <v>0.39</v>
      </c>
      <c r="AE15" s="15">
        <v>0.52</v>
      </c>
      <c r="AF15" s="15">
        <v>0.64</v>
      </c>
      <c r="AG15" s="15">
        <v>0.22</v>
      </c>
      <c r="AH15" s="15">
        <v>0.4</v>
      </c>
      <c r="AI15" s="15">
        <v>0.37</v>
      </c>
      <c r="AJ15" s="15">
        <v>0.5</v>
      </c>
      <c r="AK15" s="15">
        <v>0.28000000000000003</v>
      </c>
      <c r="AL15" s="15">
        <v>0.24</v>
      </c>
      <c r="AM15" s="15">
        <v>0.39</v>
      </c>
      <c r="AN15" s="15">
        <v>0.42</v>
      </c>
      <c r="AO15" s="15">
        <v>0.36</v>
      </c>
      <c r="AP15" s="15">
        <v>0.38</v>
      </c>
      <c r="AQ15" s="15">
        <v>0.36</v>
      </c>
    </row>
    <row r="16" spans="1:43" ht="21.5" x14ac:dyDescent="0.35">
      <c r="A16" s="19"/>
      <c r="B16" s="11" t="s">
        <v>1322</v>
      </c>
      <c r="C16" s="12">
        <v>7526</v>
      </c>
      <c r="D16" s="12">
        <v>248</v>
      </c>
      <c r="E16" s="12">
        <v>274</v>
      </c>
      <c r="F16" s="12">
        <v>320</v>
      </c>
      <c r="G16" s="12">
        <v>131</v>
      </c>
      <c r="H16" s="12">
        <v>321</v>
      </c>
      <c r="I16" s="12">
        <v>423</v>
      </c>
      <c r="J16" s="12">
        <v>102</v>
      </c>
      <c r="K16" s="12">
        <v>232</v>
      </c>
      <c r="L16" s="12">
        <v>244</v>
      </c>
      <c r="M16" s="12">
        <v>352</v>
      </c>
      <c r="N16" s="12">
        <v>436</v>
      </c>
      <c r="O16" s="12">
        <v>345</v>
      </c>
      <c r="P16" s="12">
        <v>291</v>
      </c>
      <c r="Q16" s="12">
        <v>272</v>
      </c>
      <c r="R16" s="12">
        <v>173</v>
      </c>
      <c r="S16" s="12">
        <v>341</v>
      </c>
      <c r="T16" s="12">
        <v>328</v>
      </c>
      <c r="U16" s="12">
        <v>144</v>
      </c>
      <c r="V16" s="12">
        <v>276</v>
      </c>
      <c r="W16" s="12">
        <v>247</v>
      </c>
      <c r="X16" s="12">
        <v>183</v>
      </c>
      <c r="Y16" s="12">
        <v>179</v>
      </c>
      <c r="Z16" s="12">
        <v>215</v>
      </c>
      <c r="AA16" s="12">
        <v>129</v>
      </c>
      <c r="AB16" s="12">
        <v>306</v>
      </c>
      <c r="AC16" s="12">
        <v>439</v>
      </c>
      <c r="AD16" s="12">
        <v>288</v>
      </c>
      <c r="AE16" s="12">
        <v>155</v>
      </c>
      <c r="AF16" s="12">
        <v>149</v>
      </c>
      <c r="AG16" s="12">
        <v>396</v>
      </c>
      <c r="AH16" s="12">
        <v>393</v>
      </c>
      <c r="AI16" s="12">
        <v>99</v>
      </c>
      <c r="AJ16" s="12">
        <v>349</v>
      </c>
      <c r="AK16" s="12">
        <v>593</v>
      </c>
      <c r="AL16" s="12">
        <v>584</v>
      </c>
      <c r="AM16" s="12">
        <v>500</v>
      </c>
      <c r="AN16" s="12">
        <v>372</v>
      </c>
      <c r="AO16" s="12">
        <v>242</v>
      </c>
      <c r="AP16" s="12">
        <v>176</v>
      </c>
      <c r="AQ16" s="12">
        <v>483</v>
      </c>
    </row>
    <row r="17" spans="1:43" x14ac:dyDescent="0.35">
      <c r="A17" s="19"/>
      <c r="B17" s="13" t="s">
        <v>1323</v>
      </c>
      <c r="C17" s="15">
        <v>0.28000000000000003</v>
      </c>
      <c r="D17" s="15">
        <v>0.25</v>
      </c>
      <c r="E17" s="15">
        <v>0.26</v>
      </c>
      <c r="F17" s="15">
        <v>0.28999999999999998</v>
      </c>
      <c r="G17" s="15">
        <v>0.13</v>
      </c>
      <c r="H17" s="15">
        <v>0.26</v>
      </c>
      <c r="I17" s="15">
        <v>0.28000000000000003</v>
      </c>
      <c r="J17" s="15">
        <v>0.35</v>
      </c>
      <c r="K17" s="15">
        <v>0.23</v>
      </c>
      <c r="L17" s="15">
        <v>0.24</v>
      </c>
      <c r="M17" s="15">
        <v>0.35</v>
      </c>
      <c r="N17" s="15">
        <v>0.43</v>
      </c>
      <c r="O17" s="15">
        <v>0.34</v>
      </c>
      <c r="P17" s="15">
        <v>0.28999999999999998</v>
      </c>
      <c r="Q17" s="15">
        <v>0.26</v>
      </c>
      <c r="R17" s="15">
        <v>0.34</v>
      </c>
      <c r="S17" s="15">
        <v>0.34</v>
      </c>
      <c r="T17" s="15">
        <v>0.33</v>
      </c>
      <c r="U17" s="15">
        <v>0.28999999999999998</v>
      </c>
      <c r="V17" s="15">
        <v>0.27</v>
      </c>
      <c r="W17" s="15">
        <v>0.49</v>
      </c>
      <c r="X17" s="15">
        <v>0.18</v>
      </c>
      <c r="Y17" s="15">
        <v>0.18</v>
      </c>
      <c r="Z17" s="15">
        <v>0.21</v>
      </c>
      <c r="AA17" s="15">
        <v>0.13</v>
      </c>
      <c r="AB17" s="15">
        <v>0.28999999999999998</v>
      </c>
      <c r="AC17" s="15">
        <v>0.44</v>
      </c>
      <c r="AD17" s="15">
        <v>0.28999999999999998</v>
      </c>
      <c r="AE17" s="15">
        <v>0.15</v>
      </c>
      <c r="AF17" s="15">
        <v>0.14000000000000001</v>
      </c>
      <c r="AG17" s="15">
        <v>0.38</v>
      </c>
      <c r="AH17" s="15">
        <v>0.39</v>
      </c>
      <c r="AI17" s="15">
        <v>0.19</v>
      </c>
      <c r="AJ17" s="15">
        <v>0.34</v>
      </c>
      <c r="AK17" s="15">
        <v>0.59</v>
      </c>
      <c r="AL17" s="15">
        <v>0.57999999999999996</v>
      </c>
      <c r="AM17" s="15">
        <v>0.48</v>
      </c>
      <c r="AN17" s="15">
        <v>0.37</v>
      </c>
      <c r="AO17" s="15">
        <v>0.24</v>
      </c>
      <c r="AP17" s="15">
        <v>0.34</v>
      </c>
      <c r="AQ17" s="15">
        <v>0.48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Q37"/>
  <sheetViews>
    <sheetView workbookViewId="0">
      <pane xSplit="3" ySplit="9" topLeftCell="D33" activePane="bottomRight" state="frozen"/>
      <selection pane="topRight"/>
      <selection pane="bottomLeft"/>
      <selection pane="bottomRight" activeCell="B36" sqref="A36:XFD37"/>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307</v>
      </c>
      <c r="C3" s="18"/>
      <c r="D3" s="18"/>
      <c r="E3" s="18"/>
      <c r="F3" s="18"/>
      <c r="H3" s="18" t="s">
        <v>308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1324</v>
      </c>
      <c r="C12" s="12">
        <v>8027</v>
      </c>
      <c r="D12" s="12">
        <v>300</v>
      </c>
      <c r="E12" s="12">
        <v>429</v>
      </c>
      <c r="F12" s="12">
        <v>278</v>
      </c>
      <c r="G12" s="12">
        <v>95</v>
      </c>
      <c r="H12" s="12">
        <v>373</v>
      </c>
      <c r="I12" s="12">
        <v>491</v>
      </c>
      <c r="J12" s="12">
        <v>117</v>
      </c>
      <c r="K12" s="12">
        <v>211</v>
      </c>
      <c r="L12" s="12">
        <v>191</v>
      </c>
      <c r="M12" s="12">
        <v>226</v>
      </c>
      <c r="N12" s="12">
        <v>286</v>
      </c>
      <c r="O12" s="12">
        <v>281</v>
      </c>
      <c r="P12" s="12">
        <v>387</v>
      </c>
      <c r="Q12" s="12">
        <v>414</v>
      </c>
      <c r="R12" s="12">
        <v>108</v>
      </c>
      <c r="S12" s="12">
        <v>159</v>
      </c>
      <c r="T12" s="12">
        <v>280</v>
      </c>
      <c r="U12" s="12">
        <v>83</v>
      </c>
      <c r="V12" s="12">
        <v>233</v>
      </c>
      <c r="W12" s="12">
        <v>95</v>
      </c>
      <c r="X12" s="12">
        <v>162</v>
      </c>
      <c r="Y12" s="12">
        <v>198</v>
      </c>
      <c r="Z12" s="12">
        <v>348</v>
      </c>
      <c r="AA12" s="12">
        <v>509</v>
      </c>
      <c r="AB12" s="12">
        <v>476</v>
      </c>
      <c r="AC12" s="12">
        <v>168</v>
      </c>
      <c r="AD12" s="12">
        <v>199</v>
      </c>
      <c r="AE12" s="12">
        <v>169</v>
      </c>
      <c r="AF12" s="12">
        <v>56</v>
      </c>
      <c r="AG12" s="12">
        <v>276</v>
      </c>
      <c r="AH12" s="12">
        <v>416</v>
      </c>
      <c r="AI12" s="12">
        <v>102</v>
      </c>
      <c r="AJ12" s="12">
        <v>280</v>
      </c>
      <c r="AK12" s="12">
        <v>465</v>
      </c>
      <c r="AL12" s="12">
        <v>141</v>
      </c>
      <c r="AM12" s="12">
        <v>172</v>
      </c>
      <c r="AN12" s="12">
        <v>281</v>
      </c>
      <c r="AO12" s="12">
        <v>325</v>
      </c>
      <c r="AP12" s="12">
        <v>45</v>
      </c>
      <c r="AQ12" s="12">
        <v>197</v>
      </c>
    </row>
    <row r="13" spans="1:43" ht="21.5" x14ac:dyDescent="0.35">
      <c r="A13" s="19"/>
      <c r="B13" s="13" t="s">
        <v>1325</v>
      </c>
      <c r="C13" s="15">
        <v>0.3</v>
      </c>
      <c r="D13" s="15">
        <v>0.3</v>
      </c>
      <c r="E13" s="15">
        <v>0.42</v>
      </c>
      <c r="F13" s="15">
        <v>0.25</v>
      </c>
      <c r="G13" s="15">
        <v>0.1</v>
      </c>
      <c r="H13" s="15">
        <v>0.31</v>
      </c>
      <c r="I13" s="15">
        <v>0.32</v>
      </c>
      <c r="J13" s="15">
        <v>0.4</v>
      </c>
      <c r="K13" s="15">
        <v>0.21</v>
      </c>
      <c r="L13" s="15">
        <v>0.19</v>
      </c>
      <c r="M13" s="15">
        <v>0.22</v>
      </c>
      <c r="N13" s="15">
        <v>0.28999999999999998</v>
      </c>
      <c r="O13" s="15">
        <v>0.28000000000000003</v>
      </c>
      <c r="P13" s="15">
        <v>0.38</v>
      </c>
      <c r="Q13" s="15">
        <v>0.4</v>
      </c>
      <c r="R13" s="15">
        <v>0.22</v>
      </c>
      <c r="S13" s="15">
        <v>0.16</v>
      </c>
      <c r="T13" s="15">
        <v>0.28000000000000003</v>
      </c>
      <c r="U13" s="15">
        <v>0.16</v>
      </c>
      <c r="V13" s="15">
        <v>0.23</v>
      </c>
      <c r="W13" s="15">
        <v>0.19</v>
      </c>
      <c r="X13" s="15">
        <v>0.16</v>
      </c>
      <c r="Y13" s="15">
        <v>0.2</v>
      </c>
      <c r="Z13" s="15">
        <v>0.34</v>
      </c>
      <c r="AA13" s="15">
        <v>0.49</v>
      </c>
      <c r="AB13" s="15">
        <v>0.45</v>
      </c>
      <c r="AC13" s="15">
        <v>0.17</v>
      </c>
      <c r="AD13" s="15">
        <v>0.2</v>
      </c>
      <c r="AE13" s="15">
        <v>0.17</v>
      </c>
      <c r="AF13" s="15">
        <v>0.05</v>
      </c>
      <c r="AG13" s="15">
        <v>0.27</v>
      </c>
      <c r="AH13" s="15">
        <v>0.41</v>
      </c>
      <c r="AI13" s="15">
        <v>0.2</v>
      </c>
      <c r="AJ13" s="15">
        <v>0.27</v>
      </c>
      <c r="AK13" s="15">
        <v>0.46</v>
      </c>
      <c r="AL13" s="15">
        <v>0.14000000000000001</v>
      </c>
      <c r="AM13" s="15">
        <v>0.16</v>
      </c>
      <c r="AN13" s="15">
        <v>0.28000000000000003</v>
      </c>
      <c r="AO13" s="15">
        <v>0.32</v>
      </c>
      <c r="AP13" s="15">
        <v>0.08</v>
      </c>
      <c r="AQ13" s="15">
        <v>0.2</v>
      </c>
    </row>
    <row r="14" spans="1:43" ht="21.5" x14ac:dyDescent="0.35">
      <c r="A14" s="19"/>
      <c r="B14" s="11" t="s">
        <v>1326</v>
      </c>
      <c r="C14" s="12">
        <v>6401</v>
      </c>
      <c r="D14" s="12">
        <v>207</v>
      </c>
      <c r="E14" s="12">
        <v>268</v>
      </c>
      <c r="F14" s="12">
        <v>254</v>
      </c>
      <c r="G14" s="12">
        <v>376</v>
      </c>
      <c r="H14" s="12">
        <v>271</v>
      </c>
      <c r="I14" s="12">
        <v>332</v>
      </c>
      <c r="J14" s="12">
        <v>61</v>
      </c>
      <c r="K14" s="12">
        <v>217</v>
      </c>
      <c r="L14" s="12">
        <v>272</v>
      </c>
      <c r="M14" s="12">
        <v>203</v>
      </c>
      <c r="N14" s="12">
        <v>188</v>
      </c>
      <c r="O14" s="12">
        <v>260</v>
      </c>
      <c r="P14" s="12">
        <v>203</v>
      </c>
      <c r="Q14" s="12">
        <v>262</v>
      </c>
      <c r="R14" s="12">
        <v>82</v>
      </c>
      <c r="S14" s="12">
        <v>230</v>
      </c>
      <c r="T14" s="12">
        <v>186</v>
      </c>
      <c r="U14" s="12">
        <v>85</v>
      </c>
      <c r="V14" s="12">
        <v>183</v>
      </c>
      <c r="W14" s="12">
        <v>62</v>
      </c>
      <c r="X14" s="12">
        <v>191</v>
      </c>
      <c r="Y14" s="12">
        <v>201</v>
      </c>
      <c r="Z14" s="12">
        <v>296</v>
      </c>
      <c r="AA14" s="12">
        <v>368</v>
      </c>
      <c r="AB14" s="12">
        <v>311</v>
      </c>
      <c r="AC14" s="12">
        <v>267</v>
      </c>
      <c r="AD14" s="12">
        <v>276</v>
      </c>
      <c r="AE14" s="12">
        <v>254</v>
      </c>
      <c r="AF14" s="12">
        <v>352</v>
      </c>
      <c r="AG14" s="12">
        <v>345</v>
      </c>
      <c r="AH14" s="12">
        <v>140</v>
      </c>
      <c r="AI14" s="12">
        <v>181</v>
      </c>
      <c r="AJ14" s="12">
        <v>198</v>
      </c>
      <c r="AK14" s="12">
        <v>171</v>
      </c>
      <c r="AL14" s="12">
        <v>168</v>
      </c>
      <c r="AM14" s="12">
        <v>261</v>
      </c>
      <c r="AN14" s="12">
        <v>236</v>
      </c>
      <c r="AO14" s="12">
        <v>200</v>
      </c>
      <c r="AP14" s="12">
        <v>184</v>
      </c>
      <c r="AQ14" s="12">
        <v>198</v>
      </c>
    </row>
    <row r="15" spans="1:43" x14ac:dyDescent="0.35">
      <c r="A15" s="19"/>
      <c r="B15" s="13" t="s">
        <v>1327</v>
      </c>
      <c r="C15" s="15">
        <v>0.24</v>
      </c>
      <c r="D15" s="15">
        <v>0.2</v>
      </c>
      <c r="E15" s="15">
        <v>0.26</v>
      </c>
      <c r="F15" s="15">
        <v>0.23</v>
      </c>
      <c r="G15" s="15">
        <v>0.37</v>
      </c>
      <c r="H15" s="15">
        <v>0.22</v>
      </c>
      <c r="I15" s="15">
        <v>0.22</v>
      </c>
      <c r="J15" s="15">
        <v>0.21</v>
      </c>
      <c r="K15" s="15">
        <v>0.22</v>
      </c>
      <c r="L15" s="15">
        <v>0.27</v>
      </c>
      <c r="M15" s="15">
        <v>0.2</v>
      </c>
      <c r="N15" s="15">
        <v>0.19</v>
      </c>
      <c r="O15" s="15">
        <v>0.26</v>
      </c>
      <c r="P15" s="15">
        <v>0.2</v>
      </c>
      <c r="Q15" s="15">
        <v>0.26</v>
      </c>
      <c r="R15" s="15">
        <v>0.16</v>
      </c>
      <c r="S15" s="15">
        <v>0.23</v>
      </c>
      <c r="T15" s="15">
        <v>0.19</v>
      </c>
      <c r="U15" s="15">
        <v>0.17</v>
      </c>
      <c r="V15" s="15">
        <v>0.18</v>
      </c>
      <c r="W15" s="15">
        <v>0.12</v>
      </c>
      <c r="X15" s="15">
        <v>0.19</v>
      </c>
      <c r="Y15" s="15">
        <v>0.2</v>
      </c>
      <c r="Z15" s="15">
        <v>0.28999999999999998</v>
      </c>
      <c r="AA15" s="15">
        <v>0.36</v>
      </c>
      <c r="AB15" s="15">
        <v>0.3</v>
      </c>
      <c r="AC15" s="15">
        <v>0.27</v>
      </c>
      <c r="AD15" s="15">
        <v>0.27</v>
      </c>
      <c r="AE15" s="15">
        <v>0.25</v>
      </c>
      <c r="AF15" s="15">
        <v>0.34</v>
      </c>
      <c r="AG15" s="15">
        <v>0.33</v>
      </c>
      <c r="AH15" s="15">
        <v>0.14000000000000001</v>
      </c>
      <c r="AI15" s="15">
        <v>0.35</v>
      </c>
      <c r="AJ15" s="15">
        <v>0.19</v>
      </c>
      <c r="AK15" s="15">
        <v>0.17</v>
      </c>
      <c r="AL15" s="15">
        <v>0.17</v>
      </c>
      <c r="AM15" s="15">
        <v>0.25</v>
      </c>
      <c r="AN15" s="15">
        <v>0.24</v>
      </c>
      <c r="AO15" s="15">
        <v>0.2</v>
      </c>
      <c r="AP15" s="15">
        <v>0.35</v>
      </c>
      <c r="AQ15" s="15">
        <v>0.2</v>
      </c>
    </row>
    <row r="16" spans="1:43" x14ac:dyDescent="0.35">
      <c r="A16" s="19"/>
      <c r="B16" s="11" t="s">
        <v>1300</v>
      </c>
      <c r="C16" s="12">
        <v>1327</v>
      </c>
      <c r="D16" s="12">
        <v>106</v>
      </c>
      <c r="E16" s="12">
        <v>18</v>
      </c>
      <c r="F16" s="12">
        <v>31</v>
      </c>
      <c r="G16" s="12">
        <v>89</v>
      </c>
      <c r="H16" s="12">
        <v>68</v>
      </c>
      <c r="I16" s="12">
        <v>80</v>
      </c>
      <c r="J16" s="12">
        <v>12</v>
      </c>
      <c r="K16" s="12">
        <v>21</v>
      </c>
      <c r="L16" s="12">
        <v>53</v>
      </c>
      <c r="M16" s="12">
        <v>36</v>
      </c>
      <c r="N16" s="12">
        <v>38</v>
      </c>
      <c r="O16" s="12">
        <v>57</v>
      </c>
      <c r="P16" s="12">
        <v>26</v>
      </c>
      <c r="Q16" s="12">
        <v>46</v>
      </c>
      <c r="R16" s="12">
        <v>11</v>
      </c>
      <c r="S16" s="12">
        <v>8</v>
      </c>
      <c r="T16" s="12">
        <v>7</v>
      </c>
      <c r="U16" s="12">
        <v>68</v>
      </c>
      <c r="V16" s="12">
        <v>19</v>
      </c>
      <c r="W16" s="12">
        <v>56</v>
      </c>
      <c r="X16" s="12">
        <v>189</v>
      </c>
      <c r="Y16" s="12">
        <v>56</v>
      </c>
      <c r="Z16" s="12">
        <v>10</v>
      </c>
      <c r="AA16" s="12">
        <v>16</v>
      </c>
      <c r="AB16" s="12">
        <v>10</v>
      </c>
      <c r="AC16" s="12">
        <v>32</v>
      </c>
      <c r="AD16" s="12">
        <v>11</v>
      </c>
      <c r="AE16" s="12">
        <v>114</v>
      </c>
      <c r="AF16" s="12">
        <v>110</v>
      </c>
      <c r="AG16" s="12">
        <v>22</v>
      </c>
      <c r="AH16" s="12">
        <v>13</v>
      </c>
      <c r="AI16" s="12">
        <v>22</v>
      </c>
      <c r="AJ16" s="12">
        <v>16</v>
      </c>
      <c r="AK16" s="12">
        <v>0</v>
      </c>
      <c r="AL16" s="12">
        <v>15</v>
      </c>
      <c r="AM16" s="12">
        <v>49</v>
      </c>
      <c r="AN16" s="12">
        <v>11</v>
      </c>
      <c r="AO16" s="12">
        <v>4</v>
      </c>
      <c r="AP16" s="12">
        <v>20</v>
      </c>
      <c r="AQ16" s="12">
        <v>3</v>
      </c>
    </row>
    <row r="17" spans="1:43" x14ac:dyDescent="0.35">
      <c r="A17" s="19"/>
      <c r="B17" s="13" t="s">
        <v>1301</v>
      </c>
      <c r="C17" s="15">
        <v>0.05</v>
      </c>
      <c r="D17" s="15">
        <v>0.11</v>
      </c>
      <c r="E17" s="15">
        <v>0.02</v>
      </c>
      <c r="F17" s="15">
        <v>0.03</v>
      </c>
      <c r="G17" s="15">
        <v>0.09</v>
      </c>
      <c r="H17" s="15">
        <v>0.06</v>
      </c>
      <c r="I17" s="15">
        <v>0.05</v>
      </c>
      <c r="J17" s="15">
        <v>0.04</v>
      </c>
      <c r="K17" s="15">
        <v>0.02</v>
      </c>
      <c r="L17" s="15">
        <v>0.05</v>
      </c>
      <c r="M17" s="15">
        <v>0.04</v>
      </c>
      <c r="N17" s="15">
        <v>0.04</v>
      </c>
      <c r="O17" s="15">
        <v>0.06</v>
      </c>
      <c r="P17" s="15">
        <v>0.03</v>
      </c>
      <c r="Q17" s="15">
        <v>0.04</v>
      </c>
      <c r="R17" s="15">
        <v>0.02</v>
      </c>
      <c r="S17" s="15">
        <v>0.01</v>
      </c>
      <c r="T17" s="15">
        <v>0.01</v>
      </c>
      <c r="U17" s="15">
        <v>0.13</v>
      </c>
      <c r="V17" s="15">
        <v>0.02</v>
      </c>
      <c r="W17" s="15">
        <v>0.11</v>
      </c>
      <c r="X17" s="15">
        <v>0.19</v>
      </c>
      <c r="Y17" s="15">
        <v>0.05</v>
      </c>
      <c r="Z17" s="15">
        <v>0.01</v>
      </c>
      <c r="AA17" s="15">
        <v>0.02</v>
      </c>
      <c r="AB17" s="15">
        <v>0.01</v>
      </c>
      <c r="AC17" s="15">
        <v>0.03</v>
      </c>
      <c r="AD17" s="15">
        <v>0.01</v>
      </c>
      <c r="AE17" s="15">
        <v>0.11</v>
      </c>
      <c r="AF17" s="15">
        <v>0.11</v>
      </c>
      <c r="AG17" s="15">
        <v>0.02</v>
      </c>
      <c r="AH17" s="15">
        <v>0.01</v>
      </c>
      <c r="AI17" s="15">
        <v>0.04</v>
      </c>
      <c r="AJ17" s="15">
        <v>0.01</v>
      </c>
      <c r="AK17" s="14" t="s">
        <v>475</v>
      </c>
      <c r="AL17" s="15">
        <v>0.01</v>
      </c>
      <c r="AM17" s="15">
        <v>0.05</v>
      </c>
      <c r="AN17" s="15">
        <v>0.01</v>
      </c>
      <c r="AO17" s="14" t="s">
        <v>475</v>
      </c>
      <c r="AP17" s="15">
        <v>0.04</v>
      </c>
      <c r="AQ17" s="14" t="s">
        <v>475</v>
      </c>
    </row>
    <row r="18" spans="1:43" x14ac:dyDescent="0.35">
      <c r="A18" s="19"/>
      <c r="B18" s="11" t="s">
        <v>1304</v>
      </c>
      <c r="C18" s="12">
        <v>1447</v>
      </c>
      <c r="D18" s="12">
        <v>79</v>
      </c>
      <c r="E18" s="12">
        <v>22</v>
      </c>
      <c r="F18" s="12">
        <v>42</v>
      </c>
      <c r="G18" s="12">
        <v>69</v>
      </c>
      <c r="H18" s="12">
        <v>73</v>
      </c>
      <c r="I18" s="12">
        <v>98</v>
      </c>
      <c r="J18" s="12">
        <v>24</v>
      </c>
      <c r="K18" s="12">
        <v>80</v>
      </c>
      <c r="L18" s="12">
        <v>86</v>
      </c>
      <c r="M18" s="12">
        <v>35</v>
      </c>
      <c r="N18" s="12">
        <v>85</v>
      </c>
      <c r="O18" s="12">
        <v>72</v>
      </c>
      <c r="P18" s="12">
        <v>52</v>
      </c>
      <c r="Q18" s="12">
        <v>15</v>
      </c>
      <c r="R18" s="12">
        <v>13</v>
      </c>
      <c r="S18" s="12">
        <v>64</v>
      </c>
      <c r="T18" s="12">
        <v>30</v>
      </c>
      <c r="U18" s="12">
        <v>64</v>
      </c>
      <c r="V18" s="12">
        <v>29</v>
      </c>
      <c r="W18" s="12">
        <v>12</v>
      </c>
      <c r="X18" s="12">
        <v>47</v>
      </c>
      <c r="Y18" s="12">
        <v>77</v>
      </c>
      <c r="Z18" s="12">
        <v>35</v>
      </c>
      <c r="AA18" s="12">
        <v>19</v>
      </c>
      <c r="AB18" s="12">
        <v>18</v>
      </c>
      <c r="AC18" s="12">
        <v>92</v>
      </c>
      <c r="AD18" s="12">
        <v>110</v>
      </c>
      <c r="AE18" s="12">
        <v>54</v>
      </c>
      <c r="AF18" s="12">
        <v>140</v>
      </c>
      <c r="AG18" s="12">
        <v>2</v>
      </c>
      <c r="AH18" s="12">
        <v>16</v>
      </c>
      <c r="AI18" s="12">
        <v>1</v>
      </c>
      <c r="AJ18" s="12">
        <v>5</v>
      </c>
      <c r="AK18" s="12">
        <v>0</v>
      </c>
      <c r="AL18" s="12">
        <v>32</v>
      </c>
      <c r="AM18" s="12">
        <v>81</v>
      </c>
      <c r="AN18" s="12">
        <v>19</v>
      </c>
      <c r="AO18" s="12">
        <v>9</v>
      </c>
      <c r="AP18" s="12">
        <v>14</v>
      </c>
      <c r="AQ18" s="12">
        <v>8</v>
      </c>
    </row>
    <row r="19" spans="1:43" x14ac:dyDescent="0.35">
      <c r="A19" s="19"/>
      <c r="B19" s="13" t="s">
        <v>1305</v>
      </c>
      <c r="C19" s="15">
        <v>0.06</v>
      </c>
      <c r="D19" s="15">
        <v>0.08</v>
      </c>
      <c r="E19" s="15">
        <v>0.02</v>
      </c>
      <c r="F19" s="15">
        <v>0.04</v>
      </c>
      <c r="G19" s="15">
        <v>7.0000000000000007E-2</v>
      </c>
      <c r="H19" s="15">
        <v>0.06</v>
      </c>
      <c r="I19" s="15">
        <v>0.06</v>
      </c>
      <c r="J19" s="15">
        <v>0.08</v>
      </c>
      <c r="K19" s="15">
        <v>0.08</v>
      </c>
      <c r="L19" s="15">
        <v>0.09</v>
      </c>
      <c r="M19" s="15">
        <v>0.03</v>
      </c>
      <c r="N19" s="15">
        <v>0.08</v>
      </c>
      <c r="O19" s="15">
        <v>7.0000000000000007E-2</v>
      </c>
      <c r="P19" s="15">
        <v>0.05</v>
      </c>
      <c r="Q19" s="15">
        <v>0.01</v>
      </c>
      <c r="R19" s="15">
        <v>0.03</v>
      </c>
      <c r="S19" s="15">
        <v>0.06</v>
      </c>
      <c r="T19" s="15">
        <v>0.03</v>
      </c>
      <c r="U19" s="15">
        <v>0.13</v>
      </c>
      <c r="V19" s="15">
        <v>0.03</v>
      </c>
      <c r="W19" s="15">
        <v>0.02</v>
      </c>
      <c r="X19" s="15">
        <v>0.05</v>
      </c>
      <c r="Y19" s="15">
        <v>0.08</v>
      </c>
      <c r="Z19" s="15">
        <v>0.03</v>
      </c>
      <c r="AA19" s="15">
        <v>0.02</v>
      </c>
      <c r="AB19" s="15">
        <v>0.02</v>
      </c>
      <c r="AC19" s="15">
        <v>0.09</v>
      </c>
      <c r="AD19" s="15">
        <v>0.11</v>
      </c>
      <c r="AE19" s="15">
        <v>0.05</v>
      </c>
      <c r="AF19" s="15">
        <v>0.13</v>
      </c>
      <c r="AG19" s="14" t="s">
        <v>475</v>
      </c>
      <c r="AH19" s="15">
        <v>0.02</v>
      </c>
      <c r="AI19" s="14" t="s">
        <v>475</v>
      </c>
      <c r="AJ19" s="14" t="s">
        <v>475</v>
      </c>
      <c r="AK19" s="14" t="s">
        <v>475</v>
      </c>
      <c r="AL19" s="15">
        <v>0.03</v>
      </c>
      <c r="AM19" s="15">
        <v>0.08</v>
      </c>
      <c r="AN19" s="15">
        <v>0.02</v>
      </c>
      <c r="AO19" s="15">
        <v>0.01</v>
      </c>
      <c r="AP19" s="15">
        <v>0.03</v>
      </c>
      <c r="AQ19" s="15">
        <v>0.01</v>
      </c>
    </row>
    <row r="20" spans="1:43" ht="41.5" x14ac:dyDescent="0.35">
      <c r="A20" s="19"/>
      <c r="B20" s="11" t="s">
        <v>1328</v>
      </c>
      <c r="C20" s="12">
        <v>4375</v>
      </c>
      <c r="D20" s="12">
        <v>162</v>
      </c>
      <c r="E20" s="12">
        <v>88</v>
      </c>
      <c r="F20" s="12">
        <v>259</v>
      </c>
      <c r="G20" s="12">
        <v>249</v>
      </c>
      <c r="H20" s="12">
        <v>163</v>
      </c>
      <c r="I20" s="12">
        <v>194</v>
      </c>
      <c r="J20" s="12">
        <v>31</v>
      </c>
      <c r="K20" s="12">
        <v>240</v>
      </c>
      <c r="L20" s="12">
        <v>178</v>
      </c>
      <c r="M20" s="12">
        <v>298</v>
      </c>
      <c r="N20" s="12">
        <v>184</v>
      </c>
      <c r="O20" s="12">
        <v>132</v>
      </c>
      <c r="P20" s="12">
        <v>169</v>
      </c>
      <c r="Q20" s="12">
        <v>133</v>
      </c>
      <c r="R20" s="12">
        <v>98</v>
      </c>
      <c r="S20" s="12">
        <v>326</v>
      </c>
      <c r="T20" s="12">
        <v>233</v>
      </c>
      <c r="U20" s="12">
        <v>145</v>
      </c>
      <c r="V20" s="12">
        <v>379</v>
      </c>
      <c r="W20" s="12">
        <v>136</v>
      </c>
      <c r="X20" s="12">
        <v>265</v>
      </c>
      <c r="Y20" s="12">
        <v>177</v>
      </c>
      <c r="Z20" s="12">
        <v>188</v>
      </c>
      <c r="AA20" s="12">
        <v>55</v>
      </c>
      <c r="AB20" s="12">
        <v>91</v>
      </c>
      <c r="AC20" s="12">
        <v>221</v>
      </c>
      <c r="AD20" s="12">
        <v>219</v>
      </c>
      <c r="AE20" s="12">
        <v>305</v>
      </c>
      <c r="AF20" s="12">
        <v>269</v>
      </c>
      <c r="AG20" s="12">
        <v>115</v>
      </c>
      <c r="AH20" s="12">
        <v>139</v>
      </c>
      <c r="AI20" s="12">
        <v>78</v>
      </c>
      <c r="AJ20" s="12">
        <v>238</v>
      </c>
      <c r="AK20" s="12">
        <v>174</v>
      </c>
      <c r="AL20" s="12">
        <v>287</v>
      </c>
      <c r="AM20" s="12">
        <v>189</v>
      </c>
      <c r="AN20" s="12">
        <v>165</v>
      </c>
      <c r="AO20" s="12">
        <v>156</v>
      </c>
      <c r="AP20" s="12">
        <v>92</v>
      </c>
      <c r="AQ20" s="12">
        <v>103</v>
      </c>
    </row>
    <row r="21" spans="1:43" ht="31.5" x14ac:dyDescent="0.35">
      <c r="A21" s="19"/>
      <c r="B21" s="13" t="s">
        <v>1329</v>
      </c>
      <c r="C21" s="15">
        <v>0.17</v>
      </c>
      <c r="D21" s="15">
        <v>0.16</v>
      </c>
      <c r="E21" s="15">
        <v>0.09</v>
      </c>
      <c r="F21" s="15">
        <v>0.23</v>
      </c>
      <c r="G21" s="15">
        <v>0.25</v>
      </c>
      <c r="H21" s="15">
        <v>0.13</v>
      </c>
      <c r="I21" s="15">
        <v>0.13</v>
      </c>
      <c r="J21" s="15">
        <v>0.1</v>
      </c>
      <c r="K21" s="15">
        <v>0.24</v>
      </c>
      <c r="L21" s="15">
        <v>0.18</v>
      </c>
      <c r="M21" s="15">
        <v>0.3</v>
      </c>
      <c r="N21" s="15">
        <v>0.18</v>
      </c>
      <c r="O21" s="15">
        <v>0.13</v>
      </c>
      <c r="P21" s="15">
        <v>0.17</v>
      </c>
      <c r="Q21" s="15">
        <v>0.13</v>
      </c>
      <c r="R21" s="15">
        <v>0.19</v>
      </c>
      <c r="S21" s="15">
        <v>0.32</v>
      </c>
      <c r="T21" s="15">
        <v>0.23</v>
      </c>
      <c r="U21" s="15">
        <v>0.28999999999999998</v>
      </c>
      <c r="V21" s="15">
        <v>0.37</v>
      </c>
      <c r="W21" s="15">
        <v>0.27</v>
      </c>
      <c r="X21" s="15">
        <v>0.26</v>
      </c>
      <c r="Y21" s="15">
        <v>0.18</v>
      </c>
      <c r="Z21" s="15">
        <v>0.18</v>
      </c>
      <c r="AA21" s="15">
        <v>0.05</v>
      </c>
      <c r="AB21" s="15">
        <v>0.09</v>
      </c>
      <c r="AC21" s="15">
        <v>0.22</v>
      </c>
      <c r="AD21" s="15">
        <v>0.22</v>
      </c>
      <c r="AE21" s="15">
        <v>0.3</v>
      </c>
      <c r="AF21" s="15">
        <v>0.26</v>
      </c>
      <c r="AG21" s="15">
        <v>0.11</v>
      </c>
      <c r="AH21" s="15">
        <v>0.14000000000000001</v>
      </c>
      <c r="AI21" s="15">
        <v>0.15</v>
      </c>
      <c r="AJ21" s="15">
        <v>0.23</v>
      </c>
      <c r="AK21" s="15">
        <v>0.17</v>
      </c>
      <c r="AL21" s="15">
        <v>0.28000000000000003</v>
      </c>
      <c r="AM21" s="15">
        <v>0.18</v>
      </c>
      <c r="AN21" s="15">
        <v>0.16</v>
      </c>
      <c r="AO21" s="15">
        <v>0.16</v>
      </c>
      <c r="AP21" s="15">
        <v>0.18</v>
      </c>
      <c r="AQ21" s="15">
        <v>0.1</v>
      </c>
    </row>
    <row r="22" spans="1:43" x14ac:dyDescent="0.35">
      <c r="A22" s="19"/>
      <c r="B22" s="11" t="s">
        <v>1330</v>
      </c>
      <c r="C22" s="12">
        <v>350</v>
      </c>
      <c r="D22" s="12">
        <v>9</v>
      </c>
      <c r="E22" s="12">
        <v>17</v>
      </c>
      <c r="F22" s="12">
        <v>22</v>
      </c>
      <c r="G22" s="12">
        <v>34</v>
      </c>
      <c r="H22" s="12">
        <v>17</v>
      </c>
      <c r="I22" s="12">
        <v>23</v>
      </c>
      <c r="J22" s="12">
        <v>6</v>
      </c>
      <c r="K22" s="12">
        <v>11</v>
      </c>
      <c r="L22" s="12">
        <v>19</v>
      </c>
      <c r="M22" s="12">
        <v>6</v>
      </c>
      <c r="N22" s="12">
        <v>14</v>
      </c>
      <c r="O22" s="12">
        <v>5</v>
      </c>
      <c r="P22" s="12">
        <v>17</v>
      </c>
      <c r="Q22" s="12">
        <v>6</v>
      </c>
      <c r="R22" s="12">
        <v>15</v>
      </c>
      <c r="S22" s="12">
        <v>8</v>
      </c>
      <c r="T22" s="12">
        <v>18</v>
      </c>
      <c r="U22" s="12">
        <v>4</v>
      </c>
      <c r="V22" s="12">
        <v>32</v>
      </c>
      <c r="W22" s="12">
        <v>15</v>
      </c>
      <c r="X22" s="12">
        <v>34</v>
      </c>
      <c r="Y22" s="12">
        <v>20</v>
      </c>
      <c r="Z22" s="12">
        <v>15</v>
      </c>
      <c r="AA22" s="12">
        <v>0</v>
      </c>
      <c r="AB22" s="12">
        <v>16</v>
      </c>
      <c r="AC22" s="12">
        <v>15</v>
      </c>
      <c r="AD22" s="12">
        <v>11</v>
      </c>
      <c r="AE22" s="12">
        <v>7</v>
      </c>
      <c r="AF22" s="12">
        <v>29</v>
      </c>
      <c r="AG22" s="12">
        <v>2</v>
      </c>
      <c r="AH22" s="12">
        <v>20</v>
      </c>
      <c r="AI22" s="12">
        <v>0</v>
      </c>
      <c r="AJ22" s="12">
        <v>11</v>
      </c>
      <c r="AK22" s="12">
        <v>0</v>
      </c>
      <c r="AL22" s="12">
        <v>21</v>
      </c>
      <c r="AM22" s="12">
        <v>26</v>
      </c>
      <c r="AN22" s="12">
        <v>18</v>
      </c>
      <c r="AO22" s="12">
        <v>5</v>
      </c>
      <c r="AP22" s="12">
        <v>3</v>
      </c>
      <c r="AQ22" s="12">
        <v>13</v>
      </c>
    </row>
    <row r="23" spans="1:43" x14ac:dyDescent="0.35">
      <c r="A23" s="19"/>
      <c r="B23" s="13" t="s">
        <v>1331</v>
      </c>
      <c r="C23" s="15">
        <v>0.01</v>
      </c>
      <c r="D23" s="15">
        <v>0.01</v>
      </c>
      <c r="E23" s="15">
        <v>0.02</v>
      </c>
      <c r="F23" s="15">
        <v>0.02</v>
      </c>
      <c r="G23" s="15">
        <v>0.03</v>
      </c>
      <c r="H23" s="15">
        <v>0.01</v>
      </c>
      <c r="I23" s="15">
        <v>0.01</v>
      </c>
      <c r="J23" s="15">
        <v>0.02</v>
      </c>
      <c r="K23" s="15">
        <v>0.01</v>
      </c>
      <c r="L23" s="15">
        <v>0.02</v>
      </c>
      <c r="M23" s="15">
        <v>0.01</v>
      </c>
      <c r="N23" s="15">
        <v>0.01</v>
      </c>
      <c r="O23" s="15">
        <v>0.01</v>
      </c>
      <c r="P23" s="15">
        <v>0.02</v>
      </c>
      <c r="Q23" s="15">
        <v>0.01</v>
      </c>
      <c r="R23" s="15">
        <v>0.03</v>
      </c>
      <c r="S23" s="15">
        <v>0.01</v>
      </c>
      <c r="T23" s="15">
        <v>0.02</v>
      </c>
      <c r="U23" s="15">
        <v>0.01</v>
      </c>
      <c r="V23" s="15">
        <v>0.03</v>
      </c>
      <c r="W23" s="15">
        <v>0.03</v>
      </c>
      <c r="X23" s="15">
        <v>0.03</v>
      </c>
      <c r="Y23" s="15">
        <v>0.02</v>
      </c>
      <c r="Z23" s="15">
        <v>0.01</v>
      </c>
      <c r="AA23" s="14" t="s">
        <v>475</v>
      </c>
      <c r="AB23" s="15">
        <v>0.01</v>
      </c>
      <c r="AC23" s="15">
        <v>0.02</v>
      </c>
      <c r="AD23" s="15">
        <v>0.01</v>
      </c>
      <c r="AE23" s="15">
        <v>0.01</v>
      </c>
      <c r="AF23" s="15">
        <v>0.03</v>
      </c>
      <c r="AG23" s="14" t="s">
        <v>475</v>
      </c>
      <c r="AH23" s="15">
        <v>0.02</v>
      </c>
      <c r="AI23" s="14" t="s">
        <v>475</v>
      </c>
      <c r="AJ23" s="15">
        <v>0.01</v>
      </c>
      <c r="AK23" s="14" t="s">
        <v>475</v>
      </c>
      <c r="AL23" s="15">
        <v>0.02</v>
      </c>
      <c r="AM23" s="15">
        <v>0.03</v>
      </c>
      <c r="AN23" s="15">
        <v>0.02</v>
      </c>
      <c r="AO23" s="15">
        <v>0.01</v>
      </c>
      <c r="AP23" s="14" t="s">
        <v>475</v>
      </c>
      <c r="AQ23" s="15">
        <v>0.01</v>
      </c>
    </row>
    <row r="24" spans="1:43" ht="21.5" x14ac:dyDescent="0.35">
      <c r="A24" s="19"/>
      <c r="B24" s="11" t="s">
        <v>1332</v>
      </c>
      <c r="C24" s="12">
        <v>2338</v>
      </c>
      <c r="D24" s="12">
        <v>110</v>
      </c>
      <c r="E24" s="12">
        <v>94</v>
      </c>
      <c r="F24" s="12">
        <v>114</v>
      </c>
      <c r="G24" s="12">
        <v>54</v>
      </c>
      <c r="H24" s="12">
        <v>136</v>
      </c>
      <c r="I24" s="12">
        <v>165</v>
      </c>
      <c r="J24" s="12">
        <v>29</v>
      </c>
      <c r="K24" s="12">
        <v>114</v>
      </c>
      <c r="L24" s="12">
        <v>135</v>
      </c>
      <c r="M24" s="12">
        <v>113</v>
      </c>
      <c r="N24" s="12">
        <v>98</v>
      </c>
      <c r="O24" s="12">
        <v>93</v>
      </c>
      <c r="P24" s="12">
        <v>119</v>
      </c>
      <c r="Q24" s="12">
        <v>50</v>
      </c>
      <c r="R24" s="12">
        <v>121</v>
      </c>
      <c r="S24" s="12">
        <v>108</v>
      </c>
      <c r="T24" s="12">
        <v>165</v>
      </c>
      <c r="U24" s="12">
        <v>30</v>
      </c>
      <c r="V24" s="12">
        <v>66</v>
      </c>
      <c r="W24" s="12">
        <v>118</v>
      </c>
      <c r="X24" s="12">
        <v>76</v>
      </c>
      <c r="Y24" s="12">
        <v>161</v>
      </c>
      <c r="Z24" s="12">
        <v>88</v>
      </c>
      <c r="AA24" s="12">
        <v>21</v>
      </c>
      <c r="AB24" s="12">
        <v>66</v>
      </c>
      <c r="AC24" s="12">
        <v>82</v>
      </c>
      <c r="AD24" s="12">
        <v>114</v>
      </c>
      <c r="AE24" s="12">
        <v>81</v>
      </c>
      <c r="AF24" s="12">
        <v>60</v>
      </c>
      <c r="AG24" s="12">
        <v>267</v>
      </c>
      <c r="AH24" s="12">
        <v>240</v>
      </c>
      <c r="AI24" s="12">
        <v>125</v>
      </c>
      <c r="AJ24" s="12">
        <v>194</v>
      </c>
      <c r="AK24" s="12">
        <v>153</v>
      </c>
      <c r="AL24" s="12">
        <v>218</v>
      </c>
      <c r="AM24" s="12">
        <v>134</v>
      </c>
      <c r="AN24" s="12">
        <v>201</v>
      </c>
      <c r="AO24" s="12">
        <v>236</v>
      </c>
      <c r="AP24" s="12">
        <v>161</v>
      </c>
      <c r="AQ24" s="12">
        <v>378</v>
      </c>
    </row>
    <row r="25" spans="1:43" x14ac:dyDescent="0.35">
      <c r="A25" s="19"/>
      <c r="B25" s="13" t="s">
        <v>1317</v>
      </c>
      <c r="C25" s="15">
        <v>0.09</v>
      </c>
      <c r="D25" s="15">
        <v>0.11</v>
      </c>
      <c r="E25" s="15">
        <v>0.09</v>
      </c>
      <c r="F25" s="15">
        <v>0.1</v>
      </c>
      <c r="G25" s="15">
        <v>0.05</v>
      </c>
      <c r="H25" s="15">
        <v>0.11</v>
      </c>
      <c r="I25" s="15">
        <v>0.11</v>
      </c>
      <c r="J25" s="15">
        <v>0.1</v>
      </c>
      <c r="K25" s="15">
        <v>0.11</v>
      </c>
      <c r="L25" s="15">
        <v>0.14000000000000001</v>
      </c>
      <c r="M25" s="15">
        <v>0.11</v>
      </c>
      <c r="N25" s="15">
        <v>0.1</v>
      </c>
      <c r="O25" s="15">
        <v>0.09</v>
      </c>
      <c r="P25" s="15">
        <v>0.12</v>
      </c>
      <c r="Q25" s="15">
        <v>0.05</v>
      </c>
      <c r="R25" s="15">
        <v>0.24</v>
      </c>
      <c r="S25" s="15">
        <v>0.11</v>
      </c>
      <c r="T25" s="15">
        <v>0.16</v>
      </c>
      <c r="U25" s="15">
        <v>0.06</v>
      </c>
      <c r="V25" s="15">
        <v>7.0000000000000007E-2</v>
      </c>
      <c r="W25" s="15">
        <v>0.23</v>
      </c>
      <c r="X25" s="15">
        <v>0.08</v>
      </c>
      <c r="Y25" s="15">
        <v>0.16</v>
      </c>
      <c r="Z25" s="15">
        <v>0.09</v>
      </c>
      <c r="AA25" s="15">
        <v>0.02</v>
      </c>
      <c r="AB25" s="15">
        <v>0.06</v>
      </c>
      <c r="AC25" s="15">
        <v>0.08</v>
      </c>
      <c r="AD25" s="15">
        <v>0.11</v>
      </c>
      <c r="AE25" s="15">
        <v>0.08</v>
      </c>
      <c r="AF25" s="15">
        <v>0.06</v>
      </c>
      <c r="AG25" s="15">
        <v>0.26</v>
      </c>
      <c r="AH25" s="15">
        <v>0.24</v>
      </c>
      <c r="AI25" s="15">
        <v>0.24</v>
      </c>
      <c r="AJ25" s="15">
        <v>0.19</v>
      </c>
      <c r="AK25" s="15">
        <v>0.15</v>
      </c>
      <c r="AL25" s="15">
        <v>0.22</v>
      </c>
      <c r="AM25" s="15">
        <v>0.13</v>
      </c>
      <c r="AN25" s="15">
        <v>0.2</v>
      </c>
      <c r="AO25" s="15">
        <v>0.24</v>
      </c>
      <c r="AP25" s="15">
        <v>0.31</v>
      </c>
      <c r="AQ25" s="15">
        <v>0.38</v>
      </c>
    </row>
    <row r="26" spans="1:43" x14ac:dyDescent="0.35">
      <c r="A26" s="19"/>
      <c r="B26" s="11" t="s">
        <v>1333</v>
      </c>
      <c r="C26" s="12">
        <v>100</v>
      </c>
      <c r="D26" s="12">
        <v>4</v>
      </c>
      <c r="E26" s="12">
        <v>1</v>
      </c>
      <c r="F26" s="12">
        <v>7</v>
      </c>
      <c r="G26" s="12">
        <v>2</v>
      </c>
      <c r="H26" s="12">
        <v>9</v>
      </c>
      <c r="I26" s="12">
        <v>9</v>
      </c>
      <c r="J26" s="12">
        <v>0</v>
      </c>
      <c r="K26" s="12">
        <v>9</v>
      </c>
      <c r="L26" s="12">
        <v>2</v>
      </c>
      <c r="M26" s="12">
        <v>29</v>
      </c>
      <c r="N26" s="12">
        <v>0</v>
      </c>
      <c r="O26" s="12">
        <v>1</v>
      </c>
      <c r="P26" s="12">
        <v>2</v>
      </c>
      <c r="Q26" s="12">
        <v>5</v>
      </c>
      <c r="R26" s="12">
        <v>2</v>
      </c>
      <c r="S26" s="12">
        <v>15</v>
      </c>
      <c r="T26" s="12">
        <v>3</v>
      </c>
      <c r="U26" s="12">
        <v>3</v>
      </c>
      <c r="V26" s="12">
        <v>4</v>
      </c>
      <c r="W26" s="12">
        <v>2</v>
      </c>
      <c r="X26" s="12">
        <v>5</v>
      </c>
      <c r="Y26" s="12">
        <v>6</v>
      </c>
      <c r="Z26" s="12">
        <v>1</v>
      </c>
      <c r="AA26" s="12">
        <v>0</v>
      </c>
      <c r="AB26" s="12">
        <v>4</v>
      </c>
      <c r="AC26" s="12">
        <v>3</v>
      </c>
      <c r="AD26" s="12">
        <v>5</v>
      </c>
      <c r="AE26" s="12">
        <v>1</v>
      </c>
      <c r="AF26" s="12">
        <v>0</v>
      </c>
      <c r="AG26" s="12">
        <v>1</v>
      </c>
      <c r="AH26" s="12">
        <v>2</v>
      </c>
      <c r="AI26" s="12">
        <v>1</v>
      </c>
      <c r="AJ26" s="12">
        <v>6</v>
      </c>
      <c r="AK26" s="12">
        <v>0</v>
      </c>
      <c r="AL26" s="12">
        <v>23</v>
      </c>
      <c r="AM26" s="12">
        <v>10</v>
      </c>
      <c r="AN26" s="12">
        <v>6</v>
      </c>
      <c r="AO26" s="12">
        <v>1</v>
      </c>
      <c r="AP26" s="12">
        <v>1</v>
      </c>
      <c r="AQ26" s="12">
        <v>8</v>
      </c>
    </row>
    <row r="27" spans="1:43" x14ac:dyDescent="0.35">
      <c r="A27" s="19"/>
      <c r="B27" s="13" t="s">
        <v>1334</v>
      </c>
      <c r="C27" s="14" t="s">
        <v>475</v>
      </c>
      <c r="D27" s="14" t="s">
        <v>475</v>
      </c>
      <c r="E27" s="14" t="s">
        <v>475</v>
      </c>
      <c r="F27" s="15">
        <v>0.01</v>
      </c>
      <c r="G27" s="14" t="s">
        <v>475</v>
      </c>
      <c r="H27" s="15">
        <v>0.01</v>
      </c>
      <c r="I27" s="15">
        <v>0.01</v>
      </c>
      <c r="J27" s="14" t="s">
        <v>475</v>
      </c>
      <c r="K27" s="15">
        <v>0.01</v>
      </c>
      <c r="L27" s="14" t="s">
        <v>475</v>
      </c>
      <c r="M27" s="15">
        <v>0.03</v>
      </c>
      <c r="N27" s="14" t="s">
        <v>475</v>
      </c>
      <c r="O27" s="14" t="s">
        <v>475</v>
      </c>
      <c r="P27" s="14" t="s">
        <v>475</v>
      </c>
      <c r="Q27" s="15">
        <v>0.01</v>
      </c>
      <c r="R27" s="14" t="s">
        <v>475</v>
      </c>
      <c r="S27" s="15">
        <v>0.02</v>
      </c>
      <c r="T27" s="14" t="s">
        <v>475</v>
      </c>
      <c r="U27" s="14" t="s">
        <v>475</v>
      </c>
      <c r="V27" s="14" t="s">
        <v>475</v>
      </c>
      <c r="W27" s="14" t="s">
        <v>475</v>
      </c>
      <c r="X27" s="14" t="s">
        <v>475</v>
      </c>
      <c r="Y27" s="14" t="s">
        <v>475</v>
      </c>
      <c r="Z27" s="14" t="s">
        <v>475</v>
      </c>
      <c r="AA27" s="14" t="s">
        <v>475</v>
      </c>
      <c r="AB27" s="14" t="s">
        <v>475</v>
      </c>
      <c r="AC27" s="14" t="s">
        <v>475</v>
      </c>
      <c r="AD27" s="15">
        <v>0.01</v>
      </c>
      <c r="AE27" s="14" t="s">
        <v>475</v>
      </c>
      <c r="AF27" s="14" t="s">
        <v>475</v>
      </c>
      <c r="AG27" s="14" t="s">
        <v>475</v>
      </c>
      <c r="AH27" s="14" t="s">
        <v>475</v>
      </c>
      <c r="AI27" s="14" t="s">
        <v>475</v>
      </c>
      <c r="AJ27" s="15">
        <v>0.01</v>
      </c>
      <c r="AK27" s="14" t="s">
        <v>475</v>
      </c>
      <c r="AL27" s="15">
        <v>0.02</v>
      </c>
      <c r="AM27" s="15">
        <v>0.01</v>
      </c>
      <c r="AN27" s="15">
        <v>0.01</v>
      </c>
      <c r="AO27" s="14" t="s">
        <v>475</v>
      </c>
      <c r="AP27" s="14" t="s">
        <v>475</v>
      </c>
      <c r="AQ27" s="15">
        <v>0.01</v>
      </c>
    </row>
    <row r="28" spans="1:43" ht="21.5" x14ac:dyDescent="0.35">
      <c r="A28" s="19"/>
      <c r="B28" s="11" t="s">
        <v>1335</v>
      </c>
      <c r="C28" s="12">
        <v>293</v>
      </c>
      <c r="D28" s="12">
        <v>11</v>
      </c>
      <c r="E28" s="12">
        <v>1</v>
      </c>
      <c r="F28" s="12">
        <v>11</v>
      </c>
      <c r="G28" s="12">
        <v>6</v>
      </c>
      <c r="H28" s="12">
        <v>9</v>
      </c>
      <c r="I28" s="12">
        <v>16</v>
      </c>
      <c r="J28" s="12">
        <v>6</v>
      </c>
      <c r="K28" s="12">
        <v>8</v>
      </c>
      <c r="L28" s="12">
        <v>4</v>
      </c>
      <c r="M28" s="12">
        <v>14</v>
      </c>
      <c r="N28" s="12">
        <v>14</v>
      </c>
      <c r="O28" s="12">
        <v>7</v>
      </c>
      <c r="P28" s="12">
        <v>9</v>
      </c>
      <c r="Q28" s="12">
        <v>11</v>
      </c>
      <c r="R28" s="12">
        <v>5</v>
      </c>
      <c r="S28" s="12">
        <v>26</v>
      </c>
      <c r="T28" s="12">
        <v>8</v>
      </c>
      <c r="U28" s="12">
        <v>9</v>
      </c>
      <c r="V28" s="12">
        <v>15</v>
      </c>
      <c r="W28" s="12">
        <v>8</v>
      </c>
      <c r="X28" s="12">
        <v>6</v>
      </c>
      <c r="Y28" s="12">
        <v>6</v>
      </c>
      <c r="Z28" s="12">
        <v>20</v>
      </c>
      <c r="AA28" s="12">
        <v>4</v>
      </c>
      <c r="AB28" s="12">
        <v>10</v>
      </c>
      <c r="AC28" s="12">
        <v>14</v>
      </c>
      <c r="AD28" s="12">
        <v>27</v>
      </c>
      <c r="AE28" s="12">
        <v>13</v>
      </c>
      <c r="AF28" s="12">
        <v>24</v>
      </c>
      <c r="AG28" s="12">
        <v>0</v>
      </c>
      <c r="AH28" s="12">
        <v>2</v>
      </c>
      <c r="AI28" s="12">
        <v>1</v>
      </c>
      <c r="AJ28" s="12">
        <v>27</v>
      </c>
      <c r="AK28" s="12">
        <v>38</v>
      </c>
      <c r="AL28" s="12">
        <v>13</v>
      </c>
      <c r="AM28" s="12">
        <v>10</v>
      </c>
      <c r="AN28" s="12">
        <v>24</v>
      </c>
      <c r="AO28" s="12">
        <v>4</v>
      </c>
      <c r="AP28" s="12">
        <v>4</v>
      </c>
      <c r="AQ28" s="12">
        <v>6</v>
      </c>
    </row>
    <row r="29" spans="1:43" x14ac:dyDescent="0.35">
      <c r="A29" s="19"/>
      <c r="B29" s="13" t="s">
        <v>1336</v>
      </c>
      <c r="C29" s="15">
        <v>0.01</v>
      </c>
      <c r="D29" s="15">
        <v>0.01</v>
      </c>
      <c r="E29" s="14" t="s">
        <v>475</v>
      </c>
      <c r="F29" s="15">
        <v>0.01</v>
      </c>
      <c r="G29" s="15">
        <v>0.01</v>
      </c>
      <c r="H29" s="15">
        <v>0.01</v>
      </c>
      <c r="I29" s="15">
        <v>0.01</v>
      </c>
      <c r="J29" s="15">
        <v>0.02</v>
      </c>
      <c r="K29" s="15">
        <v>0.01</v>
      </c>
      <c r="L29" s="14" t="s">
        <v>475</v>
      </c>
      <c r="M29" s="15">
        <v>0.01</v>
      </c>
      <c r="N29" s="15">
        <v>0.01</v>
      </c>
      <c r="O29" s="15">
        <v>0.01</v>
      </c>
      <c r="P29" s="15">
        <v>0.01</v>
      </c>
      <c r="Q29" s="15">
        <v>0.01</v>
      </c>
      <c r="R29" s="15">
        <v>0.01</v>
      </c>
      <c r="S29" s="15">
        <v>0.03</v>
      </c>
      <c r="T29" s="15">
        <v>0.01</v>
      </c>
      <c r="U29" s="15">
        <v>0.02</v>
      </c>
      <c r="V29" s="15">
        <v>0.02</v>
      </c>
      <c r="W29" s="15">
        <v>0.02</v>
      </c>
      <c r="X29" s="15">
        <v>0.01</v>
      </c>
      <c r="Y29" s="15">
        <v>0.01</v>
      </c>
      <c r="Z29" s="15">
        <v>0.02</v>
      </c>
      <c r="AA29" s="14" t="s">
        <v>475</v>
      </c>
      <c r="AB29" s="15">
        <v>0.01</v>
      </c>
      <c r="AC29" s="15">
        <v>0.01</v>
      </c>
      <c r="AD29" s="15">
        <v>0.03</v>
      </c>
      <c r="AE29" s="15">
        <v>0.01</v>
      </c>
      <c r="AF29" s="15">
        <v>0.02</v>
      </c>
      <c r="AG29" s="14" t="s">
        <v>475</v>
      </c>
      <c r="AH29" s="14" t="s">
        <v>475</v>
      </c>
      <c r="AI29" s="14" t="s">
        <v>475</v>
      </c>
      <c r="AJ29" s="15">
        <v>0.03</v>
      </c>
      <c r="AK29" s="15">
        <v>0.04</v>
      </c>
      <c r="AL29" s="15">
        <v>0.01</v>
      </c>
      <c r="AM29" s="15">
        <v>0.01</v>
      </c>
      <c r="AN29" s="15">
        <v>0.02</v>
      </c>
      <c r="AO29" s="14" t="s">
        <v>475</v>
      </c>
      <c r="AP29" s="15">
        <v>0.01</v>
      </c>
      <c r="AQ29" s="15">
        <v>0.01</v>
      </c>
    </row>
    <row r="30" spans="1:43" x14ac:dyDescent="0.35">
      <c r="A30" s="19"/>
      <c r="B30" s="11" t="s">
        <v>611</v>
      </c>
      <c r="C30" s="12">
        <v>122</v>
      </c>
      <c r="D30" s="12">
        <v>2</v>
      </c>
      <c r="E30" s="12">
        <v>2</v>
      </c>
      <c r="F30" s="12">
        <v>7</v>
      </c>
      <c r="G30" s="12">
        <v>2</v>
      </c>
      <c r="H30" s="12">
        <v>6</v>
      </c>
      <c r="I30" s="12">
        <v>8</v>
      </c>
      <c r="J30" s="12">
        <v>2</v>
      </c>
      <c r="K30" s="12">
        <v>4</v>
      </c>
      <c r="L30" s="12">
        <v>1</v>
      </c>
      <c r="M30" s="12">
        <v>0</v>
      </c>
      <c r="N30" s="12">
        <v>7</v>
      </c>
      <c r="O30" s="12">
        <v>10</v>
      </c>
      <c r="P30" s="12">
        <v>2</v>
      </c>
      <c r="Q30" s="12">
        <v>5</v>
      </c>
      <c r="R30" s="12">
        <v>2</v>
      </c>
      <c r="S30" s="12">
        <v>13</v>
      </c>
      <c r="T30" s="12">
        <v>3</v>
      </c>
      <c r="U30" s="12">
        <v>4</v>
      </c>
      <c r="V30" s="12">
        <v>0</v>
      </c>
      <c r="W30" s="12">
        <v>3</v>
      </c>
      <c r="X30" s="12">
        <v>2</v>
      </c>
      <c r="Y30" s="12">
        <v>1</v>
      </c>
      <c r="Z30" s="12">
        <v>0</v>
      </c>
      <c r="AA30" s="12">
        <v>2</v>
      </c>
      <c r="AB30" s="12">
        <v>1</v>
      </c>
      <c r="AC30" s="12">
        <v>13</v>
      </c>
      <c r="AD30" s="12">
        <v>2</v>
      </c>
      <c r="AE30" s="12">
        <v>6</v>
      </c>
      <c r="AF30" s="12">
        <v>1</v>
      </c>
      <c r="AG30" s="12">
        <v>0</v>
      </c>
      <c r="AH30" s="12">
        <v>5</v>
      </c>
      <c r="AI30" s="12">
        <v>0</v>
      </c>
      <c r="AJ30" s="12">
        <v>0</v>
      </c>
      <c r="AK30" s="12">
        <v>1</v>
      </c>
      <c r="AL30" s="12">
        <v>11</v>
      </c>
      <c r="AM30" s="12">
        <v>2</v>
      </c>
      <c r="AN30" s="12">
        <v>6</v>
      </c>
      <c r="AO30" s="12">
        <v>1</v>
      </c>
      <c r="AP30" s="12">
        <v>0</v>
      </c>
      <c r="AQ30" s="12">
        <v>5</v>
      </c>
    </row>
    <row r="31" spans="1:43" x14ac:dyDescent="0.35">
      <c r="A31" s="19"/>
      <c r="B31" s="13" t="s">
        <v>612</v>
      </c>
      <c r="C31" s="15">
        <v>0.01</v>
      </c>
      <c r="D31" s="14" t="s">
        <v>475</v>
      </c>
      <c r="E31" s="14" t="s">
        <v>475</v>
      </c>
      <c r="F31" s="15">
        <v>0.01</v>
      </c>
      <c r="G31" s="14" t="s">
        <v>475</v>
      </c>
      <c r="H31" s="14" t="s">
        <v>475</v>
      </c>
      <c r="I31" s="15">
        <v>0.01</v>
      </c>
      <c r="J31" s="15">
        <v>0.01</v>
      </c>
      <c r="K31" s="14" t="s">
        <v>475</v>
      </c>
      <c r="L31" s="14" t="s">
        <v>475</v>
      </c>
      <c r="M31" s="14" t="s">
        <v>475</v>
      </c>
      <c r="N31" s="15">
        <v>0.01</v>
      </c>
      <c r="O31" s="15">
        <v>0.01</v>
      </c>
      <c r="P31" s="14" t="s">
        <v>475</v>
      </c>
      <c r="Q31" s="14" t="s">
        <v>475</v>
      </c>
      <c r="R31" s="15">
        <v>0.01</v>
      </c>
      <c r="S31" s="15">
        <v>0.01</v>
      </c>
      <c r="T31" s="14" t="s">
        <v>475</v>
      </c>
      <c r="U31" s="15">
        <v>0.01</v>
      </c>
      <c r="V31" s="14" t="s">
        <v>475</v>
      </c>
      <c r="W31" s="15">
        <v>0.01</v>
      </c>
      <c r="X31" s="14" t="s">
        <v>475</v>
      </c>
      <c r="Y31" s="14" t="s">
        <v>475</v>
      </c>
      <c r="Z31" s="14" t="s">
        <v>475</v>
      </c>
      <c r="AA31" s="14" t="s">
        <v>475</v>
      </c>
      <c r="AB31" s="14" t="s">
        <v>475</v>
      </c>
      <c r="AC31" s="15">
        <v>0.01</v>
      </c>
      <c r="AD31" s="14" t="s">
        <v>475</v>
      </c>
      <c r="AE31" s="15">
        <v>0.01</v>
      </c>
      <c r="AF31" s="14" t="s">
        <v>475</v>
      </c>
      <c r="AG31" s="14" t="s">
        <v>475</v>
      </c>
      <c r="AH31" s="14" t="s">
        <v>475</v>
      </c>
      <c r="AI31" s="14" t="s">
        <v>475</v>
      </c>
      <c r="AJ31" s="14" t="s">
        <v>475</v>
      </c>
      <c r="AK31" s="14" t="s">
        <v>475</v>
      </c>
      <c r="AL31" s="15">
        <v>0.01</v>
      </c>
      <c r="AM31" s="14" t="s">
        <v>475</v>
      </c>
      <c r="AN31" s="15">
        <v>0.01</v>
      </c>
      <c r="AO31" s="14" t="s">
        <v>475</v>
      </c>
      <c r="AP31" s="14" t="s">
        <v>475</v>
      </c>
      <c r="AQ31" s="14" t="s">
        <v>475</v>
      </c>
    </row>
    <row r="32" spans="1:43" ht="41.5" x14ac:dyDescent="0.35">
      <c r="A32" s="19"/>
      <c r="B32" s="11" t="s">
        <v>1337</v>
      </c>
      <c r="C32" s="12">
        <v>1621</v>
      </c>
      <c r="D32" s="12">
        <v>23</v>
      </c>
      <c r="E32" s="12">
        <v>85</v>
      </c>
      <c r="F32" s="12">
        <v>62</v>
      </c>
      <c r="G32" s="12">
        <v>28</v>
      </c>
      <c r="H32" s="12">
        <v>95</v>
      </c>
      <c r="I32" s="12">
        <v>101</v>
      </c>
      <c r="J32" s="12">
        <v>6</v>
      </c>
      <c r="K32" s="12">
        <v>77</v>
      </c>
      <c r="L32" s="12">
        <v>57</v>
      </c>
      <c r="M32" s="12">
        <v>50</v>
      </c>
      <c r="N32" s="12">
        <v>90</v>
      </c>
      <c r="O32" s="12">
        <v>83</v>
      </c>
      <c r="P32" s="12">
        <v>18</v>
      </c>
      <c r="Q32" s="12">
        <v>80</v>
      </c>
      <c r="R32" s="12">
        <v>32</v>
      </c>
      <c r="S32" s="12">
        <v>35</v>
      </c>
      <c r="T32" s="12">
        <v>64</v>
      </c>
      <c r="U32" s="12">
        <v>10</v>
      </c>
      <c r="V32" s="12">
        <v>54</v>
      </c>
      <c r="W32" s="12">
        <v>2</v>
      </c>
      <c r="X32" s="12">
        <v>29</v>
      </c>
      <c r="Y32" s="12">
        <v>88</v>
      </c>
      <c r="Z32" s="12">
        <v>27</v>
      </c>
      <c r="AA32" s="12">
        <v>36</v>
      </c>
      <c r="AB32" s="12">
        <v>48</v>
      </c>
      <c r="AC32" s="12">
        <v>92</v>
      </c>
      <c r="AD32" s="12">
        <v>32</v>
      </c>
      <c r="AE32" s="12">
        <v>7</v>
      </c>
      <c r="AF32" s="12">
        <v>0</v>
      </c>
      <c r="AG32" s="12">
        <v>4</v>
      </c>
      <c r="AH32" s="12">
        <v>21</v>
      </c>
      <c r="AI32" s="12">
        <v>0</v>
      </c>
      <c r="AJ32" s="12">
        <v>61</v>
      </c>
      <c r="AK32" s="12">
        <v>4</v>
      </c>
      <c r="AL32" s="12">
        <v>56</v>
      </c>
      <c r="AM32" s="12">
        <v>73</v>
      </c>
      <c r="AN32" s="12">
        <v>35</v>
      </c>
      <c r="AO32" s="12">
        <v>53</v>
      </c>
      <c r="AP32" s="12">
        <v>0</v>
      </c>
      <c r="AQ32" s="12">
        <v>68</v>
      </c>
    </row>
    <row r="33" spans="1:43" ht="31.5" x14ac:dyDescent="0.35">
      <c r="A33" s="19"/>
      <c r="B33" s="13" t="s">
        <v>1338</v>
      </c>
      <c r="C33" s="15">
        <v>0.06</v>
      </c>
      <c r="D33" s="15">
        <v>0.02</v>
      </c>
      <c r="E33" s="15">
        <v>0.08</v>
      </c>
      <c r="F33" s="15">
        <v>0.06</v>
      </c>
      <c r="G33" s="15">
        <v>0.03</v>
      </c>
      <c r="H33" s="15">
        <v>0.08</v>
      </c>
      <c r="I33" s="15">
        <v>7.0000000000000007E-2</v>
      </c>
      <c r="J33" s="15">
        <v>0.02</v>
      </c>
      <c r="K33" s="15">
        <v>0.08</v>
      </c>
      <c r="L33" s="15">
        <v>0.06</v>
      </c>
      <c r="M33" s="15">
        <v>0.05</v>
      </c>
      <c r="N33" s="15">
        <v>0.09</v>
      </c>
      <c r="O33" s="15">
        <v>0.08</v>
      </c>
      <c r="P33" s="15">
        <v>0.02</v>
      </c>
      <c r="Q33" s="15">
        <v>0.08</v>
      </c>
      <c r="R33" s="15">
        <v>0.06</v>
      </c>
      <c r="S33" s="15">
        <v>0.03</v>
      </c>
      <c r="T33" s="15">
        <v>0.06</v>
      </c>
      <c r="U33" s="15">
        <v>0.02</v>
      </c>
      <c r="V33" s="15">
        <v>0.05</v>
      </c>
      <c r="W33" s="14" t="s">
        <v>475</v>
      </c>
      <c r="X33" s="15">
        <v>0.03</v>
      </c>
      <c r="Y33" s="15">
        <v>0.09</v>
      </c>
      <c r="Z33" s="15">
        <v>0.03</v>
      </c>
      <c r="AA33" s="15">
        <v>0.04</v>
      </c>
      <c r="AB33" s="15">
        <v>0.05</v>
      </c>
      <c r="AC33" s="15">
        <v>0.09</v>
      </c>
      <c r="AD33" s="15">
        <v>0.03</v>
      </c>
      <c r="AE33" s="15">
        <v>0.01</v>
      </c>
      <c r="AF33" s="14" t="s">
        <v>475</v>
      </c>
      <c r="AG33" s="15">
        <v>0.01</v>
      </c>
      <c r="AH33" s="15">
        <v>0.02</v>
      </c>
      <c r="AI33" s="14" t="s">
        <v>475</v>
      </c>
      <c r="AJ33" s="15">
        <v>0.06</v>
      </c>
      <c r="AK33" s="15">
        <v>0.01</v>
      </c>
      <c r="AL33" s="15">
        <v>0.06</v>
      </c>
      <c r="AM33" s="15">
        <v>7.0000000000000007E-2</v>
      </c>
      <c r="AN33" s="15">
        <v>0.03</v>
      </c>
      <c r="AO33" s="15">
        <v>0.05</v>
      </c>
      <c r="AP33" s="14" t="s">
        <v>475</v>
      </c>
      <c r="AQ33" s="15">
        <v>7.0000000000000007E-2</v>
      </c>
    </row>
    <row r="34" spans="1:43" x14ac:dyDescent="0.35">
      <c r="A34" s="19"/>
      <c r="B34" s="11" t="s">
        <v>485</v>
      </c>
      <c r="C34" s="12">
        <v>44</v>
      </c>
      <c r="D34" s="12">
        <v>0</v>
      </c>
      <c r="E34" s="12">
        <v>5</v>
      </c>
      <c r="F34" s="12">
        <v>16</v>
      </c>
      <c r="G34" s="12">
        <v>1</v>
      </c>
      <c r="H34" s="12">
        <v>1</v>
      </c>
      <c r="I34" s="12">
        <v>1</v>
      </c>
      <c r="J34" s="12">
        <v>0</v>
      </c>
      <c r="K34" s="12">
        <v>11</v>
      </c>
      <c r="L34" s="12">
        <v>4</v>
      </c>
      <c r="M34" s="12">
        <v>0</v>
      </c>
      <c r="N34" s="12">
        <v>0</v>
      </c>
      <c r="O34" s="12">
        <v>1</v>
      </c>
      <c r="P34" s="12">
        <v>1</v>
      </c>
      <c r="Q34" s="12">
        <v>0</v>
      </c>
      <c r="R34" s="12">
        <v>14</v>
      </c>
      <c r="S34" s="12">
        <v>10</v>
      </c>
      <c r="T34" s="12">
        <v>8</v>
      </c>
      <c r="U34" s="12">
        <v>0</v>
      </c>
      <c r="V34" s="12">
        <v>1</v>
      </c>
      <c r="W34" s="12">
        <v>1</v>
      </c>
      <c r="X34" s="12">
        <v>3</v>
      </c>
      <c r="Y34" s="12">
        <v>12</v>
      </c>
      <c r="Z34" s="12">
        <v>2</v>
      </c>
      <c r="AA34" s="12">
        <v>2</v>
      </c>
      <c r="AB34" s="12">
        <v>0</v>
      </c>
      <c r="AC34" s="12">
        <v>5</v>
      </c>
      <c r="AD34" s="12">
        <v>0</v>
      </c>
      <c r="AE34" s="12">
        <v>3</v>
      </c>
      <c r="AF34" s="12">
        <v>1</v>
      </c>
      <c r="AG34" s="12">
        <v>0</v>
      </c>
      <c r="AH34" s="12">
        <v>0</v>
      </c>
      <c r="AI34" s="12">
        <v>12</v>
      </c>
      <c r="AJ34" s="12">
        <v>2</v>
      </c>
      <c r="AK34" s="12">
        <v>0</v>
      </c>
      <c r="AL34" s="12">
        <v>28</v>
      </c>
      <c r="AM34" s="12">
        <v>33</v>
      </c>
      <c r="AN34" s="12">
        <v>0</v>
      </c>
      <c r="AO34" s="12">
        <v>11</v>
      </c>
      <c r="AP34" s="12">
        <v>1</v>
      </c>
      <c r="AQ34" s="12">
        <v>15</v>
      </c>
    </row>
    <row r="35" spans="1:43" x14ac:dyDescent="0.35">
      <c r="A35" s="19"/>
      <c r="B35" s="13" t="s">
        <v>486</v>
      </c>
      <c r="C35" s="14" t="s">
        <v>475</v>
      </c>
      <c r="D35" s="14" t="s">
        <v>475</v>
      </c>
      <c r="E35" s="14" t="s">
        <v>475</v>
      </c>
      <c r="F35" s="15">
        <v>0.01</v>
      </c>
      <c r="G35" s="14" t="s">
        <v>475</v>
      </c>
      <c r="H35" s="14" t="s">
        <v>475</v>
      </c>
      <c r="I35" s="14" t="s">
        <v>475</v>
      </c>
      <c r="J35" s="14" t="s">
        <v>475</v>
      </c>
      <c r="K35" s="15">
        <v>0.01</v>
      </c>
      <c r="L35" s="14" t="s">
        <v>475</v>
      </c>
      <c r="M35" s="14" t="s">
        <v>475</v>
      </c>
      <c r="N35" s="14" t="s">
        <v>475</v>
      </c>
      <c r="O35" s="14" t="s">
        <v>475</v>
      </c>
      <c r="P35" s="14" t="s">
        <v>475</v>
      </c>
      <c r="Q35" s="14" t="s">
        <v>475</v>
      </c>
      <c r="R35" s="15">
        <v>0.03</v>
      </c>
      <c r="S35" s="15">
        <v>0.01</v>
      </c>
      <c r="T35" s="15">
        <v>0.01</v>
      </c>
      <c r="U35" s="14" t="s">
        <v>475</v>
      </c>
      <c r="V35" s="14" t="s">
        <v>475</v>
      </c>
      <c r="W35" s="14" t="s">
        <v>475</v>
      </c>
      <c r="X35" s="14" t="s">
        <v>475</v>
      </c>
      <c r="Y35" s="15">
        <v>0.01</v>
      </c>
      <c r="Z35" s="14" t="s">
        <v>475</v>
      </c>
      <c r="AA35" s="14" t="s">
        <v>475</v>
      </c>
      <c r="AB35" s="14" t="s">
        <v>475</v>
      </c>
      <c r="AC35" s="15">
        <v>0.01</v>
      </c>
      <c r="AD35" s="14" t="s">
        <v>475</v>
      </c>
      <c r="AE35" s="14" t="s">
        <v>475</v>
      </c>
      <c r="AF35" s="14" t="s">
        <v>475</v>
      </c>
      <c r="AG35" s="14" t="s">
        <v>475</v>
      </c>
      <c r="AH35" s="14" t="s">
        <v>475</v>
      </c>
      <c r="AI35" s="15">
        <v>0.02</v>
      </c>
      <c r="AJ35" s="14" t="s">
        <v>475</v>
      </c>
      <c r="AK35" s="14" t="s">
        <v>475</v>
      </c>
      <c r="AL35" s="15">
        <v>0.03</v>
      </c>
      <c r="AM35" s="15">
        <v>0.03</v>
      </c>
      <c r="AN35" s="14" t="s">
        <v>475</v>
      </c>
      <c r="AO35" s="15">
        <v>0.01</v>
      </c>
      <c r="AP35" s="14" t="s">
        <v>475</v>
      </c>
      <c r="AQ35" s="15">
        <v>0.01</v>
      </c>
    </row>
    <row r="36" spans="1:43" x14ac:dyDescent="0.35">
      <c r="A36" s="19"/>
      <c r="B36" s="11" t="s">
        <v>1339</v>
      </c>
      <c r="C36" s="12">
        <v>7456</v>
      </c>
      <c r="D36" s="12">
        <v>296</v>
      </c>
      <c r="E36" s="12">
        <v>201</v>
      </c>
      <c r="F36" s="12">
        <v>413</v>
      </c>
      <c r="G36" s="12">
        <v>345</v>
      </c>
      <c r="H36" s="12">
        <v>334</v>
      </c>
      <c r="I36" s="12">
        <v>406</v>
      </c>
      <c r="J36" s="12">
        <v>73</v>
      </c>
      <c r="K36" s="12">
        <v>383</v>
      </c>
      <c r="L36" s="12">
        <v>338</v>
      </c>
      <c r="M36" s="12">
        <v>459</v>
      </c>
      <c r="N36" s="12">
        <v>310</v>
      </c>
      <c r="O36" s="12">
        <v>237</v>
      </c>
      <c r="P36" s="12">
        <v>316</v>
      </c>
      <c r="Q36" s="12">
        <v>205</v>
      </c>
      <c r="R36" s="12">
        <v>242</v>
      </c>
      <c r="S36" s="12">
        <v>483</v>
      </c>
      <c r="T36" s="12">
        <v>428</v>
      </c>
      <c r="U36" s="12">
        <v>190</v>
      </c>
      <c r="V36" s="12">
        <v>496</v>
      </c>
      <c r="W36" s="12">
        <v>279</v>
      </c>
      <c r="X36" s="12">
        <v>387</v>
      </c>
      <c r="Y36" s="12">
        <v>370</v>
      </c>
      <c r="Z36" s="12">
        <v>313</v>
      </c>
      <c r="AA36" s="12">
        <v>80</v>
      </c>
      <c r="AB36" s="12">
        <v>186</v>
      </c>
      <c r="AC36" s="12">
        <v>335</v>
      </c>
      <c r="AD36" s="12">
        <v>376</v>
      </c>
      <c r="AE36" s="12">
        <v>406</v>
      </c>
      <c r="AF36" s="12">
        <v>383</v>
      </c>
      <c r="AG36" s="12">
        <v>386</v>
      </c>
      <c r="AH36" s="12">
        <v>402</v>
      </c>
      <c r="AI36" s="12">
        <v>205</v>
      </c>
      <c r="AJ36" s="12">
        <v>475</v>
      </c>
      <c r="AK36" s="12">
        <v>366</v>
      </c>
      <c r="AL36" s="12">
        <v>561</v>
      </c>
      <c r="AM36" s="12">
        <v>368</v>
      </c>
      <c r="AN36" s="12">
        <v>414</v>
      </c>
      <c r="AO36" s="12">
        <v>402</v>
      </c>
      <c r="AP36" s="12">
        <v>261</v>
      </c>
      <c r="AQ36" s="12">
        <v>508</v>
      </c>
    </row>
    <row r="37" spans="1:43" x14ac:dyDescent="0.35">
      <c r="A37" s="19"/>
      <c r="B37" s="13" t="s">
        <v>1340</v>
      </c>
      <c r="C37" s="15">
        <v>0.28000000000000003</v>
      </c>
      <c r="D37" s="15">
        <v>0.28999999999999998</v>
      </c>
      <c r="E37" s="15">
        <v>0.2</v>
      </c>
      <c r="F37" s="15">
        <v>0.37</v>
      </c>
      <c r="G37" s="15">
        <v>0.34</v>
      </c>
      <c r="H37" s="15">
        <v>0.27</v>
      </c>
      <c r="I37" s="15">
        <v>0.27</v>
      </c>
      <c r="J37" s="15">
        <v>0.25</v>
      </c>
      <c r="K37" s="15">
        <v>0.38</v>
      </c>
      <c r="L37" s="15">
        <v>0.34</v>
      </c>
      <c r="M37" s="15">
        <v>0.45</v>
      </c>
      <c r="N37" s="15">
        <v>0.31</v>
      </c>
      <c r="O37" s="15">
        <v>0.24</v>
      </c>
      <c r="P37" s="15">
        <v>0.31</v>
      </c>
      <c r="Q37" s="15">
        <v>0.2</v>
      </c>
      <c r="R37" s="15">
        <v>0.48</v>
      </c>
      <c r="S37" s="15">
        <v>0.48</v>
      </c>
      <c r="T37" s="15">
        <v>0.43</v>
      </c>
      <c r="U37" s="15">
        <v>0.38</v>
      </c>
      <c r="V37" s="15">
        <v>0.49</v>
      </c>
      <c r="W37" s="15">
        <v>0.55000000000000004</v>
      </c>
      <c r="X37" s="15">
        <v>0.38</v>
      </c>
      <c r="Y37" s="15">
        <v>0.37</v>
      </c>
      <c r="Z37" s="15">
        <v>0.3</v>
      </c>
      <c r="AA37" s="15">
        <v>0.08</v>
      </c>
      <c r="AB37" s="15">
        <v>0.18</v>
      </c>
      <c r="AC37" s="15">
        <v>0.33</v>
      </c>
      <c r="AD37" s="15">
        <v>0.37</v>
      </c>
      <c r="AE37" s="15">
        <v>0.4</v>
      </c>
      <c r="AF37" s="15">
        <v>0.37</v>
      </c>
      <c r="AG37" s="15">
        <v>0.37</v>
      </c>
      <c r="AH37" s="15">
        <v>0.4</v>
      </c>
      <c r="AI37" s="15">
        <v>0.39</v>
      </c>
      <c r="AJ37" s="15">
        <v>0.46</v>
      </c>
      <c r="AK37" s="15">
        <v>0.36</v>
      </c>
      <c r="AL37" s="15">
        <v>0.55000000000000004</v>
      </c>
      <c r="AM37" s="15">
        <v>0.35</v>
      </c>
      <c r="AN37" s="15">
        <v>0.41</v>
      </c>
      <c r="AO37" s="15">
        <v>0.4</v>
      </c>
      <c r="AP37" s="15">
        <v>0.5</v>
      </c>
      <c r="AQ37" s="15">
        <v>0.51</v>
      </c>
    </row>
  </sheetData>
  <mergeCells count="10">
    <mergeCell ref="B4:F4"/>
    <mergeCell ref="A36:A37"/>
    <mergeCell ref="H3:L3"/>
    <mergeCell ref="B3:F3"/>
    <mergeCell ref="B5:F5"/>
    <mergeCell ref="C8:AQ8"/>
    <mergeCell ref="H5:L5"/>
    <mergeCell ref="B10:B11"/>
    <mergeCell ref="H4:L4"/>
    <mergeCell ref="A10:A35"/>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Q37"/>
  <sheetViews>
    <sheetView workbookViewId="0">
      <pane xSplit="3" ySplit="9" topLeftCell="D28" activePane="bottomRight" state="frozen"/>
      <selection pane="topRight"/>
      <selection pane="bottomLeft"/>
      <selection pane="bottomRight" activeCell="G42" sqref="G42"/>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309</v>
      </c>
      <c r="C3" s="18"/>
      <c r="D3" s="18"/>
      <c r="E3" s="18"/>
      <c r="F3" s="18"/>
      <c r="H3" s="18" t="s">
        <v>310</v>
      </c>
      <c r="I3" s="18"/>
      <c r="J3" s="18"/>
      <c r="K3" s="18"/>
      <c r="L3" s="18"/>
    </row>
    <row r="4" spans="1:43" ht="27" customHeight="1" x14ac:dyDescent="0.35">
      <c r="B4" s="18"/>
      <c r="C4" s="18"/>
      <c r="D4" s="18"/>
      <c r="E4" s="18"/>
      <c r="F4" s="18"/>
      <c r="H4" s="18"/>
      <c r="I4" s="18"/>
      <c r="J4" s="18"/>
      <c r="K4" s="18"/>
      <c r="L4" s="18"/>
    </row>
    <row r="5" spans="1:43" ht="24" customHeight="1" x14ac:dyDescent="0.35">
      <c r="B5" s="18" t="s">
        <v>1341</v>
      </c>
      <c r="C5" s="18"/>
      <c r="D5" s="18"/>
      <c r="E5" s="18"/>
      <c r="F5" s="18"/>
      <c r="H5" s="18" t="s">
        <v>1342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24780</v>
      </c>
      <c r="D10" s="10">
        <v>990</v>
      </c>
      <c r="E10" s="10">
        <v>940</v>
      </c>
      <c r="F10" s="10">
        <v>1024</v>
      </c>
      <c r="G10" s="10">
        <v>977</v>
      </c>
      <c r="H10" s="10">
        <v>1125</v>
      </c>
      <c r="I10" s="10">
        <v>1414</v>
      </c>
      <c r="J10" s="10">
        <v>289</v>
      </c>
      <c r="K10" s="10">
        <v>914</v>
      </c>
      <c r="L10" s="10">
        <v>940</v>
      </c>
      <c r="M10" s="10">
        <v>960</v>
      </c>
      <c r="N10" s="10">
        <v>913</v>
      </c>
      <c r="O10" s="10">
        <v>917</v>
      </c>
      <c r="P10" s="10">
        <v>984</v>
      </c>
      <c r="Q10" s="10">
        <v>947</v>
      </c>
      <c r="R10" s="10">
        <v>458</v>
      </c>
      <c r="S10" s="10">
        <v>957</v>
      </c>
      <c r="T10" s="10">
        <v>934</v>
      </c>
      <c r="U10" s="10">
        <v>494</v>
      </c>
      <c r="V10" s="10">
        <v>961</v>
      </c>
      <c r="W10" s="10">
        <v>505</v>
      </c>
      <c r="X10" s="10">
        <v>977</v>
      </c>
      <c r="Y10" s="10">
        <v>903</v>
      </c>
      <c r="Z10" s="10">
        <v>1002</v>
      </c>
      <c r="AA10" s="10">
        <v>995</v>
      </c>
      <c r="AB10" s="10">
        <v>1003</v>
      </c>
      <c r="AC10" s="10">
        <v>906</v>
      </c>
      <c r="AD10" s="10">
        <v>973</v>
      </c>
      <c r="AE10" s="10">
        <v>1002</v>
      </c>
      <c r="AF10" s="10">
        <v>1042</v>
      </c>
      <c r="AG10" s="10">
        <v>1031</v>
      </c>
      <c r="AH10" s="10">
        <v>992</v>
      </c>
      <c r="AI10" s="10">
        <v>511</v>
      </c>
      <c r="AJ10" s="10">
        <v>974</v>
      </c>
      <c r="AK10" s="10">
        <v>1003</v>
      </c>
      <c r="AL10" s="10">
        <v>928</v>
      </c>
      <c r="AM10" s="10">
        <v>934</v>
      </c>
      <c r="AN10" s="10">
        <v>968</v>
      </c>
      <c r="AO10" s="10">
        <v>941</v>
      </c>
      <c r="AP10" s="10">
        <v>523</v>
      </c>
      <c r="AQ10" s="10">
        <v>919</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1324</v>
      </c>
      <c r="C12" s="12">
        <v>6233</v>
      </c>
      <c r="D12" s="12">
        <v>181</v>
      </c>
      <c r="E12" s="12">
        <v>247</v>
      </c>
      <c r="F12" s="12">
        <v>275</v>
      </c>
      <c r="G12" s="12">
        <v>199</v>
      </c>
      <c r="H12" s="12">
        <v>283</v>
      </c>
      <c r="I12" s="12">
        <v>373</v>
      </c>
      <c r="J12" s="12">
        <v>90</v>
      </c>
      <c r="K12" s="12">
        <v>211</v>
      </c>
      <c r="L12" s="12">
        <v>212</v>
      </c>
      <c r="M12" s="12">
        <v>327</v>
      </c>
      <c r="N12" s="12">
        <v>163</v>
      </c>
      <c r="O12" s="12">
        <v>247</v>
      </c>
      <c r="P12" s="12">
        <v>281</v>
      </c>
      <c r="Q12" s="12">
        <v>252</v>
      </c>
      <c r="R12" s="12">
        <v>110</v>
      </c>
      <c r="S12" s="12">
        <v>208</v>
      </c>
      <c r="T12" s="12">
        <v>279</v>
      </c>
      <c r="U12" s="12">
        <v>81</v>
      </c>
      <c r="V12" s="12">
        <v>254</v>
      </c>
      <c r="W12" s="12">
        <v>94</v>
      </c>
      <c r="X12" s="12">
        <v>230</v>
      </c>
      <c r="Y12" s="12">
        <v>321</v>
      </c>
      <c r="Z12" s="12">
        <v>219</v>
      </c>
      <c r="AA12" s="12">
        <v>319</v>
      </c>
      <c r="AB12" s="12">
        <v>321</v>
      </c>
      <c r="AC12" s="12">
        <v>204</v>
      </c>
      <c r="AD12" s="12">
        <v>326</v>
      </c>
      <c r="AE12" s="12">
        <v>193</v>
      </c>
      <c r="AF12" s="12">
        <v>151</v>
      </c>
      <c r="AG12" s="12">
        <v>281</v>
      </c>
      <c r="AH12" s="12">
        <v>218</v>
      </c>
      <c r="AI12" s="12">
        <v>99</v>
      </c>
      <c r="AJ12" s="12">
        <v>298</v>
      </c>
      <c r="AK12" s="12">
        <v>290</v>
      </c>
      <c r="AL12" s="12">
        <v>87</v>
      </c>
      <c r="AM12" s="12">
        <v>126</v>
      </c>
      <c r="AN12" s="12">
        <v>275</v>
      </c>
      <c r="AO12" s="12">
        <v>270</v>
      </c>
      <c r="AP12" s="12">
        <v>111</v>
      </c>
      <c r="AQ12" s="12">
        <v>156</v>
      </c>
    </row>
    <row r="13" spans="1:43" ht="21.5" x14ac:dyDescent="0.35">
      <c r="A13" s="19"/>
      <c r="B13" s="13" t="s">
        <v>1325</v>
      </c>
      <c r="C13" s="15">
        <v>0.37</v>
      </c>
      <c r="D13" s="15">
        <v>0.26</v>
      </c>
      <c r="E13" s="15">
        <v>0.48</v>
      </c>
      <c r="F13" s="15">
        <v>0.37</v>
      </c>
      <c r="G13" s="15">
        <v>0.23</v>
      </c>
      <c r="H13" s="15">
        <v>0.38</v>
      </c>
      <c r="I13" s="15">
        <v>0.4</v>
      </c>
      <c r="J13" s="15">
        <v>0.52</v>
      </c>
      <c r="K13" s="15">
        <v>0.3</v>
      </c>
      <c r="L13" s="15">
        <v>0.28000000000000003</v>
      </c>
      <c r="M13" s="15">
        <v>0.45</v>
      </c>
      <c r="N13" s="15">
        <v>0.26</v>
      </c>
      <c r="O13" s="15">
        <v>0.39</v>
      </c>
      <c r="P13" s="15">
        <v>0.47</v>
      </c>
      <c r="Q13" s="15">
        <v>0.47</v>
      </c>
      <c r="R13" s="15">
        <v>0.32</v>
      </c>
      <c r="S13" s="15">
        <v>0.26</v>
      </c>
      <c r="T13" s="15">
        <v>0.43</v>
      </c>
      <c r="U13" s="15">
        <v>0.2</v>
      </c>
      <c r="V13" s="15">
        <v>0.35</v>
      </c>
      <c r="W13" s="15">
        <v>0.23</v>
      </c>
      <c r="X13" s="15">
        <v>0.28000000000000003</v>
      </c>
      <c r="Y13" s="15">
        <v>0.46</v>
      </c>
      <c r="Z13" s="15">
        <v>0.34</v>
      </c>
      <c r="AA13" s="15">
        <v>0.66</v>
      </c>
      <c r="AB13" s="15">
        <v>0.61</v>
      </c>
      <c r="AC13" s="15">
        <v>0.28000000000000003</v>
      </c>
      <c r="AD13" s="15">
        <v>0.42</v>
      </c>
      <c r="AE13" s="15">
        <v>0.23</v>
      </c>
      <c r="AF13" s="15">
        <v>0.15</v>
      </c>
      <c r="AG13" s="15">
        <v>0.37</v>
      </c>
      <c r="AH13" s="15">
        <v>0.38</v>
      </c>
      <c r="AI13" s="15">
        <v>0.24</v>
      </c>
      <c r="AJ13" s="15">
        <v>0.43</v>
      </c>
      <c r="AK13" s="15">
        <v>0.54</v>
      </c>
      <c r="AL13" s="15">
        <v>0.11</v>
      </c>
      <c r="AM13" s="15">
        <v>0.17</v>
      </c>
      <c r="AN13" s="15">
        <v>0.4</v>
      </c>
      <c r="AO13" s="15">
        <v>0.44</v>
      </c>
      <c r="AP13" s="15">
        <v>0.23</v>
      </c>
      <c r="AQ13" s="15">
        <v>0.22</v>
      </c>
    </row>
    <row r="14" spans="1:43" ht="21.5" x14ac:dyDescent="0.35">
      <c r="A14" s="19"/>
      <c r="B14" s="11" t="s">
        <v>1326</v>
      </c>
      <c r="C14" s="12">
        <v>6859</v>
      </c>
      <c r="D14" s="12">
        <v>246</v>
      </c>
      <c r="E14" s="12">
        <v>296</v>
      </c>
      <c r="F14" s="12">
        <v>294</v>
      </c>
      <c r="G14" s="12">
        <v>288</v>
      </c>
      <c r="H14" s="12">
        <v>277</v>
      </c>
      <c r="I14" s="12">
        <v>361</v>
      </c>
      <c r="J14" s="12">
        <v>83</v>
      </c>
      <c r="K14" s="12">
        <v>188</v>
      </c>
      <c r="L14" s="12">
        <v>251</v>
      </c>
      <c r="M14" s="12">
        <v>319</v>
      </c>
      <c r="N14" s="12">
        <v>197</v>
      </c>
      <c r="O14" s="12">
        <v>217</v>
      </c>
      <c r="P14" s="12">
        <v>382</v>
      </c>
      <c r="Q14" s="12">
        <v>278</v>
      </c>
      <c r="R14" s="12">
        <v>127</v>
      </c>
      <c r="S14" s="12">
        <v>214</v>
      </c>
      <c r="T14" s="12">
        <v>258</v>
      </c>
      <c r="U14" s="12">
        <v>120</v>
      </c>
      <c r="V14" s="12">
        <v>259</v>
      </c>
      <c r="W14" s="12">
        <v>128</v>
      </c>
      <c r="X14" s="12">
        <v>291</v>
      </c>
      <c r="Y14" s="12">
        <v>277</v>
      </c>
      <c r="Z14" s="12">
        <v>284</v>
      </c>
      <c r="AA14" s="12">
        <v>470</v>
      </c>
      <c r="AB14" s="12">
        <v>375</v>
      </c>
      <c r="AC14" s="12">
        <v>243</v>
      </c>
      <c r="AD14" s="12">
        <v>317</v>
      </c>
      <c r="AE14" s="12">
        <v>239</v>
      </c>
      <c r="AF14" s="12">
        <v>352</v>
      </c>
      <c r="AG14" s="12">
        <v>332</v>
      </c>
      <c r="AH14" s="12">
        <v>333</v>
      </c>
      <c r="AI14" s="12">
        <v>118</v>
      </c>
      <c r="AJ14" s="12">
        <v>308</v>
      </c>
      <c r="AK14" s="12">
        <v>417</v>
      </c>
      <c r="AL14" s="12">
        <v>172</v>
      </c>
      <c r="AM14" s="12">
        <v>192</v>
      </c>
      <c r="AN14" s="12">
        <v>251</v>
      </c>
      <c r="AO14" s="12">
        <v>337</v>
      </c>
      <c r="AP14" s="12">
        <v>138</v>
      </c>
      <c r="AQ14" s="12">
        <v>170</v>
      </c>
    </row>
    <row r="15" spans="1:43" x14ac:dyDescent="0.35">
      <c r="A15" s="19"/>
      <c r="B15" s="13" t="s">
        <v>1327</v>
      </c>
      <c r="C15" s="15">
        <v>0.37</v>
      </c>
      <c r="D15" s="15">
        <v>0.31</v>
      </c>
      <c r="E15" s="15">
        <v>0.44</v>
      </c>
      <c r="F15" s="15">
        <v>0.38</v>
      </c>
      <c r="G15" s="15">
        <v>0.48</v>
      </c>
      <c r="H15" s="15">
        <v>0.32</v>
      </c>
      <c r="I15" s="15">
        <v>0.33</v>
      </c>
      <c r="J15" s="15">
        <v>0.37</v>
      </c>
      <c r="K15" s="15">
        <v>0.27</v>
      </c>
      <c r="L15" s="15">
        <v>0.38</v>
      </c>
      <c r="M15" s="15">
        <v>0.42</v>
      </c>
      <c r="N15" s="15">
        <v>0.27</v>
      </c>
      <c r="O15" s="15">
        <v>0.33</v>
      </c>
      <c r="P15" s="15">
        <v>0.49</v>
      </c>
      <c r="Q15" s="15">
        <v>0.41</v>
      </c>
      <c r="R15" s="15">
        <v>0.34</v>
      </c>
      <c r="S15" s="15">
        <v>0.28999999999999998</v>
      </c>
      <c r="T15" s="15">
        <v>0.35</v>
      </c>
      <c r="U15" s="15">
        <v>0.3</v>
      </c>
      <c r="V15" s="15">
        <v>0.33</v>
      </c>
      <c r="W15" s="15">
        <v>0.28999999999999998</v>
      </c>
      <c r="X15" s="15">
        <v>0.37</v>
      </c>
      <c r="Y15" s="15">
        <v>0.39</v>
      </c>
      <c r="Z15" s="15">
        <v>0.4</v>
      </c>
      <c r="AA15" s="15">
        <v>0.75</v>
      </c>
      <c r="AB15" s="15">
        <v>0.54</v>
      </c>
      <c r="AC15" s="15">
        <v>0.38</v>
      </c>
      <c r="AD15" s="15">
        <v>0.45</v>
      </c>
      <c r="AE15" s="15">
        <v>0.32</v>
      </c>
      <c r="AF15" s="15">
        <v>0.51</v>
      </c>
      <c r="AG15" s="15">
        <v>0.48</v>
      </c>
      <c r="AH15" s="15">
        <v>0.39</v>
      </c>
      <c r="AI15" s="15">
        <v>0.36</v>
      </c>
      <c r="AJ15" s="15">
        <v>0.4</v>
      </c>
      <c r="AK15" s="15">
        <v>0.5</v>
      </c>
      <c r="AL15" s="15">
        <v>0.23</v>
      </c>
      <c r="AM15" s="15">
        <v>0.28999999999999998</v>
      </c>
      <c r="AN15" s="15">
        <v>0.34</v>
      </c>
      <c r="AO15" s="15">
        <v>0.45</v>
      </c>
      <c r="AP15" s="15">
        <v>0.41</v>
      </c>
      <c r="AQ15" s="15">
        <v>0.24</v>
      </c>
    </row>
    <row r="16" spans="1:43" x14ac:dyDescent="0.35">
      <c r="A16" s="19"/>
      <c r="B16" s="11" t="s">
        <v>1300</v>
      </c>
      <c r="C16" s="12">
        <v>5156</v>
      </c>
      <c r="D16" s="12">
        <v>234</v>
      </c>
      <c r="E16" s="12">
        <v>127</v>
      </c>
      <c r="F16" s="12">
        <v>233</v>
      </c>
      <c r="G16" s="12">
        <v>215</v>
      </c>
      <c r="H16" s="12">
        <v>357</v>
      </c>
      <c r="I16" s="12">
        <v>424</v>
      </c>
      <c r="J16" s="12">
        <v>67</v>
      </c>
      <c r="K16" s="12">
        <v>209</v>
      </c>
      <c r="L16" s="12">
        <v>184</v>
      </c>
      <c r="M16" s="12">
        <v>123</v>
      </c>
      <c r="N16" s="12">
        <v>131</v>
      </c>
      <c r="O16" s="12">
        <v>185</v>
      </c>
      <c r="P16" s="12">
        <v>149</v>
      </c>
      <c r="Q16" s="12">
        <v>221</v>
      </c>
      <c r="R16" s="12">
        <v>41</v>
      </c>
      <c r="S16" s="12">
        <v>97</v>
      </c>
      <c r="T16" s="12">
        <v>152</v>
      </c>
      <c r="U16" s="12">
        <v>141</v>
      </c>
      <c r="V16" s="12">
        <v>73</v>
      </c>
      <c r="W16" s="12">
        <v>57</v>
      </c>
      <c r="X16" s="12">
        <v>256</v>
      </c>
      <c r="Y16" s="12">
        <v>344</v>
      </c>
      <c r="Z16" s="12">
        <v>55</v>
      </c>
      <c r="AA16" s="12">
        <v>300</v>
      </c>
      <c r="AB16" s="12">
        <v>68</v>
      </c>
      <c r="AC16" s="12">
        <v>141</v>
      </c>
      <c r="AD16" s="12">
        <v>214</v>
      </c>
      <c r="AE16" s="12">
        <v>341</v>
      </c>
      <c r="AF16" s="12">
        <v>330</v>
      </c>
      <c r="AG16" s="12">
        <v>133</v>
      </c>
      <c r="AH16" s="12">
        <v>49</v>
      </c>
      <c r="AI16" s="12">
        <v>50</v>
      </c>
      <c r="AJ16" s="12">
        <v>145</v>
      </c>
      <c r="AK16" s="12">
        <v>22</v>
      </c>
      <c r="AL16" s="12">
        <v>33</v>
      </c>
      <c r="AM16" s="12">
        <v>138</v>
      </c>
      <c r="AN16" s="12">
        <v>64</v>
      </c>
      <c r="AO16" s="12">
        <v>29</v>
      </c>
      <c r="AP16" s="12">
        <v>70</v>
      </c>
      <c r="AQ16" s="12">
        <v>21</v>
      </c>
    </row>
    <row r="17" spans="1:43" x14ac:dyDescent="0.35">
      <c r="A17" s="19"/>
      <c r="B17" s="13" t="s">
        <v>1301</v>
      </c>
      <c r="C17" s="15">
        <v>0.22</v>
      </c>
      <c r="D17" s="15">
        <v>0.26</v>
      </c>
      <c r="E17" s="15">
        <v>0.14000000000000001</v>
      </c>
      <c r="F17" s="15">
        <v>0.23</v>
      </c>
      <c r="G17" s="15">
        <v>0.24</v>
      </c>
      <c r="H17" s="15">
        <v>0.34</v>
      </c>
      <c r="I17" s="15">
        <v>0.32</v>
      </c>
      <c r="J17" s="15">
        <v>0.24</v>
      </c>
      <c r="K17" s="15">
        <v>0.23</v>
      </c>
      <c r="L17" s="15">
        <v>0.21</v>
      </c>
      <c r="M17" s="15">
        <v>0.13</v>
      </c>
      <c r="N17" s="15">
        <v>0.15</v>
      </c>
      <c r="O17" s="15">
        <v>0.22</v>
      </c>
      <c r="P17" s="15">
        <v>0.15</v>
      </c>
      <c r="Q17" s="15">
        <v>0.25</v>
      </c>
      <c r="R17" s="15">
        <v>0.09</v>
      </c>
      <c r="S17" s="15">
        <v>0.1</v>
      </c>
      <c r="T17" s="15">
        <v>0.16</v>
      </c>
      <c r="U17" s="15">
        <v>0.33</v>
      </c>
      <c r="V17" s="15">
        <v>0.08</v>
      </c>
      <c r="W17" s="15">
        <v>0.13</v>
      </c>
      <c r="X17" s="15">
        <v>0.32</v>
      </c>
      <c r="Y17" s="15">
        <v>0.41</v>
      </c>
      <c r="Z17" s="15">
        <v>0.05</v>
      </c>
      <c r="AA17" s="15">
        <v>0.31</v>
      </c>
      <c r="AB17" s="15">
        <v>7.0000000000000007E-2</v>
      </c>
      <c r="AC17" s="15">
        <v>0.16</v>
      </c>
      <c r="AD17" s="15">
        <v>0.22</v>
      </c>
      <c r="AE17" s="15">
        <v>0.38</v>
      </c>
      <c r="AF17" s="15">
        <v>0.35</v>
      </c>
      <c r="AG17" s="15">
        <v>0.13</v>
      </c>
      <c r="AH17" s="15">
        <v>0.05</v>
      </c>
      <c r="AI17" s="15">
        <v>0.1</v>
      </c>
      <c r="AJ17" s="15">
        <v>0.15</v>
      </c>
      <c r="AK17" s="15">
        <v>0.02</v>
      </c>
      <c r="AL17" s="15">
        <v>0.04</v>
      </c>
      <c r="AM17" s="15">
        <v>0.16</v>
      </c>
      <c r="AN17" s="15">
        <v>7.0000000000000007E-2</v>
      </c>
      <c r="AO17" s="15">
        <v>0.03</v>
      </c>
      <c r="AP17" s="15">
        <v>0.14000000000000001</v>
      </c>
      <c r="AQ17" s="15">
        <v>0.02</v>
      </c>
    </row>
    <row r="18" spans="1:43" x14ac:dyDescent="0.35">
      <c r="A18" s="19"/>
      <c r="B18" s="11" t="s">
        <v>1304</v>
      </c>
      <c r="C18" s="12">
        <v>7253</v>
      </c>
      <c r="D18" s="12">
        <v>336</v>
      </c>
      <c r="E18" s="12">
        <v>242</v>
      </c>
      <c r="F18" s="12">
        <v>350</v>
      </c>
      <c r="G18" s="12">
        <v>456</v>
      </c>
      <c r="H18" s="12">
        <v>451</v>
      </c>
      <c r="I18" s="12">
        <v>598</v>
      </c>
      <c r="J18" s="12">
        <v>147</v>
      </c>
      <c r="K18" s="12">
        <v>351</v>
      </c>
      <c r="L18" s="12">
        <v>367</v>
      </c>
      <c r="M18" s="12">
        <v>221</v>
      </c>
      <c r="N18" s="12">
        <v>206</v>
      </c>
      <c r="O18" s="12">
        <v>246</v>
      </c>
      <c r="P18" s="12">
        <v>314</v>
      </c>
      <c r="Q18" s="12">
        <v>202</v>
      </c>
      <c r="R18" s="12">
        <v>146</v>
      </c>
      <c r="S18" s="12">
        <v>255</v>
      </c>
      <c r="T18" s="12">
        <v>251</v>
      </c>
      <c r="U18" s="12">
        <v>132</v>
      </c>
      <c r="V18" s="12">
        <v>194</v>
      </c>
      <c r="W18" s="12">
        <v>100</v>
      </c>
      <c r="X18" s="12">
        <v>285</v>
      </c>
      <c r="Y18" s="12">
        <v>373</v>
      </c>
      <c r="Z18" s="12">
        <v>205</v>
      </c>
      <c r="AA18" s="12">
        <v>310</v>
      </c>
      <c r="AB18" s="12">
        <v>126</v>
      </c>
      <c r="AC18" s="12">
        <v>316</v>
      </c>
      <c r="AD18" s="12">
        <v>472</v>
      </c>
      <c r="AE18" s="12">
        <v>334</v>
      </c>
      <c r="AF18" s="12">
        <v>448</v>
      </c>
      <c r="AG18" s="12">
        <v>26</v>
      </c>
      <c r="AH18" s="12">
        <v>68</v>
      </c>
      <c r="AI18" s="12">
        <v>11</v>
      </c>
      <c r="AJ18" s="12">
        <v>122</v>
      </c>
      <c r="AK18" s="12">
        <v>10</v>
      </c>
      <c r="AL18" s="12">
        <v>70</v>
      </c>
      <c r="AM18" s="12">
        <v>152</v>
      </c>
      <c r="AN18" s="12">
        <v>64</v>
      </c>
      <c r="AO18" s="12">
        <v>33</v>
      </c>
      <c r="AP18" s="12">
        <v>20</v>
      </c>
      <c r="AQ18" s="12">
        <v>18</v>
      </c>
    </row>
    <row r="19" spans="1:43" x14ac:dyDescent="0.35">
      <c r="A19" s="19"/>
      <c r="B19" s="13" t="s">
        <v>1305</v>
      </c>
      <c r="C19" s="15">
        <v>0.31</v>
      </c>
      <c r="D19" s="15">
        <v>0.37</v>
      </c>
      <c r="E19" s="15">
        <v>0.26</v>
      </c>
      <c r="F19" s="15">
        <v>0.36</v>
      </c>
      <c r="G19" s="15">
        <v>0.5</v>
      </c>
      <c r="H19" s="15">
        <v>0.43</v>
      </c>
      <c r="I19" s="15">
        <v>0.45</v>
      </c>
      <c r="J19" s="15">
        <v>0.56000000000000005</v>
      </c>
      <c r="K19" s="15">
        <v>0.42</v>
      </c>
      <c r="L19" s="15">
        <v>0.43</v>
      </c>
      <c r="M19" s="15">
        <v>0.24</v>
      </c>
      <c r="N19" s="15">
        <v>0.25</v>
      </c>
      <c r="O19" s="15">
        <v>0.28999999999999998</v>
      </c>
      <c r="P19" s="15">
        <v>0.34</v>
      </c>
      <c r="Q19" s="15">
        <v>0.22</v>
      </c>
      <c r="R19" s="15">
        <v>0.33</v>
      </c>
      <c r="S19" s="15">
        <v>0.28999999999999998</v>
      </c>
      <c r="T19" s="15">
        <v>0.28000000000000003</v>
      </c>
      <c r="U19" s="15">
        <v>0.31</v>
      </c>
      <c r="V19" s="15">
        <v>0.21</v>
      </c>
      <c r="W19" s="15">
        <v>0.2</v>
      </c>
      <c r="X19" s="15">
        <v>0.31</v>
      </c>
      <c r="Y19" s="15">
        <v>0.45</v>
      </c>
      <c r="Z19" s="15">
        <v>0.21</v>
      </c>
      <c r="AA19" s="15">
        <v>0.32</v>
      </c>
      <c r="AB19" s="15">
        <v>0.13</v>
      </c>
      <c r="AC19" s="15">
        <v>0.39</v>
      </c>
      <c r="AD19" s="15">
        <v>0.55000000000000004</v>
      </c>
      <c r="AE19" s="15">
        <v>0.35</v>
      </c>
      <c r="AF19" s="15">
        <v>0.5</v>
      </c>
      <c r="AG19" s="15">
        <v>0.03</v>
      </c>
      <c r="AH19" s="15">
        <v>7.0000000000000007E-2</v>
      </c>
      <c r="AI19" s="15">
        <v>0.02</v>
      </c>
      <c r="AJ19" s="15">
        <v>0.13</v>
      </c>
      <c r="AK19" s="15">
        <v>0.01</v>
      </c>
      <c r="AL19" s="15">
        <v>0.08</v>
      </c>
      <c r="AM19" s="15">
        <v>0.18</v>
      </c>
      <c r="AN19" s="15">
        <v>7.0000000000000007E-2</v>
      </c>
      <c r="AO19" s="15">
        <v>0.04</v>
      </c>
      <c r="AP19" s="15">
        <v>0.04</v>
      </c>
      <c r="AQ19" s="15">
        <v>0.02</v>
      </c>
    </row>
    <row r="20" spans="1:43" ht="41.5" x14ac:dyDescent="0.35">
      <c r="A20" s="19"/>
      <c r="B20" s="11" t="s">
        <v>1328</v>
      </c>
      <c r="C20" s="12">
        <v>6094</v>
      </c>
      <c r="D20" s="12">
        <v>274</v>
      </c>
      <c r="E20" s="12">
        <v>212</v>
      </c>
      <c r="F20" s="12">
        <v>250</v>
      </c>
      <c r="G20" s="12">
        <v>243</v>
      </c>
      <c r="H20" s="12">
        <v>278</v>
      </c>
      <c r="I20" s="12">
        <v>332</v>
      </c>
      <c r="J20" s="12">
        <v>53</v>
      </c>
      <c r="K20" s="12">
        <v>193</v>
      </c>
      <c r="L20" s="12">
        <v>193</v>
      </c>
      <c r="M20" s="12">
        <v>247</v>
      </c>
      <c r="N20" s="12">
        <v>248</v>
      </c>
      <c r="O20" s="12">
        <v>209</v>
      </c>
      <c r="P20" s="12">
        <v>267</v>
      </c>
      <c r="Q20" s="12">
        <v>258</v>
      </c>
      <c r="R20" s="12">
        <v>149</v>
      </c>
      <c r="S20" s="12">
        <v>203</v>
      </c>
      <c r="T20" s="12">
        <v>274</v>
      </c>
      <c r="U20" s="12">
        <v>137</v>
      </c>
      <c r="V20" s="12">
        <v>240</v>
      </c>
      <c r="W20" s="12">
        <v>108</v>
      </c>
      <c r="X20" s="12">
        <v>251</v>
      </c>
      <c r="Y20" s="12">
        <v>253</v>
      </c>
      <c r="Z20" s="12">
        <v>217</v>
      </c>
      <c r="AA20" s="12">
        <v>203</v>
      </c>
      <c r="AB20" s="12">
        <v>198</v>
      </c>
      <c r="AC20" s="12">
        <v>198</v>
      </c>
      <c r="AD20" s="12">
        <v>249</v>
      </c>
      <c r="AE20" s="12">
        <v>309</v>
      </c>
      <c r="AF20" s="12">
        <v>307</v>
      </c>
      <c r="AG20" s="12">
        <v>201</v>
      </c>
      <c r="AH20" s="12">
        <v>238</v>
      </c>
      <c r="AI20" s="12">
        <v>143</v>
      </c>
      <c r="AJ20" s="12">
        <v>234</v>
      </c>
      <c r="AK20" s="12">
        <v>138</v>
      </c>
      <c r="AL20" s="12">
        <v>146</v>
      </c>
      <c r="AM20" s="12">
        <v>214</v>
      </c>
      <c r="AN20" s="12">
        <v>257</v>
      </c>
      <c r="AO20" s="12">
        <v>205</v>
      </c>
      <c r="AP20" s="12">
        <v>101</v>
      </c>
      <c r="AQ20" s="12">
        <v>130</v>
      </c>
    </row>
    <row r="21" spans="1:43" ht="31.5" x14ac:dyDescent="0.35">
      <c r="A21" s="19"/>
      <c r="B21" s="13" t="s">
        <v>1329</v>
      </c>
      <c r="C21" s="15">
        <v>0.3</v>
      </c>
      <c r="D21" s="15">
        <v>0.33</v>
      </c>
      <c r="E21" s="15">
        <v>0.25</v>
      </c>
      <c r="F21" s="15">
        <v>0.33</v>
      </c>
      <c r="G21" s="15">
        <v>0.33</v>
      </c>
      <c r="H21" s="15">
        <v>0.28999999999999998</v>
      </c>
      <c r="I21" s="15">
        <v>0.27</v>
      </c>
      <c r="J21" s="15">
        <v>0.21</v>
      </c>
      <c r="K21" s="15">
        <v>0.28999999999999998</v>
      </c>
      <c r="L21" s="15">
        <v>0.25</v>
      </c>
      <c r="M21" s="15">
        <v>0.37</v>
      </c>
      <c r="N21" s="15">
        <v>0.34</v>
      </c>
      <c r="O21" s="15">
        <v>0.27</v>
      </c>
      <c r="P21" s="15">
        <v>0.33</v>
      </c>
      <c r="Q21" s="15">
        <v>0.32</v>
      </c>
      <c r="R21" s="15">
        <v>0.41</v>
      </c>
      <c r="S21" s="15">
        <v>0.32</v>
      </c>
      <c r="T21" s="15">
        <v>0.39</v>
      </c>
      <c r="U21" s="15">
        <v>0.39</v>
      </c>
      <c r="V21" s="15">
        <v>0.41</v>
      </c>
      <c r="W21" s="15">
        <v>0.28999999999999998</v>
      </c>
      <c r="X21" s="15">
        <v>0.35</v>
      </c>
      <c r="Y21" s="15">
        <v>0.35</v>
      </c>
      <c r="Z21" s="15">
        <v>0.27</v>
      </c>
      <c r="AA21" s="15">
        <v>0.22</v>
      </c>
      <c r="AB21" s="15">
        <v>0.22</v>
      </c>
      <c r="AC21" s="15">
        <v>0.28999999999999998</v>
      </c>
      <c r="AD21" s="15">
        <v>0.33</v>
      </c>
      <c r="AE21" s="15">
        <v>0.44</v>
      </c>
      <c r="AF21" s="15">
        <v>0.4</v>
      </c>
      <c r="AG21" s="15">
        <v>0.22</v>
      </c>
      <c r="AH21" s="15">
        <v>0.28000000000000003</v>
      </c>
      <c r="AI21" s="15">
        <v>0.33</v>
      </c>
      <c r="AJ21" s="15">
        <v>0.32</v>
      </c>
      <c r="AK21" s="15">
        <v>0.17</v>
      </c>
      <c r="AL21" s="15">
        <v>0.23</v>
      </c>
      <c r="AM21" s="15">
        <v>0.28999999999999998</v>
      </c>
      <c r="AN21" s="15">
        <v>0.32</v>
      </c>
      <c r="AO21" s="15">
        <v>0.26</v>
      </c>
      <c r="AP21" s="15">
        <v>0.23</v>
      </c>
      <c r="AQ21" s="15">
        <v>0.16</v>
      </c>
    </row>
    <row r="22" spans="1:43" x14ac:dyDescent="0.35">
      <c r="A22" s="19"/>
      <c r="B22" s="11" t="s">
        <v>1330</v>
      </c>
      <c r="C22" s="12">
        <v>1801</v>
      </c>
      <c r="D22" s="12">
        <v>44</v>
      </c>
      <c r="E22" s="12">
        <v>60</v>
      </c>
      <c r="F22" s="12">
        <v>104</v>
      </c>
      <c r="G22" s="12">
        <v>128</v>
      </c>
      <c r="H22" s="12">
        <v>98</v>
      </c>
      <c r="I22" s="12">
        <v>112</v>
      </c>
      <c r="J22" s="12">
        <v>14</v>
      </c>
      <c r="K22" s="12">
        <v>65</v>
      </c>
      <c r="L22" s="12">
        <v>107</v>
      </c>
      <c r="M22" s="12">
        <v>46</v>
      </c>
      <c r="N22" s="12">
        <v>44</v>
      </c>
      <c r="O22" s="12">
        <v>53</v>
      </c>
      <c r="P22" s="12">
        <v>80</v>
      </c>
      <c r="Q22" s="12">
        <v>62</v>
      </c>
      <c r="R22" s="12">
        <v>36</v>
      </c>
      <c r="S22" s="12">
        <v>44</v>
      </c>
      <c r="T22" s="12">
        <v>111</v>
      </c>
      <c r="U22" s="12">
        <v>33</v>
      </c>
      <c r="V22" s="12">
        <v>138</v>
      </c>
      <c r="W22" s="12">
        <v>65</v>
      </c>
      <c r="X22" s="12">
        <v>124</v>
      </c>
      <c r="Y22" s="12">
        <v>97</v>
      </c>
      <c r="Z22" s="12">
        <v>34</v>
      </c>
      <c r="AA22" s="12">
        <v>31</v>
      </c>
      <c r="AB22" s="12">
        <v>81</v>
      </c>
      <c r="AC22" s="12">
        <v>61</v>
      </c>
      <c r="AD22" s="12">
        <v>172</v>
      </c>
      <c r="AE22" s="12">
        <v>99</v>
      </c>
      <c r="AF22" s="12">
        <v>149</v>
      </c>
      <c r="AG22" s="12">
        <v>16</v>
      </c>
      <c r="AH22" s="12">
        <v>128</v>
      </c>
      <c r="AI22" s="12">
        <v>6</v>
      </c>
      <c r="AJ22" s="12">
        <v>133</v>
      </c>
      <c r="AK22" s="12">
        <v>47</v>
      </c>
      <c r="AL22" s="12">
        <v>45</v>
      </c>
      <c r="AM22" s="12">
        <v>74</v>
      </c>
      <c r="AN22" s="12">
        <v>50</v>
      </c>
      <c r="AO22" s="12">
        <v>22</v>
      </c>
      <c r="AP22" s="12">
        <v>5</v>
      </c>
      <c r="AQ22" s="12">
        <v>26</v>
      </c>
    </row>
    <row r="23" spans="1:43" x14ac:dyDescent="0.35">
      <c r="A23" s="19"/>
      <c r="B23" s="13" t="s">
        <v>1331</v>
      </c>
      <c r="C23" s="15">
        <v>7.0000000000000007E-2</v>
      </c>
      <c r="D23" s="15">
        <v>0.04</v>
      </c>
      <c r="E23" s="15">
        <v>0.06</v>
      </c>
      <c r="F23" s="15">
        <v>0.1</v>
      </c>
      <c r="G23" s="15">
        <v>0.14000000000000001</v>
      </c>
      <c r="H23" s="15">
        <v>0.09</v>
      </c>
      <c r="I23" s="15">
        <v>0.08</v>
      </c>
      <c r="J23" s="15">
        <v>0.05</v>
      </c>
      <c r="K23" s="15">
        <v>7.0000000000000007E-2</v>
      </c>
      <c r="L23" s="15">
        <v>0.12</v>
      </c>
      <c r="M23" s="15">
        <v>0.05</v>
      </c>
      <c r="N23" s="15">
        <v>0.05</v>
      </c>
      <c r="O23" s="15">
        <v>0.06</v>
      </c>
      <c r="P23" s="15">
        <v>0.08</v>
      </c>
      <c r="Q23" s="15">
        <v>7.0000000000000007E-2</v>
      </c>
      <c r="R23" s="15">
        <v>0.08</v>
      </c>
      <c r="S23" s="15">
        <v>0.05</v>
      </c>
      <c r="T23" s="15">
        <v>0.12</v>
      </c>
      <c r="U23" s="15">
        <v>7.0000000000000007E-2</v>
      </c>
      <c r="V23" s="15">
        <v>0.15</v>
      </c>
      <c r="W23" s="15">
        <v>0.13</v>
      </c>
      <c r="X23" s="15">
        <v>0.13</v>
      </c>
      <c r="Y23" s="15">
        <v>0.11</v>
      </c>
      <c r="Z23" s="15">
        <v>0.03</v>
      </c>
      <c r="AA23" s="15">
        <v>0.03</v>
      </c>
      <c r="AB23" s="15">
        <v>0.08</v>
      </c>
      <c r="AC23" s="15">
        <v>7.0000000000000007E-2</v>
      </c>
      <c r="AD23" s="15">
        <v>0.18</v>
      </c>
      <c r="AE23" s="15">
        <v>0.1</v>
      </c>
      <c r="AF23" s="15">
        <v>0.15</v>
      </c>
      <c r="AG23" s="15">
        <v>0.02</v>
      </c>
      <c r="AH23" s="15">
        <v>0.13</v>
      </c>
      <c r="AI23" s="15">
        <v>0.01</v>
      </c>
      <c r="AJ23" s="15">
        <v>0.14000000000000001</v>
      </c>
      <c r="AK23" s="15">
        <v>0.05</v>
      </c>
      <c r="AL23" s="15">
        <v>0.05</v>
      </c>
      <c r="AM23" s="15">
        <v>0.08</v>
      </c>
      <c r="AN23" s="15">
        <v>0.05</v>
      </c>
      <c r="AO23" s="15">
        <v>0.02</v>
      </c>
      <c r="AP23" s="15">
        <v>0.01</v>
      </c>
      <c r="AQ23" s="15">
        <v>0.03</v>
      </c>
    </row>
    <row r="24" spans="1:43" ht="21.5" x14ac:dyDescent="0.35">
      <c r="A24" s="19"/>
      <c r="B24" s="11" t="s">
        <v>1332</v>
      </c>
      <c r="C24" s="12">
        <v>4488</v>
      </c>
      <c r="D24" s="12">
        <v>172</v>
      </c>
      <c r="E24" s="12">
        <v>286</v>
      </c>
      <c r="F24" s="12">
        <v>216</v>
      </c>
      <c r="G24" s="12">
        <v>225</v>
      </c>
      <c r="H24" s="12">
        <v>172</v>
      </c>
      <c r="I24" s="12">
        <v>238</v>
      </c>
      <c r="J24" s="12">
        <v>66</v>
      </c>
      <c r="K24" s="12">
        <v>219</v>
      </c>
      <c r="L24" s="12">
        <v>165</v>
      </c>
      <c r="M24" s="12">
        <v>271</v>
      </c>
      <c r="N24" s="12">
        <v>184</v>
      </c>
      <c r="O24" s="12">
        <v>148</v>
      </c>
      <c r="P24" s="12">
        <v>242</v>
      </c>
      <c r="Q24" s="12">
        <v>108</v>
      </c>
      <c r="R24" s="12">
        <v>126</v>
      </c>
      <c r="S24" s="12">
        <v>234</v>
      </c>
      <c r="T24" s="12">
        <v>243</v>
      </c>
      <c r="U24" s="12">
        <v>84</v>
      </c>
      <c r="V24" s="12">
        <v>281</v>
      </c>
      <c r="W24" s="12">
        <v>121</v>
      </c>
      <c r="X24" s="12">
        <v>145</v>
      </c>
      <c r="Y24" s="12">
        <v>220</v>
      </c>
      <c r="Z24" s="12">
        <v>179</v>
      </c>
      <c r="AA24" s="12">
        <v>184</v>
      </c>
      <c r="AB24" s="12">
        <v>253</v>
      </c>
      <c r="AC24" s="12">
        <v>168</v>
      </c>
      <c r="AD24" s="12">
        <v>252</v>
      </c>
      <c r="AE24" s="12">
        <v>177</v>
      </c>
      <c r="AF24" s="12">
        <v>138</v>
      </c>
      <c r="AG24" s="12">
        <v>333</v>
      </c>
      <c r="AH24" s="12">
        <v>323</v>
      </c>
      <c r="AI24" s="12">
        <v>143</v>
      </c>
      <c r="AJ24" s="12">
        <v>230</v>
      </c>
      <c r="AK24" s="12">
        <v>336</v>
      </c>
      <c r="AL24" s="12">
        <v>207</v>
      </c>
      <c r="AM24" s="12">
        <v>130</v>
      </c>
      <c r="AN24" s="12">
        <v>245</v>
      </c>
      <c r="AO24" s="12">
        <v>174</v>
      </c>
      <c r="AP24" s="12">
        <v>106</v>
      </c>
      <c r="AQ24" s="12">
        <v>191</v>
      </c>
    </row>
    <row r="25" spans="1:43" x14ac:dyDescent="0.35">
      <c r="A25" s="19"/>
      <c r="B25" s="13" t="s">
        <v>1317</v>
      </c>
      <c r="C25" s="15">
        <v>0.2</v>
      </c>
      <c r="D25" s="15">
        <v>0.2</v>
      </c>
      <c r="E25" s="15">
        <v>0.34</v>
      </c>
      <c r="F25" s="15">
        <v>0.24</v>
      </c>
      <c r="G25" s="15">
        <v>0.24</v>
      </c>
      <c r="H25" s="15">
        <v>0.17</v>
      </c>
      <c r="I25" s="15">
        <v>0.19</v>
      </c>
      <c r="J25" s="15">
        <v>0.26</v>
      </c>
      <c r="K25" s="15">
        <v>0.27</v>
      </c>
      <c r="L25" s="15">
        <v>0.21</v>
      </c>
      <c r="M25" s="15">
        <v>0.32</v>
      </c>
      <c r="N25" s="15">
        <v>0.23</v>
      </c>
      <c r="O25" s="15">
        <v>0.18</v>
      </c>
      <c r="P25" s="15">
        <v>0.28000000000000003</v>
      </c>
      <c r="Q25" s="15">
        <v>0.12</v>
      </c>
      <c r="R25" s="15">
        <v>0.37</v>
      </c>
      <c r="S25" s="15">
        <v>0.27</v>
      </c>
      <c r="T25" s="15">
        <v>0.32</v>
      </c>
      <c r="U25" s="15">
        <v>0.18</v>
      </c>
      <c r="V25" s="15">
        <v>0.31</v>
      </c>
      <c r="W25" s="15">
        <v>0.31</v>
      </c>
      <c r="X25" s="15">
        <v>0.16</v>
      </c>
      <c r="Y25" s="15">
        <v>0.3</v>
      </c>
      <c r="Z25" s="15">
        <v>0.2</v>
      </c>
      <c r="AA25" s="15">
        <v>0.19</v>
      </c>
      <c r="AB25" s="15">
        <v>0.27</v>
      </c>
      <c r="AC25" s="15">
        <v>0.2</v>
      </c>
      <c r="AD25" s="15">
        <v>0.28999999999999998</v>
      </c>
      <c r="AE25" s="15">
        <v>0.19</v>
      </c>
      <c r="AF25" s="15">
        <v>0.14000000000000001</v>
      </c>
      <c r="AG25" s="15">
        <v>0.44</v>
      </c>
      <c r="AH25" s="15">
        <v>0.43</v>
      </c>
      <c r="AI25" s="15">
        <v>0.37</v>
      </c>
      <c r="AJ25" s="15">
        <v>0.3</v>
      </c>
      <c r="AK25" s="15">
        <v>0.39</v>
      </c>
      <c r="AL25" s="15">
        <v>0.28999999999999998</v>
      </c>
      <c r="AM25" s="15">
        <v>0.16</v>
      </c>
      <c r="AN25" s="15">
        <v>0.32</v>
      </c>
      <c r="AO25" s="15">
        <v>0.25</v>
      </c>
      <c r="AP25" s="15">
        <v>0.28999999999999998</v>
      </c>
      <c r="AQ25" s="15">
        <v>0.35</v>
      </c>
    </row>
    <row r="26" spans="1:43" x14ac:dyDescent="0.35">
      <c r="A26" s="19"/>
      <c r="B26" s="11" t="s">
        <v>1333</v>
      </c>
      <c r="C26" s="12">
        <v>689</v>
      </c>
      <c r="D26" s="12">
        <v>19</v>
      </c>
      <c r="E26" s="12">
        <v>26</v>
      </c>
      <c r="F26" s="12">
        <v>37</v>
      </c>
      <c r="G26" s="12">
        <v>27</v>
      </c>
      <c r="H26" s="12">
        <v>32</v>
      </c>
      <c r="I26" s="12">
        <v>44</v>
      </c>
      <c r="J26" s="12">
        <v>12</v>
      </c>
      <c r="K26" s="12">
        <v>66</v>
      </c>
      <c r="L26" s="12">
        <v>24</v>
      </c>
      <c r="M26" s="12">
        <v>151</v>
      </c>
      <c r="N26" s="12">
        <v>13</v>
      </c>
      <c r="O26" s="12">
        <v>15</v>
      </c>
      <c r="P26" s="12">
        <v>31</v>
      </c>
      <c r="Q26" s="12">
        <v>23</v>
      </c>
      <c r="R26" s="12">
        <v>22</v>
      </c>
      <c r="S26" s="12">
        <v>53</v>
      </c>
      <c r="T26" s="12">
        <v>85</v>
      </c>
      <c r="U26" s="12">
        <v>14</v>
      </c>
      <c r="V26" s="12">
        <v>57</v>
      </c>
      <c r="W26" s="12">
        <v>21</v>
      </c>
      <c r="X26" s="12">
        <v>33</v>
      </c>
      <c r="Y26" s="12">
        <v>54</v>
      </c>
      <c r="Z26" s="12">
        <v>9</v>
      </c>
      <c r="AA26" s="12">
        <v>4</v>
      </c>
      <c r="AB26" s="12">
        <v>20</v>
      </c>
      <c r="AC26" s="12">
        <v>31</v>
      </c>
      <c r="AD26" s="12">
        <v>78</v>
      </c>
      <c r="AE26" s="12">
        <v>15</v>
      </c>
      <c r="AF26" s="12">
        <v>13</v>
      </c>
      <c r="AG26" s="12">
        <v>8</v>
      </c>
      <c r="AH26" s="12">
        <v>39</v>
      </c>
      <c r="AI26" s="12">
        <v>6</v>
      </c>
      <c r="AJ26" s="12">
        <v>60</v>
      </c>
      <c r="AK26" s="12">
        <v>7</v>
      </c>
      <c r="AL26" s="12">
        <v>32</v>
      </c>
      <c r="AM26" s="12">
        <v>12</v>
      </c>
      <c r="AN26" s="12">
        <v>36</v>
      </c>
      <c r="AO26" s="12">
        <v>10</v>
      </c>
      <c r="AP26" s="12">
        <v>7</v>
      </c>
      <c r="AQ26" s="12">
        <v>40</v>
      </c>
    </row>
    <row r="27" spans="1:43" x14ac:dyDescent="0.35">
      <c r="A27" s="19"/>
      <c r="B27" s="13" t="s">
        <v>1334</v>
      </c>
      <c r="C27" s="15">
        <v>0.03</v>
      </c>
      <c r="D27" s="15">
        <v>0.02</v>
      </c>
      <c r="E27" s="15">
        <v>0.03</v>
      </c>
      <c r="F27" s="15">
        <v>0.04</v>
      </c>
      <c r="G27" s="15">
        <v>0.03</v>
      </c>
      <c r="H27" s="15">
        <v>0.03</v>
      </c>
      <c r="I27" s="15">
        <v>0.03</v>
      </c>
      <c r="J27" s="15">
        <v>0.04</v>
      </c>
      <c r="K27" s="15">
        <v>7.0000000000000007E-2</v>
      </c>
      <c r="L27" s="15">
        <v>0.03</v>
      </c>
      <c r="M27" s="15">
        <v>0.16</v>
      </c>
      <c r="N27" s="15">
        <v>0.01</v>
      </c>
      <c r="O27" s="15">
        <v>0.02</v>
      </c>
      <c r="P27" s="15">
        <v>0.03</v>
      </c>
      <c r="Q27" s="15">
        <v>0.02</v>
      </c>
      <c r="R27" s="15">
        <v>0.05</v>
      </c>
      <c r="S27" s="15">
        <v>0.06</v>
      </c>
      <c r="T27" s="15">
        <v>0.09</v>
      </c>
      <c r="U27" s="15">
        <v>0.03</v>
      </c>
      <c r="V27" s="15">
        <v>0.06</v>
      </c>
      <c r="W27" s="15">
        <v>0.04</v>
      </c>
      <c r="X27" s="15">
        <v>0.03</v>
      </c>
      <c r="Y27" s="15">
        <v>0.06</v>
      </c>
      <c r="Z27" s="15">
        <v>0.01</v>
      </c>
      <c r="AA27" s="14" t="s">
        <v>475</v>
      </c>
      <c r="AB27" s="15">
        <v>0.02</v>
      </c>
      <c r="AC27" s="15">
        <v>0.03</v>
      </c>
      <c r="AD27" s="15">
        <v>0.08</v>
      </c>
      <c r="AE27" s="15">
        <v>0.02</v>
      </c>
      <c r="AF27" s="15">
        <v>0.01</v>
      </c>
      <c r="AG27" s="15">
        <v>0.01</v>
      </c>
      <c r="AH27" s="15">
        <v>0.04</v>
      </c>
      <c r="AI27" s="15">
        <v>0.01</v>
      </c>
      <c r="AJ27" s="15">
        <v>0.06</v>
      </c>
      <c r="AK27" s="15">
        <v>0.01</v>
      </c>
      <c r="AL27" s="15">
        <v>0.04</v>
      </c>
      <c r="AM27" s="15">
        <v>0.01</v>
      </c>
      <c r="AN27" s="15">
        <v>0.04</v>
      </c>
      <c r="AO27" s="15">
        <v>0.01</v>
      </c>
      <c r="AP27" s="15">
        <v>0.01</v>
      </c>
      <c r="AQ27" s="15">
        <v>0.04</v>
      </c>
    </row>
    <row r="28" spans="1:43" ht="21.5" x14ac:dyDescent="0.35">
      <c r="A28" s="19"/>
      <c r="B28" s="11" t="s">
        <v>1335</v>
      </c>
      <c r="C28" s="12">
        <v>1342</v>
      </c>
      <c r="D28" s="12">
        <v>51</v>
      </c>
      <c r="E28" s="12">
        <v>16</v>
      </c>
      <c r="F28" s="12">
        <v>47</v>
      </c>
      <c r="G28" s="12">
        <v>34</v>
      </c>
      <c r="H28" s="12">
        <v>66</v>
      </c>
      <c r="I28" s="12">
        <v>84</v>
      </c>
      <c r="J28" s="12">
        <v>18</v>
      </c>
      <c r="K28" s="12">
        <v>66</v>
      </c>
      <c r="L28" s="12">
        <v>29</v>
      </c>
      <c r="M28" s="12">
        <v>95</v>
      </c>
      <c r="N28" s="12">
        <v>62</v>
      </c>
      <c r="O28" s="12">
        <v>28</v>
      </c>
      <c r="P28" s="12">
        <v>108</v>
      </c>
      <c r="Q28" s="12">
        <v>60</v>
      </c>
      <c r="R28" s="12">
        <v>16</v>
      </c>
      <c r="S28" s="12">
        <v>83</v>
      </c>
      <c r="T28" s="12">
        <v>89</v>
      </c>
      <c r="U28" s="12">
        <v>35</v>
      </c>
      <c r="V28" s="12">
        <v>72</v>
      </c>
      <c r="W28" s="12">
        <v>78</v>
      </c>
      <c r="X28" s="12">
        <v>20</v>
      </c>
      <c r="Y28" s="12">
        <v>66</v>
      </c>
      <c r="Z28" s="12">
        <v>37</v>
      </c>
      <c r="AA28" s="12">
        <v>9</v>
      </c>
      <c r="AB28" s="12">
        <v>39</v>
      </c>
      <c r="AC28" s="12">
        <v>75</v>
      </c>
      <c r="AD28" s="12">
        <v>178</v>
      </c>
      <c r="AE28" s="12">
        <v>54</v>
      </c>
      <c r="AF28" s="12">
        <v>103</v>
      </c>
      <c r="AG28" s="12">
        <v>1</v>
      </c>
      <c r="AH28" s="12">
        <v>39</v>
      </c>
      <c r="AI28" s="12">
        <v>12</v>
      </c>
      <c r="AJ28" s="12">
        <v>140</v>
      </c>
      <c r="AK28" s="12">
        <v>55</v>
      </c>
      <c r="AL28" s="12">
        <v>30</v>
      </c>
      <c r="AM28" s="12">
        <v>30</v>
      </c>
      <c r="AN28" s="12">
        <v>127</v>
      </c>
      <c r="AO28" s="12">
        <v>21</v>
      </c>
      <c r="AP28" s="12">
        <v>9</v>
      </c>
      <c r="AQ28" s="12">
        <v>15</v>
      </c>
    </row>
    <row r="29" spans="1:43" x14ac:dyDescent="0.35">
      <c r="A29" s="19"/>
      <c r="B29" s="13" t="s">
        <v>1336</v>
      </c>
      <c r="C29" s="15">
        <v>0.05</v>
      </c>
      <c r="D29" s="15">
        <v>0.05</v>
      </c>
      <c r="E29" s="15">
        <v>0.02</v>
      </c>
      <c r="F29" s="15">
        <v>0.05</v>
      </c>
      <c r="G29" s="15">
        <v>0.03</v>
      </c>
      <c r="H29" s="15">
        <v>0.06</v>
      </c>
      <c r="I29" s="15">
        <v>0.06</v>
      </c>
      <c r="J29" s="15">
        <v>0.06</v>
      </c>
      <c r="K29" s="15">
        <v>7.0000000000000007E-2</v>
      </c>
      <c r="L29" s="15">
        <v>0.03</v>
      </c>
      <c r="M29" s="15">
        <v>0.1</v>
      </c>
      <c r="N29" s="15">
        <v>7.0000000000000007E-2</v>
      </c>
      <c r="O29" s="15">
        <v>0.03</v>
      </c>
      <c r="P29" s="15">
        <v>0.11</v>
      </c>
      <c r="Q29" s="15">
        <v>0.06</v>
      </c>
      <c r="R29" s="15">
        <v>0.04</v>
      </c>
      <c r="S29" s="15">
        <v>0.09</v>
      </c>
      <c r="T29" s="15">
        <v>0.1</v>
      </c>
      <c r="U29" s="15">
        <v>7.0000000000000007E-2</v>
      </c>
      <c r="V29" s="15">
        <v>0.08</v>
      </c>
      <c r="W29" s="15">
        <v>0.16</v>
      </c>
      <c r="X29" s="15">
        <v>0.02</v>
      </c>
      <c r="Y29" s="15">
        <v>7.0000000000000007E-2</v>
      </c>
      <c r="Z29" s="15">
        <v>0.04</v>
      </c>
      <c r="AA29" s="15">
        <v>0.01</v>
      </c>
      <c r="AB29" s="15">
        <v>0.04</v>
      </c>
      <c r="AC29" s="15">
        <v>0.08</v>
      </c>
      <c r="AD29" s="15">
        <v>0.19</v>
      </c>
      <c r="AE29" s="15">
        <v>0.05</v>
      </c>
      <c r="AF29" s="15">
        <v>0.1</v>
      </c>
      <c r="AG29" s="14" t="s">
        <v>475</v>
      </c>
      <c r="AH29" s="15">
        <v>0.04</v>
      </c>
      <c r="AI29" s="15">
        <v>0.02</v>
      </c>
      <c r="AJ29" s="15">
        <v>0.15</v>
      </c>
      <c r="AK29" s="15">
        <v>0.06</v>
      </c>
      <c r="AL29" s="15">
        <v>0.03</v>
      </c>
      <c r="AM29" s="15">
        <v>0.03</v>
      </c>
      <c r="AN29" s="15">
        <v>0.13</v>
      </c>
      <c r="AO29" s="15">
        <v>0.02</v>
      </c>
      <c r="AP29" s="15">
        <v>0.02</v>
      </c>
      <c r="AQ29" s="15">
        <v>0.02</v>
      </c>
    </row>
    <row r="30" spans="1:43" x14ac:dyDescent="0.35">
      <c r="A30" s="19"/>
      <c r="B30" s="11" t="s">
        <v>611</v>
      </c>
      <c r="C30" s="12">
        <v>148</v>
      </c>
      <c r="D30" s="12">
        <v>7</v>
      </c>
      <c r="E30" s="12">
        <v>2</v>
      </c>
      <c r="F30" s="12">
        <v>5</v>
      </c>
      <c r="G30" s="12">
        <v>7</v>
      </c>
      <c r="H30" s="12">
        <v>3</v>
      </c>
      <c r="I30" s="12">
        <v>3</v>
      </c>
      <c r="J30" s="12">
        <v>0</v>
      </c>
      <c r="K30" s="12">
        <v>10</v>
      </c>
      <c r="L30" s="12">
        <v>3</v>
      </c>
      <c r="M30" s="12">
        <v>5</v>
      </c>
      <c r="N30" s="12">
        <v>11</v>
      </c>
      <c r="O30" s="12">
        <v>9</v>
      </c>
      <c r="P30" s="12">
        <v>6</v>
      </c>
      <c r="Q30" s="12">
        <v>6</v>
      </c>
      <c r="R30" s="12">
        <v>0</v>
      </c>
      <c r="S30" s="12">
        <v>19</v>
      </c>
      <c r="T30" s="12">
        <v>3</v>
      </c>
      <c r="U30" s="12">
        <v>9</v>
      </c>
      <c r="V30" s="12">
        <v>1</v>
      </c>
      <c r="W30" s="12">
        <v>8</v>
      </c>
      <c r="X30" s="12">
        <v>11</v>
      </c>
      <c r="Y30" s="12">
        <v>4</v>
      </c>
      <c r="Z30" s="12">
        <v>1</v>
      </c>
      <c r="AA30" s="12">
        <v>5</v>
      </c>
      <c r="AB30" s="12">
        <v>1</v>
      </c>
      <c r="AC30" s="12">
        <v>14</v>
      </c>
      <c r="AD30" s="12">
        <v>2</v>
      </c>
      <c r="AE30" s="12">
        <v>5</v>
      </c>
      <c r="AF30" s="12">
        <v>7</v>
      </c>
      <c r="AG30" s="12">
        <v>7</v>
      </c>
      <c r="AH30" s="12">
        <v>2</v>
      </c>
      <c r="AI30" s="12">
        <v>0</v>
      </c>
      <c r="AJ30" s="12">
        <v>3</v>
      </c>
      <c r="AK30" s="12">
        <v>1</v>
      </c>
      <c r="AL30" s="12">
        <v>4</v>
      </c>
      <c r="AM30" s="12">
        <v>2</v>
      </c>
      <c r="AN30" s="12">
        <v>10</v>
      </c>
      <c r="AO30" s="12">
        <v>8</v>
      </c>
      <c r="AP30" s="12">
        <v>6</v>
      </c>
      <c r="AQ30" s="12">
        <v>3</v>
      </c>
    </row>
    <row r="31" spans="1:43" x14ac:dyDescent="0.35">
      <c r="A31" s="19"/>
      <c r="B31" s="13" t="s">
        <v>612</v>
      </c>
      <c r="C31" s="15">
        <v>0.01</v>
      </c>
      <c r="D31" s="15">
        <v>0.01</v>
      </c>
      <c r="E31" s="14" t="s">
        <v>475</v>
      </c>
      <c r="F31" s="14" t="s">
        <v>475</v>
      </c>
      <c r="G31" s="15">
        <v>0.01</v>
      </c>
      <c r="H31" s="14" t="s">
        <v>475</v>
      </c>
      <c r="I31" s="14" t="s">
        <v>475</v>
      </c>
      <c r="J31" s="14" t="s">
        <v>475</v>
      </c>
      <c r="K31" s="15">
        <v>0.01</v>
      </c>
      <c r="L31" s="14" t="s">
        <v>475</v>
      </c>
      <c r="M31" s="15">
        <v>0.01</v>
      </c>
      <c r="N31" s="15">
        <v>0.01</v>
      </c>
      <c r="O31" s="15">
        <v>0.01</v>
      </c>
      <c r="P31" s="15">
        <v>0.01</v>
      </c>
      <c r="Q31" s="15">
        <v>0.01</v>
      </c>
      <c r="R31" s="14" t="s">
        <v>475</v>
      </c>
      <c r="S31" s="15">
        <v>0.02</v>
      </c>
      <c r="T31" s="14" t="s">
        <v>475</v>
      </c>
      <c r="U31" s="15">
        <v>0.02</v>
      </c>
      <c r="V31" s="14" t="s">
        <v>475</v>
      </c>
      <c r="W31" s="15">
        <v>0.02</v>
      </c>
      <c r="X31" s="15">
        <v>0.01</v>
      </c>
      <c r="Y31" s="14" t="s">
        <v>475</v>
      </c>
      <c r="Z31" s="14" t="s">
        <v>475</v>
      </c>
      <c r="AA31" s="14" t="s">
        <v>475</v>
      </c>
      <c r="AB31" s="14" t="s">
        <v>475</v>
      </c>
      <c r="AC31" s="15">
        <v>0.02</v>
      </c>
      <c r="AD31" s="14" t="s">
        <v>475</v>
      </c>
      <c r="AE31" s="15">
        <v>0.01</v>
      </c>
      <c r="AF31" s="15">
        <v>0.01</v>
      </c>
      <c r="AG31" s="15">
        <v>0.01</v>
      </c>
      <c r="AH31" s="14" t="s">
        <v>475</v>
      </c>
      <c r="AI31" s="14" t="s">
        <v>475</v>
      </c>
      <c r="AJ31" s="14" t="s">
        <v>475</v>
      </c>
      <c r="AK31" s="14" t="s">
        <v>475</v>
      </c>
      <c r="AL31" s="14" t="s">
        <v>475</v>
      </c>
      <c r="AM31" s="14" t="s">
        <v>475</v>
      </c>
      <c r="AN31" s="15">
        <v>0.01</v>
      </c>
      <c r="AO31" s="15">
        <v>0.01</v>
      </c>
      <c r="AP31" s="15">
        <v>0.01</v>
      </c>
      <c r="AQ31" s="14" t="s">
        <v>475</v>
      </c>
    </row>
    <row r="32" spans="1:43" ht="41.5" x14ac:dyDescent="0.35">
      <c r="A32" s="19"/>
      <c r="B32" s="11" t="s">
        <v>1337</v>
      </c>
      <c r="C32" s="12">
        <v>894</v>
      </c>
      <c r="D32" s="12">
        <v>23</v>
      </c>
      <c r="E32" s="12">
        <v>41</v>
      </c>
      <c r="F32" s="12">
        <v>9</v>
      </c>
      <c r="G32" s="12">
        <v>36</v>
      </c>
      <c r="H32" s="12">
        <v>43</v>
      </c>
      <c r="I32" s="12">
        <v>45</v>
      </c>
      <c r="J32" s="12">
        <v>2</v>
      </c>
      <c r="K32" s="12">
        <v>28</v>
      </c>
      <c r="L32" s="12">
        <v>17</v>
      </c>
      <c r="M32" s="12">
        <v>42</v>
      </c>
      <c r="N32" s="12">
        <v>65</v>
      </c>
      <c r="O32" s="12">
        <v>47</v>
      </c>
      <c r="P32" s="12">
        <v>11</v>
      </c>
      <c r="Q32" s="12">
        <v>46</v>
      </c>
      <c r="R32" s="12">
        <v>13</v>
      </c>
      <c r="S32" s="12">
        <v>28</v>
      </c>
      <c r="T32" s="12">
        <v>10</v>
      </c>
      <c r="U32" s="12">
        <v>20</v>
      </c>
      <c r="V32" s="12">
        <v>17</v>
      </c>
      <c r="W32" s="12">
        <v>7</v>
      </c>
      <c r="X32" s="12">
        <v>8</v>
      </c>
      <c r="Y32" s="12">
        <v>20</v>
      </c>
      <c r="Z32" s="12">
        <v>15</v>
      </c>
      <c r="AA32" s="12">
        <v>29</v>
      </c>
      <c r="AB32" s="12">
        <v>21</v>
      </c>
      <c r="AC32" s="12">
        <v>20</v>
      </c>
      <c r="AD32" s="12">
        <v>24</v>
      </c>
      <c r="AE32" s="12">
        <v>10</v>
      </c>
      <c r="AF32" s="12">
        <v>18</v>
      </c>
      <c r="AG32" s="12">
        <v>4</v>
      </c>
      <c r="AH32" s="12">
        <v>23</v>
      </c>
      <c r="AI32" s="12">
        <v>0</v>
      </c>
      <c r="AJ32" s="12">
        <v>13</v>
      </c>
      <c r="AK32" s="12">
        <v>1</v>
      </c>
      <c r="AL32" s="12">
        <v>42</v>
      </c>
      <c r="AM32" s="12">
        <v>36</v>
      </c>
      <c r="AN32" s="12">
        <v>18</v>
      </c>
      <c r="AO32" s="12">
        <v>30</v>
      </c>
      <c r="AP32" s="12">
        <v>1</v>
      </c>
      <c r="AQ32" s="12">
        <v>112</v>
      </c>
    </row>
    <row r="33" spans="1:43" ht="31.5" x14ac:dyDescent="0.35">
      <c r="A33" s="19"/>
      <c r="B33" s="13" t="s">
        <v>1338</v>
      </c>
      <c r="C33" s="15">
        <v>0.04</v>
      </c>
      <c r="D33" s="15">
        <v>0.02</v>
      </c>
      <c r="E33" s="15">
        <v>0.04</v>
      </c>
      <c r="F33" s="15">
        <v>0.01</v>
      </c>
      <c r="G33" s="15">
        <v>0.04</v>
      </c>
      <c r="H33" s="15">
        <v>0.04</v>
      </c>
      <c r="I33" s="15">
        <v>0.03</v>
      </c>
      <c r="J33" s="15">
        <v>0.01</v>
      </c>
      <c r="K33" s="15">
        <v>0.03</v>
      </c>
      <c r="L33" s="15">
        <v>0.02</v>
      </c>
      <c r="M33" s="15">
        <v>0.04</v>
      </c>
      <c r="N33" s="15">
        <v>7.0000000000000007E-2</v>
      </c>
      <c r="O33" s="15">
        <v>0.05</v>
      </c>
      <c r="P33" s="15">
        <v>0.01</v>
      </c>
      <c r="Q33" s="15">
        <v>0.05</v>
      </c>
      <c r="R33" s="15">
        <v>0.03</v>
      </c>
      <c r="S33" s="15">
        <v>0.03</v>
      </c>
      <c r="T33" s="15">
        <v>0.01</v>
      </c>
      <c r="U33" s="15">
        <v>0.04</v>
      </c>
      <c r="V33" s="15">
        <v>0.02</v>
      </c>
      <c r="W33" s="15">
        <v>0.01</v>
      </c>
      <c r="X33" s="15">
        <v>0.01</v>
      </c>
      <c r="Y33" s="15">
        <v>0.02</v>
      </c>
      <c r="Z33" s="15">
        <v>0.01</v>
      </c>
      <c r="AA33" s="15">
        <v>0.03</v>
      </c>
      <c r="AB33" s="15">
        <v>0.02</v>
      </c>
      <c r="AC33" s="15">
        <v>0.02</v>
      </c>
      <c r="AD33" s="15">
        <v>0.02</v>
      </c>
      <c r="AE33" s="15">
        <v>0.01</v>
      </c>
      <c r="AF33" s="15">
        <v>0.02</v>
      </c>
      <c r="AG33" s="14" t="s">
        <v>475</v>
      </c>
      <c r="AH33" s="15">
        <v>0.02</v>
      </c>
      <c r="AI33" s="14" t="s">
        <v>475</v>
      </c>
      <c r="AJ33" s="15">
        <v>0.01</v>
      </c>
      <c r="AK33" s="14" t="s">
        <v>475</v>
      </c>
      <c r="AL33" s="15">
        <v>0.05</v>
      </c>
      <c r="AM33" s="15">
        <v>0.04</v>
      </c>
      <c r="AN33" s="15">
        <v>0.02</v>
      </c>
      <c r="AO33" s="15">
        <v>0.03</v>
      </c>
      <c r="AP33" s="14" t="s">
        <v>475</v>
      </c>
      <c r="AQ33" s="15">
        <v>0.12</v>
      </c>
    </row>
    <row r="34" spans="1:43" x14ac:dyDescent="0.35">
      <c r="A34" s="19"/>
      <c r="B34" s="11" t="s">
        <v>485</v>
      </c>
      <c r="C34" s="12">
        <v>395</v>
      </c>
      <c r="D34" s="12">
        <v>4</v>
      </c>
      <c r="E34" s="12">
        <v>16</v>
      </c>
      <c r="F34" s="12">
        <v>16</v>
      </c>
      <c r="G34" s="12">
        <v>32</v>
      </c>
      <c r="H34" s="12">
        <v>9</v>
      </c>
      <c r="I34" s="12">
        <v>10</v>
      </c>
      <c r="J34" s="12">
        <v>1</v>
      </c>
      <c r="K34" s="12">
        <v>21</v>
      </c>
      <c r="L34" s="12">
        <v>19</v>
      </c>
      <c r="M34" s="12">
        <v>19</v>
      </c>
      <c r="N34" s="12">
        <v>23</v>
      </c>
      <c r="O34" s="12">
        <v>32</v>
      </c>
      <c r="P34" s="12">
        <v>4</v>
      </c>
      <c r="Q34" s="12">
        <v>9</v>
      </c>
      <c r="R34" s="12">
        <v>12</v>
      </c>
      <c r="S34" s="12">
        <v>82</v>
      </c>
      <c r="T34" s="12">
        <v>9</v>
      </c>
      <c r="U34" s="12">
        <v>10</v>
      </c>
      <c r="V34" s="12">
        <v>4</v>
      </c>
      <c r="W34" s="12">
        <v>15</v>
      </c>
      <c r="X34" s="12">
        <v>2</v>
      </c>
      <c r="Y34" s="12">
        <v>10</v>
      </c>
      <c r="Z34" s="12">
        <v>14</v>
      </c>
      <c r="AA34" s="12">
        <v>8</v>
      </c>
      <c r="AB34" s="12">
        <v>4</v>
      </c>
      <c r="AC34" s="12">
        <v>5</v>
      </c>
      <c r="AD34" s="12">
        <v>4</v>
      </c>
      <c r="AE34" s="12">
        <v>51</v>
      </c>
      <c r="AF34" s="12">
        <v>18</v>
      </c>
      <c r="AG34" s="12">
        <v>16</v>
      </c>
      <c r="AH34" s="12">
        <v>32</v>
      </c>
      <c r="AI34" s="12">
        <v>5</v>
      </c>
      <c r="AJ34" s="12">
        <v>3</v>
      </c>
      <c r="AK34" s="12">
        <v>0</v>
      </c>
      <c r="AL34" s="12">
        <v>137</v>
      </c>
      <c r="AM34" s="12">
        <v>36</v>
      </c>
      <c r="AN34" s="12">
        <v>3</v>
      </c>
      <c r="AO34" s="12">
        <v>9</v>
      </c>
      <c r="AP34" s="12">
        <v>12</v>
      </c>
      <c r="AQ34" s="12">
        <v>86</v>
      </c>
    </row>
    <row r="35" spans="1:43" x14ac:dyDescent="0.35">
      <c r="A35" s="19"/>
      <c r="B35" s="13" t="s">
        <v>486</v>
      </c>
      <c r="C35" s="15">
        <v>0.02</v>
      </c>
      <c r="D35" s="14" t="s">
        <v>475</v>
      </c>
      <c r="E35" s="15">
        <v>0.02</v>
      </c>
      <c r="F35" s="15">
        <v>0.02</v>
      </c>
      <c r="G35" s="15">
        <v>0.03</v>
      </c>
      <c r="H35" s="15">
        <v>0.01</v>
      </c>
      <c r="I35" s="15">
        <v>0.01</v>
      </c>
      <c r="J35" s="15">
        <v>0.01</v>
      </c>
      <c r="K35" s="15">
        <v>0.02</v>
      </c>
      <c r="L35" s="15">
        <v>0.02</v>
      </c>
      <c r="M35" s="15">
        <v>0.02</v>
      </c>
      <c r="N35" s="15">
        <v>0.03</v>
      </c>
      <c r="O35" s="15">
        <v>0.03</v>
      </c>
      <c r="P35" s="14" t="s">
        <v>475</v>
      </c>
      <c r="Q35" s="15">
        <v>0.01</v>
      </c>
      <c r="R35" s="15">
        <v>0.03</v>
      </c>
      <c r="S35" s="15">
        <v>0.09</v>
      </c>
      <c r="T35" s="15">
        <v>0.01</v>
      </c>
      <c r="U35" s="15">
        <v>0.02</v>
      </c>
      <c r="V35" s="14" t="s">
        <v>475</v>
      </c>
      <c r="W35" s="15">
        <v>0.03</v>
      </c>
      <c r="X35" s="14" t="s">
        <v>475</v>
      </c>
      <c r="Y35" s="15">
        <v>0.01</v>
      </c>
      <c r="Z35" s="15">
        <v>0.01</v>
      </c>
      <c r="AA35" s="15">
        <v>0.01</v>
      </c>
      <c r="AB35" s="14" t="s">
        <v>475</v>
      </c>
      <c r="AC35" s="15">
        <v>0.01</v>
      </c>
      <c r="AD35" s="14" t="s">
        <v>475</v>
      </c>
      <c r="AE35" s="15">
        <v>0.05</v>
      </c>
      <c r="AF35" s="15">
        <v>0.02</v>
      </c>
      <c r="AG35" s="15">
        <v>0.02</v>
      </c>
      <c r="AH35" s="15">
        <v>0.03</v>
      </c>
      <c r="AI35" s="15">
        <v>0.01</v>
      </c>
      <c r="AJ35" s="14" t="s">
        <v>475</v>
      </c>
      <c r="AK35" s="14" t="s">
        <v>475</v>
      </c>
      <c r="AL35" s="15">
        <v>0.15</v>
      </c>
      <c r="AM35" s="15">
        <v>0.04</v>
      </c>
      <c r="AN35" s="14" t="s">
        <v>475</v>
      </c>
      <c r="AO35" s="15">
        <v>0.01</v>
      </c>
      <c r="AP35" s="15">
        <v>0.02</v>
      </c>
      <c r="AQ35" s="15">
        <v>0.09</v>
      </c>
    </row>
    <row r="36" spans="1:43" x14ac:dyDescent="0.35">
      <c r="A36" s="19"/>
      <c r="B36" s="11" t="s">
        <v>1339</v>
      </c>
      <c r="C36" s="12">
        <v>11182</v>
      </c>
      <c r="D36" s="12">
        <v>448</v>
      </c>
      <c r="E36" s="12">
        <v>461</v>
      </c>
      <c r="F36" s="12">
        <v>492</v>
      </c>
      <c r="G36" s="12">
        <v>496</v>
      </c>
      <c r="H36" s="12">
        <v>503</v>
      </c>
      <c r="I36" s="12">
        <v>626</v>
      </c>
      <c r="J36" s="12">
        <v>124</v>
      </c>
      <c r="K36" s="12">
        <v>449</v>
      </c>
      <c r="L36" s="12">
        <v>408</v>
      </c>
      <c r="M36" s="12">
        <v>543</v>
      </c>
      <c r="N36" s="12">
        <v>421</v>
      </c>
      <c r="O36" s="12">
        <v>364</v>
      </c>
      <c r="P36" s="12">
        <v>505</v>
      </c>
      <c r="Q36" s="12">
        <v>399</v>
      </c>
      <c r="R36" s="12">
        <v>259</v>
      </c>
      <c r="S36" s="12">
        <v>476</v>
      </c>
      <c r="T36" s="12">
        <v>553</v>
      </c>
      <c r="U36" s="12">
        <v>242</v>
      </c>
      <c r="V36" s="12">
        <v>569</v>
      </c>
      <c r="W36" s="12">
        <v>283</v>
      </c>
      <c r="X36" s="12">
        <v>477</v>
      </c>
      <c r="Y36" s="12">
        <v>511</v>
      </c>
      <c r="Z36" s="12">
        <v>432</v>
      </c>
      <c r="AA36" s="12">
        <v>334</v>
      </c>
      <c r="AB36" s="12">
        <v>434</v>
      </c>
      <c r="AC36" s="12">
        <v>431</v>
      </c>
      <c r="AD36" s="12">
        <v>582</v>
      </c>
      <c r="AE36" s="12">
        <v>518</v>
      </c>
      <c r="AF36" s="12">
        <v>526</v>
      </c>
      <c r="AG36" s="12">
        <v>523</v>
      </c>
      <c r="AH36" s="12">
        <v>564</v>
      </c>
      <c r="AI36" s="12">
        <v>295</v>
      </c>
      <c r="AJ36" s="12">
        <v>526</v>
      </c>
      <c r="AK36" s="12">
        <v>515</v>
      </c>
      <c r="AL36" s="12">
        <v>425</v>
      </c>
      <c r="AM36" s="12">
        <v>414</v>
      </c>
      <c r="AN36" s="12">
        <v>542</v>
      </c>
      <c r="AO36" s="12">
        <v>398</v>
      </c>
      <c r="AP36" s="12">
        <v>218</v>
      </c>
      <c r="AQ36" s="12">
        <v>386</v>
      </c>
    </row>
    <row r="37" spans="1:43" x14ac:dyDescent="0.35">
      <c r="A37" s="19"/>
      <c r="B37" s="13" t="s">
        <v>1340</v>
      </c>
      <c r="C37" s="15">
        <v>0.45</v>
      </c>
      <c r="D37" s="15">
        <v>0.45</v>
      </c>
      <c r="E37" s="15">
        <v>0.49</v>
      </c>
      <c r="F37" s="15">
        <v>0.48</v>
      </c>
      <c r="G37" s="15">
        <v>0.51</v>
      </c>
      <c r="H37" s="15">
        <v>0.45</v>
      </c>
      <c r="I37" s="15">
        <v>0.44</v>
      </c>
      <c r="J37" s="15">
        <v>0.43</v>
      </c>
      <c r="K37" s="15">
        <v>0.49</v>
      </c>
      <c r="L37" s="15">
        <v>0.43</v>
      </c>
      <c r="M37" s="15">
        <v>0.56999999999999995</v>
      </c>
      <c r="N37" s="15">
        <v>0.46</v>
      </c>
      <c r="O37" s="15">
        <v>0.4</v>
      </c>
      <c r="P37" s="15">
        <v>0.51</v>
      </c>
      <c r="Q37" s="15">
        <v>0.42</v>
      </c>
      <c r="R37" s="15">
        <v>0.56999999999999995</v>
      </c>
      <c r="S37" s="15">
        <v>0.5</v>
      </c>
      <c r="T37" s="15">
        <v>0.59</v>
      </c>
      <c r="U37" s="15">
        <v>0.49</v>
      </c>
      <c r="V37" s="15">
        <v>0.59</v>
      </c>
      <c r="W37" s="15">
        <v>0.56000000000000005</v>
      </c>
      <c r="X37" s="15">
        <v>0.49</v>
      </c>
      <c r="Y37" s="15">
        <v>0.56999999999999995</v>
      </c>
      <c r="Z37" s="15">
        <v>0.43</v>
      </c>
      <c r="AA37" s="15">
        <v>0.34</v>
      </c>
      <c r="AB37" s="15">
        <v>0.43</v>
      </c>
      <c r="AC37" s="15">
        <v>0.48</v>
      </c>
      <c r="AD37" s="15">
        <v>0.6</v>
      </c>
      <c r="AE37" s="15">
        <v>0.52</v>
      </c>
      <c r="AF37" s="15">
        <v>0.5</v>
      </c>
      <c r="AG37" s="15">
        <v>0.51</v>
      </c>
      <c r="AH37" s="15">
        <v>0.56999999999999995</v>
      </c>
      <c r="AI37" s="15">
        <v>0.57999999999999996</v>
      </c>
      <c r="AJ37" s="15">
        <v>0.54</v>
      </c>
      <c r="AK37" s="15">
        <v>0.51</v>
      </c>
      <c r="AL37" s="15">
        <v>0.46</v>
      </c>
      <c r="AM37" s="15">
        <v>0.44</v>
      </c>
      <c r="AN37" s="15">
        <v>0.56000000000000005</v>
      </c>
      <c r="AO37" s="15">
        <v>0.42</v>
      </c>
      <c r="AP37" s="15">
        <v>0.42</v>
      </c>
      <c r="AQ37" s="15">
        <v>0.42</v>
      </c>
    </row>
  </sheetData>
  <mergeCells count="10">
    <mergeCell ref="B4:F4"/>
    <mergeCell ref="A36:A37"/>
    <mergeCell ref="H3:L3"/>
    <mergeCell ref="B3:F3"/>
    <mergeCell ref="B5:F5"/>
    <mergeCell ref="C8:AQ8"/>
    <mergeCell ref="H5:L5"/>
    <mergeCell ref="B10:B11"/>
    <mergeCell ref="H4:L4"/>
    <mergeCell ref="A10:A35"/>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Q37"/>
  <sheetViews>
    <sheetView workbookViewId="0">
      <pane xSplit="3" ySplit="9" topLeftCell="D32" activePane="bottomRight" state="frozen"/>
      <selection pane="topRight"/>
      <selection pane="bottomLeft"/>
      <selection pane="bottomRight" activeCell="B36" sqref="A36:XFD37"/>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311</v>
      </c>
      <c r="C3" s="18"/>
      <c r="D3" s="18"/>
      <c r="E3" s="18"/>
      <c r="F3" s="18"/>
      <c r="H3" s="18" t="s">
        <v>312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HYPERLINK("#Content!A158","&lt;&lt;Back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1324</v>
      </c>
      <c r="C12" s="12">
        <v>14259</v>
      </c>
      <c r="D12" s="12">
        <v>481</v>
      </c>
      <c r="E12" s="12">
        <v>676</v>
      </c>
      <c r="F12" s="12">
        <v>553</v>
      </c>
      <c r="G12" s="12">
        <v>294</v>
      </c>
      <c r="H12" s="12">
        <v>656</v>
      </c>
      <c r="I12" s="12">
        <v>863</v>
      </c>
      <c r="J12" s="12">
        <v>207</v>
      </c>
      <c r="K12" s="12">
        <v>422</v>
      </c>
      <c r="L12" s="12">
        <v>403</v>
      </c>
      <c r="M12" s="12">
        <v>553</v>
      </c>
      <c r="N12" s="12">
        <v>449</v>
      </c>
      <c r="O12" s="12">
        <v>527</v>
      </c>
      <c r="P12" s="12">
        <v>667</v>
      </c>
      <c r="Q12" s="12">
        <v>666</v>
      </c>
      <c r="R12" s="12">
        <v>218</v>
      </c>
      <c r="S12" s="12">
        <v>367</v>
      </c>
      <c r="T12" s="12">
        <v>559</v>
      </c>
      <c r="U12" s="12">
        <v>164</v>
      </c>
      <c r="V12" s="12">
        <v>487</v>
      </c>
      <c r="W12" s="12">
        <v>189</v>
      </c>
      <c r="X12" s="12">
        <v>391</v>
      </c>
      <c r="Y12" s="12">
        <v>519</v>
      </c>
      <c r="Z12" s="12">
        <v>567</v>
      </c>
      <c r="AA12" s="12">
        <v>827</v>
      </c>
      <c r="AB12" s="12">
        <v>797</v>
      </c>
      <c r="AC12" s="12">
        <v>371</v>
      </c>
      <c r="AD12" s="12">
        <v>525</v>
      </c>
      <c r="AE12" s="12">
        <v>361</v>
      </c>
      <c r="AF12" s="12">
        <v>207</v>
      </c>
      <c r="AG12" s="12">
        <v>557</v>
      </c>
      <c r="AH12" s="12">
        <v>634</v>
      </c>
      <c r="AI12" s="12">
        <v>201</v>
      </c>
      <c r="AJ12" s="12">
        <v>578</v>
      </c>
      <c r="AK12" s="12">
        <v>756</v>
      </c>
      <c r="AL12" s="12">
        <v>228</v>
      </c>
      <c r="AM12" s="12">
        <v>298</v>
      </c>
      <c r="AN12" s="12">
        <v>556</v>
      </c>
      <c r="AO12" s="12">
        <v>595</v>
      </c>
      <c r="AP12" s="12">
        <v>156</v>
      </c>
      <c r="AQ12" s="12">
        <v>353</v>
      </c>
    </row>
    <row r="13" spans="1:43" ht="21.5" x14ac:dyDescent="0.35">
      <c r="A13" s="19"/>
      <c r="B13" s="13" t="s">
        <v>1325</v>
      </c>
      <c r="C13" s="15">
        <v>0.54</v>
      </c>
      <c r="D13" s="15">
        <v>0.47</v>
      </c>
      <c r="E13" s="15">
        <v>0.66</v>
      </c>
      <c r="F13" s="15">
        <v>0.5</v>
      </c>
      <c r="G13" s="15">
        <v>0.28999999999999998</v>
      </c>
      <c r="H13" s="15">
        <v>0.54</v>
      </c>
      <c r="I13" s="15">
        <v>0.57000000000000006</v>
      </c>
      <c r="J13" s="15">
        <v>0.70000000000000007</v>
      </c>
      <c r="K13" s="15">
        <v>0.42</v>
      </c>
      <c r="L13" s="15">
        <v>0.4</v>
      </c>
      <c r="M13" s="15">
        <v>0.55000000000000004</v>
      </c>
      <c r="N13" s="15">
        <v>0.45</v>
      </c>
      <c r="O13" s="15">
        <v>0.53</v>
      </c>
      <c r="P13" s="15">
        <v>0.66</v>
      </c>
      <c r="Q13" s="15">
        <v>0.65</v>
      </c>
      <c r="R13" s="15">
        <v>0.43</v>
      </c>
      <c r="S13" s="15">
        <v>0.37</v>
      </c>
      <c r="T13" s="15">
        <v>0.56000000000000005</v>
      </c>
      <c r="U13" s="15">
        <v>0.32</v>
      </c>
      <c r="V13" s="15">
        <v>0.48</v>
      </c>
      <c r="W13" s="15">
        <v>0.37</v>
      </c>
      <c r="X13" s="15">
        <v>0.39</v>
      </c>
      <c r="Y13" s="15">
        <v>0.52</v>
      </c>
      <c r="Z13" s="15">
        <v>0.55000000000000004</v>
      </c>
      <c r="AA13" s="15">
        <v>0.8</v>
      </c>
      <c r="AB13" s="15">
        <v>0.76</v>
      </c>
      <c r="AC13" s="15">
        <v>0.37</v>
      </c>
      <c r="AD13" s="15">
        <v>0.52</v>
      </c>
      <c r="AE13" s="15">
        <v>0.36</v>
      </c>
      <c r="AF13" s="15">
        <v>0.2</v>
      </c>
      <c r="AG13" s="15">
        <v>0.54</v>
      </c>
      <c r="AH13" s="15">
        <v>0.63</v>
      </c>
      <c r="AI13" s="15">
        <v>0.38</v>
      </c>
      <c r="AJ13" s="15">
        <v>0.56000000000000005</v>
      </c>
      <c r="AK13" s="15">
        <v>0.75</v>
      </c>
      <c r="AL13" s="15">
        <v>0.22</v>
      </c>
      <c r="AM13" s="15">
        <v>0.28999999999999998</v>
      </c>
      <c r="AN13" s="15">
        <v>0.55000000000000004</v>
      </c>
      <c r="AO13" s="15">
        <v>0.59</v>
      </c>
      <c r="AP13" s="15">
        <v>0.3</v>
      </c>
      <c r="AQ13" s="15">
        <v>0.35</v>
      </c>
    </row>
    <row r="14" spans="1:43" ht="21.5" x14ac:dyDescent="0.35">
      <c r="A14" s="19"/>
      <c r="B14" s="11" t="s">
        <v>1326</v>
      </c>
      <c r="C14" s="12">
        <v>13260</v>
      </c>
      <c r="D14" s="12">
        <v>452</v>
      </c>
      <c r="E14" s="12">
        <v>563</v>
      </c>
      <c r="F14" s="12">
        <v>547</v>
      </c>
      <c r="G14" s="12">
        <v>664</v>
      </c>
      <c r="H14" s="12">
        <v>548</v>
      </c>
      <c r="I14" s="12">
        <v>693</v>
      </c>
      <c r="J14" s="12">
        <v>144</v>
      </c>
      <c r="K14" s="12">
        <v>405</v>
      </c>
      <c r="L14" s="12">
        <v>523</v>
      </c>
      <c r="M14" s="12">
        <v>522</v>
      </c>
      <c r="N14" s="12">
        <v>385</v>
      </c>
      <c r="O14" s="12">
        <v>476</v>
      </c>
      <c r="P14" s="12">
        <v>585</v>
      </c>
      <c r="Q14" s="12">
        <v>540</v>
      </c>
      <c r="R14" s="12">
        <v>209</v>
      </c>
      <c r="S14" s="12">
        <v>443</v>
      </c>
      <c r="T14" s="12">
        <v>444</v>
      </c>
      <c r="U14" s="12">
        <v>206</v>
      </c>
      <c r="V14" s="12">
        <v>442</v>
      </c>
      <c r="W14" s="12">
        <v>189</v>
      </c>
      <c r="X14" s="12">
        <v>482</v>
      </c>
      <c r="Y14" s="12">
        <v>478</v>
      </c>
      <c r="Z14" s="12">
        <v>580</v>
      </c>
      <c r="AA14" s="12">
        <v>838</v>
      </c>
      <c r="AB14" s="12">
        <v>686</v>
      </c>
      <c r="AC14" s="12">
        <v>510</v>
      </c>
      <c r="AD14" s="12">
        <v>593</v>
      </c>
      <c r="AE14" s="12">
        <v>492</v>
      </c>
      <c r="AF14" s="12">
        <v>704</v>
      </c>
      <c r="AG14" s="12">
        <v>677</v>
      </c>
      <c r="AH14" s="12">
        <v>473</v>
      </c>
      <c r="AI14" s="12">
        <v>299</v>
      </c>
      <c r="AJ14" s="12">
        <v>506</v>
      </c>
      <c r="AK14" s="12">
        <v>587</v>
      </c>
      <c r="AL14" s="12">
        <v>340</v>
      </c>
      <c r="AM14" s="12">
        <v>453</v>
      </c>
      <c r="AN14" s="12">
        <v>488</v>
      </c>
      <c r="AO14" s="12">
        <v>537</v>
      </c>
      <c r="AP14" s="12">
        <v>323</v>
      </c>
      <c r="AQ14" s="12">
        <v>368</v>
      </c>
    </row>
    <row r="15" spans="1:43" x14ac:dyDescent="0.35">
      <c r="A15" s="19"/>
      <c r="B15" s="13" t="s">
        <v>1327</v>
      </c>
      <c r="C15" s="15">
        <v>0.5</v>
      </c>
      <c r="D15" s="15">
        <v>0.45</v>
      </c>
      <c r="E15" s="15">
        <v>0.55000000000000004</v>
      </c>
      <c r="F15" s="15">
        <v>0.5</v>
      </c>
      <c r="G15" s="15">
        <v>0.66</v>
      </c>
      <c r="H15" s="15">
        <v>0.45</v>
      </c>
      <c r="I15" s="15">
        <v>0.46</v>
      </c>
      <c r="J15" s="15">
        <v>0.49</v>
      </c>
      <c r="K15" s="15">
        <v>0.4</v>
      </c>
      <c r="L15" s="15">
        <v>0.52</v>
      </c>
      <c r="M15" s="15">
        <v>0.52</v>
      </c>
      <c r="N15" s="15">
        <v>0.38</v>
      </c>
      <c r="O15" s="15">
        <v>0.48</v>
      </c>
      <c r="P15" s="15">
        <v>0.57999999999999996</v>
      </c>
      <c r="Q15" s="15">
        <v>0.53</v>
      </c>
      <c r="R15" s="15">
        <v>0.41</v>
      </c>
      <c r="S15" s="15">
        <v>0.44</v>
      </c>
      <c r="T15" s="15">
        <v>0.44</v>
      </c>
      <c r="U15" s="15">
        <v>0.41</v>
      </c>
      <c r="V15" s="15">
        <v>0.44</v>
      </c>
      <c r="W15" s="15">
        <v>0.37</v>
      </c>
      <c r="X15" s="15">
        <v>0.48</v>
      </c>
      <c r="Y15" s="15">
        <v>0.48</v>
      </c>
      <c r="Z15" s="15">
        <v>0.56000000000000005</v>
      </c>
      <c r="AA15" s="15">
        <v>0.81</v>
      </c>
      <c r="AB15" s="15">
        <v>0.65</v>
      </c>
      <c r="AC15" s="15">
        <v>0.51</v>
      </c>
      <c r="AD15" s="15">
        <v>0.59</v>
      </c>
      <c r="AE15" s="15">
        <v>0.49</v>
      </c>
      <c r="AF15" s="15">
        <v>0.68</v>
      </c>
      <c r="AG15" s="15">
        <v>0.65</v>
      </c>
      <c r="AH15" s="15">
        <v>0.47</v>
      </c>
      <c r="AI15" s="15">
        <v>0.57000000000000006</v>
      </c>
      <c r="AJ15" s="15">
        <v>0.49</v>
      </c>
      <c r="AK15" s="15">
        <v>0.57999999999999996</v>
      </c>
      <c r="AL15" s="15">
        <v>0.34</v>
      </c>
      <c r="AM15" s="15">
        <v>0.44</v>
      </c>
      <c r="AN15" s="15">
        <v>0.49</v>
      </c>
      <c r="AO15" s="15">
        <v>0.53</v>
      </c>
      <c r="AP15" s="15">
        <v>0.62</v>
      </c>
      <c r="AQ15" s="15">
        <v>0.37</v>
      </c>
    </row>
    <row r="16" spans="1:43" x14ac:dyDescent="0.35">
      <c r="A16" s="19"/>
      <c r="B16" s="11" t="s">
        <v>1300</v>
      </c>
      <c r="C16" s="12">
        <v>6483</v>
      </c>
      <c r="D16" s="12">
        <v>339</v>
      </c>
      <c r="E16" s="12">
        <v>145</v>
      </c>
      <c r="F16" s="12">
        <v>263</v>
      </c>
      <c r="G16" s="12">
        <v>305</v>
      </c>
      <c r="H16" s="12">
        <v>425</v>
      </c>
      <c r="I16" s="12">
        <v>504</v>
      </c>
      <c r="J16" s="12">
        <v>79</v>
      </c>
      <c r="K16" s="12">
        <v>230</v>
      </c>
      <c r="L16" s="12">
        <v>237</v>
      </c>
      <c r="M16" s="12">
        <v>159</v>
      </c>
      <c r="N16" s="12">
        <v>169</v>
      </c>
      <c r="O16" s="12">
        <v>243</v>
      </c>
      <c r="P16" s="12">
        <v>174</v>
      </c>
      <c r="Q16" s="12">
        <v>267</v>
      </c>
      <c r="R16" s="12">
        <v>52</v>
      </c>
      <c r="S16" s="12">
        <v>105</v>
      </c>
      <c r="T16" s="12">
        <v>159</v>
      </c>
      <c r="U16" s="12">
        <v>209</v>
      </c>
      <c r="V16" s="12">
        <v>92</v>
      </c>
      <c r="W16" s="12">
        <v>113</v>
      </c>
      <c r="X16" s="12">
        <v>445</v>
      </c>
      <c r="Y16" s="12">
        <v>400</v>
      </c>
      <c r="Z16" s="12">
        <v>65</v>
      </c>
      <c r="AA16" s="12">
        <v>316</v>
      </c>
      <c r="AB16" s="12">
        <v>78</v>
      </c>
      <c r="AC16" s="12">
        <v>172</v>
      </c>
      <c r="AD16" s="12">
        <v>226</v>
      </c>
      <c r="AE16" s="12">
        <v>455</v>
      </c>
      <c r="AF16" s="12">
        <v>440</v>
      </c>
      <c r="AG16" s="12">
        <v>155</v>
      </c>
      <c r="AH16" s="12">
        <v>62</v>
      </c>
      <c r="AI16" s="12">
        <v>72</v>
      </c>
      <c r="AJ16" s="12">
        <v>161</v>
      </c>
      <c r="AK16" s="12">
        <v>22</v>
      </c>
      <c r="AL16" s="12">
        <v>48</v>
      </c>
      <c r="AM16" s="12">
        <v>187</v>
      </c>
      <c r="AN16" s="12">
        <v>75</v>
      </c>
      <c r="AO16" s="12">
        <v>33</v>
      </c>
      <c r="AP16" s="12">
        <v>91</v>
      </c>
      <c r="AQ16" s="12">
        <v>24</v>
      </c>
    </row>
    <row r="17" spans="1:43" x14ac:dyDescent="0.35">
      <c r="A17" s="19"/>
      <c r="B17" s="13" t="s">
        <v>1301</v>
      </c>
      <c r="C17" s="15">
        <v>0.25</v>
      </c>
      <c r="D17" s="15">
        <v>0.33</v>
      </c>
      <c r="E17" s="15">
        <v>0.14000000000000001</v>
      </c>
      <c r="F17" s="15">
        <v>0.24</v>
      </c>
      <c r="G17" s="15">
        <v>0.3</v>
      </c>
      <c r="H17" s="15">
        <v>0.35</v>
      </c>
      <c r="I17" s="15">
        <v>0.33</v>
      </c>
      <c r="J17" s="15">
        <v>0.27</v>
      </c>
      <c r="K17" s="15">
        <v>0.23</v>
      </c>
      <c r="L17" s="15">
        <v>0.24</v>
      </c>
      <c r="M17" s="15">
        <v>0.16</v>
      </c>
      <c r="N17" s="15">
        <v>0.17</v>
      </c>
      <c r="O17" s="15">
        <v>0.24</v>
      </c>
      <c r="P17" s="15">
        <v>0.17</v>
      </c>
      <c r="Q17" s="15">
        <v>0.26</v>
      </c>
      <c r="R17" s="15">
        <v>0.1</v>
      </c>
      <c r="S17" s="15">
        <v>0.1</v>
      </c>
      <c r="T17" s="15">
        <v>0.16</v>
      </c>
      <c r="U17" s="15">
        <v>0.41</v>
      </c>
      <c r="V17" s="15">
        <v>0.09</v>
      </c>
      <c r="W17" s="15">
        <v>0.22</v>
      </c>
      <c r="X17" s="15">
        <v>0.44</v>
      </c>
      <c r="Y17" s="15">
        <v>0.4</v>
      </c>
      <c r="Z17" s="15">
        <v>0.06</v>
      </c>
      <c r="AA17" s="15">
        <v>0.31</v>
      </c>
      <c r="AB17" s="15">
        <v>7.0000000000000007E-2</v>
      </c>
      <c r="AC17" s="15">
        <v>0.17</v>
      </c>
      <c r="AD17" s="15">
        <v>0.22</v>
      </c>
      <c r="AE17" s="15">
        <v>0.45</v>
      </c>
      <c r="AF17" s="15">
        <v>0.42</v>
      </c>
      <c r="AG17" s="15">
        <v>0.15</v>
      </c>
      <c r="AH17" s="15">
        <v>0.06</v>
      </c>
      <c r="AI17" s="15">
        <v>0.14000000000000001</v>
      </c>
      <c r="AJ17" s="15">
        <v>0.16</v>
      </c>
      <c r="AK17" s="15">
        <v>0.02</v>
      </c>
      <c r="AL17" s="15">
        <v>0.05</v>
      </c>
      <c r="AM17" s="15">
        <v>0.18</v>
      </c>
      <c r="AN17" s="15">
        <v>7.0000000000000007E-2</v>
      </c>
      <c r="AO17" s="15">
        <v>0.03</v>
      </c>
      <c r="AP17" s="15">
        <v>0.17</v>
      </c>
      <c r="AQ17" s="15">
        <v>0.02</v>
      </c>
    </row>
    <row r="18" spans="1:43" x14ac:dyDescent="0.35">
      <c r="A18" s="19"/>
      <c r="B18" s="11" t="s">
        <v>1304</v>
      </c>
      <c r="C18" s="12">
        <v>8700</v>
      </c>
      <c r="D18" s="12">
        <v>415</v>
      </c>
      <c r="E18" s="12">
        <v>265</v>
      </c>
      <c r="F18" s="12">
        <v>392</v>
      </c>
      <c r="G18" s="12">
        <v>525</v>
      </c>
      <c r="H18" s="12">
        <v>525</v>
      </c>
      <c r="I18" s="12">
        <v>696</v>
      </c>
      <c r="J18" s="12">
        <v>172</v>
      </c>
      <c r="K18" s="12">
        <v>431</v>
      </c>
      <c r="L18" s="12">
        <v>453</v>
      </c>
      <c r="M18" s="12">
        <v>256</v>
      </c>
      <c r="N18" s="12">
        <v>291</v>
      </c>
      <c r="O18" s="12">
        <v>318</v>
      </c>
      <c r="P18" s="12">
        <v>366</v>
      </c>
      <c r="Q18" s="12">
        <v>217</v>
      </c>
      <c r="R18" s="12">
        <v>159</v>
      </c>
      <c r="S18" s="12">
        <v>320</v>
      </c>
      <c r="T18" s="12">
        <v>281</v>
      </c>
      <c r="U18" s="12">
        <v>196</v>
      </c>
      <c r="V18" s="12">
        <v>223</v>
      </c>
      <c r="W18" s="12">
        <v>112</v>
      </c>
      <c r="X18" s="12">
        <v>332</v>
      </c>
      <c r="Y18" s="12">
        <v>451</v>
      </c>
      <c r="Z18" s="12">
        <v>240</v>
      </c>
      <c r="AA18" s="12">
        <v>329</v>
      </c>
      <c r="AB18" s="12">
        <v>144</v>
      </c>
      <c r="AC18" s="12">
        <v>408</v>
      </c>
      <c r="AD18" s="12">
        <v>582</v>
      </c>
      <c r="AE18" s="12">
        <v>388</v>
      </c>
      <c r="AF18" s="12">
        <v>588</v>
      </c>
      <c r="AG18" s="12">
        <v>28</v>
      </c>
      <c r="AH18" s="12">
        <v>84</v>
      </c>
      <c r="AI18" s="12">
        <v>12</v>
      </c>
      <c r="AJ18" s="12">
        <v>127</v>
      </c>
      <c r="AK18" s="12">
        <v>10</v>
      </c>
      <c r="AL18" s="12">
        <v>102</v>
      </c>
      <c r="AM18" s="12">
        <v>234</v>
      </c>
      <c r="AN18" s="12">
        <v>83</v>
      </c>
      <c r="AO18" s="12">
        <v>43</v>
      </c>
      <c r="AP18" s="12">
        <v>34</v>
      </c>
      <c r="AQ18" s="12">
        <v>26</v>
      </c>
    </row>
    <row r="19" spans="1:43" x14ac:dyDescent="0.35">
      <c r="A19" s="19"/>
      <c r="B19" s="13" t="s">
        <v>1305</v>
      </c>
      <c r="C19" s="15">
        <v>0.33</v>
      </c>
      <c r="D19" s="15">
        <v>0.41</v>
      </c>
      <c r="E19" s="15">
        <v>0.26</v>
      </c>
      <c r="F19" s="15">
        <v>0.36</v>
      </c>
      <c r="G19" s="15">
        <v>0.52</v>
      </c>
      <c r="H19" s="15">
        <v>0.43</v>
      </c>
      <c r="I19" s="15">
        <v>0.46</v>
      </c>
      <c r="J19" s="15">
        <v>0.57999999999999996</v>
      </c>
      <c r="K19" s="15">
        <v>0.43</v>
      </c>
      <c r="L19" s="15">
        <v>0.45</v>
      </c>
      <c r="M19" s="15">
        <v>0.25</v>
      </c>
      <c r="N19" s="15">
        <v>0.28999999999999998</v>
      </c>
      <c r="O19" s="15">
        <v>0.32</v>
      </c>
      <c r="P19" s="15">
        <v>0.36</v>
      </c>
      <c r="Q19" s="15">
        <v>0.21</v>
      </c>
      <c r="R19" s="15">
        <v>0.32</v>
      </c>
      <c r="S19" s="15">
        <v>0.32</v>
      </c>
      <c r="T19" s="15">
        <v>0.28000000000000003</v>
      </c>
      <c r="U19" s="15">
        <v>0.39</v>
      </c>
      <c r="V19" s="15">
        <v>0.22</v>
      </c>
      <c r="W19" s="15">
        <v>0.22</v>
      </c>
      <c r="X19" s="15">
        <v>0.33</v>
      </c>
      <c r="Y19" s="15">
        <v>0.45</v>
      </c>
      <c r="Z19" s="15">
        <v>0.23</v>
      </c>
      <c r="AA19" s="15">
        <v>0.32</v>
      </c>
      <c r="AB19" s="15">
        <v>0.14000000000000001</v>
      </c>
      <c r="AC19" s="15">
        <v>0.41</v>
      </c>
      <c r="AD19" s="15">
        <v>0.57999999999999996</v>
      </c>
      <c r="AE19" s="15">
        <v>0.38</v>
      </c>
      <c r="AF19" s="15">
        <v>0.56000000000000005</v>
      </c>
      <c r="AG19" s="15">
        <v>0.03</v>
      </c>
      <c r="AH19" s="15">
        <v>0.08</v>
      </c>
      <c r="AI19" s="15">
        <v>0.02</v>
      </c>
      <c r="AJ19" s="15">
        <v>0.12</v>
      </c>
      <c r="AK19" s="15">
        <v>0.01</v>
      </c>
      <c r="AL19" s="15">
        <v>0.1</v>
      </c>
      <c r="AM19" s="15">
        <v>0.22</v>
      </c>
      <c r="AN19" s="15">
        <v>0.08</v>
      </c>
      <c r="AO19" s="15">
        <v>0.04</v>
      </c>
      <c r="AP19" s="15">
        <v>0.06</v>
      </c>
      <c r="AQ19" s="15">
        <v>0.03</v>
      </c>
    </row>
    <row r="20" spans="1:43" ht="41.5" x14ac:dyDescent="0.35">
      <c r="A20" s="19"/>
      <c r="B20" s="11" t="s">
        <v>1328</v>
      </c>
      <c r="C20" s="12">
        <v>10470</v>
      </c>
      <c r="D20" s="12">
        <v>435</v>
      </c>
      <c r="E20" s="12">
        <v>300</v>
      </c>
      <c r="F20" s="12">
        <v>509</v>
      </c>
      <c r="G20" s="12">
        <v>492</v>
      </c>
      <c r="H20" s="12">
        <v>441</v>
      </c>
      <c r="I20" s="12">
        <v>526</v>
      </c>
      <c r="J20" s="12">
        <v>85</v>
      </c>
      <c r="K20" s="12">
        <v>433</v>
      </c>
      <c r="L20" s="12">
        <v>371</v>
      </c>
      <c r="M20" s="12">
        <v>545</v>
      </c>
      <c r="N20" s="12">
        <v>432</v>
      </c>
      <c r="O20" s="12">
        <v>341</v>
      </c>
      <c r="P20" s="12">
        <v>436</v>
      </c>
      <c r="Q20" s="12">
        <v>390</v>
      </c>
      <c r="R20" s="12">
        <v>247</v>
      </c>
      <c r="S20" s="12">
        <v>528</v>
      </c>
      <c r="T20" s="12">
        <v>507</v>
      </c>
      <c r="U20" s="12">
        <v>281</v>
      </c>
      <c r="V20" s="12">
        <v>619</v>
      </c>
      <c r="W20" s="12">
        <v>243</v>
      </c>
      <c r="X20" s="12">
        <v>516</v>
      </c>
      <c r="Y20" s="12">
        <v>431</v>
      </c>
      <c r="Z20" s="12">
        <v>406</v>
      </c>
      <c r="AA20" s="12">
        <v>258</v>
      </c>
      <c r="AB20" s="12">
        <v>289</v>
      </c>
      <c r="AC20" s="12">
        <v>419</v>
      </c>
      <c r="AD20" s="12">
        <v>468</v>
      </c>
      <c r="AE20" s="12">
        <v>614</v>
      </c>
      <c r="AF20" s="12">
        <v>576</v>
      </c>
      <c r="AG20" s="12">
        <v>316</v>
      </c>
      <c r="AH20" s="12">
        <v>377</v>
      </c>
      <c r="AI20" s="12">
        <v>221</v>
      </c>
      <c r="AJ20" s="12">
        <v>473</v>
      </c>
      <c r="AK20" s="12">
        <v>312</v>
      </c>
      <c r="AL20" s="12">
        <v>433</v>
      </c>
      <c r="AM20" s="12">
        <v>403</v>
      </c>
      <c r="AN20" s="12">
        <v>422</v>
      </c>
      <c r="AO20" s="12">
        <v>361</v>
      </c>
      <c r="AP20" s="12">
        <v>193</v>
      </c>
      <c r="AQ20" s="12">
        <v>233</v>
      </c>
    </row>
    <row r="21" spans="1:43" ht="31.5" x14ac:dyDescent="0.35">
      <c r="A21" s="19"/>
      <c r="B21" s="13" t="s">
        <v>1329</v>
      </c>
      <c r="C21" s="15">
        <v>0.4</v>
      </c>
      <c r="D21" s="15">
        <v>0.43</v>
      </c>
      <c r="E21" s="15">
        <v>0.28999999999999998</v>
      </c>
      <c r="F21" s="15">
        <v>0.46</v>
      </c>
      <c r="G21" s="15">
        <v>0.49</v>
      </c>
      <c r="H21" s="15">
        <v>0.36</v>
      </c>
      <c r="I21" s="15">
        <v>0.35</v>
      </c>
      <c r="J21" s="15">
        <v>0.28999999999999998</v>
      </c>
      <c r="K21" s="15">
        <v>0.43</v>
      </c>
      <c r="L21" s="15">
        <v>0.37</v>
      </c>
      <c r="M21" s="15">
        <v>0.54</v>
      </c>
      <c r="N21" s="15">
        <v>0.43</v>
      </c>
      <c r="O21" s="15">
        <v>0.34</v>
      </c>
      <c r="P21" s="15">
        <v>0.43</v>
      </c>
      <c r="Q21" s="15">
        <v>0.38</v>
      </c>
      <c r="R21" s="15">
        <v>0.49</v>
      </c>
      <c r="S21" s="15">
        <v>0.53</v>
      </c>
      <c r="T21" s="15">
        <v>0.5</v>
      </c>
      <c r="U21" s="15">
        <v>0.56000000000000005</v>
      </c>
      <c r="V21" s="15">
        <v>0.61</v>
      </c>
      <c r="W21" s="15">
        <v>0.48</v>
      </c>
      <c r="X21" s="15">
        <v>0.51</v>
      </c>
      <c r="Y21" s="15">
        <v>0.43</v>
      </c>
      <c r="Z21" s="15">
        <v>0.39</v>
      </c>
      <c r="AA21" s="15">
        <v>0.25</v>
      </c>
      <c r="AB21" s="15">
        <v>0.27</v>
      </c>
      <c r="AC21" s="15">
        <v>0.42</v>
      </c>
      <c r="AD21" s="15">
        <v>0.47</v>
      </c>
      <c r="AE21" s="15">
        <v>0.61</v>
      </c>
      <c r="AF21" s="15">
        <v>0.55000000000000004</v>
      </c>
      <c r="AG21" s="15">
        <v>0.31</v>
      </c>
      <c r="AH21" s="15">
        <v>0.37</v>
      </c>
      <c r="AI21" s="15">
        <v>0.42</v>
      </c>
      <c r="AJ21" s="15">
        <v>0.46</v>
      </c>
      <c r="AK21" s="15">
        <v>0.31</v>
      </c>
      <c r="AL21" s="15">
        <v>0.43</v>
      </c>
      <c r="AM21" s="15">
        <v>0.39</v>
      </c>
      <c r="AN21" s="15">
        <v>0.42</v>
      </c>
      <c r="AO21" s="15">
        <v>0.36</v>
      </c>
      <c r="AP21" s="15">
        <v>0.37</v>
      </c>
      <c r="AQ21" s="15">
        <v>0.23</v>
      </c>
    </row>
    <row r="22" spans="1:43" x14ac:dyDescent="0.35">
      <c r="A22" s="19"/>
      <c r="B22" s="11" t="s">
        <v>1330</v>
      </c>
      <c r="C22" s="12">
        <v>2150</v>
      </c>
      <c r="D22" s="12">
        <v>53</v>
      </c>
      <c r="E22" s="12">
        <v>77</v>
      </c>
      <c r="F22" s="12">
        <v>126</v>
      </c>
      <c r="G22" s="12">
        <v>162</v>
      </c>
      <c r="H22" s="12">
        <v>115</v>
      </c>
      <c r="I22" s="12">
        <v>135</v>
      </c>
      <c r="J22" s="12">
        <v>20</v>
      </c>
      <c r="K22" s="12">
        <v>76</v>
      </c>
      <c r="L22" s="12">
        <v>126</v>
      </c>
      <c r="M22" s="12">
        <v>52</v>
      </c>
      <c r="N22" s="12">
        <v>58</v>
      </c>
      <c r="O22" s="12">
        <v>57</v>
      </c>
      <c r="P22" s="12">
        <v>97</v>
      </c>
      <c r="Q22" s="12">
        <v>68</v>
      </c>
      <c r="R22" s="12">
        <v>51</v>
      </c>
      <c r="S22" s="12">
        <v>52</v>
      </c>
      <c r="T22" s="12">
        <v>130</v>
      </c>
      <c r="U22" s="12">
        <v>37</v>
      </c>
      <c r="V22" s="12">
        <v>170</v>
      </c>
      <c r="W22" s="12">
        <v>79</v>
      </c>
      <c r="X22" s="12">
        <v>158</v>
      </c>
      <c r="Y22" s="12">
        <v>117</v>
      </c>
      <c r="Z22" s="12">
        <v>50</v>
      </c>
      <c r="AA22" s="12">
        <v>31</v>
      </c>
      <c r="AB22" s="12">
        <v>97</v>
      </c>
      <c r="AC22" s="12">
        <v>76</v>
      </c>
      <c r="AD22" s="12">
        <v>183</v>
      </c>
      <c r="AE22" s="12">
        <v>106</v>
      </c>
      <c r="AF22" s="12">
        <v>178</v>
      </c>
      <c r="AG22" s="12">
        <v>19</v>
      </c>
      <c r="AH22" s="12">
        <v>148</v>
      </c>
      <c r="AI22" s="12">
        <v>6</v>
      </c>
      <c r="AJ22" s="12">
        <v>143</v>
      </c>
      <c r="AK22" s="12">
        <v>47</v>
      </c>
      <c r="AL22" s="12">
        <v>66</v>
      </c>
      <c r="AM22" s="12">
        <v>100</v>
      </c>
      <c r="AN22" s="12">
        <v>68</v>
      </c>
      <c r="AO22" s="12">
        <v>27</v>
      </c>
      <c r="AP22" s="12">
        <v>8</v>
      </c>
      <c r="AQ22" s="12">
        <v>38</v>
      </c>
    </row>
    <row r="23" spans="1:43" x14ac:dyDescent="0.35">
      <c r="A23" s="19"/>
      <c r="B23" s="13" t="s">
        <v>1331</v>
      </c>
      <c r="C23" s="15">
        <v>0.08</v>
      </c>
      <c r="D23" s="15">
        <v>0.05</v>
      </c>
      <c r="E23" s="15">
        <v>0.08</v>
      </c>
      <c r="F23" s="15">
        <v>0.11</v>
      </c>
      <c r="G23" s="15">
        <v>0.16</v>
      </c>
      <c r="H23" s="15">
        <v>0.09</v>
      </c>
      <c r="I23" s="15">
        <v>0.09</v>
      </c>
      <c r="J23" s="15">
        <v>7.0000000000000007E-2</v>
      </c>
      <c r="K23" s="15">
        <v>0.08</v>
      </c>
      <c r="L23" s="15">
        <v>0.13</v>
      </c>
      <c r="M23" s="15">
        <v>0.05</v>
      </c>
      <c r="N23" s="15">
        <v>0.06</v>
      </c>
      <c r="O23" s="15">
        <v>0.06</v>
      </c>
      <c r="P23" s="15">
        <v>0.1</v>
      </c>
      <c r="Q23" s="15">
        <v>7.0000000000000007E-2</v>
      </c>
      <c r="R23" s="15">
        <v>0.1</v>
      </c>
      <c r="S23" s="15">
        <v>0.05</v>
      </c>
      <c r="T23" s="15">
        <v>0.13</v>
      </c>
      <c r="U23" s="15">
        <v>7.0000000000000007E-2</v>
      </c>
      <c r="V23" s="15">
        <v>0.17</v>
      </c>
      <c r="W23" s="15">
        <v>0.16</v>
      </c>
      <c r="X23" s="15">
        <v>0.16</v>
      </c>
      <c r="Y23" s="15">
        <v>0.12</v>
      </c>
      <c r="Z23" s="15">
        <v>0.05</v>
      </c>
      <c r="AA23" s="15">
        <v>0.03</v>
      </c>
      <c r="AB23" s="15">
        <v>0.09</v>
      </c>
      <c r="AC23" s="15">
        <v>0.08</v>
      </c>
      <c r="AD23" s="15">
        <v>0.18</v>
      </c>
      <c r="AE23" s="15">
        <v>0.1</v>
      </c>
      <c r="AF23" s="15">
        <v>0.17</v>
      </c>
      <c r="AG23" s="15">
        <v>0.02</v>
      </c>
      <c r="AH23" s="15">
        <v>0.15</v>
      </c>
      <c r="AI23" s="15">
        <v>0.01</v>
      </c>
      <c r="AJ23" s="15">
        <v>0.14000000000000001</v>
      </c>
      <c r="AK23" s="15">
        <v>0.05</v>
      </c>
      <c r="AL23" s="15">
        <v>7.0000000000000007E-2</v>
      </c>
      <c r="AM23" s="15">
        <v>0.1</v>
      </c>
      <c r="AN23" s="15">
        <v>7.0000000000000007E-2</v>
      </c>
      <c r="AO23" s="15">
        <v>0.03</v>
      </c>
      <c r="AP23" s="15">
        <v>0.01</v>
      </c>
      <c r="AQ23" s="15">
        <v>0.04</v>
      </c>
    </row>
    <row r="24" spans="1:43" ht="21.5" x14ac:dyDescent="0.35">
      <c r="A24" s="19"/>
      <c r="B24" s="11" t="s">
        <v>1332</v>
      </c>
      <c r="C24" s="12">
        <v>6826</v>
      </c>
      <c r="D24" s="12">
        <v>282</v>
      </c>
      <c r="E24" s="12">
        <v>379</v>
      </c>
      <c r="F24" s="12">
        <v>330</v>
      </c>
      <c r="G24" s="12">
        <v>279</v>
      </c>
      <c r="H24" s="12">
        <v>308</v>
      </c>
      <c r="I24" s="12">
        <v>403</v>
      </c>
      <c r="J24" s="12">
        <v>95</v>
      </c>
      <c r="K24" s="12">
        <v>333</v>
      </c>
      <c r="L24" s="12">
        <v>300</v>
      </c>
      <c r="M24" s="12">
        <v>384</v>
      </c>
      <c r="N24" s="12">
        <v>282</v>
      </c>
      <c r="O24" s="12">
        <v>240</v>
      </c>
      <c r="P24" s="12">
        <v>362</v>
      </c>
      <c r="Q24" s="12">
        <v>158</v>
      </c>
      <c r="R24" s="12">
        <v>247</v>
      </c>
      <c r="S24" s="12">
        <v>341</v>
      </c>
      <c r="T24" s="12">
        <v>408</v>
      </c>
      <c r="U24" s="12">
        <v>114</v>
      </c>
      <c r="V24" s="12">
        <v>347</v>
      </c>
      <c r="W24" s="12">
        <v>239</v>
      </c>
      <c r="X24" s="12">
        <v>222</v>
      </c>
      <c r="Y24" s="12">
        <v>381</v>
      </c>
      <c r="Z24" s="12">
        <v>267</v>
      </c>
      <c r="AA24" s="12">
        <v>206</v>
      </c>
      <c r="AB24" s="12">
        <v>319</v>
      </c>
      <c r="AC24" s="12">
        <v>250</v>
      </c>
      <c r="AD24" s="12">
        <v>366</v>
      </c>
      <c r="AE24" s="12">
        <v>258</v>
      </c>
      <c r="AF24" s="12">
        <v>198</v>
      </c>
      <c r="AG24" s="12">
        <v>600</v>
      </c>
      <c r="AH24" s="12">
        <v>563</v>
      </c>
      <c r="AI24" s="12">
        <v>268</v>
      </c>
      <c r="AJ24" s="12">
        <v>424</v>
      </c>
      <c r="AK24" s="12">
        <v>488</v>
      </c>
      <c r="AL24" s="12">
        <v>424</v>
      </c>
      <c r="AM24" s="12">
        <v>263</v>
      </c>
      <c r="AN24" s="12">
        <v>445</v>
      </c>
      <c r="AO24" s="12">
        <v>410</v>
      </c>
      <c r="AP24" s="12">
        <v>266</v>
      </c>
      <c r="AQ24" s="12">
        <v>569</v>
      </c>
    </row>
    <row r="25" spans="1:43" x14ac:dyDescent="0.35">
      <c r="A25" s="19"/>
      <c r="B25" s="13" t="s">
        <v>1317</v>
      </c>
      <c r="C25" s="15">
        <v>0.26</v>
      </c>
      <c r="D25" s="15">
        <v>0.28000000000000003</v>
      </c>
      <c r="E25" s="15">
        <v>0.37</v>
      </c>
      <c r="F25" s="15">
        <v>0.3</v>
      </c>
      <c r="G25" s="15">
        <v>0.28000000000000003</v>
      </c>
      <c r="H25" s="15">
        <v>0.25</v>
      </c>
      <c r="I25" s="15">
        <v>0.27</v>
      </c>
      <c r="J25" s="15">
        <v>0.32</v>
      </c>
      <c r="K25" s="15">
        <v>0.33</v>
      </c>
      <c r="L25" s="15">
        <v>0.3</v>
      </c>
      <c r="M25" s="15">
        <v>0.38</v>
      </c>
      <c r="N25" s="15">
        <v>0.28000000000000003</v>
      </c>
      <c r="O25" s="15">
        <v>0.24</v>
      </c>
      <c r="P25" s="15">
        <v>0.36</v>
      </c>
      <c r="Q25" s="15">
        <v>0.15</v>
      </c>
      <c r="R25" s="15">
        <v>0.49</v>
      </c>
      <c r="S25" s="15">
        <v>0.34</v>
      </c>
      <c r="T25" s="15">
        <v>0.41</v>
      </c>
      <c r="U25" s="15">
        <v>0.23</v>
      </c>
      <c r="V25" s="15">
        <v>0.34</v>
      </c>
      <c r="W25" s="15">
        <v>0.47</v>
      </c>
      <c r="X25" s="15">
        <v>0.22</v>
      </c>
      <c r="Y25" s="15">
        <v>0.38</v>
      </c>
      <c r="Z25" s="15">
        <v>0.26</v>
      </c>
      <c r="AA25" s="15">
        <v>0.2</v>
      </c>
      <c r="AB25" s="15">
        <v>0.3</v>
      </c>
      <c r="AC25" s="15">
        <v>0.25</v>
      </c>
      <c r="AD25" s="15">
        <v>0.36</v>
      </c>
      <c r="AE25" s="15">
        <v>0.25</v>
      </c>
      <c r="AF25" s="15">
        <v>0.19</v>
      </c>
      <c r="AG25" s="15">
        <v>0.57999999999999996</v>
      </c>
      <c r="AH25" s="15">
        <v>0.56000000000000005</v>
      </c>
      <c r="AI25" s="15">
        <v>0.51</v>
      </c>
      <c r="AJ25" s="15">
        <v>0.41</v>
      </c>
      <c r="AK25" s="15">
        <v>0.48</v>
      </c>
      <c r="AL25" s="15">
        <v>0.42</v>
      </c>
      <c r="AM25" s="15">
        <v>0.25</v>
      </c>
      <c r="AN25" s="15">
        <v>0.44</v>
      </c>
      <c r="AO25" s="15">
        <v>0.41</v>
      </c>
      <c r="AP25" s="15">
        <v>0.51</v>
      </c>
      <c r="AQ25" s="15">
        <v>0.57000000000000006</v>
      </c>
    </row>
    <row r="26" spans="1:43" x14ac:dyDescent="0.35">
      <c r="A26" s="19"/>
      <c r="B26" s="11" t="s">
        <v>1333</v>
      </c>
      <c r="C26" s="12">
        <v>789</v>
      </c>
      <c r="D26" s="12">
        <v>23</v>
      </c>
      <c r="E26" s="12">
        <v>27</v>
      </c>
      <c r="F26" s="12">
        <v>43</v>
      </c>
      <c r="G26" s="12">
        <v>28</v>
      </c>
      <c r="H26" s="12">
        <v>41</v>
      </c>
      <c r="I26" s="12">
        <v>53</v>
      </c>
      <c r="J26" s="12">
        <v>12</v>
      </c>
      <c r="K26" s="12">
        <v>75</v>
      </c>
      <c r="L26" s="12">
        <v>26</v>
      </c>
      <c r="M26" s="12">
        <v>180</v>
      </c>
      <c r="N26" s="12">
        <v>13</v>
      </c>
      <c r="O26" s="12">
        <v>16</v>
      </c>
      <c r="P26" s="12">
        <v>33</v>
      </c>
      <c r="Q26" s="12">
        <v>29</v>
      </c>
      <c r="R26" s="12">
        <v>24</v>
      </c>
      <c r="S26" s="12">
        <v>68</v>
      </c>
      <c r="T26" s="12">
        <v>88</v>
      </c>
      <c r="U26" s="12">
        <v>17</v>
      </c>
      <c r="V26" s="12">
        <v>61</v>
      </c>
      <c r="W26" s="12">
        <v>24</v>
      </c>
      <c r="X26" s="12">
        <v>38</v>
      </c>
      <c r="Y26" s="12">
        <v>60</v>
      </c>
      <c r="Z26" s="12">
        <v>10</v>
      </c>
      <c r="AA26" s="12">
        <v>4</v>
      </c>
      <c r="AB26" s="12">
        <v>24</v>
      </c>
      <c r="AC26" s="12">
        <v>34</v>
      </c>
      <c r="AD26" s="12">
        <v>83</v>
      </c>
      <c r="AE26" s="12">
        <v>16</v>
      </c>
      <c r="AF26" s="12">
        <v>14</v>
      </c>
      <c r="AG26" s="12">
        <v>9</v>
      </c>
      <c r="AH26" s="12">
        <v>41</v>
      </c>
      <c r="AI26" s="12">
        <v>7</v>
      </c>
      <c r="AJ26" s="12">
        <v>65</v>
      </c>
      <c r="AK26" s="12">
        <v>7</v>
      </c>
      <c r="AL26" s="12">
        <v>55</v>
      </c>
      <c r="AM26" s="12">
        <v>21</v>
      </c>
      <c r="AN26" s="12">
        <v>43</v>
      </c>
      <c r="AO26" s="12">
        <v>11</v>
      </c>
      <c r="AP26" s="12">
        <v>8</v>
      </c>
      <c r="AQ26" s="12">
        <v>47</v>
      </c>
    </row>
    <row r="27" spans="1:43" x14ac:dyDescent="0.35">
      <c r="A27" s="19"/>
      <c r="B27" s="13" t="s">
        <v>1334</v>
      </c>
      <c r="C27" s="15">
        <v>0.03</v>
      </c>
      <c r="D27" s="15">
        <v>0.02</v>
      </c>
      <c r="E27" s="15">
        <v>0.03</v>
      </c>
      <c r="F27" s="15">
        <v>0.04</v>
      </c>
      <c r="G27" s="15">
        <v>0.03</v>
      </c>
      <c r="H27" s="15">
        <v>0.03</v>
      </c>
      <c r="I27" s="15">
        <v>0.04</v>
      </c>
      <c r="J27" s="15">
        <v>0.04</v>
      </c>
      <c r="K27" s="15">
        <v>7.0000000000000007E-2</v>
      </c>
      <c r="L27" s="15">
        <v>0.03</v>
      </c>
      <c r="M27" s="15">
        <v>0.18</v>
      </c>
      <c r="N27" s="15">
        <v>0.01</v>
      </c>
      <c r="O27" s="15">
        <v>0.02</v>
      </c>
      <c r="P27" s="15">
        <v>0.03</v>
      </c>
      <c r="Q27" s="15">
        <v>0.03</v>
      </c>
      <c r="R27" s="15">
        <v>0.05</v>
      </c>
      <c r="S27" s="15">
        <v>7.0000000000000007E-2</v>
      </c>
      <c r="T27" s="15">
        <v>0.09</v>
      </c>
      <c r="U27" s="15">
        <v>0.03</v>
      </c>
      <c r="V27" s="15">
        <v>0.06</v>
      </c>
      <c r="W27" s="15">
        <v>0.05</v>
      </c>
      <c r="X27" s="15">
        <v>0.04</v>
      </c>
      <c r="Y27" s="15">
        <v>0.06</v>
      </c>
      <c r="Z27" s="15">
        <v>0.01</v>
      </c>
      <c r="AA27" s="14" t="s">
        <v>475</v>
      </c>
      <c r="AB27" s="15">
        <v>0.02</v>
      </c>
      <c r="AC27" s="15">
        <v>0.03</v>
      </c>
      <c r="AD27" s="15">
        <v>0.08</v>
      </c>
      <c r="AE27" s="15">
        <v>0.02</v>
      </c>
      <c r="AF27" s="15">
        <v>0.01</v>
      </c>
      <c r="AG27" s="15">
        <v>0.01</v>
      </c>
      <c r="AH27" s="15">
        <v>0.04</v>
      </c>
      <c r="AI27" s="15">
        <v>0.01</v>
      </c>
      <c r="AJ27" s="15">
        <v>0.06</v>
      </c>
      <c r="AK27" s="15">
        <v>0.01</v>
      </c>
      <c r="AL27" s="15">
        <v>0.05</v>
      </c>
      <c r="AM27" s="15">
        <v>0.02</v>
      </c>
      <c r="AN27" s="15">
        <v>0.04</v>
      </c>
      <c r="AO27" s="15">
        <v>0.01</v>
      </c>
      <c r="AP27" s="15">
        <v>0.02</v>
      </c>
      <c r="AQ27" s="15">
        <v>0.05</v>
      </c>
    </row>
    <row r="28" spans="1:43" ht="21.5" x14ac:dyDescent="0.35">
      <c r="A28" s="19"/>
      <c r="B28" s="11" t="s">
        <v>1335</v>
      </c>
      <c r="C28" s="12">
        <v>1636</v>
      </c>
      <c r="D28" s="12">
        <v>63</v>
      </c>
      <c r="E28" s="12">
        <v>17</v>
      </c>
      <c r="F28" s="12">
        <v>58</v>
      </c>
      <c r="G28" s="12">
        <v>40</v>
      </c>
      <c r="H28" s="12">
        <v>75</v>
      </c>
      <c r="I28" s="12">
        <v>100</v>
      </c>
      <c r="J28" s="12">
        <v>25</v>
      </c>
      <c r="K28" s="12">
        <v>75</v>
      </c>
      <c r="L28" s="12">
        <v>33</v>
      </c>
      <c r="M28" s="12">
        <v>110</v>
      </c>
      <c r="N28" s="12">
        <v>75</v>
      </c>
      <c r="O28" s="12">
        <v>35</v>
      </c>
      <c r="P28" s="12">
        <v>117</v>
      </c>
      <c r="Q28" s="12">
        <v>71</v>
      </c>
      <c r="R28" s="12">
        <v>22</v>
      </c>
      <c r="S28" s="12">
        <v>109</v>
      </c>
      <c r="T28" s="12">
        <v>97</v>
      </c>
      <c r="U28" s="12">
        <v>44</v>
      </c>
      <c r="V28" s="12">
        <v>87</v>
      </c>
      <c r="W28" s="12">
        <v>86</v>
      </c>
      <c r="X28" s="12">
        <v>26</v>
      </c>
      <c r="Y28" s="12">
        <v>72</v>
      </c>
      <c r="Z28" s="12">
        <v>57</v>
      </c>
      <c r="AA28" s="12">
        <v>13</v>
      </c>
      <c r="AB28" s="12">
        <v>48</v>
      </c>
      <c r="AC28" s="12">
        <v>88</v>
      </c>
      <c r="AD28" s="12">
        <v>205</v>
      </c>
      <c r="AE28" s="12">
        <v>66</v>
      </c>
      <c r="AF28" s="12">
        <v>127</v>
      </c>
      <c r="AG28" s="12">
        <v>1</v>
      </c>
      <c r="AH28" s="12">
        <v>40</v>
      </c>
      <c r="AI28" s="12">
        <v>14</v>
      </c>
      <c r="AJ28" s="12">
        <v>167</v>
      </c>
      <c r="AK28" s="12">
        <v>94</v>
      </c>
      <c r="AL28" s="12">
        <v>43</v>
      </c>
      <c r="AM28" s="12">
        <v>40</v>
      </c>
      <c r="AN28" s="12">
        <v>151</v>
      </c>
      <c r="AO28" s="12">
        <v>25</v>
      </c>
      <c r="AP28" s="12">
        <v>13</v>
      </c>
      <c r="AQ28" s="12">
        <v>22</v>
      </c>
    </row>
    <row r="29" spans="1:43" x14ac:dyDescent="0.35">
      <c r="A29" s="19"/>
      <c r="B29" s="13" t="s">
        <v>1336</v>
      </c>
      <c r="C29" s="15">
        <v>0.06</v>
      </c>
      <c r="D29" s="15">
        <v>0.06</v>
      </c>
      <c r="E29" s="15">
        <v>0.02</v>
      </c>
      <c r="F29" s="15">
        <v>0.05</v>
      </c>
      <c r="G29" s="15">
        <v>0.04</v>
      </c>
      <c r="H29" s="15">
        <v>0.06</v>
      </c>
      <c r="I29" s="15">
        <v>7.0000000000000007E-2</v>
      </c>
      <c r="J29" s="15">
        <v>0.08</v>
      </c>
      <c r="K29" s="15">
        <v>7.0000000000000007E-2</v>
      </c>
      <c r="L29" s="15">
        <v>0.03</v>
      </c>
      <c r="M29" s="15">
        <v>0.11</v>
      </c>
      <c r="N29" s="15">
        <v>0.08</v>
      </c>
      <c r="O29" s="15">
        <v>0.04</v>
      </c>
      <c r="P29" s="15">
        <v>0.12</v>
      </c>
      <c r="Q29" s="15">
        <v>7.0000000000000007E-2</v>
      </c>
      <c r="R29" s="15">
        <v>0.04</v>
      </c>
      <c r="S29" s="15">
        <v>0.11</v>
      </c>
      <c r="T29" s="15">
        <v>0.1</v>
      </c>
      <c r="U29" s="15">
        <v>0.09</v>
      </c>
      <c r="V29" s="15">
        <v>0.09</v>
      </c>
      <c r="W29" s="15">
        <v>0.17</v>
      </c>
      <c r="X29" s="15">
        <v>0.03</v>
      </c>
      <c r="Y29" s="15">
        <v>7.0000000000000007E-2</v>
      </c>
      <c r="Z29" s="15">
        <v>0.06</v>
      </c>
      <c r="AA29" s="15">
        <v>0.01</v>
      </c>
      <c r="AB29" s="15">
        <v>0.05</v>
      </c>
      <c r="AC29" s="15">
        <v>0.09</v>
      </c>
      <c r="AD29" s="15">
        <v>0.2</v>
      </c>
      <c r="AE29" s="15">
        <v>7.0000000000000007E-2</v>
      </c>
      <c r="AF29" s="15">
        <v>0.12</v>
      </c>
      <c r="AG29" s="14" t="s">
        <v>475</v>
      </c>
      <c r="AH29" s="15">
        <v>0.04</v>
      </c>
      <c r="AI29" s="15">
        <v>0.03</v>
      </c>
      <c r="AJ29" s="15">
        <v>0.16</v>
      </c>
      <c r="AK29" s="15">
        <v>0.09</v>
      </c>
      <c r="AL29" s="15">
        <v>0.04</v>
      </c>
      <c r="AM29" s="15">
        <v>0.04</v>
      </c>
      <c r="AN29" s="15">
        <v>0.15</v>
      </c>
      <c r="AO29" s="15">
        <v>0.02</v>
      </c>
      <c r="AP29" s="15">
        <v>0.02</v>
      </c>
      <c r="AQ29" s="15">
        <v>0.02</v>
      </c>
    </row>
    <row r="30" spans="1:43" x14ac:dyDescent="0.35">
      <c r="A30" s="19"/>
      <c r="B30" s="11" t="s">
        <v>611</v>
      </c>
      <c r="C30" s="12">
        <v>240</v>
      </c>
      <c r="D30" s="12">
        <v>9</v>
      </c>
      <c r="E30" s="12">
        <v>4</v>
      </c>
      <c r="F30" s="12">
        <v>9</v>
      </c>
      <c r="G30" s="12">
        <v>8</v>
      </c>
      <c r="H30" s="12">
        <v>9</v>
      </c>
      <c r="I30" s="12">
        <v>11</v>
      </c>
      <c r="J30" s="12">
        <v>2</v>
      </c>
      <c r="K30" s="12">
        <v>12</v>
      </c>
      <c r="L30" s="12">
        <v>4</v>
      </c>
      <c r="M30" s="12">
        <v>5</v>
      </c>
      <c r="N30" s="12">
        <v>14</v>
      </c>
      <c r="O30" s="12">
        <v>16</v>
      </c>
      <c r="P30" s="12">
        <v>8</v>
      </c>
      <c r="Q30" s="12">
        <v>11</v>
      </c>
      <c r="R30" s="12">
        <v>2</v>
      </c>
      <c r="S30" s="12">
        <v>28</v>
      </c>
      <c r="T30" s="12">
        <v>5</v>
      </c>
      <c r="U30" s="12">
        <v>11</v>
      </c>
      <c r="V30" s="12">
        <v>1</v>
      </c>
      <c r="W30" s="12">
        <v>10</v>
      </c>
      <c r="X30" s="12">
        <v>12</v>
      </c>
      <c r="Y30" s="12">
        <v>4</v>
      </c>
      <c r="Z30" s="12">
        <v>1</v>
      </c>
      <c r="AA30" s="12">
        <v>6</v>
      </c>
      <c r="AB30" s="12">
        <v>2</v>
      </c>
      <c r="AC30" s="12">
        <v>18</v>
      </c>
      <c r="AD30" s="12">
        <v>4</v>
      </c>
      <c r="AE30" s="12">
        <v>10</v>
      </c>
      <c r="AF30" s="12">
        <v>9</v>
      </c>
      <c r="AG30" s="12">
        <v>7</v>
      </c>
      <c r="AH30" s="12">
        <v>7</v>
      </c>
      <c r="AI30" s="12">
        <v>0</v>
      </c>
      <c r="AJ30" s="12">
        <v>3</v>
      </c>
      <c r="AK30" s="12">
        <v>1</v>
      </c>
      <c r="AL30" s="12">
        <v>15</v>
      </c>
      <c r="AM30" s="12">
        <v>4</v>
      </c>
      <c r="AN30" s="12">
        <v>16</v>
      </c>
      <c r="AO30" s="12">
        <v>9</v>
      </c>
      <c r="AP30" s="12">
        <v>6</v>
      </c>
      <c r="AQ30" s="12">
        <v>7</v>
      </c>
    </row>
    <row r="31" spans="1:43" x14ac:dyDescent="0.35">
      <c r="A31" s="19"/>
      <c r="B31" s="13" t="s">
        <v>612</v>
      </c>
      <c r="C31" s="15">
        <v>0.01</v>
      </c>
      <c r="D31" s="15">
        <v>0.01</v>
      </c>
      <c r="E31" s="14" t="s">
        <v>475</v>
      </c>
      <c r="F31" s="15">
        <v>0.01</v>
      </c>
      <c r="G31" s="15">
        <v>0.01</v>
      </c>
      <c r="H31" s="15">
        <v>0.01</v>
      </c>
      <c r="I31" s="15">
        <v>0.01</v>
      </c>
      <c r="J31" s="15">
        <v>0.01</v>
      </c>
      <c r="K31" s="15">
        <v>0.01</v>
      </c>
      <c r="L31" s="14" t="s">
        <v>475</v>
      </c>
      <c r="M31" s="15">
        <v>0.01</v>
      </c>
      <c r="N31" s="15">
        <v>0.01</v>
      </c>
      <c r="O31" s="15">
        <v>0.02</v>
      </c>
      <c r="P31" s="15">
        <v>0.01</v>
      </c>
      <c r="Q31" s="15">
        <v>0.01</v>
      </c>
      <c r="R31" s="14" t="s">
        <v>475</v>
      </c>
      <c r="S31" s="15">
        <v>0.03</v>
      </c>
      <c r="T31" s="14" t="s">
        <v>475</v>
      </c>
      <c r="U31" s="15">
        <v>0.02</v>
      </c>
      <c r="V31" s="14" t="s">
        <v>475</v>
      </c>
      <c r="W31" s="15">
        <v>0.02</v>
      </c>
      <c r="X31" s="15">
        <v>0.01</v>
      </c>
      <c r="Y31" s="14" t="s">
        <v>475</v>
      </c>
      <c r="Z31" s="14" t="s">
        <v>475</v>
      </c>
      <c r="AA31" s="15">
        <v>0.01</v>
      </c>
      <c r="AB31" s="14" t="s">
        <v>475</v>
      </c>
      <c r="AC31" s="15">
        <v>0.02</v>
      </c>
      <c r="AD31" s="14" t="s">
        <v>475</v>
      </c>
      <c r="AE31" s="15">
        <v>0.01</v>
      </c>
      <c r="AF31" s="15">
        <v>0.01</v>
      </c>
      <c r="AG31" s="15">
        <v>0.01</v>
      </c>
      <c r="AH31" s="15">
        <v>0.01</v>
      </c>
      <c r="AI31" s="14" t="s">
        <v>475</v>
      </c>
      <c r="AJ31" s="14" t="s">
        <v>475</v>
      </c>
      <c r="AK31" s="14" t="s">
        <v>475</v>
      </c>
      <c r="AL31" s="15">
        <v>0.01</v>
      </c>
      <c r="AM31" s="14" t="s">
        <v>475</v>
      </c>
      <c r="AN31" s="15">
        <v>0.02</v>
      </c>
      <c r="AO31" s="15">
        <v>0.01</v>
      </c>
      <c r="AP31" s="15">
        <v>0.01</v>
      </c>
      <c r="AQ31" s="15">
        <v>0.01</v>
      </c>
    </row>
    <row r="32" spans="1:43" ht="41.5" x14ac:dyDescent="0.35">
      <c r="A32" s="19"/>
      <c r="B32" s="11" t="s">
        <v>1337</v>
      </c>
      <c r="C32" s="12">
        <v>1621</v>
      </c>
      <c r="D32" s="12">
        <v>23</v>
      </c>
      <c r="E32" s="12">
        <v>85</v>
      </c>
      <c r="F32" s="12">
        <v>62</v>
      </c>
      <c r="G32" s="12">
        <v>28</v>
      </c>
      <c r="H32" s="12">
        <v>95</v>
      </c>
      <c r="I32" s="12">
        <v>101</v>
      </c>
      <c r="J32" s="12">
        <v>6</v>
      </c>
      <c r="K32" s="12">
        <v>77</v>
      </c>
      <c r="L32" s="12">
        <v>57</v>
      </c>
      <c r="M32" s="12">
        <v>50</v>
      </c>
      <c r="N32" s="12">
        <v>90</v>
      </c>
      <c r="O32" s="12">
        <v>83</v>
      </c>
      <c r="P32" s="12">
        <v>18</v>
      </c>
      <c r="Q32" s="12">
        <v>80</v>
      </c>
      <c r="R32" s="12">
        <v>32</v>
      </c>
      <c r="S32" s="12">
        <v>35</v>
      </c>
      <c r="T32" s="12">
        <v>64</v>
      </c>
      <c r="U32" s="12">
        <v>10</v>
      </c>
      <c r="V32" s="12">
        <v>54</v>
      </c>
      <c r="W32" s="12">
        <v>2</v>
      </c>
      <c r="X32" s="12">
        <v>29</v>
      </c>
      <c r="Y32" s="12">
        <v>88</v>
      </c>
      <c r="Z32" s="12">
        <v>27</v>
      </c>
      <c r="AA32" s="12">
        <v>36</v>
      </c>
      <c r="AB32" s="12">
        <v>48</v>
      </c>
      <c r="AC32" s="12">
        <v>92</v>
      </c>
      <c r="AD32" s="12">
        <v>32</v>
      </c>
      <c r="AE32" s="12">
        <v>7</v>
      </c>
      <c r="AF32" s="12">
        <v>0</v>
      </c>
      <c r="AG32" s="12">
        <v>4</v>
      </c>
      <c r="AH32" s="12">
        <v>21</v>
      </c>
      <c r="AI32" s="12">
        <v>0</v>
      </c>
      <c r="AJ32" s="12">
        <v>61</v>
      </c>
      <c r="AK32" s="12">
        <v>4</v>
      </c>
      <c r="AL32" s="12">
        <v>56</v>
      </c>
      <c r="AM32" s="12">
        <v>73</v>
      </c>
      <c r="AN32" s="12">
        <v>35</v>
      </c>
      <c r="AO32" s="12">
        <v>53</v>
      </c>
      <c r="AP32" s="12">
        <v>0</v>
      </c>
      <c r="AQ32" s="12">
        <v>68</v>
      </c>
    </row>
    <row r="33" spans="1:43" ht="31.5" x14ac:dyDescent="0.35">
      <c r="A33" s="19"/>
      <c r="B33" s="13" t="s">
        <v>1338</v>
      </c>
      <c r="C33" s="15">
        <v>0.06</v>
      </c>
      <c r="D33" s="15">
        <v>0.02</v>
      </c>
      <c r="E33" s="15">
        <v>0.08</v>
      </c>
      <c r="F33" s="15">
        <v>0.06</v>
      </c>
      <c r="G33" s="15">
        <v>0.03</v>
      </c>
      <c r="H33" s="15">
        <v>0.08</v>
      </c>
      <c r="I33" s="15">
        <v>7.0000000000000007E-2</v>
      </c>
      <c r="J33" s="15">
        <v>0.02</v>
      </c>
      <c r="K33" s="15">
        <v>0.08</v>
      </c>
      <c r="L33" s="15">
        <v>0.06</v>
      </c>
      <c r="M33" s="15">
        <v>0.05</v>
      </c>
      <c r="N33" s="15">
        <v>0.09</v>
      </c>
      <c r="O33" s="15">
        <v>0.08</v>
      </c>
      <c r="P33" s="15">
        <v>0.02</v>
      </c>
      <c r="Q33" s="15">
        <v>0.08</v>
      </c>
      <c r="R33" s="15">
        <v>0.06</v>
      </c>
      <c r="S33" s="15">
        <v>0.03</v>
      </c>
      <c r="T33" s="15">
        <v>0.06</v>
      </c>
      <c r="U33" s="15">
        <v>0.02</v>
      </c>
      <c r="V33" s="15">
        <v>0.05</v>
      </c>
      <c r="W33" s="14" t="s">
        <v>475</v>
      </c>
      <c r="X33" s="15">
        <v>0.03</v>
      </c>
      <c r="Y33" s="15">
        <v>0.09</v>
      </c>
      <c r="Z33" s="15">
        <v>0.03</v>
      </c>
      <c r="AA33" s="15">
        <v>0.03</v>
      </c>
      <c r="AB33" s="15">
        <v>0.05</v>
      </c>
      <c r="AC33" s="15">
        <v>0.09</v>
      </c>
      <c r="AD33" s="15">
        <v>0.03</v>
      </c>
      <c r="AE33" s="15">
        <v>0.01</v>
      </c>
      <c r="AF33" s="14" t="s">
        <v>475</v>
      </c>
      <c r="AG33" s="14" t="s">
        <v>475</v>
      </c>
      <c r="AH33" s="15">
        <v>0.02</v>
      </c>
      <c r="AI33" s="14" t="s">
        <v>475</v>
      </c>
      <c r="AJ33" s="15">
        <v>0.06</v>
      </c>
      <c r="AK33" s="14" t="s">
        <v>475</v>
      </c>
      <c r="AL33" s="15">
        <v>0.06</v>
      </c>
      <c r="AM33" s="15">
        <v>7.0000000000000007E-2</v>
      </c>
      <c r="AN33" s="15">
        <v>0.03</v>
      </c>
      <c r="AO33" s="15">
        <v>0.05</v>
      </c>
      <c r="AP33" s="14" t="s">
        <v>475</v>
      </c>
      <c r="AQ33" s="15">
        <v>7.0000000000000007E-2</v>
      </c>
    </row>
    <row r="34" spans="1:43" x14ac:dyDescent="0.35">
      <c r="A34" s="19"/>
      <c r="B34" s="11" t="s">
        <v>485</v>
      </c>
      <c r="C34" s="12">
        <v>44</v>
      </c>
      <c r="D34" s="12">
        <v>0</v>
      </c>
      <c r="E34" s="12">
        <v>5</v>
      </c>
      <c r="F34" s="12">
        <v>16</v>
      </c>
      <c r="G34" s="12">
        <v>1</v>
      </c>
      <c r="H34" s="12">
        <v>1</v>
      </c>
      <c r="I34" s="12">
        <v>1</v>
      </c>
      <c r="J34" s="12">
        <v>0</v>
      </c>
      <c r="K34" s="12">
        <v>11</v>
      </c>
      <c r="L34" s="12">
        <v>4</v>
      </c>
      <c r="M34" s="12">
        <v>0</v>
      </c>
      <c r="N34" s="12">
        <v>0</v>
      </c>
      <c r="O34" s="12">
        <v>1</v>
      </c>
      <c r="P34" s="12">
        <v>1</v>
      </c>
      <c r="Q34" s="12">
        <v>0</v>
      </c>
      <c r="R34" s="12">
        <v>14</v>
      </c>
      <c r="S34" s="12">
        <v>10</v>
      </c>
      <c r="T34" s="12">
        <v>8</v>
      </c>
      <c r="U34" s="12">
        <v>0</v>
      </c>
      <c r="V34" s="12">
        <v>1</v>
      </c>
      <c r="W34" s="12">
        <v>1</v>
      </c>
      <c r="X34" s="12">
        <v>3</v>
      </c>
      <c r="Y34" s="12">
        <v>12</v>
      </c>
      <c r="Z34" s="12">
        <v>2</v>
      </c>
      <c r="AA34" s="12">
        <v>2</v>
      </c>
      <c r="AB34" s="12">
        <v>0</v>
      </c>
      <c r="AC34" s="12">
        <v>5</v>
      </c>
      <c r="AD34" s="12">
        <v>0</v>
      </c>
      <c r="AE34" s="12">
        <v>3</v>
      </c>
      <c r="AF34" s="12">
        <v>1</v>
      </c>
      <c r="AG34" s="12">
        <v>0</v>
      </c>
      <c r="AH34" s="12">
        <v>0</v>
      </c>
      <c r="AI34" s="12">
        <v>12</v>
      </c>
      <c r="AJ34" s="12">
        <v>2</v>
      </c>
      <c r="AK34" s="12">
        <v>0</v>
      </c>
      <c r="AL34" s="12">
        <v>28</v>
      </c>
      <c r="AM34" s="12">
        <v>33</v>
      </c>
      <c r="AN34" s="12">
        <v>0</v>
      </c>
      <c r="AO34" s="12">
        <v>11</v>
      </c>
      <c r="AP34" s="12">
        <v>1</v>
      </c>
      <c r="AQ34" s="12">
        <v>15</v>
      </c>
    </row>
    <row r="35" spans="1:43" x14ac:dyDescent="0.35">
      <c r="A35" s="19"/>
      <c r="B35" s="13" t="s">
        <v>486</v>
      </c>
      <c r="C35" s="14" t="s">
        <v>475</v>
      </c>
      <c r="D35" s="14" t="s">
        <v>475</v>
      </c>
      <c r="E35" s="14" t="s">
        <v>475</v>
      </c>
      <c r="F35" s="15">
        <v>0.01</v>
      </c>
      <c r="G35" s="14" t="s">
        <v>475</v>
      </c>
      <c r="H35" s="14" t="s">
        <v>475</v>
      </c>
      <c r="I35" s="14" t="s">
        <v>475</v>
      </c>
      <c r="J35" s="14" t="s">
        <v>475</v>
      </c>
      <c r="K35" s="15">
        <v>0.01</v>
      </c>
      <c r="L35" s="14" t="s">
        <v>475</v>
      </c>
      <c r="M35" s="14" t="s">
        <v>475</v>
      </c>
      <c r="N35" s="14" t="s">
        <v>475</v>
      </c>
      <c r="O35" s="14" t="s">
        <v>475</v>
      </c>
      <c r="P35" s="14" t="s">
        <v>475</v>
      </c>
      <c r="Q35" s="14" t="s">
        <v>475</v>
      </c>
      <c r="R35" s="15">
        <v>0.03</v>
      </c>
      <c r="S35" s="15">
        <v>0.01</v>
      </c>
      <c r="T35" s="15">
        <v>0.01</v>
      </c>
      <c r="U35" s="14" t="s">
        <v>475</v>
      </c>
      <c r="V35" s="14" t="s">
        <v>475</v>
      </c>
      <c r="W35" s="14" t="s">
        <v>475</v>
      </c>
      <c r="X35" s="14" t="s">
        <v>475</v>
      </c>
      <c r="Y35" s="15">
        <v>0.01</v>
      </c>
      <c r="Z35" s="14" t="s">
        <v>475</v>
      </c>
      <c r="AA35" s="14" t="s">
        <v>475</v>
      </c>
      <c r="AB35" s="14" t="s">
        <v>475</v>
      </c>
      <c r="AC35" s="14" t="s">
        <v>475</v>
      </c>
      <c r="AD35" s="14" t="s">
        <v>475</v>
      </c>
      <c r="AE35" s="14" t="s">
        <v>475</v>
      </c>
      <c r="AF35" s="14" t="s">
        <v>475</v>
      </c>
      <c r="AG35" s="14" t="s">
        <v>475</v>
      </c>
      <c r="AH35" s="14" t="s">
        <v>475</v>
      </c>
      <c r="AI35" s="15">
        <v>0.02</v>
      </c>
      <c r="AJ35" s="14" t="s">
        <v>475</v>
      </c>
      <c r="AK35" s="14" t="s">
        <v>475</v>
      </c>
      <c r="AL35" s="15">
        <v>0.03</v>
      </c>
      <c r="AM35" s="15">
        <v>0.03</v>
      </c>
      <c r="AN35" s="14" t="s">
        <v>475</v>
      </c>
      <c r="AO35" s="15">
        <v>0.01</v>
      </c>
      <c r="AP35" s="14" t="s">
        <v>475</v>
      </c>
      <c r="AQ35" s="15">
        <v>0.01</v>
      </c>
    </row>
    <row r="36" spans="1:43" x14ac:dyDescent="0.35">
      <c r="A36" s="19"/>
      <c r="B36" s="11" t="s">
        <v>1339</v>
      </c>
      <c r="C36" s="12">
        <v>14248</v>
      </c>
      <c r="D36" s="12">
        <v>605</v>
      </c>
      <c r="E36" s="12">
        <v>557</v>
      </c>
      <c r="F36" s="12">
        <v>674</v>
      </c>
      <c r="G36" s="12">
        <v>650</v>
      </c>
      <c r="H36" s="12">
        <v>638</v>
      </c>
      <c r="I36" s="12">
        <v>789</v>
      </c>
      <c r="J36" s="12">
        <v>152</v>
      </c>
      <c r="K36" s="12">
        <v>609</v>
      </c>
      <c r="L36" s="12">
        <v>565</v>
      </c>
      <c r="M36" s="12">
        <v>697</v>
      </c>
      <c r="N36" s="12">
        <v>541</v>
      </c>
      <c r="O36" s="12">
        <v>474</v>
      </c>
      <c r="P36" s="12">
        <v>618</v>
      </c>
      <c r="Q36" s="12">
        <v>481</v>
      </c>
      <c r="R36" s="12">
        <v>358</v>
      </c>
      <c r="S36" s="12">
        <v>677</v>
      </c>
      <c r="T36" s="12">
        <v>680</v>
      </c>
      <c r="U36" s="12">
        <v>334</v>
      </c>
      <c r="V36" s="12">
        <v>705</v>
      </c>
      <c r="W36" s="12">
        <v>401</v>
      </c>
      <c r="X36" s="12">
        <v>660</v>
      </c>
      <c r="Y36" s="12">
        <v>621</v>
      </c>
      <c r="Z36" s="12">
        <v>564</v>
      </c>
      <c r="AA36" s="12">
        <v>363</v>
      </c>
      <c r="AB36" s="12">
        <v>510</v>
      </c>
      <c r="AC36" s="12">
        <v>576</v>
      </c>
      <c r="AD36" s="12">
        <v>678</v>
      </c>
      <c r="AE36" s="12">
        <v>716</v>
      </c>
      <c r="AF36" s="12">
        <v>712</v>
      </c>
      <c r="AG36" s="12">
        <v>738</v>
      </c>
      <c r="AH36" s="12">
        <v>707</v>
      </c>
      <c r="AI36" s="12">
        <v>394</v>
      </c>
      <c r="AJ36" s="12">
        <v>627</v>
      </c>
      <c r="AK36" s="12">
        <v>652</v>
      </c>
      <c r="AL36" s="12">
        <v>714</v>
      </c>
      <c r="AM36" s="12">
        <v>591</v>
      </c>
      <c r="AN36" s="12">
        <v>676</v>
      </c>
      <c r="AO36" s="12">
        <v>647</v>
      </c>
      <c r="AP36" s="12">
        <v>366</v>
      </c>
      <c r="AQ36" s="12">
        <v>683</v>
      </c>
    </row>
    <row r="37" spans="1:43" x14ac:dyDescent="0.35">
      <c r="A37" s="19"/>
      <c r="B37" s="13" t="s">
        <v>1340</v>
      </c>
      <c r="C37" s="15">
        <v>0.54</v>
      </c>
      <c r="D37" s="15">
        <v>0.6</v>
      </c>
      <c r="E37" s="15">
        <v>0.54</v>
      </c>
      <c r="F37" s="15">
        <v>0.61</v>
      </c>
      <c r="G37" s="15">
        <v>0.65</v>
      </c>
      <c r="H37" s="15">
        <v>0.52</v>
      </c>
      <c r="I37" s="15">
        <v>0.52</v>
      </c>
      <c r="J37" s="15">
        <v>0.52</v>
      </c>
      <c r="K37" s="15">
        <v>0.61</v>
      </c>
      <c r="L37" s="15">
        <v>0.56000000000000005</v>
      </c>
      <c r="M37" s="15">
        <v>0.69000000000000006</v>
      </c>
      <c r="N37" s="15">
        <v>0.54</v>
      </c>
      <c r="O37" s="15">
        <v>0.47</v>
      </c>
      <c r="P37" s="15">
        <v>0.62</v>
      </c>
      <c r="Q37" s="15">
        <v>0.47</v>
      </c>
      <c r="R37" s="15">
        <v>0.71</v>
      </c>
      <c r="S37" s="15">
        <v>0.68</v>
      </c>
      <c r="T37" s="15">
        <v>0.68</v>
      </c>
      <c r="U37" s="15">
        <v>0.66</v>
      </c>
      <c r="V37" s="15">
        <v>0.69000000000000006</v>
      </c>
      <c r="W37" s="15">
        <v>0.79</v>
      </c>
      <c r="X37" s="15">
        <v>0.65</v>
      </c>
      <c r="Y37" s="15">
        <v>0.62</v>
      </c>
      <c r="Z37" s="15">
        <v>0.55000000000000004</v>
      </c>
      <c r="AA37" s="15">
        <v>0.35</v>
      </c>
      <c r="AB37" s="15">
        <v>0.49</v>
      </c>
      <c r="AC37" s="15">
        <v>0.56999999999999995</v>
      </c>
      <c r="AD37" s="15">
        <v>0.67</v>
      </c>
      <c r="AE37" s="15">
        <v>0.71</v>
      </c>
      <c r="AF37" s="15">
        <v>0.68</v>
      </c>
      <c r="AG37" s="15">
        <v>0.71</v>
      </c>
      <c r="AH37" s="15">
        <v>0.70000000000000007</v>
      </c>
      <c r="AI37" s="15">
        <v>0.75</v>
      </c>
      <c r="AJ37" s="15">
        <v>0.6</v>
      </c>
      <c r="AK37" s="15">
        <v>0.65</v>
      </c>
      <c r="AL37" s="15">
        <v>0.71</v>
      </c>
      <c r="AM37" s="15">
        <v>0.56999999999999995</v>
      </c>
      <c r="AN37" s="15">
        <v>0.67</v>
      </c>
      <c r="AO37" s="15">
        <v>0.64</v>
      </c>
      <c r="AP37" s="15">
        <v>0.70000000000000007</v>
      </c>
      <c r="AQ37" s="15">
        <v>0.68</v>
      </c>
    </row>
  </sheetData>
  <mergeCells count="10">
    <mergeCell ref="B4:F4"/>
    <mergeCell ref="A36:A37"/>
    <mergeCell ref="H3:L3"/>
    <mergeCell ref="B3:F3"/>
    <mergeCell ref="B5:F5"/>
    <mergeCell ref="C8:AQ8"/>
    <mergeCell ref="H5:L5"/>
    <mergeCell ref="B10:B11"/>
    <mergeCell ref="H4:L4"/>
    <mergeCell ref="A10:A35"/>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I39"/>
  <sheetViews>
    <sheetView workbookViewId="0">
      <pane xSplit="3" ySplit="9" topLeftCell="D33" activePane="bottomRight" state="frozen"/>
      <selection pane="topRight"/>
      <selection pane="bottomLeft"/>
      <selection pane="bottomRight" activeCell="B38" sqref="B38"/>
    </sheetView>
  </sheetViews>
  <sheetFormatPr defaultRowHeight="14.5" x14ac:dyDescent="0.35"/>
  <cols>
    <col min="1" max="1" width="8.453125" customWidth="1"/>
    <col min="2" max="2" width="19.26953125" customWidth="1"/>
    <col min="3" max="35" width="12.453125" customWidth="1"/>
  </cols>
  <sheetData>
    <row r="1" spans="1:35" x14ac:dyDescent="0.35">
      <c r="I1" s="7" t="s">
        <v>428</v>
      </c>
    </row>
    <row r="2" spans="1:35" x14ac:dyDescent="0.35">
      <c r="C2" s="7" t="s">
        <v>429</v>
      </c>
      <c r="H2" s="7" t="s">
        <v>430</v>
      </c>
    </row>
    <row r="3" spans="1:35" ht="36" customHeight="1" x14ac:dyDescent="0.35">
      <c r="B3" s="18" t="s">
        <v>313</v>
      </c>
      <c r="C3" s="18"/>
      <c r="D3" s="18"/>
      <c r="E3" s="18"/>
      <c r="F3" s="18"/>
      <c r="H3" s="18" t="s">
        <v>314</v>
      </c>
      <c r="I3" s="18"/>
      <c r="J3" s="18"/>
      <c r="K3" s="18"/>
      <c r="L3" s="18"/>
    </row>
    <row r="4" spans="1:35" ht="27" customHeight="1" x14ac:dyDescent="0.35">
      <c r="B4" s="18"/>
      <c r="C4" s="18"/>
      <c r="D4" s="18"/>
      <c r="E4" s="18"/>
      <c r="F4" s="18"/>
      <c r="H4" s="18"/>
      <c r="I4" s="18"/>
      <c r="J4" s="18"/>
      <c r="K4" s="18"/>
      <c r="L4" s="18"/>
    </row>
    <row r="5" spans="1:35" ht="12" customHeight="1" x14ac:dyDescent="0.35">
      <c r="B5" s="18" t="s">
        <v>431</v>
      </c>
      <c r="C5" s="18"/>
      <c r="D5" s="18"/>
      <c r="E5" s="18"/>
      <c r="F5" s="18"/>
      <c r="H5" s="18" t="s">
        <v>432</v>
      </c>
      <c r="I5" s="18"/>
      <c r="J5" s="18"/>
      <c r="K5" s="18"/>
      <c r="L5" s="18"/>
    </row>
    <row r="6" spans="1:35" ht="1" customHeight="1" x14ac:dyDescent="0.35"/>
    <row r="7" spans="1:35" ht="1" customHeight="1" x14ac:dyDescent="0.35"/>
    <row r="8" spans="1:35"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row>
    <row r="9" spans="1:35" ht="18" x14ac:dyDescent="0.35">
      <c r="A9" s="5" t="str">
        <f>HYPERLINK("#Content!A159","&lt;&lt;Back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469</v>
      </c>
      <c r="AH9" s="8" t="s">
        <v>471</v>
      </c>
      <c r="AI9" s="8" t="s">
        <v>472</v>
      </c>
    </row>
    <row r="10" spans="1:35"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1040</v>
      </c>
      <c r="AH10" s="10">
        <v>1005</v>
      </c>
      <c r="AI10" s="10">
        <v>524</v>
      </c>
    </row>
    <row r="11" spans="1:35"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ht="31.5" x14ac:dyDescent="0.35">
      <c r="A12" s="19"/>
      <c r="B12" s="11" t="s">
        <v>1343</v>
      </c>
      <c r="C12" s="12">
        <v>1074</v>
      </c>
      <c r="D12" s="12">
        <v>49</v>
      </c>
      <c r="E12" s="12">
        <v>22</v>
      </c>
      <c r="F12" s="12">
        <v>32</v>
      </c>
      <c r="G12" s="12">
        <v>51</v>
      </c>
      <c r="H12" s="12">
        <v>38</v>
      </c>
      <c r="I12" s="12">
        <v>50</v>
      </c>
      <c r="J12" s="12">
        <v>12</v>
      </c>
      <c r="K12" s="12">
        <v>38</v>
      </c>
      <c r="L12" s="12">
        <v>30</v>
      </c>
      <c r="M12" s="12">
        <v>71</v>
      </c>
      <c r="N12" s="12">
        <v>18</v>
      </c>
      <c r="O12" s="12">
        <v>36</v>
      </c>
      <c r="P12" s="12">
        <v>75</v>
      </c>
      <c r="Q12" s="12">
        <v>53</v>
      </c>
      <c r="R12" s="12">
        <v>41</v>
      </c>
      <c r="S12" s="12">
        <v>29</v>
      </c>
      <c r="T12" s="12">
        <v>35</v>
      </c>
      <c r="U12" s="12">
        <v>33</v>
      </c>
      <c r="V12" s="12">
        <v>39</v>
      </c>
      <c r="W12" s="12">
        <v>31</v>
      </c>
      <c r="X12" s="12">
        <v>36</v>
      </c>
      <c r="Y12" s="12">
        <v>67</v>
      </c>
      <c r="Z12" s="12">
        <v>56</v>
      </c>
      <c r="AA12" s="12">
        <v>48</v>
      </c>
      <c r="AB12" s="12">
        <v>67</v>
      </c>
      <c r="AC12" s="12">
        <v>21</v>
      </c>
      <c r="AD12" s="12">
        <v>53</v>
      </c>
      <c r="AE12" s="12">
        <v>32</v>
      </c>
      <c r="AF12" s="12">
        <v>46</v>
      </c>
      <c r="AG12" s="12">
        <v>27</v>
      </c>
      <c r="AH12" s="12">
        <v>56</v>
      </c>
      <c r="AI12" s="12">
        <v>27</v>
      </c>
    </row>
    <row r="13" spans="1:35" ht="21.5" x14ac:dyDescent="0.35">
      <c r="A13" s="19"/>
      <c r="B13" s="13" t="s">
        <v>1344</v>
      </c>
      <c r="C13" s="15">
        <v>0.04</v>
      </c>
      <c r="D13" s="15">
        <v>0.05</v>
      </c>
      <c r="E13" s="15">
        <v>0.02</v>
      </c>
      <c r="F13" s="15">
        <v>0.03</v>
      </c>
      <c r="G13" s="15">
        <v>0.05</v>
      </c>
      <c r="H13" s="15">
        <v>0.03</v>
      </c>
      <c r="I13" s="15">
        <v>0.03</v>
      </c>
      <c r="J13" s="15">
        <v>0.04</v>
      </c>
      <c r="K13" s="15">
        <v>0.04</v>
      </c>
      <c r="L13" s="15">
        <v>0.03</v>
      </c>
      <c r="M13" s="15">
        <v>7.0000000000000007E-2</v>
      </c>
      <c r="N13" s="15">
        <v>0.02</v>
      </c>
      <c r="O13" s="15">
        <v>0.04</v>
      </c>
      <c r="P13" s="15">
        <v>7.0000000000000007E-2</v>
      </c>
      <c r="Q13" s="15">
        <v>0.05</v>
      </c>
      <c r="R13" s="15">
        <v>0.08</v>
      </c>
      <c r="S13" s="15">
        <v>0.03</v>
      </c>
      <c r="T13" s="15">
        <v>0.03</v>
      </c>
      <c r="U13" s="15">
        <v>7.0000000000000007E-2</v>
      </c>
      <c r="V13" s="15">
        <v>0.04</v>
      </c>
      <c r="W13" s="15">
        <v>0.06</v>
      </c>
      <c r="X13" s="15">
        <v>0.04</v>
      </c>
      <c r="Y13" s="15">
        <v>7.0000000000000007E-2</v>
      </c>
      <c r="Z13" s="15">
        <v>0.05</v>
      </c>
      <c r="AA13" s="15">
        <v>0.05</v>
      </c>
      <c r="AB13" s="15">
        <v>0.06</v>
      </c>
      <c r="AC13" s="15">
        <v>0.02</v>
      </c>
      <c r="AD13" s="15">
        <v>0.05</v>
      </c>
      <c r="AE13" s="15">
        <v>0.03</v>
      </c>
      <c r="AF13" s="15">
        <v>0.04</v>
      </c>
      <c r="AG13" s="15">
        <v>0.03</v>
      </c>
      <c r="AH13" s="15">
        <v>0.06</v>
      </c>
      <c r="AI13" s="15">
        <v>0.05</v>
      </c>
    </row>
    <row r="14" spans="1:35" ht="31.5" x14ac:dyDescent="0.35">
      <c r="A14" s="19"/>
      <c r="B14" s="11" t="s">
        <v>1345</v>
      </c>
      <c r="C14" s="12">
        <v>8197</v>
      </c>
      <c r="D14" s="12">
        <v>283</v>
      </c>
      <c r="E14" s="12">
        <v>427</v>
      </c>
      <c r="F14" s="12">
        <v>357</v>
      </c>
      <c r="G14" s="12">
        <v>342</v>
      </c>
      <c r="H14" s="12">
        <v>460</v>
      </c>
      <c r="I14" s="12">
        <v>591</v>
      </c>
      <c r="J14" s="12">
        <v>131</v>
      </c>
      <c r="K14" s="12">
        <v>239</v>
      </c>
      <c r="L14" s="12">
        <v>182</v>
      </c>
      <c r="M14" s="12">
        <v>491</v>
      </c>
      <c r="N14" s="12">
        <v>251</v>
      </c>
      <c r="O14" s="12">
        <v>283</v>
      </c>
      <c r="P14" s="12">
        <v>409</v>
      </c>
      <c r="Q14" s="12">
        <v>235</v>
      </c>
      <c r="R14" s="12">
        <v>144</v>
      </c>
      <c r="S14" s="12">
        <v>234</v>
      </c>
      <c r="T14" s="12">
        <v>224</v>
      </c>
      <c r="U14" s="12">
        <v>186</v>
      </c>
      <c r="V14" s="12">
        <v>380</v>
      </c>
      <c r="W14" s="12">
        <v>109</v>
      </c>
      <c r="X14" s="12">
        <v>248</v>
      </c>
      <c r="Y14" s="12">
        <v>401</v>
      </c>
      <c r="Z14" s="12">
        <v>235</v>
      </c>
      <c r="AA14" s="12">
        <v>426</v>
      </c>
      <c r="AB14" s="12">
        <v>446</v>
      </c>
      <c r="AC14" s="12">
        <v>264</v>
      </c>
      <c r="AD14" s="12">
        <v>541</v>
      </c>
      <c r="AE14" s="12">
        <v>221</v>
      </c>
      <c r="AF14" s="12">
        <v>327</v>
      </c>
      <c r="AG14" s="12">
        <v>179</v>
      </c>
      <c r="AH14" s="12">
        <v>319</v>
      </c>
      <c r="AI14" s="12">
        <v>105</v>
      </c>
    </row>
    <row r="15" spans="1:35" ht="21.5" x14ac:dyDescent="0.35">
      <c r="A15" s="19"/>
      <c r="B15" s="13" t="s">
        <v>1346</v>
      </c>
      <c r="C15" s="15">
        <v>0.31</v>
      </c>
      <c r="D15" s="15">
        <v>0.28000000000000003</v>
      </c>
      <c r="E15" s="15">
        <v>0.41</v>
      </c>
      <c r="F15" s="15">
        <v>0.32</v>
      </c>
      <c r="G15" s="15">
        <v>0.34</v>
      </c>
      <c r="H15" s="15">
        <v>0.38</v>
      </c>
      <c r="I15" s="15">
        <v>0.39</v>
      </c>
      <c r="J15" s="15">
        <v>0.44</v>
      </c>
      <c r="K15" s="15">
        <v>0.24</v>
      </c>
      <c r="L15" s="15">
        <v>0.18</v>
      </c>
      <c r="M15" s="15">
        <v>0.49</v>
      </c>
      <c r="N15" s="15">
        <v>0.25</v>
      </c>
      <c r="O15" s="15">
        <v>0.28000000000000003</v>
      </c>
      <c r="P15" s="15">
        <v>0.41</v>
      </c>
      <c r="Q15" s="15">
        <v>0.23</v>
      </c>
      <c r="R15" s="15">
        <v>0.28999999999999998</v>
      </c>
      <c r="S15" s="15">
        <v>0.23</v>
      </c>
      <c r="T15" s="15">
        <v>0.22</v>
      </c>
      <c r="U15" s="15">
        <v>0.37</v>
      </c>
      <c r="V15" s="15">
        <v>0.37</v>
      </c>
      <c r="W15" s="15">
        <v>0.21</v>
      </c>
      <c r="X15" s="15">
        <v>0.25</v>
      </c>
      <c r="Y15" s="15">
        <v>0.4</v>
      </c>
      <c r="Z15" s="15">
        <v>0.23</v>
      </c>
      <c r="AA15" s="15">
        <v>0.41</v>
      </c>
      <c r="AB15" s="15">
        <v>0.42</v>
      </c>
      <c r="AC15" s="15">
        <v>0.26</v>
      </c>
      <c r="AD15" s="15">
        <v>0.54</v>
      </c>
      <c r="AE15" s="15">
        <v>0.22</v>
      </c>
      <c r="AF15" s="15">
        <v>0.31</v>
      </c>
      <c r="AG15" s="15">
        <v>0.17</v>
      </c>
      <c r="AH15" s="15">
        <v>0.32</v>
      </c>
      <c r="AI15" s="15">
        <v>0.2</v>
      </c>
    </row>
    <row r="16" spans="1:35" ht="21.5" x14ac:dyDescent="0.35">
      <c r="A16" s="19"/>
      <c r="B16" s="11" t="s">
        <v>1347</v>
      </c>
      <c r="C16" s="12">
        <v>13268</v>
      </c>
      <c r="D16" s="12">
        <v>534</v>
      </c>
      <c r="E16" s="12">
        <v>492</v>
      </c>
      <c r="F16" s="12">
        <v>453</v>
      </c>
      <c r="G16" s="12">
        <v>622</v>
      </c>
      <c r="H16" s="12">
        <v>575</v>
      </c>
      <c r="I16" s="12">
        <v>765</v>
      </c>
      <c r="J16" s="12">
        <v>190</v>
      </c>
      <c r="K16" s="12">
        <v>319</v>
      </c>
      <c r="L16" s="12">
        <v>459</v>
      </c>
      <c r="M16" s="12">
        <v>519</v>
      </c>
      <c r="N16" s="12">
        <v>451</v>
      </c>
      <c r="O16" s="12">
        <v>513</v>
      </c>
      <c r="P16" s="12">
        <v>518</v>
      </c>
      <c r="Q16" s="12">
        <v>596</v>
      </c>
      <c r="R16" s="12">
        <v>234</v>
      </c>
      <c r="S16" s="12">
        <v>281</v>
      </c>
      <c r="T16" s="12">
        <v>363</v>
      </c>
      <c r="U16" s="12">
        <v>256</v>
      </c>
      <c r="V16" s="12">
        <v>410</v>
      </c>
      <c r="W16" s="12">
        <v>208</v>
      </c>
      <c r="X16" s="12">
        <v>500</v>
      </c>
      <c r="Y16" s="12">
        <v>473</v>
      </c>
      <c r="Z16" s="12">
        <v>464</v>
      </c>
      <c r="AA16" s="12">
        <v>738</v>
      </c>
      <c r="AB16" s="12">
        <v>457</v>
      </c>
      <c r="AC16" s="12">
        <v>380</v>
      </c>
      <c r="AD16" s="12">
        <v>552</v>
      </c>
      <c r="AE16" s="12">
        <v>441</v>
      </c>
      <c r="AF16" s="12">
        <v>604</v>
      </c>
      <c r="AG16" s="12">
        <v>347</v>
      </c>
      <c r="AH16" s="12">
        <v>258</v>
      </c>
      <c r="AI16" s="12">
        <v>202</v>
      </c>
    </row>
    <row r="17" spans="1:35" ht="21.5" x14ac:dyDescent="0.35">
      <c r="A17" s="19"/>
      <c r="B17" s="13" t="s">
        <v>1348</v>
      </c>
      <c r="C17" s="15">
        <v>0.5</v>
      </c>
      <c r="D17" s="15">
        <v>0.53</v>
      </c>
      <c r="E17" s="15">
        <v>0.48</v>
      </c>
      <c r="F17" s="15">
        <v>0.41</v>
      </c>
      <c r="G17" s="15">
        <v>0.62</v>
      </c>
      <c r="H17" s="15">
        <v>0.47</v>
      </c>
      <c r="I17" s="15">
        <v>0.5</v>
      </c>
      <c r="J17" s="15">
        <v>0.64</v>
      </c>
      <c r="K17" s="15">
        <v>0.32</v>
      </c>
      <c r="L17" s="15">
        <v>0.46</v>
      </c>
      <c r="M17" s="15">
        <v>0.51</v>
      </c>
      <c r="N17" s="15">
        <v>0.45</v>
      </c>
      <c r="O17" s="15">
        <v>0.51</v>
      </c>
      <c r="P17" s="15">
        <v>0.52</v>
      </c>
      <c r="Q17" s="15">
        <v>0.57999999999999996</v>
      </c>
      <c r="R17" s="15">
        <v>0.46</v>
      </c>
      <c r="S17" s="15">
        <v>0.28000000000000003</v>
      </c>
      <c r="T17" s="15">
        <v>0.36</v>
      </c>
      <c r="U17" s="15">
        <v>0.51</v>
      </c>
      <c r="V17" s="15">
        <v>0.4</v>
      </c>
      <c r="W17" s="15">
        <v>0.41</v>
      </c>
      <c r="X17" s="15">
        <v>0.5</v>
      </c>
      <c r="Y17" s="15">
        <v>0.47</v>
      </c>
      <c r="Z17" s="15">
        <v>0.45</v>
      </c>
      <c r="AA17" s="15">
        <v>0.71</v>
      </c>
      <c r="AB17" s="15">
        <v>0.43</v>
      </c>
      <c r="AC17" s="15">
        <v>0.38</v>
      </c>
      <c r="AD17" s="15">
        <v>0.55000000000000004</v>
      </c>
      <c r="AE17" s="15">
        <v>0.44</v>
      </c>
      <c r="AF17" s="15">
        <v>0.57999999999999996</v>
      </c>
      <c r="AG17" s="15">
        <v>0.33</v>
      </c>
      <c r="AH17" s="15">
        <v>0.26</v>
      </c>
      <c r="AI17" s="15">
        <v>0.38</v>
      </c>
    </row>
    <row r="18" spans="1:35" ht="31.5" x14ac:dyDescent="0.35">
      <c r="A18" s="19"/>
      <c r="B18" s="11" t="s">
        <v>1349</v>
      </c>
      <c r="C18" s="12">
        <v>4530</v>
      </c>
      <c r="D18" s="12">
        <v>199</v>
      </c>
      <c r="E18" s="12">
        <v>68</v>
      </c>
      <c r="F18" s="12">
        <v>218</v>
      </c>
      <c r="G18" s="12">
        <v>232</v>
      </c>
      <c r="H18" s="12">
        <v>209</v>
      </c>
      <c r="I18" s="12">
        <v>270</v>
      </c>
      <c r="J18" s="12">
        <v>61</v>
      </c>
      <c r="K18" s="12">
        <v>171</v>
      </c>
      <c r="L18" s="12">
        <v>182</v>
      </c>
      <c r="M18" s="12">
        <v>162</v>
      </c>
      <c r="N18" s="12">
        <v>144</v>
      </c>
      <c r="O18" s="12">
        <v>122</v>
      </c>
      <c r="P18" s="12">
        <v>154</v>
      </c>
      <c r="Q18" s="12">
        <v>162</v>
      </c>
      <c r="R18" s="12">
        <v>64</v>
      </c>
      <c r="S18" s="12">
        <v>190</v>
      </c>
      <c r="T18" s="12">
        <v>122</v>
      </c>
      <c r="U18" s="12">
        <v>158</v>
      </c>
      <c r="V18" s="12">
        <v>134</v>
      </c>
      <c r="W18" s="12">
        <v>141</v>
      </c>
      <c r="X18" s="12">
        <v>409</v>
      </c>
      <c r="Y18" s="12">
        <v>267</v>
      </c>
      <c r="Z18" s="12">
        <v>105</v>
      </c>
      <c r="AA18" s="12">
        <v>112</v>
      </c>
      <c r="AB18" s="12">
        <v>99</v>
      </c>
      <c r="AC18" s="12">
        <v>225</v>
      </c>
      <c r="AD18" s="12">
        <v>237</v>
      </c>
      <c r="AE18" s="12">
        <v>429</v>
      </c>
      <c r="AF18" s="12">
        <v>475</v>
      </c>
      <c r="AG18" s="12">
        <v>147</v>
      </c>
      <c r="AH18" s="12">
        <v>148</v>
      </c>
      <c r="AI18" s="12">
        <v>39</v>
      </c>
    </row>
    <row r="19" spans="1:35" ht="31.5" x14ac:dyDescent="0.35">
      <c r="A19" s="19"/>
      <c r="B19" s="13" t="s">
        <v>1350</v>
      </c>
      <c r="C19" s="15">
        <v>0.17</v>
      </c>
      <c r="D19" s="15">
        <v>0.2</v>
      </c>
      <c r="E19" s="15">
        <v>7.0000000000000007E-2</v>
      </c>
      <c r="F19" s="15">
        <v>0.2</v>
      </c>
      <c r="G19" s="15">
        <v>0.23</v>
      </c>
      <c r="H19" s="15">
        <v>0.17</v>
      </c>
      <c r="I19" s="15">
        <v>0.18</v>
      </c>
      <c r="J19" s="15">
        <v>0.21</v>
      </c>
      <c r="K19" s="15">
        <v>0.17</v>
      </c>
      <c r="L19" s="15">
        <v>0.18</v>
      </c>
      <c r="M19" s="15">
        <v>0.16</v>
      </c>
      <c r="N19" s="15">
        <v>0.14000000000000001</v>
      </c>
      <c r="O19" s="15">
        <v>0.12</v>
      </c>
      <c r="P19" s="15">
        <v>0.15</v>
      </c>
      <c r="Q19" s="15">
        <v>0.16</v>
      </c>
      <c r="R19" s="15">
        <v>0.13</v>
      </c>
      <c r="S19" s="15">
        <v>0.19</v>
      </c>
      <c r="T19" s="15">
        <v>0.12</v>
      </c>
      <c r="U19" s="15">
        <v>0.31</v>
      </c>
      <c r="V19" s="15">
        <v>0.13</v>
      </c>
      <c r="W19" s="15">
        <v>0.28000000000000003</v>
      </c>
      <c r="X19" s="15">
        <v>0.4</v>
      </c>
      <c r="Y19" s="15">
        <v>0.27</v>
      </c>
      <c r="Z19" s="15">
        <v>0.1</v>
      </c>
      <c r="AA19" s="15">
        <v>0.11</v>
      </c>
      <c r="AB19" s="15">
        <v>0.09</v>
      </c>
      <c r="AC19" s="15">
        <v>0.22</v>
      </c>
      <c r="AD19" s="15">
        <v>0.24</v>
      </c>
      <c r="AE19" s="15">
        <v>0.42</v>
      </c>
      <c r="AF19" s="15">
        <v>0.46</v>
      </c>
      <c r="AG19" s="15">
        <v>0.14000000000000001</v>
      </c>
      <c r="AH19" s="15">
        <v>0.15</v>
      </c>
      <c r="AI19" s="15">
        <v>0.08</v>
      </c>
    </row>
    <row r="20" spans="1:35" ht="51.5" x14ac:dyDescent="0.35">
      <c r="A20" s="19"/>
      <c r="B20" s="11" t="s">
        <v>1351</v>
      </c>
      <c r="C20" s="12">
        <v>7296</v>
      </c>
      <c r="D20" s="12">
        <v>280</v>
      </c>
      <c r="E20" s="12">
        <v>185</v>
      </c>
      <c r="F20" s="12">
        <v>260</v>
      </c>
      <c r="G20" s="12">
        <v>432</v>
      </c>
      <c r="H20" s="12">
        <v>323</v>
      </c>
      <c r="I20" s="12">
        <v>405</v>
      </c>
      <c r="J20" s="12">
        <v>81</v>
      </c>
      <c r="K20" s="12">
        <v>241</v>
      </c>
      <c r="L20" s="12">
        <v>307</v>
      </c>
      <c r="M20" s="12">
        <v>421</v>
      </c>
      <c r="N20" s="12">
        <v>272</v>
      </c>
      <c r="O20" s="12">
        <v>239</v>
      </c>
      <c r="P20" s="12">
        <v>272</v>
      </c>
      <c r="Q20" s="12">
        <v>243</v>
      </c>
      <c r="R20" s="12">
        <v>185</v>
      </c>
      <c r="S20" s="12">
        <v>343</v>
      </c>
      <c r="T20" s="12">
        <v>335</v>
      </c>
      <c r="U20" s="12">
        <v>197</v>
      </c>
      <c r="V20" s="12">
        <v>478</v>
      </c>
      <c r="W20" s="12">
        <v>225</v>
      </c>
      <c r="X20" s="12">
        <v>389</v>
      </c>
      <c r="Y20" s="12">
        <v>355</v>
      </c>
      <c r="Z20" s="12">
        <v>253</v>
      </c>
      <c r="AA20" s="12">
        <v>175</v>
      </c>
      <c r="AB20" s="12">
        <v>173</v>
      </c>
      <c r="AC20" s="12">
        <v>264</v>
      </c>
      <c r="AD20" s="12">
        <v>333</v>
      </c>
      <c r="AE20" s="12">
        <v>489</v>
      </c>
      <c r="AF20" s="12">
        <v>516</v>
      </c>
      <c r="AG20" s="12">
        <v>327</v>
      </c>
      <c r="AH20" s="12">
        <v>197</v>
      </c>
      <c r="AI20" s="12">
        <v>96</v>
      </c>
    </row>
    <row r="21" spans="1:35" ht="41.5" x14ac:dyDescent="0.35">
      <c r="A21" s="19"/>
      <c r="B21" s="13" t="s">
        <v>1352</v>
      </c>
      <c r="C21" s="15">
        <v>0.28000000000000003</v>
      </c>
      <c r="D21" s="15">
        <v>0.28000000000000003</v>
      </c>
      <c r="E21" s="15">
        <v>0.18</v>
      </c>
      <c r="F21" s="15">
        <v>0.24</v>
      </c>
      <c r="G21" s="15">
        <v>0.43</v>
      </c>
      <c r="H21" s="15">
        <v>0.26</v>
      </c>
      <c r="I21" s="15">
        <v>0.27</v>
      </c>
      <c r="J21" s="15">
        <v>0.28000000000000003</v>
      </c>
      <c r="K21" s="15">
        <v>0.24</v>
      </c>
      <c r="L21" s="15">
        <v>0.31</v>
      </c>
      <c r="M21" s="15">
        <v>0.42</v>
      </c>
      <c r="N21" s="15">
        <v>0.27</v>
      </c>
      <c r="O21" s="15">
        <v>0.24</v>
      </c>
      <c r="P21" s="15">
        <v>0.27</v>
      </c>
      <c r="Q21" s="15">
        <v>0.24</v>
      </c>
      <c r="R21" s="15">
        <v>0.37</v>
      </c>
      <c r="S21" s="15">
        <v>0.34</v>
      </c>
      <c r="T21" s="15">
        <v>0.33</v>
      </c>
      <c r="U21" s="15">
        <v>0.39</v>
      </c>
      <c r="V21" s="15">
        <v>0.47</v>
      </c>
      <c r="W21" s="15">
        <v>0.44</v>
      </c>
      <c r="X21" s="15">
        <v>0.39</v>
      </c>
      <c r="Y21" s="15">
        <v>0.35</v>
      </c>
      <c r="Z21" s="15">
        <v>0.25</v>
      </c>
      <c r="AA21" s="15">
        <v>0.17</v>
      </c>
      <c r="AB21" s="15">
        <v>0.16</v>
      </c>
      <c r="AC21" s="15">
        <v>0.26</v>
      </c>
      <c r="AD21" s="15">
        <v>0.33</v>
      </c>
      <c r="AE21" s="15">
        <v>0.48</v>
      </c>
      <c r="AF21" s="15">
        <v>0.49</v>
      </c>
      <c r="AG21" s="15">
        <v>0.31</v>
      </c>
      <c r="AH21" s="15">
        <v>0.2</v>
      </c>
      <c r="AI21" s="15">
        <v>0.18</v>
      </c>
    </row>
    <row r="22" spans="1:35" ht="21.5" x14ac:dyDescent="0.35">
      <c r="A22" s="19"/>
      <c r="B22" s="11" t="s">
        <v>1332</v>
      </c>
      <c r="C22" s="12">
        <v>4436</v>
      </c>
      <c r="D22" s="12">
        <v>198</v>
      </c>
      <c r="E22" s="12">
        <v>219</v>
      </c>
      <c r="F22" s="12">
        <v>245</v>
      </c>
      <c r="G22" s="12">
        <v>155</v>
      </c>
      <c r="H22" s="12">
        <v>209</v>
      </c>
      <c r="I22" s="12">
        <v>279</v>
      </c>
      <c r="J22" s="12">
        <v>70</v>
      </c>
      <c r="K22" s="12">
        <v>175</v>
      </c>
      <c r="L22" s="12">
        <v>199</v>
      </c>
      <c r="M22" s="12">
        <v>275</v>
      </c>
      <c r="N22" s="12">
        <v>185</v>
      </c>
      <c r="O22" s="12">
        <v>152</v>
      </c>
      <c r="P22" s="12">
        <v>237</v>
      </c>
      <c r="Q22" s="12">
        <v>102</v>
      </c>
      <c r="R22" s="12">
        <v>195</v>
      </c>
      <c r="S22" s="12">
        <v>189</v>
      </c>
      <c r="T22" s="12">
        <v>264</v>
      </c>
      <c r="U22" s="12">
        <v>84</v>
      </c>
      <c r="V22" s="12">
        <v>207</v>
      </c>
      <c r="W22" s="12">
        <v>145</v>
      </c>
      <c r="X22" s="12">
        <v>120</v>
      </c>
      <c r="Y22" s="12">
        <v>276</v>
      </c>
      <c r="Z22" s="12">
        <v>157</v>
      </c>
      <c r="AA22" s="12">
        <v>156</v>
      </c>
      <c r="AB22" s="12">
        <v>187</v>
      </c>
      <c r="AC22" s="12">
        <v>129</v>
      </c>
      <c r="AD22" s="12">
        <v>269</v>
      </c>
      <c r="AE22" s="12">
        <v>150</v>
      </c>
      <c r="AF22" s="12">
        <v>121</v>
      </c>
      <c r="AG22" s="12">
        <v>162</v>
      </c>
      <c r="AH22" s="12">
        <v>173</v>
      </c>
      <c r="AI22" s="12">
        <v>197</v>
      </c>
    </row>
    <row r="23" spans="1:35" x14ac:dyDescent="0.35">
      <c r="A23" s="19"/>
      <c r="B23" s="13" t="s">
        <v>1317</v>
      </c>
      <c r="C23" s="15">
        <v>0.17</v>
      </c>
      <c r="D23" s="15">
        <v>0.2</v>
      </c>
      <c r="E23" s="15">
        <v>0.21</v>
      </c>
      <c r="F23" s="15">
        <v>0.22</v>
      </c>
      <c r="G23" s="15">
        <v>0.15</v>
      </c>
      <c r="H23" s="15">
        <v>0.17</v>
      </c>
      <c r="I23" s="15">
        <v>0.18</v>
      </c>
      <c r="J23" s="15">
        <v>0.24</v>
      </c>
      <c r="K23" s="15">
        <v>0.17</v>
      </c>
      <c r="L23" s="15">
        <v>0.2</v>
      </c>
      <c r="M23" s="15">
        <v>0.27</v>
      </c>
      <c r="N23" s="15">
        <v>0.18</v>
      </c>
      <c r="O23" s="15">
        <v>0.15</v>
      </c>
      <c r="P23" s="15">
        <v>0.24</v>
      </c>
      <c r="Q23" s="15">
        <v>0.1</v>
      </c>
      <c r="R23" s="15">
        <v>0.39</v>
      </c>
      <c r="S23" s="15">
        <v>0.19</v>
      </c>
      <c r="T23" s="15">
        <v>0.26</v>
      </c>
      <c r="U23" s="15">
        <v>0.17</v>
      </c>
      <c r="V23" s="15">
        <v>0.2</v>
      </c>
      <c r="W23" s="15">
        <v>0.28000000000000003</v>
      </c>
      <c r="X23" s="15">
        <v>0.12</v>
      </c>
      <c r="Y23" s="15">
        <v>0.28000000000000003</v>
      </c>
      <c r="Z23" s="15">
        <v>0.15</v>
      </c>
      <c r="AA23" s="15">
        <v>0.15</v>
      </c>
      <c r="AB23" s="15">
        <v>0.18</v>
      </c>
      <c r="AC23" s="15">
        <v>0.13</v>
      </c>
      <c r="AD23" s="15">
        <v>0.27</v>
      </c>
      <c r="AE23" s="15">
        <v>0.15</v>
      </c>
      <c r="AF23" s="15">
        <v>0.12</v>
      </c>
      <c r="AG23" s="15">
        <v>0.16</v>
      </c>
      <c r="AH23" s="15">
        <v>0.17</v>
      </c>
      <c r="AI23" s="15">
        <v>0.38</v>
      </c>
    </row>
    <row r="24" spans="1:35" x14ac:dyDescent="0.35">
      <c r="A24" s="19"/>
      <c r="B24" s="11" t="s">
        <v>1333</v>
      </c>
      <c r="C24" s="12">
        <v>642</v>
      </c>
      <c r="D24" s="12">
        <v>11</v>
      </c>
      <c r="E24" s="12">
        <v>34</v>
      </c>
      <c r="F24" s="12">
        <v>33</v>
      </c>
      <c r="G24" s="12">
        <v>16</v>
      </c>
      <c r="H24" s="12">
        <v>26</v>
      </c>
      <c r="I24" s="12">
        <v>40</v>
      </c>
      <c r="J24" s="12">
        <v>14</v>
      </c>
      <c r="K24" s="12">
        <v>45</v>
      </c>
      <c r="L24" s="12">
        <v>25</v>
      </c>
      <c r="M24" s="12">
        <v>156</v>
      </c>
      <c r="N24" s="12">
        <v>15</v>
      </c>
      <c r="O24" s="12">
        <v>16</v>
      </c>
      <c r="P24" s="12">
        <v>44</v>
      </c>
      <c r="Q24" s="12">
        <v>19</v>
      </c>
      <c r="R24" s="12">
        <v>18</v>
      </c>
      <c r="S24" s="12">
        <v>42</v>
      </c>
      <c r="T24" s="12">
        <v>39</v>
      </c>
      <c r="U24" s="12">
        <v>12</v>
      </c>
      <c r="V24" s="12">
        <v>52</v>
      </c>
      <c r="W24" s="12">
        <v>33</v>
      </c>
      <c r="X24" s="12">
        <v>20</v>
      </c>
      <c r="Y24" s="12">
        <v>65</v>
      </c>
      <c r="Z24" s="12">
        <v>8</v>
      </c>
      <c r="AA24" s="12">
        <v>1</v>
      </c>
      <c r="AB24" s="12">
        <v>25</v>
      </c>
      <c r="AC24" s="12">
        <v>14</v>
      </c>
      <c r="AD24" s="12">
        <v>64</v>
      </c>
      <c r="AE24" s="12">
        <v>14</v>
      </c>
      <c r="AF24" s="12">
        <v>19</v>
      </c>
      <c r="AG24" s="12">
        <v>34</v>
      </c>
      <c r="AH24" s="12">
        <v>8</v>
      </c>
      <c r="AI24" s="12">
        <v>9</v>
      </c>
    </row>
    <row r="25" spans="1:35" x14ac:dyDescent="0.35">
      <c r="A25" s="19"/>
      <c r="B25" s="13" t="s">
        <v>1334</v>
      </c>
      <c r="C25" s="15">
        <v>0.02</v>
      </c>
      <c r="D25" s="15">
        <v>0.01</v>
      </c>
      <c r="E25" s="15">
        <v>0.03</v>
      </c>
      <c r="F25" s="15">
        <v>0.03</v>
      </c>
      <c r="G25" s="15">
        <v>0.02</v>
      </c>
      <c r="H25" s="15">
        <v>0.02</v>
      </c>
      <c r="I25" s="15">
        <v>0.03</v>
      </c>
      <c r="J25" s="15">
        <v>0.05</v>
      </c>
      <c r="K25" s="15">
        <v>0.05</v>
      </c>
      <c r="L25" s="15">
        <v>0.02</v>
      </c>
      <c r="M25" s="15">
        <v>0.15</v>
      </c>
      <c r="N25" s="15">
        <v>0.01</v>
      </c>
      <c r="O25" s="15">
        <v>0.02</v>
      </c>
      <c r="P25" s="15">
        <v>0.04</v>
      </c>
      <c r="Q25" s="15">
        <v>0.02</v>
      </c>
      <c r="R25" s="15">
        <v>0.04</v>
      </c>
      <c r="S25" s="15">
        <v>0.04</v>
      </c>
      <c r="T25" s="15">
        <v>0.04</v>
      </c>
      <c r="U25" s="15">
        <v>0.02</v>
      </c>
      <c r="V25" s="15">
        <v>0.05</v>
      </c>
      <c r="W25" s="15">
        <v>0.06</v>
      </c>
      <c r="X25" s="15">
        <v>0.02</v>
      </c>
      <c r="Y25" s="15">
        <v>7.0000000000000007E-2</v>
      </c>
      <c r="Z25" s="15">
        <v>0.01</v>
      </c>
      <c r="AA25" s="14" t="s">
        <v>475</v>
      </c>
      <c r="AB25" s="15">
        <v>0.02</v>
      </c>
      <c r="AC25" s="15">
        <v>0.01</v>
      </c>
      <c r="AD25" s="15">
        <v>0.06</v>
      </c>
      <c r="AE25" s="15">
        <v>0.01</v>
      </c>
      <c r="AF25" s="15">
        <v>0.02</v>
      </c>
      <c r="AG25" s="15">
        <v>0.03</v>
      </c>
      <c r="AH25" s="15">
        <v>0.01</v>
      </c>
      <c r="AI25" s="15">
        <v>0.02</v>
      </c>
    </row>
    <row r="26" spans="1:35" ht="21.5" x14ac:dyDescent="0.35">
      <c r="A26" s="19"/>
      <c r="B26" s="11" t="s">
        <v>1353</v>
      </c>
      <c r="C26" s="12">
        <v>1170</v>
      </c>
      <c r="D26" s="12">
        <v>55</v>
      </c>
      <c r="E26" s="12">
        <v>19</v>
      </c>
      <c r="F26" s="12">
        <v>40</v>
      </c>
      <c r="G26" s="12">
        <v>80</v>
      </c>
      <c r="H26" s="12">
        <v>64</v>
      </c>
      <c r="I26" s="12">
        <v>100</v>
      </c>
      <c r="J26" s="12">
        <v>36</v>
      </c>
      <c r="K26" s="12">
        <v>54</v>
      </c>
      <c r="L26" s="12">
        <v>35</v>
      </c>
      <c r="M26" s="12">
        <v>17</v>
      </c>
      <c r="N26" s="12">
        <v>20</v>
      </c>
      <c r="O26" s="12">
        <v>55</v>
      </c>
      <c r="P26" s="12">
        <v>42</v>
      </c>
      <c r="Q26" s="12">
        <v>23</v>
      </c>
      <c r="R26" s="12">
        <v>9</v>
      </c>
      <c r="S26" s="12">
        <v>29</v>
      </c>
      <c r="T26" s="12">
        <v>12</v>
      </c>
      <c r="U26" s="12">
        <v>41</v>
      </c>
      <c r="V26" s="12">
        <v>31</v>
      </c>
      <c r="W26" s="12">
        <v>42</v>
      </c>
      <c r="X26" s="12">
        <v>82</v>
      </c>
      <c r="Y26" s="12">
        <v>96</v>
      </c>
      <c r="Z26" s="12">
        <v>17</v>
      </c>
      <c r="AA26" s="12">
        <v>15</v>
      </c>
      <c r="AB26" s="12">
        <v>23</v>
      </c>
      <c r="AC26" s="12">
        <v>26</v>
      </c>
      <c r="AD26" s="12">
        <v>73</v>
      </c>
      <c r="AE26" s="12">
        <v>82</v>
      </c>
      <c r="AF26" s="12">
        <v>128</v>
      </c>
      <c r="AG26" s="12">
        <v>26</v>
      </c>
      <c r="AH26" s="12">
        <v>14</v>
      </c>
      <c r="AI26" s="12">
        <v>7</v>
      </c>
    </row>
    <row r="27" spans="1:35" ht="21.5" x14ac:dyDescent="0.35">
      <c r="A27" s="19"/>
      <c r="B27" s="13" t="s">
        <v>1354</v>
      </c>
      <c r="C27" s="15">
        <v>0.04</v>
      </c>
      <c r="D27" s="15">
        <v>0.05</v>
      </c>
      <c r="E27" s="15">
        <v>0.02</v>
      </c>
      <c r="F27" s="15">
        <v>0.04</v>
      </c>
      <c r="G27" s="15">
        <v>0.08</v>
      </c>
      <c r="H27" s="15">
        <v>0.05</v>
      </c>
      <c r="I27" s="15">
        <v>7.0000000000000007E-2</v>
      </c>
      <c r="J27" s="15">
        <v>0.12</v>
      </c>
      <c r="K27" s="15">
        <v>0.05</v>
      </c>
      <c r="L27" s="15">
        <v>0.03</v>
      </c>
      <c r="M27" s="15">
        <v>0.02</v>
      </c>
      <c r="N27" s="15">
        <v>0.02</v>
      </c>
      <c r="O27" s="15">
        <v>0.05</v>
      </c>
      <c r="P27" s="15">
        <v>0.04</v>
      </c>
      <c r="Q27" s="15">
        <v>0.02</v>
      </c>
      <c r="R27" s="15">
        <v>0.02</v>
      </c>
      <c r="S27" s="15">
        <v>0.03</v>
      </c>
      <c r="T27" s="15">
        <v>0.01</v>
      </c>
      <c r="U27" s="15">
        <v>0.08</v>
      </c>
      <c r="V27" s="15">
        <v>0.03</v>
      </c>
      <c r="W27" s="15">
        <v>0.08</v>
      </c>
      <c r="X27" s="15">
        <v>0.08</v>
      </c>
      <c r="Y27" s="15">
        <v>0.1</v>
      </c>
      <c r="Z27" s="15">
        <v>0.02</v>
      </c>
      <c r="AA27" s="15">
        <v>0.01</v>
      </c>
      <c r="AB27" s="15">
        <v>0.02</v>
      </c>
      <c r="AC27" s="15">
        <v>0.03</v>
      </c>
      <c r="AD27" s="15">
        <v>7.0000000000000007E-2</v>
      </c>
      <c r="AE27" s="15">
        <v>0.08</v>
      </c>
      <c r="AF27" s="15">
        <v>0.12</v>
      </c>
      <c r="AG27" s="15">
        <v>0.03</v>
      </c>
      <c r="AH27" s="15">
        <v>0.01</v>
      </c>
      <c r="AI27" s="15">
        <v>0.01</v>
      </c>
    </row>
    <row r="28" spans="1:35" ht="21.5" x14ac:dyDescent="0.35">
      <c r="A28" s="19"/>
      <c r="B28" s="11" t="s">
        <v>1355</v>
      </c>
      <c r="C28" s="12">
        <v>290</v>
      </c>
      <c r="D28" s="12">
        <v>25</v>
      </c>
      <c r="E28" s="12">
        <v>8</v>
      </c>
      <c r="F28" s="12">
        <v>1</v>
      </c>
      <c r="G28" s="12">
        <v>5</v>
      </c>
      <c r="H28" s="12">
        <v>6</v>
      </c>
      <c r="I28" s="12">
        <v>7</v>
      </c>
      <c r="J28" s="12">
        <v>1</v>
      </c>
      <c r="K28" s="12">
        <v>21</v>
      </c>
      <c r="L28" s="12">
        <v>8</v>
      </c>
      <c r="M28" s="12">
        <v>5</v>
      </c>
      <c r="N28" s="12">
        <v>15</v>
      </c>
      <c r="O28" s="12">
        <v>16</v>
      </c>
      <c r="P28" s="12">
        <v>32</v>
      </c>
      <c r="Q28" s="12">
        <v>11</v>
      </c>
      <c r="R28" s="12">
        <v>2</v>
      </c>
      <c r="S28" s="12">
        <v>15</v>
      </c>
      <c r="T28" s="12">
        <v>15</v>
      </c>
      <c r="U28" s="12">
        <v>2</v>
      </c>
      <c r="V28" s="12">
        <v>7</v>
      </c>
      <c r="W28" s="12">
        <v>10</v>
      </c>
      <c r="X28" s="12">
        <v>20</v>
      </c>
      <c r="Y28" s="12">
        <v>30</v>
      </c>
      <c r="Z28" s="12">
        <v>6</v>
      </c>
      <c r="AA28" s="12">
        <v>2</v>
      </c>
      <c r="AB28" s="12">
        <v>17</v>
      </c>
      <c r="AC28" s="12">
        <v>15</v>
      </c>
      <c r="AD28" s="12">
        <v>5</v>
      </c>
      <c r="AE28" s="12">
        <v>13</v>
      </c>
      <c r="AF28" s="12">
        <v>3</v>
      </c>
      <c r="AG28" s="12">
        <v>4</v>
      </c>
      <c r="AH28" s="12">
        <v>11</v>
      </c>
      <c r="AI28" s="12">
        <v>8</v>
      </c>
    </row>
    <row r="29" spans="1:35" ht="21.5" x14ac:dyDescent="0.35">
      <c r="A29" s="19"/>
      <c r="B29" s="13" t="s">
        <v>1356</v>
      </c>
      <c r="C29" s="15">
        <v>0.01</v>
      </c>
      <c r="D29" s="15">
        <v>0.03</v>
      </c>
      <c r="E29" s="15">
        <v>0.01</v>
      </c>
      <c r="F29" s="14" t="s">
        <v>475</v>
      </c>
      <c r="G29" s="14" t="s">
        <v>475</v>
      </c>
      <c r="H29" s="15">
        <v>0.01</v>
      </c>
      <c r="I29" s="14" t="s">
        <v>475</v>
      </c>
      <c r="J29" s="14" t="s">
        <v>475</v>
      </c>
      <c r="K29" s="15">
        <v>0.02</v>
      </c>
      <c r="L29" s="15">
        <v>0.01</v>
      </c>
      <c r="M29" s="15">
        <v>0.01</v>
      </c>
      <c r="N29" s="15">
        <v>0.01</v>
      </c>
      <c r="O29" s="15">
        <v>0.02</v>
      </c>
      <c r="P29" s="15">
        <v>0.03</v>
      </c>
      <c r="Q29" s="15">
        <v>0.01</v>
      </c>
      <c r="R29" s="14" t="s">
        <v>475</v>
      </c>
      <c r="S29" s="15">
        <v>0.02</v>
      </c>
      <c r="T29" s="15">
        <v>0.01</v>
      </c>
      <c r="U29" s="14" t="s">
        <v>475</v>
      </c>
      <c r="V29" s="15">
        <v>0.01</v>
      </c>
      <c r="W29" s="15">
        <v>0.02</v>
      </c>
      <c r="X29" s="15">
        <v>0.02</v>
      </c>
      <c r="Y29" s="15">
        <v>0.03</v>
      </c>
      <c r="Z29" s="15">
        <v>0.01</v>
      </c>
      <c r="AA29" s="14" t="s">
        <v>475</v>
      </c>
      <c r="AB29" s="15">
        <v>0.02</v>
      </c>
      <c r="AC29" s="15">
        <v>0.01</v>
      </c>
      <c r="AD29" s="15">
        <v>0.01</v>
      </c>
      <c r="AE29" s="15">
        <v>0.01</v>
      </c>
      <c r="AF29" s="14" t="s">
        <v>475</v>
      </c>
      <c r="AG29" s="14" t="s">
        <v>475</v>
      </c>
      <c r="AH29" s="15">
        <v>0.01</v>
      </c>
      <c r="AI29" s="15">
        <v>0.01</v>
      </c>
    </row>
    <row r="30" spans="1:35" x14ac:dyDescent="0.35">
      <c r="A30" s="19"/>
      <c r="B30" s="11" t="s">
        <v>1357</v>
      </c>
      <c r="C30" s="12">
        <v>368</v>
      </c>
      <c r="D30" s="12">
        <v>15</v>
      </c>
      <c r="E30" s="12">
        <v>12</v>
      </c>
      <c r="F30" s="12">
        <v>23</v>
      </c>
      <c r="G30" s="12">
        <v>21</v>
      </c>
      <c r="H30" s="12">
        <v>24</v>
      </c>
      <c r="I30" s="12">
        <v>34</v>
      </c>
      <c r="J30" s="12">
        <v>10</v>
      </c>
      <c r="K30" s="12">
        <v>38</v>
      </c>
      <c r="L30" s="12">
        <v>15</v>
      </c>
      <c r="M30" s="12">
        <v>4</v>
      </c>
      <c r="N30" s="12">
        <v>12</v>
      </c>
      <c r="O30" s="12">
        <v>10</v>
      </c>
      <c r="P30" s="12">
        <v>15</v>
      </c>
      <c r="Q30" s="12">
        <v>7</v>
      </c>
      <c r="R30" s="12">
        <v>6</v>
      </c>
      <c r="S30" s="12">
        <v>25</v>
      </c>
      <c r="T30" s="12">
        <v>34</v>
      </c>
      <c r="U30" s="12">
        <v>8</v>
      </c>
      <c r="V30" s="12">
        <v>26</v>
      </c>
      <c r="W30" s="12">
        <v>12</v>
      </c>
      <c r="X30" s="12">
        <v>16</v>
      </c>
      <c r="Y30" s="12">
        <v>24</v>
      </c>
      <c r="Z30" s="12">
        <v>5</v>
      </c>
      <c r="AA30" s="12">
        <v>5</v>
      </c>
      <c r="AB30" s="12">
        <v>9</v>
      </c>
      <c r="AC30" s="12">
        <v>3</v>
      </c>
      <c r="AD30" s="12">
        <v>43</v>
      </c>
      <c r="AE30" s="12">
        <v>18</v>
      </c>
      <c r="AF30" s="12">
        <v>18</v>
      </c>
      <c r="AG30" s="12">
        <v>19</v>
      </c>
      <c r="AH30" s="12">
        <v>6</v>
      </c>
      <c r="AI30" s="12">
        <v>5</v>
      </c>
    </row>
    <row r="31" spans="1:35" x14ac:dyDescent="0.35">
      <c r="A31" s="19"/>
      <c r="B31" s="13" t="s">
        <v>1358</v>
      </c>
      <c r="C31" s="15">
        <v>0.01</v>
      </c>
      <c r="D31" s="15">
        <v>0.01</v>
      </c>
      <c r="E31" s="15">
        <v>0.01</v>
      </c>
      <c r="F31" s="15">
        <v>0.02</v>
      </c>
      <c r="G31" s="15">
        <v>0.02</v>
      </c>
      <c r="H31" s="15">
        <v>0.02</v>
      </c>
      <c r="I31" s="15">
        <v>0.02</v>
      </c>
      <c r="J31" s="15">
        <v>0.03</v>
      </c>
      <c r="K31" s="15">
        <v>0.04</v>
      </c>
      <c r="L31" s="15">
        <v>0.02</v>
      </c>
      <c r="M31" s="14" t="s">
        <v>475</v>
      </c>
      <c r="N31" s="15">
        <v>0.01</v>
      </c>
      <c r="O31" s="15">
        <v>0.01</v>
      </c>
      <c r="P31" s="15">
        <v>0.02</v>
      </c>
      <c r="Q31" s="15">
        <v>0.01</v>
      </c>
      <c r="R31" s="15">
        <v>0.01</v>
      </c>
      <c r="S31" s="15">
        <v>0.02</v>
      </c>
      <c r="T31" s="15">
        <v>0.03</v>
      </c>
      <c r="U31" s="15">
        <v>0.02</v>
      </c>
      <c r="V31" s="15">
        <v>0.03</v>
      </c>
      <c r="W31" s="15">
        <v>0.02</v>
      </c>
      <c r="X31" s="15">
        <v>0.02</v>
      </c>
      <c r="Y31" s="15">
        <v>0.02</v>
      </c>
      <c r="Z31" s="15">
        <v>0.01</v>
      </c>
      <c r="AA31" s="14" t="s">
        <v>475</v>
      </c>
      <c r="AB31" s="15">
        <v>0.01</v>
      </c>
      <c r="AC31" s="14" t="s">
        <v>475</v>
      </c>
      <c r="AD31" s="15">
        <v>0.04</v>
      </c>
      <c r="AE31" s="15">
        <v>0.02</v>
      </c>
      <c r="AF31" s="15">
        <v>0.02</v>
      </c>
      <c r="AG31" s="15">
        <v>0.02</v>
      </c>
      <c r="AH31" s="15">
        <v>0.01</v>
      </c>
      <c r="AI31" s="15">
        <v>0.01</v>
      </c>
    </row>
    <row r="32" spans="1:35" x14ac:dyDescent="0.35">
      <c r="A32" s="19"/>
      <c r="B32" s="11" t="s">
        <v>611</v>
      </c>
      <c r="C32" s="12">
        <v>100</v>
      </c>
      <c r="D32" s="12">
        <v>2</v>
      </c>
      <c r="E32" s="12">
        <v>2</v>
      </c>
      <c r="F32" s="12">
        <v>2</v>
      </c>
      <c r="G32" s="12">
        <v>4</v>
      </c>
      <c r="H32" s="12">
        <v>1</v>
      </c>
      <c r="I32" s="12">
        <v>2</v>
      </c>
      <c r="J32" s="12">
        <v>1</v>
      </c>
      <c r="K32" s="12">
        <v>12</v>
      </c>
      <c r="L32" s="12">
        <v>2</v>
      </c>
      <c r="M32" s="12">
        <v>0</v>
      </c>
      <c r="N32" s="12">
        <v>6</v>
      </c>
      <c r="O32" s="12">
        <v>8</v>
      </c>
      <c r="P32" s="12">
        <v>0</v>
      </c>
      <c r="Q32" s="12">
        <v>4</v>
      </c>
      <c r="R32" s="12">
        <v>0</v>
      </c>
      <c r="S32" s="12">
        <v>6</v>
      </c>
      <c r="T32" s="12">
        <v>6</v>
      </c>
      <c r="U32" s="12">
        <v>0</v>
      </c>
      <c r="V32" s="12">
        <v>0</v>
      </c>
      <c r="W32" s="12">
        <v>0</v>
      </c>
      <c r="X32" s="12">
        <v>2</v>
      </c>
      <c r="Y32" s="12">
        <v>5</v>
      </c>
      <c r="Z32" s="12">
        <v>2</v>
      </c>
      <c r="AA32" s="12">
        <v>2</v>
      </c>
      <c r="AB32" s="12">
        <v>4</v>
      </c>
      <c r="AC32" s="12">
        <v>6</v>
      </c>
      <c r="AD32" s="12">
        <v>2</v>
      </c>
      <c r="AE32" s="12">
        <v>5</v>
      </c>
      <c r="AF32" s="12">
        <v>8</v>
      </c>
      <c r="AG32" s="12">
        <v>0</v>
      </c>
      <c r="AH32" s="12">
        <v>1</v>
      </c>
      <c r="AI32" s="12">
        <v>0</v>
      </c>
    </row>
    <row r="33" spans="1:35" x14ac:dyDescent="0.35">
      <c r="A33" s="19"/>
      <c r="B33" s="13" t="s">
        <v>612</v>
      </c>
      <c r="C33" s="14" t="s">
        <v>475</v>
      </c>
      <c r="D33" s="14" t="s">
        <v>475</v>
      </c>
      <c r="E33" s="14" t="s">
        <v>475</v>
      </c>
      <c r="F33" s="14" t="s">
        <v>475</v>
      </c>
      <c r="G33" s="14" t="s">
        <v>475</v>
      </c>
      <c r="H33" s="14" t="s">
        <v>475</v>
      </c>
      <c r="I33" s="14" t="s">
        <v>475</v>
      </c>
      <c r="J33" s="14" t="s">
        <v>475</v>
      </c>
      <c r="K33" s="15">
        <v>0.01</v>
      </c>
      <c r="L33" s="14" t="s">
        <v>475</v>
      </c>
      <c r="M33" s="14" t="s">
        <v>475</v>
      </c>
      <c r="N33" s="15">
        <v>0.01</v>
      </c>
      <c r="O33" s="15">
        <v>0.01</v>
      </c>
      <c r="P33" s="14" t="s">
        <v>475</v>
      </c>
      <c r="Q33" s="14" t="s">
        <v>475</v>
      </c>
      <c r="R33" s="14" t="s">
        <v>475</v>
      </c>
      <c r="S33" s="15">
        <v>0.01</v>
      </c>
      <c r="T33" s="15">
        <v>0.01</v>
      </c>
      <c r="U33" s="14" t="s">
        <v>475</v>
      </c>
      <c r="V33" s="14" t="s">
        <v>475</v>
      </c>
      <c r="W33" s="14" t="s">
        <v>475</v>
      </c>
      <c r="X33" s="14" t="s">
        <v>475</v>
      </c>
      <c r="Y33" s="15">
        <v>0.01</v>
      </c>
      <c r="Z33" s="14" t="s">
        <v>475</v>
      </c>
      <c r="AA33" s="14" t="s">
        <v>475</v>
      </c>
      <c r="AB33" s="14" t="s">
        <v>475</v>
      </c>
      <c r="AC33" s="15">
        <v>0.01</v>
      </c>
      <c r="AD33" s="14" t="s">
        <v>475</v>
      </c>
      <c r="AE33" s="14" t="s">
        <v>475</v>
      </c>
      <c r="AF33" s="15">
        <v>0.01</v>
      </c>
      <c r="AG33" s="14" t="s">
        <v>475</v>
      </c>
      <c r="AH33" s="14" t="s">
        <v>475</v>
      </c>
      <c r="AI33" s="14" t="s">
        <v>475</v>
      </c>
    </row>
    <row r="34" spans="1:35" ht="31.5" x14ac:dyDescent="0.35">
      <c r="A34" s="19"/>
      <c r="B34" s="11" t="s">
        <v>1359</v>
      </c>
      <c r="C34" s="12">
        <v>3953</v>
      </c>
      <c r="D34" s="12">
        <v>100</v>
      </c>
      <c r="E34" s="12">
        <v>214</v>
      </c>
      <c r="F34" s="12">
        <v>169</v>
      </c>
      <c r="G34" s="12">
        <v>129</v>
      </c>
      <c r="H34" s="12">
        <v>258</v>
      </c>
      <c r="I34" s="12">
        <v>275</v>
      </c>
      <c r="J34" s="12">
        <v>17</v>
      </c>
      <c r="K34" s="12">
        <v>258</v>
      </c>
      <c r="L34" s="12">
        <v>137</v>
      </c>
      <c r="M34" s="12">
        <v>168</v>
      </c>
      <c r="N34" s="12">
        <v>201</v>
      </c>
      <c r="O34" s="12">
        <v>167</v>
      </c>
      <c r="P34" s="12">
        <v>112</v>
      </c>
      <c r="Q34" s="12">
        <v>144</v>
      </c>
      <c r="R34" s="12">
        <v>57</v>
      </c>
      <c r="S34" s="12">
        <v>247</v>
      </c>
      <c r="T34" s="12">
        <v>213</v>
      </c>
      <c r="U34" s="12">
        <v>23</v>
      </c>
      <c r="V34" s="12">
        <v>114</v>
      </c>
      <c r="W34" s="12">
        <v>22</v>
      </c>
      <c r="X34" s="12">
        <v>67</v>
      </c>
      <c r="Y34" s="12">
        <v>173</v>
      </c>
      <c r="Z34" s="12">
        <v>110</v>
      </c>
      <c r="AA34" s="12">
        <v>113</v>
      </c>
      <c r="AB34" s="12">
        <v>120</v>
      </c>
      <c r="AC34" s="12">
        <v>202</v>
      </c>
      <c r="AD34" s="12">
        <v>105</v>
      </c>
      <c r="AE34" s="12">
        <v>79</v>
      </c>
      <c r="AF34" s="12">
        <v>59</v>
      </c>
      <c r="AG34" s="12">
        <v>151</v>
      </c>
      <c r="AH34" s="12">
        <v>124</v>
      </c>
      <c r="AI34" s="12">
        <v>0</v>
      </c>
    </row>
    <row r="35" spans="1:35" ht="31.5" x14ac:dyDescent="0.35">
      <c r="A35" s="19"/>
      <c r="B35" s="13" t="s">
        <v>1360</v>
      </c>
      <c r="C35" s="15">
        <v>0.15</v>
      </c>
      <c r="D35" s="15">
        <v>0.1</v>
      </c>
      <c r="E35" s="15">
        <v>0.21</v>
      </c>
      <c r="F35" s="15">
        <v>0.15</v>
      </c>
      <c r="G35" s="15">
        <v>0.13</v>
      </c>
      <c r="H35" s="15">
        <v>0.21</v>
      </c>
      <c r="I35" s="15">
        <v>0.18</v>
      </c>
      <c r="J35" s="15">
        <v>0.06</v>
      </c>
      <c r="K35" s="15">
        <v>0.26</v>
      </c>
      <c r="L35" s="15">
        <v>0.14000000000000001</v>
      </c>
      <c r="M35" s="15">
        <v>0.17</v>
      </c>
      <c r="N35" s="15">
        <v>0.2</v>
      </c>
      <c r="O35" s="15">
        <v>0.17</v>
      </c>
      <c r="P35" s="15">
        <v>0.11</v>
      </c>
      <c r="Q35" s="15">
        <v>0.14000000000000001</v>
      </c>
      <c r="R35" s="15">
        <v>0.11</v>
      </c>
      <c r="S35" s="15">
        <v>0.25</v>
      </c>
      <c r="T35" s="15">
        <v>0.21</v>
      </c>
      <c r="U35" s="15">
        <v>0.05</v>
      </c>
      <c r="V35" s="15">
        <v>0.11</v>
      </c>
      <c r="W35" s="15">
        <v>0.04</v>
      </c>
      <c r="X35" s="15">
        <v>7.0000000000000007E-2</v>
      </c>
      <c r="Y35" s="15">
        <v>0.17</v>
      </c>
      <c r="Z35" s="15">
        <v>0.11</v>
      </c>
      <c r="AA35" s="15">
        <v>0.11</v>
      </c>
      <c r="AB35" s="15">
        <v>0.11</v>
      </c>
      <c r="AC35" s="15">
        <v>0.2</v>
      </c>
      <c r="AD35" s="15">
        <v>0.1</v>
      </c>
      <c r="AE35" s="15">
        <v>0.08</v>
      </c>
      <c r="AF35" s="15">
        <v>0.06</v>
      </c>
      <c r="AG35" s="15">
        <v>0.15</v>
      </c>
      <c r="AH35" s="15">
        <v>0.12</v>
      </c>
      <c r="AI35" s="14" t="s">
        <v>475</v>
      </c>
    </row>
    <row r="36" spans="1:35" x14ac:dyDescent="0.35">
      <c r="A36" s="19"/>
      <c r="B36" s="11" t="s">
        <v>485</v>
      </c>
      <c r="C36" s="12">
        <v>185</v>
      </c>
      <c r="D36" s="12">
        <v>2</v>
      </c>
      <c r="E36" s="12">
        <v>7</v>
      </c>
      <c r="F36" s="12">
        <v>11</v>
      </c>
      <c r="G36" s="12">
        <v>9</v>
      </c>
      <c r="H36" s="12">
        <v>3</v>
      </c>
      <c r="I36" s="12">
        <v>3</v>
      </c>
      <c r="J36" s="12">
        <v>1</v>
      </c>
      <c r="K36" s="12">
        <v>21</v>
      </c>
      <c r="L36" s="12">
        <v>9</v>
      </c>
      <c r="M36" s="12">
        <v>2</v>
      </c>
      <c r="N36" s="12">
        <v>7</v>
      </c>
      <c r="O36" s="12">
        <v>7</v>
      </c>
      <c r="P36" s="12">
        <v>11</v>
      </c>
      <c r="Q36" s="12">
        <v>6</v>
      </c>
      <c r="R36" s="12">
        <v>21</v>
      </c>
      <c r="S36" s="12">
        <v>28</v>
      </c>
      <c r="T36" s="12">
        <v>11</v>
      </c>
      <c r="U36" s="12">
        <v>1</v>
      </c>
      <c r="V36" s="12">
        <v>1</v>
      </c>
      <c r="W36" s="12">
        <v>2</v>
      </c>
      <c r="X36" s="12">
        <v>7</v>
      </c>
      <c r="Y36" s="12">
        <v>13</v>
      </c>
      <c r="Z36" s="12">
        <v>19</v>
      </c>
      <c r="AA36" s="12">
        <v>8</v>
      </c>
      <c r="AB36" s="12">
        <v>10</v>
      </c>
      <c r="AC36" s="12">
        <v>4</v>
      </c>
      <c r="AD36" s="12">
        <v>1</v>
      </c>
      <c r="AE36" s="12">
        <v>10</v>
      </c>
      <c r="AF36" s="12">
        <v>12</v>
      </c>
      <c r="AG36" s="12">
        <v>88</v>
      </c>
      <c r="AH36" s="12">
        <v>52</v>
      </c>
      <c r="AI36" s="12">
        <v>0</v>
      </c>
    </row>
    <row r="37" spans="1:35" x14ac:dyDescent="0.35">
      <c r="A37" s="19"/>
      <c r="B37" s="13" t="s">
        <v>486</v>
      </c>
      <c r="C37" s="15">
        <v>0.01</v>
      </c>
      <c r="D37" s="14" t="s">
        <v>475</v>
      </c>
      <c r="E37" s="15">
        <v>0.01</v>
      </c>
      <c r="F37" s="15">
        <v>0.01</v>
      </c>
      <c r="G37" s="15">
        <v>0.01</v>
      </c>
      <c r="H37" s="14" t="s">
        <v>475</v>
      </c>
      <c r="I37" s="14" t="s">
        <v>475</v>
      </c>
      <c r="J37" s="14" t="s">
        <v>475</v>
      </c>
      <c r="K37" s="15">
        <v>0.02</v>
      </c>
      <c r="L37" s="15">
        <v>0.01</v>
      </c>
      <c r="M37" s="14" t="s">
        <v>475</v>
      </c>
      <c r="N37" s="15">
        <v>0.01</v>
      </c>
      <c r="O37" s="15">
        <v>0.01</v>
      </c>
      <c r="P37" s="15">
        <v>0.01</v>
      </c>
      <c r="Q37" s="15">
        <v>0.01</v>
      </c>
      <c r="R37" s="15">
        <v>0.04</v>
      </c>
      <c r="S37" s="15">
        <v>0.03</v>
      </c>
      <c r="T37" s="15">
        <v>0.01</v>
      </c>
      <c r="U37" s="14" t="s">
        <v>475</v>
      </c>
      <c r="V37" s="14" t="s">
        <v>475</v>
      </c>
      <c r="W37" s="14" t="s">
        <v>475</v>
      </c>
      <c r="X37" s="15">
        <v>0.01</v>
      </c>
      <c r="Y37" s="15">
        <v>0.01</v>
      </c>
      <c r="Z37" s="15">
        <v>0.02</v>
      </c>
      <c r="AA37" s="15">
        <v>0.01</v>
      </c>
      <c r="AB37" s="15">
        <v>0.01</v>
      </c>
      <c r="AC37" s="14" t="s">
        <v>475</v>
      </c>
      <c r="AD37" s="14" t="s">
        <v>475</v>
      </c>
      <c r="AE37" s="15">
        <v>0.01</v>
      </c>
      <c r="AF37" s="15">
        <v>0.01</v>
      </c>
      <c r="AG37" s="15">
        <v>0.08</v>
      </c>
      <c r="AH37" s="15">
        <v>0.05</v>
      </c>
      <c r="AI37" s="14" t="s">
        <v>475</v>
      </c>
    </row>
    <row r="38" spans="1:35" x14ac:dyDescent="0.35">
      <c r="A38" s="19"/>
      <c r="B38" s="11" t="s">
        <v>1339</v>
      </c>
      <c r="C38" s="12">
        <v>11989</v>
      </c>
      <c r="D38" s="12">
        <v>523</v>
      </c>
      <c r="E38" s="12">
        <v>392</v>
      </c>
      <c r="F38" s="12">
        <v>545</v>
      </c>
      <c r="G38" s="12">
        <v>555</v>
      </c>
      <c r="H38" s="12">
        <v>550</v>
      </c>
      <c r="I38" s="12">
        <v>696</v>
      </c>
      <c r="J38" s="12">
        <v>146</v>
      </c>
      <c r="K38" s="12">
        <v>442</v>
      </c>
      <c r="L38" s="12">
        <v>520</v>
      </c>
      <c r="M38" s="12">
        <v>580</v>
      </c>
      <c r="N38" s="12">
        <v>442</v>
      </c>
      <c r="O38" s="12">
        <v>388</v>
      </c>
      <c r="P38" s="12">
        <v>483</v>
      </c>
      <c r="Q38" s="12">
        <v>384</v>
      </c>
      <c r="R38" s="12">
        <v>311</v>
      </c>
      <c r="S38" s="12">
        <v>498</v>
      </c>
      <c r="T38" s="12">
        <v>510</v>
      </c>
      <c r="U38" s="12">
        <v>311</v>
      </c>
      <c r="V38" s="12">
        <v>604</v>
      </c>
      <c r="W38" s="12">
        <v>360</v>
      </c>
      <c r="X38" s="12">
        <v>649</v>
      </c>
      <c r="Y38" s="12">
        <v>570</v>
      </c>
      <c r="Z38" s="12">
        <v>425</v>
      </c>
      <c r="AA38" s="12">
        <v>329</v>
      </c>
      <c r="AB38" s="12">
        <v>371</v>
      </c>
      <c r="AC38" s="12">
        <v>490</v>
      </c>
      <c r="AD38" s="12">
        <v>535</v>
      </c>
      <c r="AE38" s="12">
        <v>726</v>
      </c>
      <c r="AF38" s="12">
        <v>753</v>
      </c>
      <c r="AG38" s="12">
        <v>506</v>
      </c>
      <c r="AH38" s="12">
        <v>405</v>
      </c>
      <c r="AI38" s="12">
        <v>305</v>
      </c>
    </row>
    <row r="39" spans="1:35" x14ac:dyDescent="0.35">
      <c r="A39" s="19"/>
      <c r="B39" s="13" t="s">
        <v>1340</v>
      </c>
      <c r="C39" s="15">
        <v>0.45</v>
      </c>
      <c r="D39" s="15">
        <v>0.52</v>
      </c>
      <c r="E39" s="15">
        <v>0.38</v>
      </c>
      <c r="F39" s="15">
        <v>0.49</v>
      </c>
      <c r="G39" s="15">
        <v>0.55000000000000004</v>
      </c>
      <c r="H39" s="15">
        <v>0.45</v>
      </c>
      <c r="I39" s="15">
        <v>0.46</v>
      </c>
      <c r="J39" s="15">
        <v>0.49</v>
      </c>
      <c r="K39" s="15">
        <v>0.44</v>
      </c>
      <c r="L39" s="15">
        <v>0.52</v>
      </c>
      <c r="M39" s="15">
        <v>0.56999999999999995</v>
      </c>
      <c r="N39" s="15">
        <v>0.44</v>
      </c>
      <c r="O39" s="15">
        <v>0.39</v>
      </c>
      <c r="P39" s="15">
        <v>0.48</v>
      </c>
      <c r="Q39" s="15">
        <v>0.37</v>
      </c>
      <c r="R39" s="15">
        <v>0.62</v>
      </c>
      <c r="S39" s="15">
        <v>0.5</v>
      </c>
      <c r="T39" s="15">
        <v>0.51</v>
      </c>
      <c r="U39" s="15">
        <v>0.62</v>
      </c>
      <c r="V39" s="15">
        <v>0.6</v>
      </c>
      <c r="W39" s="15">
        <v>0.71</v>
      </c>
      <c r="X39" s="15">
        <v>0.64</v>
      </c>
      <c r="Y39" s="15">
        <v>0.56999999999999995</v>
      </c>
      <c r="Z39" s="15">
        <v>0.41</v>
      </c>
      <c r="AA39" s="15">
        <v>0.32</v>
      </c>
      <c r="AB39" s="15">
        <v>0.35</v>
      </c>
      <c r="AC39" s="15">
        <v>0.49</v>
      </c>
      <c r="AD39" s="15">
        <v>0.53</v>
      </c>
      <c r="AE39" s="15">
        <v>0.72</v>
      </c>
      <c r="AF39" s="15">
        <v>0.72</v>
      </c>
      <c r="AG39" s="15">
        <v>0.49</v>
      </c>
      <c r="AH39" s="15">
        <v>0.4</v>
      </c>
      <c r="AI39" s="15">
        <v>0.57999999999999996</v>
      </c>
    </row>
  </sheetData>
  <mergeCells count="10">
    <mergeCell ref="B4:F4"/>
    <mergeCell ref="H3:L3"/>
    <mergeCell ref="C8:AI8"/>
    <mergeCell ref="A38:A39"/>
    <mergeCell ref="B3:F3"/>
    <mergeCell ref="B5:F5"/>
    <mergeCell ref="A10:A37"/>
    <mergeCell ref="H5:L5"/>
    <mergeCell ref="B10:B11"/>
    <mergeCell ref="H4:L4"/>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1361</v>
      </c>
      <c r="C3" s="18"/>
      <c r="D3" s="18"/>
      <c r="E3" s="18"/>
      <c r="F3" s="18"/>
      <c r="H3" s="18" t="s">
        <v>1362</v>
      </c>
      <c r="I3" s="18"/>
      <c r="J3" s="18"/>
      <c r="K3" s="18"/>
      <c r="L3" s="18"/>
    </row>
    <row r="4" spans="1:32" ht="27" customHeight="1" x14ac:dyDescent="0.35">
      <c r="B4" s="18" t="s">
        <v>1363</v>
      </c>
      <c r="C4" s="18"/>
      <c r="D4" s="18"/>
      <c r="E4" s="18"/>
      <c r="F4" s="18"/>
      <c r="H4" s="18" t="s">
        <v>1364</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5238</v>
      </c>
      <c r="D12" s="12">
        <v>193</v>
      </c>
      <c r="E12" s="12">
        <v>326</v>
      </c>
      <c r="F12" s="12">
        <v>236</v>
      </c>
      <c r="G12" s="12">
        <v>267</v>
      </c>
      <c r="H12" s="12">
        <v>199</v>
      </c>
      <c r="I12" s="12">
        <v>253</v>
      </c>
      <c r="J12" s="12">
        <v>54</v>
      </c>
      <c r="K12" s="12">
        <v>157</v>
      </c>
      <c r="L12" s="12">
        <v>284</v>
      </c>
      <c r="M12" s="12">
        <v>243</v>
      </c>
      <c r="N12" s="12">
        <v>254</v>
      </c>
      <c r="O12" s="12">
        <v>158</v>
      </c>
      <c r="P12" s="12">
        <v>272</v>
      </c>
      <c r="Q12" s="12">
        <v>157</v>
      </c>
      <c r="R12" s="12">
        <v>138</v>
      </c>
      <c r="S12" s="12">
        <v>339</v>
      </c>
      <c r="T12" s="12">
        <v>247</v>
      </c>
      <c r="U12" s="12">
        <v>80</v>
      </c>
      <c r="V12" s="12">
        <v>313</v>
      </c>
      <c r="W12" s="12">
        <v>164</v>
      </c>
      <c r="X12" s="12">
        <v>175</v>
      </c>
      <c r="Y12" s="12">
        <v>339</v>
      </c>
      <c r="Z12" s="12">
        <v>219</v>
      </c>
      <c r="AA12" s="12">
        <v>97</v>
      </c>
      <c r="AB12" s="12">
        <v>205</v>
      </c>
      <c r="AC12" s="12">
        <v>226</v>
      </c>
      <c r="AD12" s="12">
        <v>309</v>
      </c>
      <c r="AE12" s="12">
        <v>274</v>
      </c>
      <c r="AF12" s="12">
        <v>222</v>
      </c>
    </row>
    <row r="13" spans="1:32" x14ac:dyDescent="0.35">
      <c r="A13" s="19"/>
      <c r="B13" s="13" t="s">
        <v>761</v>
      </c>
      <c r="C13" s="15">
        <v>0.2</v>
      </c>
      <c r="D13" s="15">
        <v>0.19</v>
      </c>
      <c r="E13" s="15">
        <v>0.32</v>
      </c>
      <c r="F13" s="15">
        <v>0.21</v>
      </c>
      <c r="G13" s="15">
        <v>0.27</v>
      </c>
      <c r="H13" s="15">
        <v>0.16</v>
      </c>
      <c r="I13" s="15">
        <v>0.17</v>
      </c>
      <c r="J13" s="15">
        <v>0.18</v>
      </c>
      <c r="K13" s="15">
        <v>0.16</v>
      </c>
      <c r="L13" s="15">
        <v>0.28000000000000003</v>
      </c>
      <c r="M13" s="15">
        <v>0.24</v>
      </c>
      <c r="N13" s="15">
        <v>0.25</v>
      </c>
      <c r="O13" s="15">
        <v>0.16</v>
      </c>
      <c r="P13" s="15">
        <v>0.27</v>
      </c>
      <c r="Q13" s="15">
        <v>0.15</v>
      </c>
      <c r="R13" s="15">
        <v>0.27</v>
      </c>
      <c r="S13" s="15">
        <v>0.34</v>
      </c>
      <c r="T13" s="15">
        <v>0.25</v>
      </c>
      <c r="U13" s="15">
        <v>0.16</v>
      </c>
      <c r="V13" s="15">
        <v>0.31</v>
      </c>
      <c r="W13" s="15">
        <v>0.32</v>
      </c>
      <c r="X13" s="15">
        <v>0.17</v>
      </c>
      <c r="Y13" s="15">
        <v>0.34</v>
      </c>
      <c r="Z13" s="15">
        <v>0.21</v>
      </c>
      <c r="AA13" s="15">
        <v>0.09</v>
      </c>
      <c r="AB13" s="15">
        <v>0.19</v>
      </c>
      <c r="AC13" s="15">
        <v>0.23</v>
      </c>
      <c r="AD13" s="15">
        <v>0.31</v>
      </c>
      <c r="AE13" s="15">
        <v>0.27</v>
      </c>
      <c r="AF13" s="15">
        <v>0.21</v>
      </c>
    </row>
    <row r="14" spans="1:32" x14ac:dyDescent="0.35">
      <c r="A14" s="19"/>
      <c r="B14" s="11" t="s">
        <v>762</v>
      </c>
      <c r="C14" s="12">
        <v>12362</v>
      </c>
      <c r="D14" s="12">
        <v>472</v>
      </c>
      <c r="E14" s="12">
        <v>405</v>
      </c>
      <c r="F14" s="12">
        <v>512</v>
      </c>
      <c r="G14" s="12">
        <v>404</v>
      </c>
      <c r="H14" s="12">
        <v>506</v>
      </c>
      <c r="I14" s="12">
        <v>629</v>
      </c>
      <c r="J14" s="12">
        <v>123</v>
      </c>
      <c r="K14" s="12">
        <v>450</v>
      </c>
      <c r="L14" s="12">
        <v>473</v>
      </c>
      <c r="M14" s="12">
        <v>504</v>
      </c>
      <c r="N14" s="12">
        <v>455</v>
      </c>
      <c r="O14" s="12">
        <v>421</v>
      </c>
      <c r="P14" s="12">
        <v>514</v>
      </c>
      <c r="Q14" s="12">
        <v>534</v>
      </c>
      <c r="R14" s="12">
        <v>220</v>
      </c>
      <c r="S14" s="12">
        <v>430</v>
      </c>
      <c r="T14" s="12">
        <v>488</v>
      </c>
      <c r="U14" s="12">
        <v>201</v>
      </c>
      <c r="V14" s="12">
        <v>534</v>
      </c>
      <c r="W14" s="12">
        <v>284</v>
      </c>
      <c r="X14" s="12">
        <v>473</v>
      </c>
      <c r="Y14" s="12">
        <v>373</v>
      </c>
      <c r="Z14" s="12">
        <v>626</v>
      </c>
      <c r="AA14" s="12">
        <v>462</v>
      </c>
      <c r="AB14" s="12">
        <v>575</v>
      </c>
      <c r="AC14" s="12">
        <v>446</v>
      </c>
      <c r="AD14" s="12">
        <v>506</v>
      </c>
      <c r="AE14" s="12">
        <v>466</v>
      </c>
      <c r="AF14" s="12">
        <v>423</v>
      </c>
    </row>
    <row r="15" spans="1:32" x14ac:dyDescent="0.35">
      <c r="A15" s="19"/>
      <c r="B15" s="13" t="s">
        <v>763</v>
      </c>
      <c r="C15" s="15">
        <v>0.47</v>
      </c>
      <c r="D15" s="15">
        <v>0.46</v>
      </c>
      <c r="E15" s="15">
        <v>0.39</v>
      </c>
      <c r="F15" s="15">
        <v>0.47</v>
      </c>
      <c r="G15" s="15">
        <v>0.4</v>
      </c>
      <c r="H15" s="15">
        <v>0.41</v>
      </c>
      <c r="I15" s="15">
        <v>0.41</v>
      </c>
      <c r="J15" s="15">
        <v>0.42</v>
      </c>
      <c r="K15" s="15">
        <v>0.45</v>
      </c>
      <c r="L15" s="15">
        <v>0.47</v>
      </c>
      <c r="M15" s="15">
        <v>0.5</v>
      </c>
      <c r="N15" s="15">
        <v>0.45</v>
      </c>
      <c r="O15" s="15">
        <v>0.42</v>
      </c>
      <c r="P15" s="15">
        <v>0.51</v>
      </c>
      <c r="Q15" s="15">
        <v>0.52</v>
      </c>
      <c r="R15" s="15">
        <v>0.44</v>
      </c>
      <c r="S15" s="15">
        <v>0.43</v>
      </c>
      <c r="T15" s="15">
        <v>0.49</v>
      </c>
      <c r="U15" s="15">
        <v>0.4</v>
      </c>
      <c r="V15" s="15">
        <v>0.52</v>
      </c>
      <c r="W15" s="15">
        <v>0.56000000000000005</v>
      </c>
      <c r="X15" s="15">
        <v>0.47</v>
      </c>
      <c r="Y15" s="15">
        <v>0.37</v>
      </c>
      <c r="Z15" s="15">
        <v>0.61</v>
      </c>
      <c r="AA15" s="15">
        <v>0.45</v>
      </c>
      <c r="AB15" s="15">
        <v>0.55000000000000004</v>
      </c>
      <c r="AC15" s="15">
        <v>0.44</v>
      </c>
      <c r="AD15" s="15">
        <v>0.5</v>
      </c>
      <c r="AE15" s="15">
        <v>0.46</v>
      </c>
      <c r="AF15" s="15">
        <v>0.41</v>
      </c>
    </row>
    <row r="16" spans="1:32" x14ac:dyDescent="0.35">
      <c r="A16" s="19"/>
      <c r="B16" s="11" t="s">
        <v>764</v>
      </c>
      <c r="C16" s="12">
        <v>4814</v>
      </c>
      <c r="D16" s="12">
        <v>230</v>
      </c>
      <c r="E16" s="12">
        <v>143</v>
      </c>
      <c r="F16" s="12">
        <v>186</v>
      </c>
      <c r="G16" s="12">
        <v>192</v>
      </c>
      <c r="H16" s="12">
        <v>253</v>
      </c>
      <c r="I16" s="12">
        <v>328</v>
      </c>
      <c r="J16" s="12">
        <v>75</v>
      </c>
      <c r="K16" s="12">
        <v>224</v>
      </c>
      <c r="L16" s="12">
        <v>137</v>
      </c>
      <c r="M16" s="12">
        <v>127</v>
      </c>
      <c r="N16" s="12">
        <v>129</v>
      </c>
      <c r="O16" s="12">
        <v>214</v>
      </c>
      <c r="P16" s="12">
        <v>131</v>
      </c>
      <c r="Q16" s="12">
        <v>206</v>
      </c>
      <c r="R16" s="12">
        <v>63</v>
      </c>
      <c r="S16" s="12">
        <v>94</v>
      </c>
      <c r="T16" s="12">
        <v>105</v>
      </c>
      <c r="U16" s="12">
        <v>127</v>
      </c>
      <c r="V16" s="12">
        <v>82</v>
      </c>
      <c r="W16" s="12">
        <v>30</v>
      </c>
      <c r="X16" s="12">
        <v>258</v>
      </c>
      <c r="Y16" s="12">
        <v>145</v>
      </c>
      <c r="Z16" s="12">
        <v>106</v>
      </c>
      <c r="AA16" s="12">
        <v>275</v>
      </c>
      <c r="AB16" s="12">
        <v>158</v>
      </c>
      <c r="AC16" s="12">
        <v>216</v>
      </c>
      <c r="AD16" s="12">
        <v>106</v>
      </c>
      <c r="AE16" s="12">
        <v>180</v>
      </c>
      <c r="AF16" s="12">
        <v>272</v>
      </c>
    </row>
    <row r="17" spans="1:32" x14ac:dyDescent="0.35">
      <c r="A17" s="19"/>
      <c r="B17" s="13" t="s">
        <v>765</v>
      </c>
      <c r="C17" s="15">
        <v>0.18</v>
      </c>
      <c r="D17" s="15">
        <v>0.23</v>
      </c>
      <c r="E17" s="15">
        <v>0.14000000000000001</v>
      </c>
      <c r="F17" s="15">
        <v>0.17</v>
      </c>
      <c r="G17" s="15">
        <v>0.19</v>
      </c>
      <c r="H17" s="15">
        <v>0.21</v>
      </c>
      <c r="I17" s="15">
        <v>0.22</v>
      </c>
      <c r="J17" s="15">
        <v>0.25</v>
      </c>
      <c r="K17" s="15">
        <v>0.22</v>
      </c>
      <c r="L17" s="15">
        <v>0.14000000000000001</v>
      </c>
      <c r="M17" s="15">
        <v>0.12</v>
      </c>
      <c r="N17" s="15">
        <v>0.13</v>
      </c>
      <c r="O17" s="15">
        <v>0.21</v>
      </c>
      <c r="P17" s="15">
        <v>0.13</v>
      </c>
      <c r="Q17" s="15">
        <v>0.2</v>
      </c>
      <c r="R17" s="15">
        <v>0.13</v>
      </c>
      <c r="S17" s="15">
        <v>0.09</v>
      </c>
      <c r="T17" s="15">
        <v>0.1</v>
      </c>
      <c r="U17" s="15">
        <v>0.25</v>
      </c>
      <c r="V17" s="15">
        <v>0.08</v>
      </c>
      <c r="W17" s="15">
        <v>0.06</v>
      </c>
      <c r="X17" s="15">
        <v>0.26</v>
      </c>
      <c r="Y17" s="15">
        <v>0.15</v>
      </c>
      <c r="Z17" s="15">
        <v>0.1</v>
      </c>
      <c r="AA17" s="15">
        <v>0.27</v>
      </c>
      <c r="AB17" s="15">
        <v>0.15</v>
      </c>
      <c r="AC17" s="15">
        <v>0.22</v>
      </c>
      <c r="AD17" s="15">
        <v>0.11</v>
      </c>
      <c r="AE17" s="15">
        <v>0.18</v>
      </c>
      <c r="AF17" s="15">
        <v>0.26</v>
      </c>
    </row>
    <row r="18" spans="1:32" x14ac:dyDescent="0.35">
      <c r="A18" s="19"/>
      <c r="B18" s="11" t="s">
        <v>766</v>
      </c>
      <c r="C18" s="12">
        <v>2147</v>
      </c>
      <c r="D18" s="12">
        <v>101</v>
      </c>
      <c r="E18" s="12">
        <v>63</v>
      </c>
      <c r="F18" s="12">
        <v>92</v>
      </c>
      <c r="G18" s="12">
        <v>91</v>
      </c>
      <c r="H18" s="12">
        <v>82</v>
      </c>
      <c r="I18" s="12">
        <v>109</v>
      </c>
      <c r="J18" s="12">
        <v>27</v>
      </c>
      <c r="K18" s="12">
        <v>64</v>
      </c>
      <c r="L18" s="12">
        <v>46</v>
      </c>
      <c r="M18" s="12">
        <v>77</v>
      </c>
      <c r="N18" s="12">
        <v>90</v>
      </c>
      <c r="O18" s="12">
        <v>142</v>
      </c>
      <c r="P18" s="12">
        <v>59</v>
      </c>
      <c r="Q18" s="12">
        <v>86</v>
      </c>
      <c r="R18" s="12">
        <v>45</v>
      </c>
      <c r="S18" s="12">
        <v>41</v>
      </c>
      <c r="T18" s="12">
        <v>44</v>
      </c>
      <c r="U18" s="12">
        <v>71</v>
      </c>
      <c r="V18" s="12">
        <v>49</v>
      </c>
      <c r="W18" s="12">
        <v>19</v>
      </c>
      <c r="X18" s="12">
        <v>85</v>
      </c>
      <c r="Y18" s="12">
        <v>82</v>
      </c>
      <c r="Z18" s="12">
        <v>18</v>
      </c>
      <c r="AA18" s="12">
        <v>87</v>
      </c>
      <c r="AB18" s="12">
        <v>38</v>
      </c>
      <c r="AC18" s="12">
        <v>64</v>
      </c>
      <c r="AD18" s="12">
        <v>50</v>
      </c>
      <c r="AE18" s="12">
        <v>53</v>
      </c>
      <c r="AF18" s="12">
        <v>109</v>
      </c>
    </row>
    <row r="19" spans="1:32" x14ac:dyDescent="0.35">
      <c r="A19" s="19"/>
      <c r="B19" s="13" t="s">
        <v>767</v>
      </c>
      <c r="C19" s="15">
        <v>0.08</v>
      </c>
      <c r="D19" s="15">
        <v>0.1</v>
      </c>
      <c r="E19" s="15">
        <v>0.06</v>
      </c>
      <c r="F19" s="15">
        <v>0.08</v>
      </c>
      <c r="G19" s="15">
        <v>0.09</v>
      </c>
      <c r="H19" s="15">
        <v>7.0000000000000007E-2</v>
      </c>
      <c r="I19" s="15">
        <v>7.0000000000000007E-2</v>
      </c>
      <c r="J19" s="15">
        <v>0.09</v>
      </c>
      <c r="K19" s="15">
        <v>0.06</v>
      </c>
      <c r="L19" s="15">
        <v>0.05</v>
      </c>
      <c r="M19" s="15">
        <v>0.08</v>
      </c>
      <c r="N19" s="15">
        <v>0.09</v>
      </c>
      <c r="O19" s="15">
        <v>0.14000000000000001</v>
      </c>
      <c r="P19" s="15">
        <v>0.06</v>
      </c>
      <c r="Q19" s="15">
        <v>0.09</v>
      </c>
      <c r="R19" s="15">
        <v>0.09</v>
      </c>
      <c r="S19" s="15">
        <v>0.04</v>
      </c>
      <c r="T19" s="15">
        <v>0.04</v>
      </c>
      <c r="U19" s="15">
        <v>0.14000000000000001</v>
      </c>
      <c r="V19" s="15">
        <v>0.05</v>
      </c>
      <c r="W19" s="15">
        <v>0.04</v>
      </c>
      <c r="X19" s="15">
        <v>0.08</v>
      </c>
      <c r="Y19" s="15">
        <v>0.08</v>
      </c>
      <c r="Z19" s="15">
        <v>0.02</v>
      </c>
      <c r="AA19" s="15">
        <v>0.08</v>
      </c>
      <c r="AB19" s="15">
        <v>0.04</v>
      </c>
      <c r="AC19" s="15">
        <v>0.06</v>
      </c>
      <c r="AD19" s="15">
        <v>0.05</v>
      </c>
      <c r="AE19" s="15">
        <v>0.05</v>
      </c>
      <c r="AF19" s="15">
        <v>0.1</v>
      </c>
    </row>
    <row r="20" spans="1:32" x14ac:dyDescent="0.35">
      <c r="A20" s="19"/>
      <c r="B20" s="11" t="s">
        <v>485</v>
      </c>
      <c r="C20" s="12">
        <v>1883</v>
      </c>
      <c r="D20" s="12">
        <v>17</v>
      </c>
      <c r="E20" s="12">
        <v>93</v>
      </c>
      <c r="F20" s="12">
        <v>76</v>
      </c>
      <c r="G20" s="12">
        <v>52</v>
      </c>
      <c r="H20" s="12">
        <v>181</v>
      </c>
      <c r="I20" s="12">
        <v>198</v>
      </c>
      <c r="J20" s="12">
        <v>17</v>
      </c>
      <c r="K20" s="12">
        <v>107</v>
      </c>
      <c r="L20" s="12">
        <v>62</v>
      </c>
      <c r="M20" s="12">
        <v>59</v>
      </c>
      <c r="N20" s="12">
        <v>75</v>
      </c>
      <c r="O20" s="12">
        <v>66</v>
      </c>
      <c r="P20" s="12">
        <v>28</v>
      </c>
      <c r="Q20" s="12">
        <v>44</v>
      </c>
      <c r="R20" s="12">
        <v>38</v>
      </c>
      <c r="S20" s="12">
        <v>98</v>
      </c>
      <c r="T20" s="12">
        <v>122</v>
      </c>
      <c r="U20" s="12">
        <v>27</v>
      </c>
      <c r="V20" s="12">
        <v>37</v>
      </c>
      <c r="W20" s="12">
        <v>12</v>
      </c>
      <c r="X20" s="12">
        <v>17</v>
      </c>
      <c r="Y20" s="12">
        <v>64</v>
      </c>
      <c r="Z20" s="12">
        <v>63</v>
      </c>
      <c r="AA20" s="12">
        <v>113</v>
      </c>
      <c r="AB20" s="12">
        <v>74</v>
      </c>
      <c r="AC20" s="12">
        <v>51</v>
      </c>
      <c r="AD20" s="12">
        <v>35</v>
      </c>
      <c r="AE20" s="12">
        <v>39</v>
      </c>
      <c r="AF20" s="12">
        <v>17</v>
      </c>
    </row>
    <row r="21" spans="1:32" x14ac:dyDescent="0.35">
      <c r="A21" s="19"/>
      <c r="B21" s="13" t="s">
        <v>486</v>
      </c>
      <c r="C21" s="15">
        <v>7.0000000000000007E-2</v>
      </c>
      <c r="D21" s="15">
        <v>0.02</v>
      </c>
      <c r="E21" s="15">
        <v>0.09</v>
      </c>
      <c r="F21" s="15">
        <v>7.0000000000000007E-2</v>
      </c>
      <c r="G21" s="15">
        <v>0.05</v>
      </c>
      <c r="H21" s="15">
        <v>0.15</v>
      </c>
      <c r="I21" s="15">
        <v>0.13</v>
      </c>
      <c r="J21" s="15">
        <v>0.06</v>
      </c>
      <c r="K21" s="15">
        <v>0.11</v>
      </c>
      <c r="L21" s="15">
        <v>0.06</v>
      </c>
      <c r="M21" s="15">
        <v>0.06</v>
      </c>
      <c r="N21" s="15">
        <v>0.08</v>
      </c>
      <c r="O21" s="15">
        <v>7.0000000000000007E-2</v>
      </c>
      <c r="P21" s="15">
        <v>0.03</v>
      </c>
      <c r="Q21" s="15">
        <v>0.04</v>
      </c>
      <c r="R21" s="15">
        <v>7.0000000000000007E-2</v>
      </c>
      <c r="S21" s="15">
        <v>0.1</v>
      </c>
      <c r="T21" s="15">
        <v>0.12</v>
      </c>
      <c r="U21" s="15">
        <v>0.05</v>
      </c>
      <c r="V21" s="15">
        <v>0.04</v>
      </c>
      <c r="W21" s="15">
        <v>0.02</v>
      </c>
      <c r="X21" s="15">
        <v>0.02</v>
      </c>
      <c r="Y21" s="15">
        <v>0.06</v>
      </c>
      <c r="Z21" s="15">
        <v>0.06</v>
      </c>
      <c r="AA21" s="15">
        <v>0.11</v>
      </c>
      <c r="AB21" s="15">
        <v>7.0000000000000007E-2</v>
      </c>
      <c r="AC21" s="15">
        <v>0.05</v>
      </c>
      <c r="AD21" s="15">
        <v>0.03</v>
      </c>
      <c r="AE21" s="15">
        <v>0.04</v>
      </c>
      <c r="AF21" s="15">
        <v>0.02</v>
      </c>
    </row>
    <row r="22" spans="1:32" x14ac:dyDescent="0.35">
      <c r="A22" s="19"/>
      <c r="B22" s="11" t="s">
        <v>768</v>
      </c>
      <c r="C22" s="12">
        <v>17600</v>
      </c>
      <c r="D22" s="12">
        <v>665</v>
      </c>
      <c r="E22" s="12">
        <v>731</v>
      </c>
      <c r="F22" s="12">
        <v>748</v>
      </c>
      <c r="G22" s="12">
        <v>671</v>
      </c>
      <c r="H22" s="12">
        <v>705</v>
      </c>
      <c r="I22" s="12">
        <v>882</v>
      </c>
      <c r="J22" s="12">
        <v>177</v>
      </c>
      <c r="K22" s="12">
        <v>607</v>
      </c>
      <c r="L22" s="12">
        <v>757</v>
      </c>
      <c r="M22" s="12">
        <v>747</v>
      </c>
      <c r="N22" s="12">
        <v>709</v>
      </c>
      <c r="O22" s="12">
        <v>579</v>
      </c>
      <c r="P22" s="12">
        <v>786</v>
      </c>
      <c r="Q22" s="12">
        <v>691</v>
      </c>
      <c r="R22" s="12">
        <v>358</v>
      </c>
      <c r="S22" s="12">
        <v>769</v>
      </c>
      <c r="T22" s="12">
        <v>735</v>
      </c>
      <c r="U22" s="12">
        <v>281</v>
      </c>
      <c r="V22" s="12">
        <v>847</v>
      </c>
      <c r="W22" s="12">
        <v>448</v>
      </c>
      <c r="X22" s="12">
        <v>648</v>
      </c>
      <c r="Y22" s="12">
        <v>712</v>
      </c>
      <c r="Z22" s="12">
        <v>845</v>
      </c>
      <c r="AA22" s="12">
        <v>559</v>
      </c>
      <c r="AB22" s="12">
        <v>780</v>
      </c>
      <c r="AC22" s="12">
        <v>672</v>
      </c>
      <c r="AD22" s="12">
        <v>815</v>
      </c>
      <c r="AE22" s="12">
        <v>740</v>
      </c>
      <c r="AF22" s="12">
        <v>645</v>
      </c>
    </row>
    <row r="23" spans="1:32" x14ac:dyDescent="0.35">
      <c r="A23" s="19"/>
      <c r="B23" s="13" t="s">
        <v>769</v>
      </c>
      <c r="C23" s="15">
        <v>0.67</v>
      </c>
      <c r="D23" s="15">
        <v>0.65</v>
      </c>
      <c r="E23" s="15">
        <v>0.71</v>
      </c>
      <c r="F23" s="15">
        <v>0.68</v>
      </c>
      <c r="G23" s="15">
        <v>0.67</v>
      </c>
      <c r="H23" s="15">
        <v>0.57000000000000006</v>
      </c>
      <c r="I23" s="15">
        <v>0.57999999999999996</v>
      </c>
      <c r="J23" s="15">
        <v>0.6</v>
      </c>
      <c r="K23" s="15">
        <v>0.61</v>
      </c>
      <c r="L23" s="15">
        <v>0.75</v>
      </c>
      <c r="M23" s="15">
        <v>0.74</v>
      </c>
      <c r="N23" s="15">
        <v>0.70000000000000007</v>
      </c>
      <c r="O23" s="15">
        <v>0.57999999999999996</v>
      </c>
      <c r="P23" s="15">
        <v>0.78</v>
      </c>
      <c r="Q23" s="15">
        <v>0.67</v>
      </c>
      <c r="R23" s="15">
        <v>0.71</v>
      </c>
      <c r="S23" s="15">
        <v>0.77</v>
      </c>
      <c r="T23" s="15">
        <v>0.74</v>
      </c>
      <c r="U23" s="15">
        <v>0.56000000000000005</v>
      </c>
      <c r="V23" s="15">
        <v>0.83000000000000007</v>
      </c>
      <c r="W23" s="15">
        <v>0.88</v>
      </c>
      <c r="X23" s="15">
        <v>0.64</v>
      </c>
      <c r="Y23" s="15">
        <v>0.71</v>
      </c>
      <c r="Z23" s="15">
        <v>0.82000000000000006</v>
      </c>
      <c r="AA23" s="15">
        <v>0.54</v>
      </c>
      <c r="AB23" s="15">
        <v>0.74</v>
      </c>
      <c r="AC23" s="15">
        <v>0.67</v>
      </c>
      <c r="AD23" s="15">
        <v>0.81</v>
      </c>
      <c r="AE23" s="15">
        <v>0.73</v>
      </c>
      <c r="AF23" s="15">
        <v>0.62</v>
      </c>
    </row>
    <row r="24" spans="1:32" x14ac:dyDescent="0.35">
      <c r="A24" s="19"/>
      <c r="B24" s="11" t="s">
        <v>770</v>
      </c>
      <c r="C24" s="12">
        <v>6961</v>
      </c>
      <c r="D24" s="12">
        <v>331</v>
      </c>
      <c r="E24" s="12">
        <v>206</v>
      </c>
      <c r="F24" s="12">
        <v>278</v>
      </c>
      <c r="G24" s="12">
        <v>283</v>
      </c>
      <c r="H24" s="12">
        <v>335</v>
      </c>
      <c r="I24" s="12">
        <v>437</v>
      </c>
      <c r="J24" s="12">
        <v>102</v>
      </c>
      <c r="K24" s="12">
        <v>288</v>
      </c>
      <c r="L24" s="12">
        <v>183</v>
      </c>
      <c r="M24" s="12">
        <v>204</v>
      </c>
      <c r="N24" s="12">
        <v>219</v>
      </c>
      <c r="O24" s="12">
        <v>356</v>
      </c>
      <c r="P24" s="12">
        <v>190</v>
      </c>
      <c r="Q24" s="12">
        <v>292</v>
      </c>
      <c r="R24" s="12">
        <v>108</v>
      </c>
      <c r="S24" s="12">
        <v>135</v>
      </c>
      <c r="T24" s="12">
        <v>149</v>
      </c>
      <c r="U24" s="12">
        <v>198</v>
      </c>
      <c r="V24" s="12">
        <v>131</v>
      </c>
      <c r="W24" s="12">
        <v>49</v>
      </c>
      <c r="X24" s="12">
        <v>343</v>
      </c>
      <c r="Y24" s="12">
        <v>227</v>
      </c>
      <c r="Z24" s="12">
        <v>124</v>
      </c>
      <c r="AA24" s="12">
        <v>362</v>
      </c>
      <c r="AB24" s="12">
        <v>196</v>
      </c>
      <c r="AC24" s="12">
        <v>280</v>
      </c>
      <c r="AD24" s="12">
        <v>156</v>
      </c>
      <c r="AE24" s="12">
        <v>233</v>
      </c>
      <c r="AF24" s="12">
        <v>381</v>
      </c>
    </row>
    <row r="25" spans="1:32" x14ac:dyDescent="0.35">
      <c r="A25" s="19"/>
      <c r="B25" s="13" t="s">
        <v>771</v>
      </c>
      <c r="C25" s="15">
        <v>0.26</v>
      </c>
      <c r="D25" s="15">
        <v>0.33</v>
      </c>
      <c r="E25" s="15">
        <v>0.2</v>
      </c>
      <c r="F25" s="15">
        <v>0.25</v>
      </c>
      <c r="G25" s="15">
        <v>0.28000000000000003</v>
      </c>
      <c r="H25" s="15">
        <v>0.28000000000000003</v>
      </c>
      <c r="I25" s="15">
        <v>0.28999999999999998</v>
      </c>
      <c r="J25" s="15">
        <v>0.34</v>
      </c>
      <c r="K25" s="15">
        <v>0.28000000000000003</v>
      </c>
      <c r="L25" s="15">
        <v>0.19</v>
      </c>
      <c r="M25" s="15">
        <v>0.2</v>
      </c>
      <c r="N25" s="15">
        <v>0.22</v>
      </c>
      <c r="O25" s="15">
        <v>0.35</v>
      </c>
      <c r="P25" s="15">
        <v>0.19</v>
      </c>
      <c r="Q25" s="15">
        <v>0.28999999999999998</v>
      </c>
      <c r="R25" s="15">
        <v>0.22</v>
      </c>
      <c r="S25" s="15">
        <v>0.13</v>
      </c>
      <c r="T25" s="15">
        <v>0.14000000000000001</v>
      </c>
      <c r="U25" s="15">
        <v>0.39</v>
      </c>
      <c r="V25" s="15">
        <v>0.13</v>
      </c>
      <c r="W25" s="15">
        <v>0.1</v>
      </c>
      <c r="X25" s="15">
        <v>0.34</v>
      </c>
      <c r="Y25" s="15">
        <v>0.23</v>
      </c>
      <c r="Z25" s="15">
        <v>0.12</v>
      </c>
      <c r="AA25" s="15">
        <v>0.35</v>
      </c>
      <c r="AB25" s="15">
        <v>0.19</v>
      </c>
      <c r="AC25" s="15">
        <v>0.28000000000000003</v>
      </c>
      <c r="AD25" s="15">
        <v>0.16</v>
      </c>
      <c r="AE25" s="15">
        <v>0.23</v>
      </c>
      <c r="AF25" s="15">
        <v>0.36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1365</v>
      </c>
      <c r="C3" s="18"/>
      <c r="D3" s="18"/>
      <c r="E3" s="18"/>
      <c r="F3" s="18"/>
      <c r="H3" s="18" t="s">
        <v>1366</v>
      </c>
      <c r="I3" s="18"/>
      <c r="J3" s="18"/>
      <c r="K3" s="18"/>
      <c r="L3" s="18"/>
    </row>
    <row r="4" spans="1:32" ht="27" customHeight="1" x14ac:dyDescent="0.35">
      <c r="B4" s="18" t="s">
        <v>1367</v>
      </c>
      <c r="C4" s="18"/>
      <c r="D4" s="18"/>
      <c r="E4" s="18"/>
      <c r="F4" s="18"/>
      <c r="H4" s="18" t="s">
        <v>1368</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5429</v>
      </c>
      <c r="D12" s="12">
        <v>215</v>
      </c>
      <c r="E12" s="12">
        <v>193</v>
      </c>
      <c r="F12" s="12">
        <v>138</v>
      </c>
      <c r="G12" s="12">
        <v>211</v>
      </c>
      <c r="H12" s="12">
        <v>222</v>
      </c>
      <c r="I12" s="12">
        <v>258</v>
      </c>
      <c r="J12" s="12">
        <v>37</v>
      </c>
      <c r="K12" s="12">
        <v>134</v>
      </c>
      <c r="L12" s="12">
        <v>232</v>
      </c>
      <c r="M12" s="12">
        <v>207</v>
      </c>
      <c r="N12" s="12">
        <v>267</v>
      </c>
      <c r="O12" s="12">
        <v>245</v>
      </c>
      <c r="P12" s="12">
        <v>232</v>
      </c>
      <c r="Q12" s="12">
        <v>192</v>
      </c>
      <c r="R12" s="12">
        <v>80</v>
      </c>
      <c r="S12" s="12">
        <v>224</v>
      </c>
      <c r="T12" s="12">
        <v>252</v>
      </c>
      <c r="U12" s="12">
        <v>147</v>
      </c>
      <c r="V12" s="12">
        <v>286</v>
      </c>
      <c r="W12" s="12">
        <v>87</v>
      </c>
      <c r="X12" s="12">
        <v>186</v>
      </c>
      <c r="Y12" s="12">
        <v>260</v>
      </c>
      <c r="Z12" s="12">
        <v>155</v>
      </c>
      <c r="AA12" s="12">
        <v>137</v>
      </c>
      <c r="AB12" s="12">
        <v>179</v>
      </c>
      <c r="AC12" s="12">
        <v>261</v>
      </c>
      <c r="AD12" s="12">
        <v>196</v>
      </c>
      <c r="AE12" s="12">
        <v>266</v>
      </c>
      <c r="AF12" s="12">
        <v>336</v>
      </c>
    </row>
    <row r="13" spans="1:32" x14ac:dyDescent="0.35">
      <c r="A13" s="19"/>
      <c r="B13" s="13" t="s">
        <v>761</v>
      </c>
      <c r="C13" s="15">
        <v>0.2</v>
      </c>
      <c r="D13" s="15">
        <v>0.21</v>
      </c>
      <c r="E13" s="15">
        <v>0.19</v>
      </c>
      <c r="F13" s="15">
        <v>0.13</v>
      </c>
      <c r="G13" s="15">
        <v>0.21</v>
      </c>
      <c r="H13" s="15">
        <v>0.18</v>
      </c>
      <c r="I13" s="15">
        <v>0.17</v>
      </c>
      <c r="J13" s="15">
        <v>0.12</v>
      </c>
      <c r="K13" s="15">
        <v>0.13</v>
      </c>
      <c r="L13" s="15">
        <v>0.23</v>
      </c>
      <c r="M13" s="15">
        <v>0.21</v>
      </c>
      <c r="N13" s="15">
        <v>0.27</v>
      </c>
      <c r="O13" s="15">
        <v>0.24</v>
      </c>
      <c r="P13" s="15">
        <v>0.23</v>
      </c>
      <c r="Q13" s="15">
        <v>0.19</v>
      </c>
      <c r="R13" s="15">
        <v>0.16</v>
      </c>
      <c r="S13" s="15">
        <v>0.22</v>
      </c>
      <c r="T13" s="15">
        <v>0.25</v>
      </c>
      <c r="U13" s="15">
        <v>0.28999999999999998</v>
      </c>
      <c r="V13" s="15">
        <v>0.28000000000000003</v>
      </c>
      <c r="W13" s="15">
        <v>0.17</v>
      </c>
      <c r="X13" s="15">
        <v>0.18</v>
      </c>
      <c r="Y13" s="15">
        <v>0.26</v>
      </c>
      <c r="Z13" s="15">
        <v>0.15</v>
      </c>
      <c r="AA13" s="15">
        <v>0.13</v>
      </c>
      <c r="AB13" s="15">
        <v>0.17</v>
      </c>
      <c r="AC13" s="15">
        <v>0.26</v>
      </c>
      <c r="AD13" s="15">
        <v>0.19</v>
      </c>
      <c r="AE13" s="15">
        <v>0.26</v>
      </c>
      <c r="AF13" s="15">
        <v>0.32</v>
      </c>
    </row>
    <row r="14" spans="1:32" x14ac:dyDescent="0.35">
      <c r="A14" s="19"/>
      <c r="B14" s="11" t="s">
        <v>762</v>
      </c>
      <c r="C14" s="12">
        <v>11789</v>
      </c>
      <c r="D14" s="12">
        <v>518</v>
      </c>
      <c r="E14" s="12">
        <v>351</v>
      </c>
      <c r="F14" s="12">
        <v>531</v>
      </c>
      <c r="G14" s="12">
        <v>502</v>
      </c>
      <c r="H14" s="12">
        <v>493</v>
      </c>
      <c r="I14" s="12">
        <v>628</v>
      </c>
      <c r="J14" s="12">
        <v>135</v>
      </c>
      <c r="K14" s="12">
        <v>451</v>
      </c>
      <c r="L14" s="12">
        <v>451</v>
      </c>
      <c r="M14" s="12">
        <v>430</v>
      </c>
      <c r="N14" s="12">
        <v>458</v>
      </c>
      <c r="O14" s="12">
        <v>397</v>
      </c>
      <c r="P14" s="12">
        <v>480</v>
      </c>
      <c r="Q14" s="12">
        <v>493</v>
      </c>
      <c r="R14" s="12">
        <v>229</v>
      </c>
      <c r="S14" s="12">
        <v>414</v>
      </c>
      <c r="T14" s="12">
        <v>437</v>
      </c>
      <c r="U14" s="12">
        <v>209</v>
      </c>
      <c r="V14" s="12">
        <v>447</v>
      </c>
      <c r="W14" s="12">
        <v>322</v>
      </c>
      <c r="X14" s="12">
        <v>506</v>
      </c>
      <c r="Y14" s="12">
        <v>284</v>
      </c>
      <c r="Z14" s="12">
        <v>493</v>
      </c>
      <c r="AA14" s="12">
        <v>586</v>
      </c>
      <c r="AB14" s="12">
        <v>474</v>
      </c>
      <c r="AC14" s="12">
        <v>418</v>
      </c>
      <c r="AD14" s="12">
        <v>450</v>
      </c>
      <c r="AE14" s="12">
        <v>493</v>
      </c>
      <c r="AF14" s="12">
        <v>504</v>
      </c>
    </row>
    <row r="15" spans="1:32" x14ac:dyDescent="0.35">
      <c r="A15" s="19"/>
      <c r="B15" s="13" t="s">
        <v>763</v>
      </c>
      <c r="C15" s="15">
        <v>0.45</v>
      </c>
      <c r="D15" s="15">
        <v>0.51</v>
      </c>
      <c r="E15" s="15">
        <v>0.34</v>
      </c>
      <c r="F15" s="15">
        <v>0.48</v>
      </c>
      <c r="G15" s="15">
        <v>0.5</v>
      </c>
      <c r="H15" s="15">
        <v>0.4</v>
      </c>
      <c r="I15" s="15">
        <v>0.41</v>
      </c>
      <c r="J15" s="15">
        <v>0.46</v>
      </c>
      <c r="K15" s="15">
        <v>0.45</v>
      </c>
      <c r="L15" s="15">
        <v>0.45</v>
      </c>
      <c r="M15" s="15">
        <v>0.43</v>
      </c>
      <c r="N15" s="15">
        <v>0.46</v>
      </c>
      <c r="O15" s="15">
        <v>0.4</v>
      </c>
      <c r="P15" s="15">
        <v>0.48</v>
      </c>
      <c r="Q15" s="15">
        <v>0.48</v>
      </c>
      <c r="R15" s="15">
        <v>0.45</v>
      </c>
      <c r="S15" s="15">
        <v>0.41</v>
      </c>
      <c r="T15" s="15">
        <v>0.44</v>
      </c>
      <c r="U15" s="15">
        <v>0.42</v>
      </c>
      <c r="V15" s="15">
        <v>0.44</v>
      </c>
      <c r="W15" s="15">
        <v>0.63</v>
      </c>
      <c r="X15" s="15">
        <v>0.5</v>
      </c>
      <c r="Y15" s="15">
        <v>0.28000000000000003</v>
      </c>
      <c r="Z15" s="15">
        <v>0.48</v>
      </c>
      <c r="AA15" s="15">
        <v>0.57000000000000006</v>
      </c>
      <c r="AB15" s="15">
        <v>0.45</v>
      </c>
      <c r="AC15" s="15">
        <v>0.42</v>
      </c>
      <c r="AD15" s="15">
        <v>0.45</v>
      </c>
      <c r="AE15" s="15">
        <v>0.49</v>
      </c>
      <c r="AF15" s="15">
        <v>0.48</v>
      </c>
    </row>
    <row r="16" spans="1:32" x14ac:dyDescent="0.35">
      <c r="A16" s="19"/>
      <c r="B16" s="11" t="s">
        <v>764</v>
      </c>
      <c r="C16" s="12">
        <v>5536</v>
      </c>
      <c r="D16" s="12">
        <v>211</v>
      </c>
      <c r="E16" s="12">
        <v>268</v>
      </c>
      <c r="F16" s="12">
        <v>259</v>
      </c>
      <c r="G16" s="12">
        <v>212</v>
      </c>
      <c r="H16" s="12">
        <v>240</v>
      </c>
      <c r="I16" s="12">
        <v>329</v>
      </c>
      <c r="J16" s="12">
        <v>88</v>
      </c>
      <c r="K16" s="12">
        <v>240</v>
      </c>
      <c r="L16" s="12">
        <v>193</v>
      </c>
      <c r="M16" s="12">
        <v>246</v>
      </c>
      <c r="N16" s="12">
        <v>144</v>
      </c>
      <c r="O16" s="12">
        <v>207</v>
      </c>
      <c r="P16" s="12">
        <v>200</v>
      </c>
      <c r="Q16" s="12">
        <v>236</v>
      </c>
      <c r="R16" s="12">
        <v>109</v>
      </c>
      <c r="S16" s="12">
        <v>216</v>
      </c>
      <c r="T16" s="12">
        <v>161</v>
      </c>
      <c r="U16" s="12">
        <v>97</v>
      </c>
      <c r="V16" s="12">
        <v>180</v>
      </c>
      <c r="W16" s="12">
        <v>69</v>
      </c>
      <c r="X16" s="12">
        <v>247</v>
      </c>
      <c r="Y16" s="12">
        <v>235</v>
      </c>
      <c r="Z16" s="12">
        <v>251</v>
      </c>
      <c r="AA16" s="12">
        <v>154</v>
      </c>
      <c r="AB16" s="12">
        <v>249</v>
      </c>
      <c r="AC16" s="12">
        <v>221</v>
      </c>
      <c r="AD16" s="12">
        <v>230</v>
      </c>
      <c r="AE16" s="12">
        <v>172</v>
      </c>
      <c r="AF16" s="12">
        <v>151</v>
      </c>
    </row>
    <row r="17" spans="1:32" x14ac:dyDescent="0.35">
      <c r="A17" s="19"/>
      <c r="B17" s="13" t="s">
        <v>765</v>
      </c>
      <c r="C17" s="15">
        <v>0.21</v>
      </c>
      <c r="D17" s="15">
        <v>0.21</v>
      </c>
      <c r="E17" s="15">
        <v>0.26</v>
      </c>
      <c r="F17" s="15">
        <v>0.24</v>
      </c>
      <c r="G17" s="15">
        <v>0.21</v>
      </c>
      <c r="H17" s="15">
        <v>0.2</v>
      </c>
      <c r="I17" s="15">
        <v>0.22</v>
      </c>
      <c r="J17" s="15">
        <v>0.3</v>
      </c>
      <c r="K17" s="15">
        <v>0.24</v>
      </c>
      <c r="L17" s="15">
        <v>0.19</v>
      </c>
      <c r="M17" s="15">
        <v>0.24</v>
      </c>
      <c r="N17" s="15">
        <v>0.14000000000000001</v>
      </c>
      <c r="O17" s="15">
        <v>0.21</v>
      </c>
      <c r="P17" s="15">
        <v>0.2</v>
      </c>
      <c r="Q17" s="15">
        <v>0.23</v>
      </c>
      <c r="R17" s="15">
        <v>0.22</v>
      </c>
      <c r="S17" s="15">
        <v>0.22</v>
      </c>
      <c r="T17" s="15">
        <v>0.16</v>
      </c>
      <c r="U17" s="15">
        <v>0.19</v>
      </c>
      <c r="V17" s="15">
        <v>0.18</v>
      </c>
      <c r="W17" s="15">
        <v>0.14000000000000001</v>
      </c>
      <c r="X17" s="15">
        <v>0.25</v>
      </c>
      <c r="Y17" s="15">
        <v>0.23</v>
      </c>
      <c r="Z17" s="15">
        <v>0.24</v>
      </c>
      <c r="AA17" s="15">
        <v>0.15</v>
      </c>
      <c r="AB17" s="15">
        <v>0.24</v>
      </c>
      <c r="AC17" s="15">
        <v>0.22</v>
      </c>
      <c r="AD17" s="15">
        <v>0.23</v>
      </c>
      <c r="AE17" s="15">
        <v>0.17</v>
      </c>
      <c r="AF17" s="15">
        <v>0.15</v>
      </c>
    </row>
    <row r="18" spans="1:32" x14ac:dyDescent="0.35">
      <c r="A18" s="19"/>
      <c r="B18" s="11" t="s">
        <v>766</v>
      </c>
      <c r="C18" s="12">
        <v>1203</v>
      </c>
      <c r="D18" s="12">
        <v>36</v>
      </c>
      <c r="E18" s="12">
        <v>87</v>
      </c>
      <c r="F18" s="12">
        <v>92</v>
      </c>
      <c r="G18" s="12">
        <v>20</v>
      </c>
      <c r="H18" s="12">
        <v>47</v>
      </c>
      <c r="I18" s="12">
        <v>62</v>
      </c>
      <c r="J18" s="12">
        <v>15</v>
      </c>
      <c r="K18" s="12">
        <v>44</v>
      </c>
      <c r="L18" s="12">
        <v>38</v>
      </c>
      <c r="M18" s="12">
        <v>53</v>
      </c>
      <c r="N18" s="12">
        <v>31</v>
      </c>
      <c r="O18" s="12">
        <v>63</v>
      </c>
      <c r="P18" s="12">
        <v>58</v>
      </c>
      <c r="Q18" s="12">
        <v>54</v>
      </c>
      <c r="R18" s="12">
        <v>41</v>
      </c>
      <c r="S18" s="12">
        <v>19</v>
      </c>
      <c r="T18" s="12">
        <v>13</v>
      </c>
      <c r="U18" s="12">
        <v>21</v>
      </c>
      <c r="V18" s="12">
        <v>36</v>
      </c>
      <c r="W18" s="12">
        <v>13</v>
      </c>
      <c r="X18" s="12">
        <v>28</v>
      </c>
      <c r="Y18" s="12">
        <v>125</v>
      </c>
      <c r="Z18" s="12">
        <v>22</v>
      </c>
      <c r="AA18" s="12">
        <v>21</v>
      </c>
      <c r="AB18" s="12">
        <v>59</v>
      </c>
      <c r="AC18" s="12">
        <v>46</v>
      </c>
      <c r="AD18" s="12">
        <v>57</v>
      </c>
      <c r="AE18" s="12">
        <v>32</v>
      </c>
      <c r="AF18" s="12">
        <v>27</v>
      </c>
    </row>
    <row r="19" spans="1:32" x14ac:dyDescent="0.35">
      <c r="A19" s="19"/>
      <c r="B19" s="13" t="s">
        <v>767</v>
      </c>
      <c r="C19" s="15">
        <v>0.05</v>
      </c>
      <c r="D19" s="15">
        <v>0.04</v>
      </c>
      <c r="E19" s="15">
        <v>0.08</v>
      </c>
      <c r="F19" s="15">
        <v>0.08</v>
      </c>
      <c r="G19" s="15">
        <v>0.02</v>
      </c>
      <c r="H19" s="15">
        <v>0.04</v>
      </c>
      <c r="I19" s="15">
        <v>0.04</v>
      </c>
      <c r="J19" s="15">
        <v>0.05</v>
      </c>
      <c r="K19" s="15">
        <v>0.05</v>
      </c>
      <c r="L19" s="15">
        <v>0.04</v>
      </c>
      <c r="M19" s="15">
        <v>0.05</v>
      </c>
      <c r="N19" s="15">
        <v>0.03</v>
      </c>
      <c r="O19" s="15">
        <v>0.06</v>
      </c>
      <c r="P19" s="15">
        <v>0.06</v>
      </c>
      <c r="Q19" s="15">
        <v>0.05</v>
      </c>
      <c r="R19" s="15">
        <v>0.08</v>
      </c>
      <c r="S19" s="15">
        <v>0.02</v>
      </c>
      <c r="T19" s="15">
        <v>0.01</v>
      </c>
      <c r="U19" s="15">
        <v>0.04</v>
      </c>
      <c r="V19" s="15">
        <v>0.03</v>
      </c>
      <c r="W19" s="15">
        <v>0.03</v>
      </c>
      <c r="X19" s="15">
        <v>0.03</v>
      </c>
      <c r="Y19" s="15">
        <v>0.13</v>
      </c>
      <c r="Z19" s="15">
        <v>0.02</v>
      </c>
      <c r="AA19" s="15">
        <v>0.02</v>
      </c>
      <c r="AB19" s="15">
        <v>0.06</v>
      </c>
      <c r="AC19" s="15">
        <v>0.04</v>
      </c>
      <c r="AD19" s="15">
        <v>0.06</v>
      </c>
      <c r="AE19" s="15">
        <v>0.03</v>
      </c>
      <c r="AF19" s="15">
        <v>0.03</v>
      </c>
    </row>
    <row r="20" spans="1:32" x14ac:dyDescent="0.35">
      <c r="A20" s="19"/>
      <c r="B20" s="11" t="s">
        <v>485</v>
      </c>
      <c r="C20" s="12">
        <v>2488</v>
      </c>
      <c r="D20" s="12">
        <v>34</v>
      </c>
      <c r="E20" s="12">
        <v>131</v>
      </c>
      <c r="F20" s="12">
        <v>81</v>
      </c>
      <c r="G20" s="12">
        <v>62</v>
      </c>
      <c r="H20" s="12">
        <v>219</v>
      </c>
      <c r="I20" s="12">
        <v>239</v>
      </c>
      <c r="J20" s="12">
        <v>20</v>
      </c>
      <c r="K20" s="12">
        <v>133</v>
      </c>
      <c r="L20" s="12">
        <v>88</v>
      </c>
      <c r="M20" s="12">
        <v>73</v>
      </c>
      <c r="N20" s="12">
        <v>103</v>
      </c>
      <c r="O20" s="12">
        <v>90</v>
      </c>
      <c r="P20" s="12">
        <v>33</v>
      </c>
      <c r="Q20" s="12">
        <v>52</v>
      </c>
      <c r="R20" s="12">
        <v>44</v>
      </c>
      <c r="S20" s="12">
        <v>130</v>
      </c>
      <c r="T20" s="12">
        <v>143</v>
      </c>
      <c r="U20" s="12">
        <v>29</v>
      </c>
      <c r="V20" s="12">
        <v>67</v>
      </c>
      <c r="W20" s="12">
        <v>16</v>
      </c>
      <c r="X20" s="12">
        <v>42</v>
      </c>
      <c r="Y20" s="12">
        <v>99</v>
      </c>
      <c r="Z20" s="12">
        <v>110</v>
      </c>
      <c r="AA20" s="12">
        <v>135</v>
      </c>
      <c r="AB20" s="12">
        <v>90</v>
      </c>
      <c r="AC20" s="12">
        <v>57</v>
      </c>
      <c r="AD20" s="12">
        <v>71</v>
      </c>
      <c r="AE20" s="12">
        <v>49</v>
      </c>
      <c r="AF20" s="12">
        <v>24</v>
      </c>
    </row>
    <row r="21" spans="1:32" x14ac:dyDescent="0.35">
      <c r="A21" s="19"/>
      <c r="B21" s="13" t="s">
        <v>486</v>
      </c>
      <c r="C21" s="15">
        <v>0.09</v>
      </c>
      <c r="D21" s="15">
        <v>0.03</v>
      </c>
      <c r="E21" s="15">
        <v>0.13</v>
      </c>
      <c r="F21" s="15">
        <v>7.0000000000000007E-2</v>
      </c>
      <c r="G21" s="15">
        <v>0.06</v>
      </c>
      <c r="H21" s="15">
        <v>0.18</v>
      </c>
      <c r="I21" s="15">
        <v>0.16</v>
      </c>
      <c r="J21" s="15">
        <v>7.0000000000000007E-2</v>
      </c>
      <c r="K21" s="15">
        <v>0.13</v>
      </c>
      <c r="L21" s="15">
        <v>0.09</v>
      </c>
      <c r="M21" s="15">
        <v>7.0000000000000007E-2</v>
      </c>
      <c r="N21" s="15">
        <v>0.1</v>
      </c>
      <c r="O21" s="15">
        <v>0.09</v>
      </c>
      <c r="P21" s="15">
        <v>0.03</v>
      </c>
      <c r="Q21" s="15">
        <v>0.05</v>
      </c>
      <c r="R21" s="15">
        <v>0.09</v>
      </c>
      <c r="S21" s="15">
        <v>0.13</v>
      </c>
      <c r="T21" s="15">
        <v>0.14000000000000001</v>
      </c>
      <c r="U21" s="15">
        <v>0.06</v>
      </c>
      <c r="V21" s="15">
        <v>7.0000000000000007E-2</v>
      </c>
      <c r="W21" s="15">
        <v>0.03</v>
      </c>
      <c r="X21" s="15">
        <v>0.04</v>
      </c>
      <c r="Y21" s="15">
        <v>0.1</v>
      </c>
      <c r="Z21" s="15">
        <v>0.11</v>
      </c>
      <c r="AA21" s="15">
        <v>0.13</v>
      </c>
      <c r="AB21" s="15">
        <v>0.08</v>
      </c>
      <c r="AC21" s="15">
        <v>0.06</v>
      </c>
      <c r="AD21" s="15">
        <v>7.0000000000000007E-2</v>
      </c>
      <c r="AE21" s="15">
        <v>0.05</v>
      </c>
      <c r="AF21" s="15">
        <v>0.02</v>
      </c>
    </row>
    <row r="22" spans="1:32" x14ac:dyDescent="0.35">
      <c r="A22" s="19"/>
      <c r="B22" s="11" t="s">
        <v>768</v>
      </c>
      <c r="C22" s="12">
        <v>17218</v>
      </c>
      <c r="D22" s="12">
        <v>733</v>
      </c>
      <c r="E22" s="12">
        <v>544</v>
      </c>
      <c r="F22" s="12">
        <v>669</v>
      </c>
      <c r="G22" s="12">
        <v>713</v>
      </c>
      <c r="H22" s="12">
        <v>715</v>
      </c>
      <c r="I22" s="12">
        <v>886</v>
      </c>
      <c r="J22" s="12">
        <v>172</v>
      </c>
      <c r="K22" s="12">
        <v>585</v>
      </c>
      <c r="L22" s="12">
        <v>683</v>
      </c>
      <c r="M22" s="12">
        <v>637</v>
      </c>
      <c r="N22" s="12">
        <v>725</v>
      </c>
      <c r="O22" s="12">
        <v>642</v>
      </c>
      <c r="P22" s="12">
        <v>712</v>
      </c>
      <c r="Q22" s="12">
        <v>685</v>
      </c>
      <c r="R22" s="12">
        <v>309</v>
      </c>
      <c r="S22" s="12">
        <v>638</v>
      </c>
      <c r="T22" s="12">
        <v>689</v>
      </c>
      <c r="U22" s="12">
        <v>356</v>
      </c>
      <c r="V22" s="12">
        <v>733</v>
      </c>
      <c r="W22" s="12">
        <v>409</v>
      </c>
      <c r="X22" s="12">
        <v>692</v>
      </c>
      <c r="Y22" s="12">
        <v>544</v>
      </c>
      <c r="Z22" s="12">
        <v>648</v>
      </c>
      <c r="AA22" s="12">
        <v>723</v>
      </c>
      <c r="AB22" s="12">
        <v>653</v>
      </c>
      <c r="AC22" s="12">
        <v>679</v>
      </c>
      <c r="AD22" s="12">
        <v>646</v>
      </c>
      <c r="AE22" s="12">
        <v>759</v>
      </c>
      <c r="AF22" s="12">
        <v>840</v>
      </c>
    </row>
    <row r="23" spans="1:32" x14ac:dyDescent="0.35">
      <c r="A23" s="19"/>
      <c r="B23" s="13" t="s">
        <v>769</v>
      </c>
      <c r="C23" s="15">
        <v>0.65</v>
      </c>
      <c r="D23" s="15">
        <v>0.72</v>
      </c>
      <c r="E23" s="15">
        <v>0.53</v>
      </c>
      <c r="F23" s="15">
        <v>0.61</v>
      </c>
      <c r="G23" s="15">
        <v>0.71</v>
      </c>
      <c r="H23" s="15">
        <v>0.57999999999999996</v>
      </c>
      <c r="I23" s="15">
        <v>0.57999999999999996</v>
      </c>
      <c r="J23" s="15">
        <v>0.57999999999999996</v>
      </c>
      <c r="K23" s="15">
        <v>0.57999999999999996</v>
      </c>
      <c r="L23" s="15">
        <v>0.68</v>
      </c>
      <c r="M23" s="15">
        <v>0.64</v>
      </c>
      <c r="N23" s="15">
        <v>0.73</v>
      </c>
      <c r="O23" s="15">
        <v>0.64</v>
      </c>
      <c r="P23" s="15">
        <v>0.71</v>
      </c>
      <c r="Q23" s="15">
        <v>0.67</v>
      </c>
      <c r="R23" s="15">
        <v>0.61</v>
      </c>
      <c r="S23" s="15">
        <v>0.63</v>
      </c>
      <c r="T23" s="15">
        <v>0.69000000000000006</v>
      </c>
      <c r="U23" s="15">
        <v>0.71</v>
      </c>
      <c r="V23" s="15">
        <v>0.72</v>
      </c>
      <c r="W23" s="15">
        <v>0.8</v>
      </c>
      <c r="X23" s="15">
        <v>0.68</v>
      </c>
      <c r="Y23" s="15">
        <v>0.54</v>
      </c>
      <c r="Z23" s="15">
        <v>0.63</v>
      </c>
      <c r="AA23" s="15">
        <v>0.70000000000000007</v>
      </c>
      <c r="AB23" s="15">
        <v>0.62</v>
      </c>
      <c r="AC23" s="15">
        <v>0.68</v>
      </c>
      <c r="AD23" s="15">
        <v>0.64</v>
      </c>
      <c r="AE23" s="15">
        <v>0.75</v>
      </c>
      <c r="AF23" s="15">
        <v>0.8</v>
      </c>
    </row>
    <row r="24" spans="1:32" x14ac:dyDescent="0.35">
      <c r="A24" s="19"/>
      <c r="B24" s="11" t="s">
        <v>770</v>
      </c>
      <c r="C24" s="12">
        <v>6739</v>
      </c>
      <c r="D24" s="12">
        <v>247</v>
      </c>
      <c r="E24" s="12">
        <v>355</v>
      </c>
      <c r="F24" s="12">
        <v>351</v>
      </c>
      <c r="G24" s="12">
        <v>232</v>
      </c>
      <c r="H24" s="12">
        <v>287</v>
      </c>
      <c r="I24" s="12">
        <v>391</v>
      </c>
      <c r="J24" s="12">
        <v>103</v>
      </c>
      <c r="K24" s="12">
        <v>284</v>
      </c>
      <c r="L24" s="12">
        <v>231</v>
      </c>
      <c r="M24" s="12">
        <v>299</v>
      </c>
      <c r="N24" s="12">
        <v>175</v>
      </c>
      <c r="O24" s="12">
        <v>270</v>
      </c>
      <c r="P24" s="12">
        <v>258</v>
      </c>
      <c r="Q24" s="12">
        <v>290</v>
      </c>
      <c r="R24" s="12">
        <v>150</v>
      </c>
      <c r="S24" s="12">
        <v>235</v>
      </c>
      <c r="T24" s="12">
        <v>174</v>
      </c>
      <c r="U24" s="12">
        <v>118</v>
      </c>
      <c r="V24" s="12">
        <v>216</v>
      </c>
      <c r="W24" s="12">
        <v>82</v>
      </c>
      <c r="X24" s="12">
        <v>275</v>
      </c>
      <c r="Y24" s="12">
        <v>360</v>
      </c>
      <c r="Z24" s="12">
        <v>273</v>
      </c>
      <c r="AA24" s="12">
        <v>175</v>
      </c>
      <c r="AB24" s="12">
        <v>308</v>
      </c>
      <c r="AC24" s="12">
        <v>267</v>
      </c>
      <c r="AD24" s="12">
        <v>287</v>
      </c>
      <c r="AE24" s="12">
        <v>204</v>
      </c>
      <c r="AF24" s="12">
        <v>178</v>
      </c>
    </row>
    <row r="25" spans="1:32" x14ac:dyDescent="0.35">
      <c r="A25" s="19"/>
      <c r="B25" s="13" t="s">
        <v>771</v>
      </c>
      <c r="C25" s="15">
        <v>0.26</v>
      </c>
      <c r="D25" s="15">
        <v>0.25</v>
      </c>
      <c r="E25" s="15">
        <v>0.34</v>
      </c>
      <c r="F25" s="15">
        <v>0.32</v>
      </c>
      <c r="G25" s="15">
        <v>0.23</v>
      </c>
      <c r="H25" s="15">
        <v>0.24</v>
      </c>
      <c r="I25" s="15">
        <v>0.26</v>
      </c>
      <c r="J25" s="15">
        <v>0.35</v>
      </c>
      <c r="K25" s="15">
        <v>0.28999999999999998</v>
      </c>
      <c r="L25" s="15">
        <v>0.23</v>
      </c>
      <c r="M25" s="15">
        <v>0.28999999999999998</v>
      </c>
      <c r="N25" s="15">
        <v>0.17</v>
      </c>
      <c r="O25" s="15">
        <v>0.27</v>
      </c>
      <c r="P25" s="15">
        <v>0.26</v>
      </c>
      <c r="Q25" s="15">
        <v>0.28000000000000003</v>
      </c>
      <c r="R25" s="15">
        <v>0.3</v>
      </c>
      <c r="S25" s="15">
        <v>0.24</v>
      </c>
      <c r="T25" s="15">
        <v>0.17</v>
      </c>
      <c r="U25" s="15">
        <v>0.23</v>
      </c>
      <c r="V25" s="15">
        <v>0.21</v>
      </c>
      <c r="W25" s="15">
        <v>0.17</v>
      </c>
      <c r="X25" s="15">
        <v>0.28000000000000003</v>
      </c>
      <c r="Y25" s="15">
        <v>0.36</v>
      </c>
      <c r="Z25" s="15">
        <v>0.26</v>
      </c>
      <c r="AA25" s="15">
        <v>0.17</v>
      </c>
      <c r="AB25" s="15">
        <v>0.3</v>
      </c>
      <c r="AC25" s="15">
        <v>0.26</v>
      </c>
      <c r="AD25" s="15">
        <v>0.28999999999999998</v>
      </c>
      <c r="AE25" s="15">
        <v>0.2</v>
      </c>
      <c r="AF25" s="15">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1369</v>
      </c>
      <c r="C3" s="18"/>
      <c r="D3" s="18"/>
      <c r="E3" s="18"/>
      <c r="F3" s="18"/>
      <c r="H3" s="18" t="s">
        <v>1370</v>
      </c>
      <c r="I3" s="18"/>
      <c r="J3" s="18"/>
      <c r="K3" s="18"/>
      <c r="L3" s="18"/>
    </row>
    <row r="4" spans="1:32" ht="27" customHeight="1" x14ac:dyDescent="0.35">
      <c r="B4" s="18" t="s">
        <v>1371</v>
      </c>
      <c r="C4" s="18"/>
      <c r="D4" s="18"/>
      <c r="E4" s="18"/>
      <c r="F4" s="18"/>
      <c r="H4" s="18" t="s">
        <v>1372</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5139</v>
      </c>
      <c r="D12" s="12">
        <v>182</v>
      </c>
      <c r="E12" s="12">
        <v>223</v>
      </c>
      <c r="F12" s="12">
        <v>162</v>
      </c>
      <c r="G12" s="12">
        <v>302</v>
      </c>
      <c r="H12" s="12">
        <v>219</v>
      </c>
      <c r="I12" s="12">
        <v>277</v>
      </c>
      <c r="J12" s="12">
        <v>58</v>
      </c>
      <c r="K12" s="12">
        <v>116</v>
      </c>
      <c r="L12" s="12">
        <v>287</v>
      </c>
      <c r="M12" s="12">
        <v>211</v>
      </c>
      <c r="N12" s="12">
        <v>235</v>
      </c>
      <c r="O12" s="12">
        <v>135</v>
      </c>
      <c r="P12" s="12">
        <v>226</v>
      </c>
      <c r="Q12" s="12">
        <v>155</v>
      </c>
      <c r="R12" s="12">
        <v>83</v>
      </c>
      <c r="S12" s="12">
        <v>265</v>
      </c>
      <c r="T12" s="12">
        <v>195</v>
      </c>
      <c r="U12" s="12">
        <v>84</v>
      </c>
      <c r="V12" s="12">
        <v>269</v>
      </c>
      <c r="W12" s="12">
        <v>119</v>
      </c>
      <c r="X12" s="12">
        <v>226</v>
      </c>
      <c r="Y12" s="12">
        <v>364</v>
      </c>
      <c r="Z12" s="12">
        <v>200</v>
      </c>
      <c r="AA12" s="12">
        <v>114</v>
      </c>
      <c r="AB12" s="12">
        <v>202</v>
      </c>
      <c r="AC12" s="12">
        <v>243</v>
      </c>
      <c r="AD12" s="12">
        <v>189</v>
      </c>
      <c r="AE12" s="12">
        <v>343</v>
      </c>
      <c r="AF12" s="12">
        <v>418</v>
      </c>
    </row>
    <row r="13" spans="1:32" x14ac:dyDescent="0.35">
      <c r="A13" s="19"/>
      <c r="B13" s="13" t="s">
        <v>761</v>
      </c>
      <c r="C13" s="15">
        <v>0.19</v>
      </c>
      <c r="D13" s="15">
        <v>0.18</v>
      </c>
      <c r="E13" s="15">
        <v>0.22</v>
      </c>
      <c r="F13" s="15">
        <v>0.15</v>
      </c>
      <c r="G13" s="15">
        <v>0.3</v>
      </c>
      <c r="H13" s="15">
        <v>0.18</v>
      </c>
      <c r="I13" s="15">
        <v>0.18</v>
      </c>
      <c r="J13" s="15">
        <v>0.2</v>
      </c>
      <c r="K13" s="15">
        <v>0.12</v>
      </c>
      <c r="L13" s="15">
        <v>0.28999999999999998</v>
      </c>
      <c r="M13" s="15">
        <v>0.21</v>
      </c>
      <c r="N13" s="15">
        <v>0.23</v>
      </c>
      <c r="O13" s="15">
        <v>0.14000000000000001</v>
      </c>
      <c r="P13" s="15">
        <v>0.23</v>
      </c>
      <c r="Q13" s="15">
        <v>0.15</v>
      </c>
      <c r="R13" s="15">
        <v>0.16</v>
      </c>
      <c r="S13" s="15">
        <v>0.26</v>
      </c>
      <c r="T13" s="15">
        <v>0.19</v>
      </c>
      <c r="U13" s="15">
        <v>0.17</v>
      </c>
      <c r="V13" s="15">
        <v>0.27</v>
      </c>
      <c r="W13" s="15">
        <v>0.24</v>
      </c>
      <c r="X13" s="15">
        <v>0.22</v>
      </c>
      <c r="Y13" s="15">
        <v>0.36</v>
      </c>
      <c r="Z13" s="15">
        <v>0.19</v>
      </c>
      <c r="AA13" s="15">
        <v>0.11</v>
      </c>
      <c r="AB13" s="15">
        <v>0.19</v>
      </c>
      <c r="AC13" s="15">
        <v>0.25</v>
      </c>
      <c r="AD13" s="15">
        <v>0.19</v>
      </c>
      <c r="AE13" s="15">
        <v>0.34</v>
      </c>
      <c r="AF13" s="15">
        <v>0.4</v>
      </c>
    </row>
    <row r="14" spans="1:32" x14ac:dyDescent="0.35">
      <c r="A14" s="19"/>
      <c r="B14" s="11" t="s">
        <v>762</v>
      </c>
      <c r="C14" s="12">
        <v>13023</v>
      </c>
      <c r="D14" s="12">
        <v>521</v>
      </c>
      <c r="E14" s="12">
        <v>352</v>
      </c>
      <c r="F14" s="12">
        <v>507</v>
      </c>
      <c r="G14" s="12">
        <v>483</v>
      </c>
      <c r="H14" s="12">
        <v>597</v>
      </c>
      <c r="I14" s="12">
        <v>736</v>
      </c>
      <c r="J14" s="12">
        <v>139</v>
      </c>
      <c r="K14" s="12">
        <v>503</v>
      </c>
      <c r="L14" s="12">
        <v>529</v>
      </c>
      <c r="M14" s="12">
        <v>456</v>
      </c>
      <c r="N14" s="12">
        <v>488</v>
      </c>
      <c r="O14" s="12">
        <v>432</v>
      </c>
      <c r="P14" s="12">
        <v>506</v>
      </c>
      <c r="Q14" s="12">
        <v>553</v>
      </c>
      <c r="R14" s="12">
        <v>264</v>
      </c>
      <c r="S14" s="12">
        <v>492</v>
      </c>
      <c r="T14" s="12">
        <v>500</v>
      </c>
      <c r="U14" s="12">
        <v>231</v>
      </c>
      <c r="V14" s="12">
        <v>511</v>
      </c>
      <c r="W14" s="12">
        <v>332</v>
      </c>
      <c r="X14" s="12">
        <v>590</v>
      </c>
      <c r="Y14" s="12">
        <v>360</v>
      </c>
      <c r="Z14" s="12">
        <v>622</v>
      </c>
      <c r="AA14" s="12">
        <v>407</v>
      </c>
      <c r="AB14" s="12">
        <v>498</v>
      </c>
      <c r="AC14" s="12">
        <v>463</v>
      </c>
      <c r="AD14" s="12">
        <v>578</v>
      </c>
      <c r="AE14" s="12">
        <v>521</v>
      </c>
      <c r="AF14" s="12">
        <v>489</v>
      </c>
    </row>
    <row r="15" spans="1:32" x14ac:dyDescent="0.35">
      <c r="A15" s="19"/>
      <c r="B15" s="13" t="s">
        <v>763</v>
      </c>
      <c r="C15" s="15">
        <v>0.49</v>
      </c>
      <c r="D15" s="15">
        <v>0.51</v>
      </c>
      <c r="E15" s="15">
        <v>0.34</v>
      </c>
      <c r="F15" s="15">
        <v>0.46</v>
      </c>
      <c r="G15" s="15">
        <v>0.48</v>
      </c>
      <c r="H15" s="15">
        <v>0.49</v>
      </c>
      <c r="I15" s="15">
        <v>0.49</v>
      </c>
      <c r="J15" s="15">
        <v>0.47</v>
      </c>
      <c r="K15" s="15">
        <v>0.5</v>
      </c>
      <c r="L15" s="15">
        <v>0.53</v>
      </c>
      <c r="M15" s="15">
        <v>0.45</v>
      </c>
      <c r="N15" s="15">
        <v>0.49</v>
      </c>
      <c r="O15" s="15">
        <v>0.43</v>
      </c>
      <c r="P15" s="15">
        <v>0.5</v>
      </c>
      <c r="Q15" s="15">
        <v>0.54</v>
      </c>
      <c r="R15" s="15">
        <v>0.52</v>
      </c>
      <c r="S15" s="15">
        <v>0.49</v>
      </c>
      <c r="T15" s="15">
        <v>0.5</v>
      </c>
      <c r="U15" s="15">
        <v>0.46</v>
      </c>
      <c r="V15" s="15">
        <v>0.5</v>
      </c>
      <c r="W15" s="15">
        <v>0.65</v>
      </c>
      <c r="X15" s="15">
        <v>0.59</v>
      </c>
      <c r="Y15" s="15">
        <v>0.36</v>
      </c>
      <c r="Z15" s="15">
        <v>0.6</v>
      </c>
      <c r="AA15" s="15">
        <v>0.39</v>
      </c>
      <c r="AB15" s="15">
        <v>0.47</v>
      </c>
      <c r="AC15" s="15">
        <v>0.46</v>
      </c>
      <c r="AD15" s="15">
        <v>0.57000000000000006</v>
      </c>
      <c r="AE15" s="15">
        <v>0.51</v>
      </c>
      <c r="AF15" s="15">
        <v>0.47</v>
      </c>
    </row>
    <row r="16" spans="1:32" x14ac:dyDescent="0.35">
      <c r="A16" s="19"/>
      <c r="B16" s="11" t="s">
        <v>764</v>
      </c>
      <c r="C16" s="12">
        <v>4450</v>
      </c>
      <c r="D16" s="12">
        <v>209</v>
      </c>
      <c r="E16" s="12">
        <v>239</v>
      </c>
      <c r="F16" s="12">
        <v>248</v>
      </c>
      <c r="G16" s="12">
        <v>105</v>
      </c>
      <c r="H16" s="12">
        <v>172</v>
      </c>
      <c r="I16" s="12">
        <v>234</v>
      </c>
      <c r="J16" s="12">
        <v>63</v>
      </c>
      <c r="K16" s="12">
        <v>183</v>
      </c>
      <c r="L16" s="12">
        <v>104</v>
      </c>
      <c r="M16" s="12">
        <v>187</v>
      </c>
      <c r="N16" s="12">
        <v>119</v>
      </c>
      <c r="O16" s="12">
        <v>220</v>
      </c>
      <c r="P16" s="12">
        <v>172</v>
      </c>
      <c r="Q16" s="12">
        <v>206</v>
      </c>
      <c r="R16" s="12">
        <v>73</v>
      </c>
      <c r="S16" s="12">
        <v>96</v>
      </c>
      <c r="T16" s="12">
        <v>143</v>
      </c>
      <c r="U16" s="12">
        <v>100</v>
      </c>
      <c r="V16" s="12">
        <v>123</v>
      </c>
      <c r="W16" s="12">
        <v>37</v>
      </c>
      <c r="X16" s="12">
        <v>137</v>
      </c>
      <c r="Y16" s="12">
        <v>131</v>
      </c>
      <c r="Z16" s="12">
        <v>118</v>
      </c>
      <c r="AA16" s="12">
        <v>337</v>
      </c>
      <c r="AB16" s="12">
        <v>213</v>
      </c>
      <c r="AC16" s="12">
        <v>183</v>
      </c>
      <c r="AD16" s="12">
        <v>131</v>
      </c>
      <c r="AE16" s="12">
        <v>82</v>
      </c>
      <c r="AF16" s="12">
        <v>86</v>
      </c>
    </row>
    <row r="17" spans="1:32" x14ac:dyDescent="0.35">
      <c r="A17" s="19"/>
      <c r="B17" s="13" t="s">
        <v>765</v>
      </c>
      <c r="C17" s="15">
        <v>0.17</v>
      </c>
      <c r="D17" s="15">
        <v>0.21</v>
      </c>
      <c r="E17" s="15">
        <v>0.23</v>
      </c>
      <c r="F17" s="15">
        <v>0.22</v>
      </c>
      <c r="G17" s="15">
        <v>0.1</v>
      </c>
      <c r="H17" s="15">
        <v>0.14000000000000001</v>
      </c>
      <c r="I17" s="15">
        <v>0.15</v>
      </c>
      <c r="J17" s="15">
        <v>0.21</v>
      </c>
      <c r="K17" s="15">
        <v>0.18</v>
      </c>
      <c r="L17" s="15">
        <v>0.1</v>
      </c>
      <c r="M17" s="15">
        <v>0.18</v>
      </c>
      <c r="N17" s="15">
        <v>0.12</v>
      </c>
      <c r="O17" s="15">
        <v>0.22</v>
      </c>
      <c r="P17" s="15">
        <v>0.17</v>
      </c>
      <c r="Q17" s="15">
        <v>0.2</v>
      </c>
      <c r="R17" s="15">
        <v>0.15</v>
      </c>
      <c r="S17" s="15">
        <v>0.1</v>
      </c>
      <c r="T17" s="15">
        <v>0.14000000000000001</v>
      </c>
      <c r="U17" s="15">
        <v>0.2</v>
      </c>
      <c r="V17" s="15">
        <v>0.12</v>
      </c>
      <c r="W17" s="15">
        <v>7.0000000000000007E-2</v>
      </c>
      <c r="X17" s="15">
        <v>0.14000000000000001</v>
      </c>
      <c r="Y17" s="15">
        <v>0.13</v>
      </c>
      <c r="Z17" s="15">
        <v>0.12</v>
      </c>
      <c r="AA17" s="15">
        <v>0.33</v>
      </c>
      <c r="AB17" s="15">
        <v>0.2</v>
      </c>
      <c r="AC17" s="15">
        <v>0.18</v>
      </c>
      <c r="AD17" s="15">
        <v>0.13</v>
      </c>
      <c r="AE17" s="15">
        <v>0.08</v>
      </c>
      <c r="AF17" s="15">
        <v>0.08</v>
      </c>
    </row>
    <row r="18" spans="1:32" x14ac:dyDescent="0.35">
      <c r="A18" s="19"/>
      <c r="B18" s="11" t="s">
        <v>766</v>
      </c>
      <c r="C18" s="12">
        <v>1544</v>
      </c>
      <c r="D18" s="12">
        <v>71</v>
      </c>
      <c r="E18" s="12">
        <v>94</v>
      </c>
      <c r="F18" s="12">
        <v>90</v>
      </c>
      <c r="G18" s="12">
        <v>35</v>
      </c>
      <c r="H18" s="12">
        <v>28</v>
      </c>
      <c r="I18" s="12">
        <v>43</v>
      </c>
      <c r="J18" s="12">
        <v>15</v>
      </c>
      <c r="K18" s="12">
        <v>71</v>
      </c>
      <c r="L18" s="12">
        <v>16</v>
      </c>
      <c r="M18" s="12">
        <v>87</v>
      </c>
      <c r="N18" s="12">
        <v>66</v>
      </c>
      <c r="O18" s="12">
        <v>122</v>
      </c>
      <c r="P18" s="12">
        <v>65</v>
      </c>
      <c r="Q18" s="12">
        <v>64</v>
      </c>
      <c r="R18" s="12">
        <v>44</v>
      </c>
      <c r="S18" s="12">
        <v>27</v>
      </c>
      <c r="T18" s="12">
        <v>40</v>
      </c>
      <c r="U18" s="12">
        <v>52</v>
      </c>
      <c r="V18" s="12">
        <v>58</v>
      </c>
      <c r="W18" s="12">
        <v>7</v>
      </c>
      <c r="X18" s="12">
        <v>23</v>
      </c>
      <c r="Y18" s="12">
        <v>71</v>
      </c>
      <c r="Z18" s="12">
        <v>24</v>
      </c>
      <c r="AA18" s="12">
        <v>45</v>
      </c>
      <c r="AB18" s="12">
        <v>48</v>
      </c>
      <c r="AC18" s="12">
        <v>52</v>
      </c>
      <c r="AD18" s="12">
        <v>51</v>
      </c>
      <c r="AE18" s="12">
        <v>18</v>
      </c>
      <c r="AF18" s="12">
        <v>26</v>
      </c>
    </row>
    <row r="19" spans="1:32" x14ac:dyDescent="0.35">
      <c r="A19" s="19"/>
      <c r="B19" s="13" t="s">
        <v>767</v>
      </c>
      <c r="C19" s="15">
        <v>0.06</v>
      </c>
      <c r="D19" s="15">
        <v>7.0000000000000007E-2</v>
      </c>
      <c r="E19" s="15">
        <v>0.09</v>
      </c>
      <c r="F19" s="15">
        <v>0.08</v>
      </c>
      <c r="G19" s="15">
        <v>0.04</v>
      </c>
      <c r="H19" s="15">
        <v>0.02</v>
      </c>
      <c r="I19" s="15">
        <v>0.03</v>
      </c>
      <c r="J19" s="15">
        <v>0.05</v>
      </c>
      <c r="K19" s="15">
        <v>7.0000000000000007E-2</v>
      </c>
      <c r="L19" s="15">
        <v>0.01</v>
      </c>
      <c r="M19" s="15">
        <v>0.09</v>
      </c>
      <c r="N19" s="15">
        <v>7.0000000000000007E-2</v>
      </c>
      <c r="O19" s="15">
        <v>0.12</v>
      </c>
      <c r="P19" s="15">
        <v>0.06</v>
      </c>
      <c r="Q19" s="15">
        <v>0.06</v>
      </c>
      <c r="R19" s="15">
        <v>0.09</v>
      </c>
      <c r="S19" s="15">
        <v>0.03</v>
      </c>
      <c r="T19" s="15">
        <v>0.04</v>
      </c>
      <c r="U19" s="15">
        <v>0.1</v>
      </c>
      <c r="V19" s="15">
        <v>0.06</v>
      </c>
      <c r="W19" s="15">
        <v>0.01</v>
      </c>
      <c r="X19" s="15">
        <v>0.02</v>
      </c>
      <c r="Y19" s="15">
        <v>7.0000000000000007E-2</v>
      </c>
      <c r="Z19" s="15">
        <v>0.02</v>
      </c>
      <c r="AA19" s="15">
        <v>0.04</v>
      </c>
      <c r="AB19" s="15">
        <v>0.05</v>
      </c>
      <c r="AC19" s="15">
        <v>0.05</v>
      </c>
      <c r="AD19" s="15">
        <v>0.05</v>
      </c>
      <c r="AE19" s="15">
        <v>0.02</v>
      </c>
      <c r="AF19" s="15">
        <v>0.03</v>
      </c>
    </row>
    <row r="20" spans="1:32" x14ac:dyDescent="0.35">
      <c r="A20" s="19"/>
      <c r="B20" s="11" t="s">
        <v>485</v>
      </c>
      <c r="C20" s="12">
        <v>2288</v>
      </c>
      <c r="D20" s="12">
        <v>31</v>
      </c>
      <c r="E20" s="12">
        <v>122</v>
      </c>
      <c r="F20" s="12">
        <v>95</v>
      </c>
      <c r="G20" s="12">
        <v>80</v>
      </c>
      <c r="H20" s="12">
        <v>205</v>
      </c>
      <c r="I20" s="12">
        <v>226</v>
      </c>
      <c r="J20" s="12">
        <v>21</v>
      </c>
      <c r="K20" s="12">
        <v>129</v>
      </c>
      <c r="L20" s="12">
        <v>67</v>
      </c>
      <c r="M20" s="12">
        <v>69</v>
      </c>
      <c r="N20" s="12">
        <v>94</v>
      </c>
      <c r="O20" s="12">
        <v>92</v>
      </c>
      <c r="P20" s="12">
        <v>35</v>
      </c>
      <c r="Q20" s="12">
        <v>49</v>
      </c>
      <c r="R20" s="12">
        <v>39</v>
      </c>
      <c r="S20" s="12">
        <v>121</v>
      </c>
      <c r="T20" s="12">
        <v>128</v>
      </c>
      <c r="U20" s="12">
        <v>37</v>
      </c>
      <c r="V20" s="12">
        <v>54</v>
      </c>
      <c r="W20" s="12">
        <v>13</v>
      </c>
      <c r="X20" s="12">
        <v>33</v>
      </c>
      <c r="Y20" s="12">
        <v>77</v>
      </c>
      <c r="Z20" s="12">
        <v>68</v>
      </c>
      <c r="AA20" s="12">
        <v>130</v>
      </c>
      <c r="AB20" s="12">
        <v>90</v>
      </c>
      <c r="AC20" s="12">
        <v>62</v>
      </c>
      <c r="AD20" s="12">
        <v>55</v>
      </c>
      <c r="AE20" s="12">
        <v>48</v>
      </c>
      <c r="AF20" s="12">
        <v>24</v>
      </c>
    </row>
    <row r="21" spans="1:32" x14ac:dyDescent="0.35">
      <c r="A21" s="19"/>
      <c r="B21" s="13" t="s">
        <v>486</v>
      </c>
      <c r="C21" s="15">
        <v>0.09</v>
      </c>
      <c r="D21" s="15">
        <v>0.03</v>
      </c>
      <c r="E21" s="15">
        <v>0.12</v>
      </c>
      <c r="F21" s="15">
        <v>0.09</v>
      </c>
      <c r="G21" s="15">
        <v>0.08</v>
      </c>
      <c r="H21" s="15">
        <v>0.17</v>
      </c>
      <c r="I21" s="15">
        <v>0.15</v>
      </c>
      <c r="J21" s="15">
        <v>7.0000000000000007E-2</v>
      </c>
      <c r="K21" s="15">
        <v>0.13</v>
      </c>
      <c r="L21" s="15">
        <v>7.0000000000000007E-2</v>
      </c>
      <c r="M21" s="15">
        <v>7.0000000000000007E-2</v>
      </c>
      <c r="N21" s="15">
        <v>0.09</v>
      </c>
      <c r="O21" s="15">
        <v>0.09</v>
      </c>
      <c r="P21" s="15">
        <v>0.04</v>
      </c>
      <c r="Q21" s="15">
        <v>0.05</v>
      </c>
      <c r="R21" s="15">
        <v>0.08</v>
      </c>
      <c r="S21" s="15">
        <v>0.12</v>
      </c>
      <c r="T21" s="15">
        <v>0.13</v>
      </c>
      <c r="U21" s="15">
        <v>7.0000000000000007E-2</v>
      </c>
      <c r="V21" s="15">
        <v>0.05</v>
      </c>
      <c r="W21" s="15">
        <v>0.03</v>
      </c>
      <c r="X21" s="15">
        <v>0.03</v>
      </c>
      <c r="Y21" s="15">
        <v>0.08</v>
      </c>
      <c r="Z21" s="15">
        <v>7.0000000000000007E-2</v>
      </c>
      <c r="AA21" s="15">
        <v>0.13</v>
      </c>
      <c r="AB21" s="15">
        <v>0.09</v>
      </c>
      <c r="AC21" s="15">
        <v>0.06</v>
      </c>
      <c r="AD21" s="15">
        <v>0.06</v>
      </c>
      <c r="AE21" s="15">
        <v>0.05</v>
      </c>
      <c r="AF21" s="15">
        <v>0.02</v>
      </c>
    </row>
    <row r="22" spans="1:32" x14ac:dyDescent="0.35">
      <c r="A22" s="19"/>
      <c r="B22" s="11" t="s">
        <v>768</v>
      </c>
      <c r="C22" s="12">
        <v>18162</v>
      </c>
      <c r="D22" s="12">
        <v>703</v>
      </c>
      <c r="E22" s="12">
        <v>575</v>
      </c>
      <c r="F22" s="12">
        <v>669</v>
      </c>
      <c r="G22" s="12">
        <v>785</v>
      </c>
      <c r="H22" s="12">
        <v>816</v>
      </c>
      <c r="I22" s="12">
        <v>1013</v>
      </c>
      <c r="J22" s="12">
        <v>197</v>
      </c>
      <c r="K22" s="12">
        <v>619</v>
      </c>
      <c r="L22" s="12">
        <v>816</v>
      </c>
      <c r="M22" s="12">
        <v>667</v>
      </c>
      <c r="N22" s="12">
        <v>723</v>
      </c>
      <c r="O22" s="12">
        <v>567</v>
      </c>
      <c r="P22" s="12">
        <v>732</v>
      </c>
      <c r="Q22" s="12">
        <v>708</v>
      </c>
      <c r="R22" s="12">
        <v>347</v>
      </c>
      <c r="S22" s="12">
        <v>757</v>
      </c>
      <c r="T22" s="12">
        <v>695</v>
      </c>
      <c r="U22" s="12">
        <v>315</v>
      </c>
      <c r="V22" s="12">
        <v>780</v>
      </c>
      <c r="W22" s="12">
        <v>451</v>
      </c>
      <c r="X22" s="12">
        <v>816</v>
      </c>
      <c r="Y22" s="12">
        <v>724</v>
      </c>
      <c r="Z22" s="12">
        <v>822</v>
      </c>
      <c r="AA22" s="12">
        <v>521</v>
      </c>
      <c r="AB22" s="12">
        <v>700</v>
      </c>
      <c r="AC22" s="12">
        <v>706</v>
      </c>
      <c r="AD22" s="12">
        <v>767</v>
      </c>
      <c r="AE22" s="12">
        <v>864</v>
      </c>
      <c r="AF22" s="12">
        <v>907</v>
      </c>
    </row>
    <row r="23" spans="1:32" x14ac:dyDescent="0.35">
      <c r="A23" s="19"/>
      <c r="B23" s="13" t="s">
        <v>769</v>
      </c>
      <c r="C23" s="15">
        <v>0.68</v>
      </c>
      <c r="D23" s="15">
        <v>0.69000000000000006</v>
      </c>
      <c r="E23" s="15">
        <v>0.56000000000000005</v>
      </c>
      <c r="F23" s="15">
        <v>0.61</v>
      </c>
      <c r="G23" s="15">
        <v>0.78</v>
      </c>
      <c r="H23" s="15">
        <v>0.67</v>
      </c>
      <c r="I23" s="15">
        <v>0.67</v>
      </c>
      <c r="J23" s="15">
        <v>0.67</v>
      </c>
      <c r="K23" s="15">
        <v>0.62</v>
      </c>
      <c r="L23" s="15">
        <v>0.82000000000000006</v>
      </c>
      <c r="M23" s="15">
        <v>0.66</v>
      </c>
      <c r="N23" s="15">
        <v>0.72</v>
      </c>
      <c r="O23" s="15">
        <v>0.57000000000000006</v>
      </c>
      <c r="P23" s="15">
        <v>0.73</v>
      </c>
      <c r="Q23" s="15">
        <v>0.69000000000000006</v>
      </c>
      <c r="R23" s="15">
        <v>0.68</v>
      </c>
      <c r="S23" s="15">
        <v>0.75</v>
      </c>
      <c r="T23" s="15">
        <v>0.69000000000000006</v>
      </c>
      <c r="U23" s="15">
        <v>0.63</v>
      </c>
      <c r="V23" s="15">
        <v>0.77</v>
      </c>
      <c r="W23" s="15">
        <v>0.89</v>
      </c>
      <c r="X23" s="15">
        <v>0.81</v>
      </c>
      <c r="Y23" s="15">
        <v>0.72</v>
      </c>
      <c r="Z23" s="15">
        <v>0.79</v>
      </c>
      <c r="AA23" s="15">
        <v>0.5</v>
      </c>
      <c r="AB23" s="15">
        <v>0.66</v>
      </c>
      <c r="AC23" s="15">
        <v>0.71</v>
      </c>
      <c r="AD23" s="15">
        <v>0.76</v>
      </c>
      <c r="AE23" s="15">
        <v>0.85</v>
      </c>
      <c r="AF23" s="15">
        <v>0.87</v>
      </c>
    </row>
    <row r="24" spans="1:32" x14ac:dyDescent="0.35">
      <c r="A24" s="19"/>
      <c r="B24" s="11" t="s">
        <v>770</v>
      </c>
      <c r="C24" s="12">
        <v>5994</v>
      </c>
      <c r="D24" s="12">
        <v>280</v>
      </c>
      <c r="E24" s="12">
        <v>333</v>
      </c>
      <c r="F24" s="12">
        <v>338</v>
      </c>
      <c r="G24" s="12">
        <v>140</v>
      </c>
      <c r="H24" s="12">
        <v>200</v>
      </c>
      <c r="I24" s="12">
        <v>277</v>
      </c>
      <c r="J24" s="12">
        <v>78</v>
      </c>
      <c r="K24" s="12">
        <v>254</v>
      </c>
      <c r="L24" s="12">
        <v>120</v>
      </c>
      <c r="M24" s="12">
        <v>274</v>
      </c>
      <c r="N24" s="12">
        <v>185</v>
      </c>
      <c r="O24" s="12">
        <v>342</v>
      </c>
      <c r="P24" s="12">
        <v>237</v>
      </c>
      <c r="Q24" s="12">
        <v>270</v>
      </c>
      <c r="R24" s="12">
        <v>117</v>
      </c>
      <c r="S24" s="12">
        <v>123</v>
      </c>
      <c r="T24" s="12">
        <v>183</v>
      </c>
      <c r="U24" s="12">
        <v>152</v>
      </c>
      <c r="V24" s="12">
        <v>181</v>
      </c>
      <c r="W24" s="12">
        <v>44</v>
      </c>
      <c r="X24" s="12">
        <v>160</v>
      </c>
      <c r="Y24" s="12">
        <v>202</v>
      </c>
      <c r="Z24" s="12">
        <v>142</v>
      </c>
      <c r="AA24" s="12">
        <v>382</v>
      </c>
      <c r="AB24" s="12">
        <v>261</v>
      </c>
      <c r="AC24" s="12">
        <v>235</v>
      </c>
      <c r="AD24" s="12">
        <v>182</v>
      </c>
      <c r="AE24" s="12">
        <v>100</v>
      </c>
      <c r="AF24" s="12">
        <v>112</v>
      </c>
    </row>
    <row r="25" spans="1:32" x14ac:dyDescent="0.35">
      <c r="A25" s="19"/>
      <c r="B25" s="13" t="s">
        <v>771</v>
      </c>
      <c r="C25" s="15">
        <v>0.23</v>
      </c>
      <c r="D25" s="15">
        <v>0.28000000000000003</v>
      </c>
      <c r="E25" s="15">
        <v>0.32</v>
      </c>
      <c r="F25" s="15">
        <v>0.3</v>
      </c>
      <c r="G25" s="15">
        <v>0.14000000000000001</v>
      </c>
      <c r="H25" s="15">
        <v>0.16</v>
      </c>
      <c r="I25" s="15">
        <v>0.18</v>
      </c>
      <c r="J25" s="15">
        <v>0.26</v>
      </c>
      <c r="K25" s="15">
        <v>0.25</v>
      </c>
      <c r="L25" s="15">
        <v>0.11</v>
      </c>
      <c r="M25" s="15">
        <v>0.27</v>
      </c>
      <c r="N25" s="15">
        <v>0.19</v>
      </c>
      <c r="O25" s="15">
        <v>0.34</v>
      </c>
      <c r="P25" s="15">
        <v>0.23</v>
      </c>
      <c r="Q25" s="15">
        <v>0.26</v>
      </c>
      <c r="R25" s="15">
        <v>0.24</v>
      </c>
      <c r="S25" s="15">
        <v>0.13</v>
      </c>
      <c r="T25" s="15">
        <v>0.18</v>
      </c>
      <c r="U25" s="15">
        <v>0.3</v>
      </c>
      <c r="V25" s="15">
        <v>0.18</v>
      </c>
      <c r="W25" s="15">
        <v>0.08</v>
      </c>
      <c r="X25" s="15">
        <v>0.16</v>
      </c>
      <c r="Y25" s="15">
        <v>0.2</v>
      </c>
      <c r="Z25" s="15">
        <v>0.14000000000000001</v>
      </c>
      <c r="AA25" s="15">
        <v>0.37</v>
      </c>
      <c r="AB25" s="15">
        <v>0.25</v>
      </c>
      <c r="AC25" s="15">
        <v>0.23</v>
      </c>
      <c r="AD25" s="15">
        <v>0.18</v>
      </c>
      <c r="AE25" s="15">
        <v>0.1</v>
      </c>
      <c r="AF25" s="15">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1373</v>
      </c>
      <c r="C3" s="18"/>
      <c r="D3" s="18"/>
      <c r="E3" s="18"/>
      <c r="F3" s="18"/>
      <c r="H3" s="18" t="s">
        <v>1374</v>
      </c>
      <c r="I3" s="18"/>
      <c r="J3" s="18"/>
      <c r="K3" s="18"/>
      <c r="L3" s="18"/>
    </row>
    <row r="4" spans="1:32" ht="27" customHeight="1" x14ac:dyDescent="0.35">
      <c r="B4" s="18" t="s">
        <v>1375</v>
      </c>
      <c r="C4" s="18"/>
      <c r="D4" s="18"/>
      <c r="E4" s="18"/>
      <c r="F4" s="18"/>
      <c r="H4" s="18" t="s">
        <v>1376</v>
      </c>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4500</v>
      </c>
      <c r="D12" s="12">
        <v>149</v>
      </c>
      <c r="E12" s="12">
        <v>296</v>
      </c>
      <c r="F12" s="12">
        <v>168</v>
      </c>
      <c r="G12" s="12">
        <v>165</v>
      </c>
      <c r="H12" s="12">
        <v>166</v>
      </c>
      <c r="I12" s="12">
        <v>202</v>
      </c>
      <c r="J12" s="12">
        <v>35</v>
      </c>
      <c r="K12" s="12">
        <v>137</v>
      </c>
      <c r="L12" s="12">
        <v>200</v>
      </c>
      <c r="M12" s="12">
        <v>251</v>
      </c>
      <c r="N12" s="12">
        <v>182</v>
      </c>
      <c r="O12" s="12">
        <v>179</v>
      </c>
      <c r="P12" s="12">
        <v>207</v>
      </c>
      <c r="Q12" s="12">
        <v>147</v>
      </c>
      <c r="R12" s="12">
        <v>89</v>
      </c>
      <c r="S12" s="12">
        <v>246</v>
      </c>
      <c r="T12" s="12">
        <v>179</v>
      </c>
      <c r="U12" s="12">
        <v>83</v>
      </c>
      <c r="V12" s="12">
        <v>288</v>
      </c>
      <c r="W12" s="12">
        <v>93</v>
      </c>
      <c r="X12" s="12">
        <v>104</v>
      </c>
      <c r="Y12" s="12">
        <v>291</v>
      </c>
      <c r="Z12" s="12">
        <v>198</v>
      </c>
      <c r="AA12" s="12">
        <v>108</v>
      </c>
      <c r="AB12" s="12">
        <v>200</v>
      </c>
      <c r="AC12" s="12">
        <v>177</v>
      </c>
      <c r="AD12" s="12">
        <v>191</v>
      </c>
      <c r="AE12" s="12">
        <v>224</v>
      </c>
      <c r="AF12" s="12">
        <v>204</v>
      </c>
    </row>
    <row r="13" spans="1:32" x14ac:dyDescent="0.35">
      <c r="A13" s="19"/>
      <c r="B13" s="13" t="s">
        <v>761</v>
      </c>
      <c r="C13" s="15">
        <v>0.17</v>
      </c>
      <c r="D13" s="15">
        <v>0.15</v>
      </c>
      <c r="E13" s="15">
        <v>0.28999999999999998</v>
      </c>
      <c r="F13" s="15">
        <v>0.15</v>
      </c>
      <c r="G13" s="15">
        <v>0.16</v>
      </c>
      <c r="H13" s="15">
        <v>0.14000000000000001</v>
      </c>
      <c r="I13" s="15">
        <v>0.13</v>
      </c>
      <c r="J13" s="15">
        <v>0.12</v>
      </c>
      <c r="K13" s="15">
        <v>0.14000000000000001</v>
      </c>
      <c r="L13" s="15">
        <v>0.2</v>
      </c>
      <c r="M13" s="15">
        <v>0.25</v>
      </c>
      <c r="N13" s="15">
        <v>0.18</v>
      </c>
      <c r="O13" s="15">
        <v>0.18</v>
      </c>
      <c r="P13" s="15">
        <v>0.21</v>
      </c>
      <c r="Q13" s="15">
        <v>0.14000000000000001</v>
      </c>
      <c r="R13" s="15">
        <v>0.18</v>
      </c>
      <c r="S13" s="15">
        <v>0.24</v>
      </c>
      <c r="T13" s="15">
        <v>0.18</v>
      </c>
      <c r="U13" s="15">
        <v>0.16</v>
      </c>
      <c r="V13" s="15">
        <v>0.28000000000000003</v>
      </c>
      <c r="W13" s="15">
        <v>0.18</v>
      </c>
      <c r="X13" s="15">
        <v>0.1</v>
      </c>
      <c r="Y13" s="15">
        <v>0.28999999999999998</v>
      </c>
      <c r="Z13" s="15">
        <v>0.19</v>
      </c>
      <c r="AA13" s="15">
        <v>0.1</v>
      </c>
      <c r="AB13" s="15">
        <v>0.19</v>
      </c>
      <c r="AC13" s="15">
        <v>0.18</v>
      </c>
      <c r="AD13" s="15">
        <v>0.19</v>
      </c>
      <c r="AE13" s="15">
        <v>0.22</v>
      </c>
      <c r="AF13" s="15">
        <v>0.2</v>
      </c>
    </row>
    <row r="14" spans="1:32" x14ac:dyDescent="0.35">
      <c r="A14" s="19"/>
      <c r="B14" s="11" t="s">
        <v>762</v>
      </c>
      <c r="C14" s="12">
        <v>11861</v>
      </c>
      <c r="D14" s="12">
        <v>436</v>
      </c>
      <c r="E14" s="12">
        <v>382</v>
      </c>
      <c r="F14" s="12">
        <v>470</v>
      </c>
      <c r="G14" s="12">
        <v>368</v>
      </c>
      <c r="H14" s="12">
        <v>522</v>
      </c>
      <c r="I14" s="12">
        <v>663</v>
      </c>
      <c r="J14" s="12">
        <v>141</v>
      </c>
      <c r="K14" s="12">
        <v>423</v>
      </c>
      <c r="L14" s="12">
        <v>448</v>
      </c>
      <c r="M14" s="12">
        <v>435</v>
      </c>
      <c r="N14" s="12">
        <v>423</v>
      </c>
      <c r="O14" s="12">
        <v>400</v>
      </c>
      <c r="P14" s="12">
        <v>431</v>
      </c>
      <c r="Q14" s="12">
        <v>513</v>
      </c>
      <c r="R14" s="12">
        <v>235</v>
      </c>
      <c r="S14" s="12">
        <v>447</v>
      </c>
      <c r="T14" s="12">
        <v>477</v>
      </c>
      <c r="U14" s="12">
        <v>204</v>
      </c>
      <c r="V14" s="12">
        <v>509</v>
      </c>
      <c r="W14" s="12">
        <v>271</v>
      </c>
      <c r="X14" s="12">
        <v>352</v>
      </c>
      <c r="Y14" s="12">
        <v>377</v>
      </c>
      <c r="Z14" s="12">
        <v>596</v>
      </c>
      <c r="AA14" s="12">
        <v>522</v>
      </c>
      <c r="AB14" s="12">
        <v>525</v>
      </c>
      <c r="AC14" s="12">
        <v>458</v>
      </c>
      <c r="AD14" s="12">
        <v>499</v>
      </c>
      <c r="AE14" s="12">
        <v>481</v>
      </c>
      <c r="AF14" s="12">
        <v>393</v>
      </c>
    </row>
    <row r="15" spans="1:32" x14ac:dyDescent="0.35">
      <c r="A15" s="19"/>
      <c r="B15" s="13" t="s">
        <v>763</v>
      </c>
      <c r="C15" s="15">
        <v>0.45</v>
      </c>
      <c r="D15" s="15">
        <v>0.43</v>
      </c>
      <c r="E15" s="15">
        <v>0.37</v>
      </c>
      <c r="F15" s="15">
        <v>0.43</v>
      </c>
      <c r="G15" s="15">
        <v>0.37</v>
      </c>
      <c r="H15" s="15">
        <v>0.43</v>
      </c>
      <c r="I15" s="15">
        <v>0.44</v>
      </c>
      <c r="J15" s="15">
        <v>0.48</v>
      </c>
      <c r="K15" s="15">
        <v>0.42</v>
      </c>
      <c r="L15" s="15">
        <v>0.44</v>
      </c>
      <c r="M15" s="15">
        <v>0.43</v>
      </c>
      <c r="N15" s="15">
        <v>0.42</v>
      </c>
      <c r="O15" s="15">
        <v>0.4</v>
      </c>
      <c r="P15" s="15">
        <v>0.43</v>
      </c>
      <c r="Q15" s="15">
        <v>0.5</v>
      </c>
      <c r="R15" s="15">
        <v>0.47</v>
      </c>
      <c r="S15" s="15">
        <v>0.45</v>
      </c>
      <c r="T15" s="15">
        <v>0.47</v>
      </c>
      <c r="U15" s="15">
        <v>0.41</v>
      </c>
      <c r="V15" s="15">
        <v>0.5</v>
      </c>
      <c r="W15" s="15">
        <v>0.53</v>
      </c>
      <c r="X15" s="15">
        <v>0.35</v>
      </c>
      <c r="Y15" s="15">
        <v>0.38</v>
      </c>
      <c r="Z15" s="15">
        <v>0.57999999999999996</v>
      </c>
      <c r="AA15" s="15">
        <v>0.51</v>
      </c>
      <c r="AB15" s="15">
        <v>0.5</v>
      </c>
      <c r="AC15" s="15">
        <v>0.46</v>
      </c>
      <c r="AD15" s="15">
        <v>0.5</v>
      </c>
      <c r="AE15" s="15">
        <v>0.47</v>
      </c>
      <c r="AF15" s="15">
        <v>0.38</v>
      </c>
    </row>
    <row r="16" spans="1:32" x14ac:dyDescent="0.35">
      <c r="A16" s="19"/>
      <c r="B16" s="11" t="s">
        <v>764</v>
      </c>
      <c r="C16" s="12">
        <v>5453</v>
      </c>
      <c r="D16" s="12">
        <v>288</v>
      </c>
      <c r="E16" s="12">
        <v>145</v>
      </c>
      <c r="F16" s="12">
        <v>268</v>
      </c>
      <c r="G16" s="12">
        <v>275</v>
      </c>
      <c r="H16" s="12">
        <v>244</v>
      </c>
      <c r="I16" s="12">
        <v>319</v>
      </c>
      <c r="J16" s="12">
        <v>74</v>
      </c>
      <c r="K16" s="12">
        <v>201</v>
      </c>
      <c r="L16" s="12">
        <v>207</v>
      </c>
      <c r="M16" s="12">
        <v>173</v>
      </c>
      <c r="N16" s="12">
        <v>195</v>
      </c>
      <c r="O16" s="12">
        <v>220</v>
      </c>
      <c r="P16" s="12">
        <v>198</v>
      </c>
      <c r="Q16" s="12">
        <v>225</v>
      </c>
      <c r="R16" s="12">
        <v>78</v>
      </c>
      <c r="S16" s="12">
        <v>130</v>
      </c>
      <c r="T16" s="12">
        <v>169</v>
      </c>
      <c r="U16" s="12">
        <v>108</v>
      </c>
      <c r="V16" s="12">
        <v>119</v>
      </c>
      <c r="W16" s="12">
        <v>93</v>
      </c>
      <c r="X16" s="12">
        <v>335</v>
      </c>
      <c r="Y16" s="12">
        <v>151</v>
      </c>
      <c r="Z16" s="12">
        <v>133</v>
      </c>
      <c r="AA16" s="12">
        <v>167</v>
      </c>
      <c r="AB16" s="12">
        <v>199</v>
      </c>
      <c r="AC16" s="12">
        <v>224</v>
      </c>
      <c r="AD16" s="12">
        <v>179</v>
      </c>
      <c r="AE16" s="12">
        <v>189</v>
      </c>
      <c r="AF16" s="12">
        <v>309</v>
      </c>
    </row>
    <row r="17" spans="1:32" x14ac:dyDescent="0.35">
      <c r="A17" s="19"/>
      <c r="B17" s="13" t="s">
        <v>765</v>
      </c>
      <c r="C17" s="15">
        <v>0.2</v>
      </c>
      <c r="D17" s="15">
        <v>0.28000000000000003</v>
      </c>
      <c r="E17" s="15">
        <v>0.14000000000000001</v>
      </c>
      <c r="F17" s="15">
        <v>0.24</v>
      </c>
      <c r="G17" s="15">
        <v>0.27</v>
      </c>
      <c r="H17" s="15">
        <v>0.2</v>
      </c>
      <c r="I17" s="15">
        <v>0.21</v>
      </c>
      <c r="J17" s="15">
        <v>0.25</v>
      </c>
      <c r="K17" s="15">
        <v>0.2</v>
      </c>
      <c r="L17" s="15">
        <v>0.21</v>
      </c>
      <c r="M17" s="15">
        <v>0.17</v>
      </c>
      <c r="N17" s="15">
        <v>0.19</v>
      </c>
      <c r="O17" s="15">
        <v>0.22</v>
      </c>
      <c r="P17" s="15">
        <v>0.2</v>
      </c>
      <c r="Q17" s="15">
        <v>0.22</v>
      </c>
      <c r="R17" s="15">
        <v>0.15</v>
      </c>
      <c r="S17" s="15">
        <v>0.13</v>
      </c>
      <c r="T17" s="15">
        <v>0.17</v>
      </c>
      <c r="U17" s="15">
        <v>0.21</v>
      </c>
      <c r="V17" s="15">
        <v>0.12</v>
      </c>
      <c r="W17" s="15">
        <v>0.18</v>
      </c>
      <c r="X17" s="15">
        <v>0.33</v>
      </c>
      <c r="Y17" s="15">
        <v>0.15</v>
      </c>
      <c r="Z17" s="15">
        <v>0.13</v>
      </c>
      <c r="AA17" s="15">
        <v>0.16</v>
      </c>
      <c r="AB17" s="15">
        <v>0.19</v>
      </c>
      <c r="AC17" s="15">
        <v>0.22</v>
      </c>
      <c r="AD17" s="15">
        <v>0.18</v>
      </c>
      <c r="AE17" s="15">
        <v>0.19</v>
      </c>
      <c r="AF17" s="15">
        <v>0.3</v>
      </c>
    </row>
    <row r="18" spans="1:32" x14ac:dyDescent="0.35">
      <c r="A18" s="19"/>
      <c r="B18" s="11" t="s">
        <v>766</v>
      </c>
      <c r="C18" s="12">
        <v>2350</v>
      </c>
      <c r="D18" s="12">
        <v>117</v>
      </c>
      <c r="E18" s="12">
        <v>71</v>
      </c>
      <c r="F18" s="12">
        <v>108</v>
      </c>
      <c r="G18" s="12">
        <v>138</v>
      </c>
      <c r="H18" s="12">
        <v>76</v>
      </c>
      <c r="I18" s="12">
        <v>98</v>
      </c>
      <c r="J18" s="12">
        <v>22</v>
      </c>
      <c r="K18" s="12">
        <v>92</v>
      </c>
      <c r="L18" s="12">
        <v>59</v>
      </c>
      <c r="M18" s="12">
        <v>76</v>
      </c>
      <c r="N18" s="12">
        <v>106</v>
      </c>
      <c r="O18" s="12">
        <v>123</v>
      </c>
      <c r="P18" s="12">
        <v>135</v>
      </c>
      <c r="Q18" s="12">
        <v>91</v>
      </c>
      <c r="R18" s="12">
        <v>57</v>
      </c>
      <c r="S18" s="12">
        <v>50</v>
      </c>
      <c r="T18" s="12">
        <v>53</v>
      </c>
      <c r="U18" s="12">
        <v>79</v>
      </c>
      <c r="V18" s="12">
        <v>51</v>
      </c>
      <c r="W18" s="12">
        <v>38</v>
      </c>
      <c r="X18" s="12">
        <v>183</v>
      </c>
      <c r="Y18" s="12">
        <v>98</v>
      </c>
      <c r="Z18" s="12">
        <v>32</v>
      </c>
      <c r="AA18" s="12">
        <v>106</v>
      </c>
      <c r="AB18" s="12">
        <v>51</v>
      </c>
      <c r="AC18" s="12">
        <v>81</v>
      </c>
      <c r="AD18" s="12">
        <v>81</v>
      </c>
      <c r="AE18" s="12">
        <v>68</v>
      </c>
      <c r="AF18" s="12">
        <v>110</v>
      </c>
    </row>
    <row r="19" spans="1:32" x14ac:dyDescent="0.35">
      <c r="A19" s="19"/>
      <c r="B19" s="13" t="s">
        <v>767</v>
      </c>
      <c r="C19" s="15">
        <v>0.09</v>
      </c>
      <c r="D19" s="15">
        <v>0.12</v>
      </c>
      <c r="E19" s="15">
        <v>7.0000000000000007E-2</v>
      </c>
      <c r="F19" s="15">
        <v>0.1</v>
      </c>
      <c r="G19" s="15">
        <v>0.14000000000000001</v>
      </c>
      <c r="H19" s="15">
        <v>0.06</v>
      </c>
      <c r="I19" s="15">
        <v>0.06</v>
      </c>
      <c r="J19" s="15">
        <v>0.08</v>
      </c>
      <c r="K19" s="15">
        <v>0.09</v>
      </c>
      <c r="L19" s="15">
        <v>0.06</v>
      </c>
      <c r="M19" s="15">
        <v>0.08</v>
      </c>
      <c r="N19" s="15">
        <v>0.11</v>
      </c>
      <c r="O19" s="15">
        <v>0.12</v>
      </c>
      <c r="P19" s="15">
        <v>0.13</v>
      </c>
      <c r="Q19" s="15">
        <v>0.09</v>
      </c>
      <c r="R19" s="15">
        <v>0.11</v>
      </c>
      <c r="S19" s="15">
        <v>0.05</v>
      </c>
      <c r="T19" s="15">
        <v>0.05</v>
      </c>
      <c r="U19" s="15">
        <v>0.16</v>
      </c>
      <c r="V19" s="15">
        <v>0.05</v>
      </c>
      <c r="W19" s="15">
        <v>0.08</v>
      </c>
      <c r="X19" s="15">
        <v>0.18</v>
      </c>
      <c r="Y19" s="15">
        <v>0.1</v>
      </c>
      <c r="Z19" s="15">
        <v>0.03</v>
      </c>
      <c r="AA19" s="15">
        <v>0.1</v>
      </c>
      <c r="AB19" s="15">
        <v>0.05</v>
      </c>
      <c r="AC19" s="15">
        <v>0.08</v>
      </c>
      <c r="AD19" s="15">
        <v>0.08</v>
      </c>
      <c r="AE19" s="15">
        <v>7.0000000000000007E-2</v>
      </c>
      <c r="AF19" s="15">
        <v>0.1</v>
      </c>
    </row>
    <row r="20" spans="1:32" x14ac:dyDescent="0.35">
      <c r="A20" s="19"/>
      <c r="B20" s="11" t="s">
        <v>485</v>
      </c>
      <c r="C20" s="12">
        <v>2281</v>
      </c>
      <c r="D20" s="12">
        <v>23</v>
      </c>
      <c r="E20" s="12">
        <v>135</v>
      </c>
      <c r="F20" s="12">
        <v>88</v>
      </c>
      <c r="G20" s="12">
        <v>59</v>
      </c>
      <c r="H20" s="12">
        <v>213</v>
      </c>
      <c r="I20" s="12">
        <v>235</v>
      </c>
      <c r="J20" s="12">
        <v>22</v>
      </c>
      <c r="K20" s="12">
        <v>148</v>
      </c>
      <c r="L20" s="12">
        <v>88</v>
      </c>
      <c r="M20" s="12">
        <v>75</v>
      </c>
      <c r="N20" s="12">
        <v>96</v>
      </c>
      <c r="O20" s="12">
        <v>79</v>
      </c>
      <c r="P20" s="12">
        <v>33</v>
      </c>
      <c r="Q20" s="12">
        <v>50</v>
      </c>
      <c r="R20" s="12">
        <v>45</v>
      </c>
      <c r="S20" s="12">
        <v>131</v>
      </c>
      <c r="T20" s="12">
        <v>128</v>
      </c>
      <c r="U20" s="12">
        <v>29</v>
      </c>
      <c r="V20" s="12">
        <v>47</v>
      </c>
      <c r="W20" s="12">
        <v>12</v>
      </c>
      <c r="X20" s="12">
        <v>35</v>
      </c>
      <c r="Y20" s="12">
        <v>85</v>
      </c>
      <c r="Z20" s="12">
        <v>72</v>
      </c>
      <c r="AA20" s="12">
        <v>129</v>
      </c>
      <c r="AB20" s="12">
        <v>77</v>
      </c>
      <c r="AC20" s="12">
        <v>63</v>
      </c>
      <c r="AD20" s="12">
        <v>55</v>
      </c>
      <c r="AE20" s="12">
        <v>50</v>
      </c>
      <c r="AF20" s="12">
        <v>27</v>
      </c>
    </row>
    <row r="21" spans="1:32" x14ac:dyDescent="0.35">
      <c r="A21" s="19"/>
      <c r="B21" s="13" t="s">
        <v>486</v>
      </c>
      <c r="C21" s="15">
        <v>0.09</v>
      </c>
      <c r="D21" s="15">
        <v>0.02</v>
      </c>
      <c r="E21" s="15">
        <v>0.13</v>
      </c>
      <c r="F21" s="15">
        <v>0.08</v>
      </c>
      <c r="G21" s="15">
        <v>0.06</v>
      </c>
      <c r="H21" s="15">
        <v>0.17</v>
      </c>
      <c r="I21" s="15">
        <v>0.16</v>
      </c>
      <c r="J21" s="15">
        <v>7.0000000000000007E-2</v>
      </c>
      <c r="K21" s="15">
        <v>0.15</v>
      </c>
      <c r="L21" s="15">
        <v>0.09</v>
      </c>
      <c r="M21" s="15">
        <v>7.0000000000000007E-2</v>
      </c>
      <c r="N21" s="15">
        <v>0.1</v>
      </c>
      <c r="O21" s="15">
        <v>0.08</v>
      </c>
      <c r="P21" s="15">
        <v>0.03</v>
      </c>
      <c r="Q21" s="15">
        <v>0.05</v>
      </c>
      <c r="R21" s="15">
        <v>0.09</v>
      </c>
      <c r="S21" s="15">
        <v>0.13</v>
      </c>
      <c r="T21" s="15">
        <v>0.13</v>
      </c>
      <c r="U21" s="15">
        <v>0.06</v>
      </c>
      <c r="V21" s="15">
        <v>0.05</v>
      </c>
      <c r="W21" s="15">
        <v>0.03</v>
      </c>
      <c r="X21" s="15">
        <v>0.04</v>
      </c>
      <c r="Y21" s="15">
        <v>0.08</v>
      </c>
      <c r="Z21" s="15">
        <v>7.0000000000000007E-2</v>
      </c>
      <c r="AA21" s="15">
        <v>0.13</v>
      </c>
      <c r="AB21" s="15">
        <v>7.0000000000000007E-2</v>
      </c>
      <c r="AC21" s="15">
        <v>0.06</v>
      </c>
      <c r="AD21" s="15">
        <v>0.05</v>
      </c>
      <c r="AE21" s="15">
        <v>0.05</v>
      </c>
      <c r="AF21" s="15">
        <v>0.02</v>
      </c>
    </row>
    <row r="22" spans="1:32" x14ac:dyDescent="0.35">
      <c r="A22" s="19"/>
      <c r="B22" s="11" t="s">
        <v>768</v>
      </c>
      <c r="C22" s="12">
        <v>16361</v>
      </c>
      <c r="D22" s="12">
        <v>585</v>
      </c>
      <c r="E22" s="12">
        <v>678</v>
      </c>
      <c r="F22" s="12">
        <v>638</v>
      </c>
      <c r="G22" s="12">
        <v>533</v>
      </c>
      <c r="H22" s="12">
        <v>688</v>
      </c>
      <c r="I22" s="12">
        <v>865</v>
      </c>
      <c r="J22" s="12">
        <v>176</v>
      </c>
      <c r="K22" s="12">
        <v>560</v>
      </c>
      <c r="L22" s="12">
        <v>648</v>
      </c>
      <c r="M22" s="12">
        <v>686</v>
      </c>
      <c r="N22" s="12">
        <v>605</v>
      </c>
      <c r="O22" s="12">
        <v>579</v>
      </c>
      <c r="P22" s="12">
        <v>638</v>
      </c>
      <c r="Q22" s="12">
        <v>660</v>
      </c>
      <c r="R22" s="12">
        <v>324</v>
      </c>
      <c r="S22" s="12">
        <v>693</v>
      </c>
      <c r="T22" s="12">
        <v>656</v>
      </c>
      <c r="U22" s="12">
        <v>287</v>
      </c>
      <c r="V22" s="12">
        <v>797</v>
      </c>
      <c r="W22" s="12">
        <v>364</v>
      </c>
      <c r="X22" s="12">
        <v>456</v>
      </c>
      <c r="Y22" s="12">
        <v>668</v>
      </c>
      <c r="Z22" s="12">
        <v>794</v>
      </c>
      <c r="AA22" s="12">
        <v>630</v>
      </c>
      <c r="AB22" s="12">
        <v>725</v>
      </c>
      <c r="AC22" s="12">
        <v>635</v>
      </c>
      <c r="AD22" s="12">
        <v>690</v>
      </c>
      <c r="AE22" s="12">
        <v>705</v>
      </c>
      <c r="AF22" s="12">
        <v>597</v>
      </c>
    </row>
    <row r="23" spans="1:32" x14ac:dyDescent="0.35">
      <c r="A23" s="19"/>
      <c r="B23" s="13" t="s">
        <v>769</v>
      </c>
      <c r="C23" s="15">
        <v>0.62</v>
      </c>
      <c r="D23" s="15">
        <v>0.57999999999999996</v>
      </c>
      <c r="E23" s="15">
        <v>0.66</v>
      </c>
      <c r="F23" s="15">
        <v>0.57999999999999996</v>
      </c>
      <c r="G23" s="15">
        <v>0.53</v>
      </c>
      <c r="H23" s="15">
        <v>0.57000000000000006</v>
      </c>
      <c r="I23" s="15">
        <v>0.57000000000000006</v>
      </c>
      <c r="J23" s="15">
        <v>0.6</v>
      </c>
      <c r="K23" s="15">
        <v>0.56000000000000005</v>
      </c>
      <c r="L23" s="15">
        <v>0.64</v>
      </c>
      <c r="M23" s="15">
        <v>0.68</v>
      </c>
      <c r="N23" s="15">
        <v>0.6</v>
      </c>
      <c r="O23" s="15">
        <v>0.57999999999999996</v>
      </c>
      <c r="P23" s="15">
        <v>0.64</v>
      </c>
      <c r="Q23" s="15">
        <v>0.64</v>
      </c>
      <c r="R23" s="15">
        <v>0.65</v>
      </c>
      <c r="S23" s="15">
        <v>0.69000000000000006</v>
      </c>
      <c r="T23" s="15">
        <v>0.65</v>
      </c>
      <c r="U23" s="15">
        <v>0.57000000000000006</v>
      </c>
      <c r="V23" s="15">
        <v>0.78</v>
      </c>
      <c r="W23" s="15">
        <v>0.71</v>
      </c>
      <c r="X23" s="15">
        <v>0.45</v>
      </c>
      <c r="Y23" s="15">
        <v>0.67</v>
      </c>
      <c r="Z23" s="15">
        <v>0.77</v>
      </c>
      <c r="AA23" s="15">
        <v>0.61</v>
      </c>
      <c r="AB23" s="15">
        <v>0.69000000000000006</v>
      </c>
      <c r="AC23" s="15">
        <v>0.64</v>
      </c>
      <c r="AD23" s="15">
        <v>0.69000000000000006</v>
      </c>
      <c r="AE23" s="15">
        <v>0.69000000000000006</v>
      </c>
      <c r="AF23" s="15">
        <v>0.57999999999999996</v>
      </c>
    </row>
    <row r="24" spans="1:32" x14ac:dyDescent="0.35">
      <c r="A24" s="19"/>
      <c r="B24" s="11" t="s">
        <v>770</v>
      </c>
      <c r="C24" s="12">
        <v>7803</v>
      </c>
      <c r="D24" s="12">
        <v>405</v>
      </c>
      <c r="E24" s="12">
        <v>216</v>
      </c>
      <c r="F24" s="12">
        <v>376</v>
      </c>
      <c r="G24" s="12">
        <v>413</v>
      </c>
      <c r="H24" s="12">
        <v>320</v>
      </c>
      <c r="I24" s="12">
        <v>417</v>
      </c>
      <c r="J24" s="12">
        <v>96</v>
      </c>
      <c r="K24" s="12">
        <v>293</v>
      </c>
      <c r="L24" s="12">
        <v>266</v>
      </c>
      <c r="M24" s="12">
        <v>249</v>
      </c>
      <c r="N24" s="12">
        <v>301</v>
      </c>
      <c r="O24" s="12">
        <v>343</v>
      </c>
      <c r="P24" s="12">
        <v>333</v>
      </c>
      <c r="Q24" s="12">
        <v>316</v>
      </c>
      <c r="R24" s="12">
        <v>135</v>
      </c>
      <c r="S24" s="12">
        <v>180</v>
      </c>
      <c r="T24" s="12">
        <v>222</v>
      </c>
      <c r="U24" s="12">
        <v>187</v>
      </c>
      <c r="V24" s="12">
        <v>170</v>
      </c>
      <c r="W24" s="12">
        <v>131</v>
      </c>
      <c r="X24" s="12">
        <v>518</v>
      </c>
      <c r="Y24" s="12">
        <v>249</v>
      </c>
      <c r="Z24" s="12">
        <v>165</v>
      </c>
      <c r="AA24" s="12">
        <v>273</v>
      </c>
      <c r="AB24" s="12">
        <v>250</v>
      </c>
      <c r="AC24" s="12">
        <v>305</v>
      </c>
      <c r="AD24" s="12">
        <v>260</v>
      </c>
      <c r="AE24" s="12">
        <v>257</v>
      </c>
      <c r="AF24" s="12">
        <v>419</v>
      </c>
    </row>
    <row r="25" spans="1:32" x14ac:dyDescent="0.35">
      <c r="A25" s="19"/>
      <c r="B25" s="13" t="s">
        <v>771</v>
      </c>
      <c r="C25" s="15">
        <v>0.28999999999999998</v>
      </c>
      <c r="D25" s="15">
        <v>0.4</v>
      </c>
      <c r="E25" s="15">
        <v>0.21</v>
      </c>
      <c r="F25" s="15">
        <v>0.34</v>
      </c>
      <c r="G25" s="15">
        <v>0.41</v>
      </c>
      <c r="H25" s="15">
        <v>0.26</v>
      </c>
      <c r="I25" s="15">
        <v>0.27</v>
      </c>
      <c r="J25" s="15">
        <v>0.33</v>
      </c>
      <c r="K25" s="15">
        <v>0.28999999999999998</v>
      </c>
      <c r="L25" s="15">
        <v>0.27</v>
      </c>
      <c r="M25" s="15">
        <v>0.25</v>
      </c>
      <c r="N25" s="15">
        <v>0.3</v>
      </c>
      <c r="O25" s="15">
        <v>0.34</v>
      </c>
      <c r="P25" s="15">
        <v>0.33</v>
      </c>
      <c r="Q25" s="15">
        <v>0.31</v>
      </c>
      <c r="R25" s="15">
        <v>0.26</v>
      </c>
      <c r="S25" s="15">
        <v>0.18</v>
      </c>
      <c r="T25" s="15">
        <v>0.22</v>
      </c>
      <c r="U25" s="15">
        <v>0.37</v>
      </c>
      <c r="V25" s="15">
        <v>0.17</v>
      </c>
      <c r="W25" s="15">
        <v>0.26</v>
      </c>
      <c r="X25" s="15">
        <v>0.51</v>
      </c>
      <c r="Y25" s="15">
        <v>0.25</v>
      </c>
      <c r="Z25" s="15">
        <v>0.16</v>
      </c>
      <c r="AA25" s="15">
        <v>0.26</v>
      </c>
      <c r="AB25" s="15">
        <v>0.24</v>
      </c>
      <c r="AC25" s="15">
        <v>0.3</v>
      </c>
      <c r="AD25" s="15">
        <v>0.26</v>
      </c>
      <c r="AE25" s="15">
        <v>0.26</v>
      </c>
      <c r="AF25" s="15">
        <v>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1377</v>
      </c>
      <c r="C3" s="18"/>
      <c r="D3" s="18"/>
      <c r="E3" s="18"/>
      <c r="F3" s="18"/>
      <c r="H3" s="18" t="s">
        <v>1378</v>
      </c>
      <c r="I3" s="18"/>
      <c r="J3" s="18"/>
      <c r="K3" s="18"/>
      <c r="L3" s="18"/>
    </row>
    <row r="4" spans="1:32" ht="27" customHeight="1" x14ac:dyDescent="0.35">
      <c r="B4" s="18" t="s">
        <v>1363</v>
      </c>
      <c r="C4" s="18"/>
      <c r="D4" s="18"/>
      <c r="E4" s="18"/>
      <c r="F4" s="18"/>
      <c r="H4" s="18" t="s">
        <v>1364</v>
      </c>
      <c r="I4" s="18"/>
      <c r="J4" s="18"/>
      <c r="K4" s="18"/>
      <c r="L4" s="18"/>
    </row>
    <row r="5" spans="1:32" ht="24" customHeight="1" x14ac:dyDescent="0.35">
      <c r="B5" s="18" t="s">
        <v>1379</v>
      </c>
      <c r="C5" s="18"/>
      <c r="D5" s="18"/>
      <c r="E5" s="18"/>
      <c r="F5" s="18"/>
      <c r="H5" s="18" t="s">
        <v>1380</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4693</v>
      </c>
      <c r="D12" s="12">
        <v>181</v>
      </c>
      <c r="E12" s="12">
        <v>306</v>
      </c>
      <c r="F12" s="12">
        <v>216</v>
      </c>
      <c r="G12" s="12">
        <v>242</v>
      </c>
      <c r="H12" s="12">
        <v>173</v>
      </c>
      <c r="I12" s="12">
        <v>222</v>
      </c>
      <c r="J12" s="12">
        <v>49</v>
      </c>
      <c r="K12" s="12">
        <v>137</v>
      </c>
      <c r="L12" s="12">
        <v>266</v>
      </c>
      <c r="M12" s="12">
        <v>225</v>
      </c>
      <c r="N12" s="12">
        <v>231</v>
      </c>
      <c r="O12" s="12">
        <v>136</v>
      </c>
      <c r="P12" s="12">
        <v>252</v>
      </c>
      <c r="Q12" s="12">
        <v>139</v>
      </c>
      <c r="R12" s="12">
        <v>127</v>
      </c>
      <c r="S12" s="12">
        <v>304</v>
      </c>
      <c r="T12" s="12">
        <v>236</v>
      </c>
      <c r="U12" s="12">
        <v>74</v>
      </c>
      <c r="V12" s="12">
        <v>279</v>
      </c>
      <c r="W12" s="12">
        <v>154</v>
      </c>
      <c r="X12" s="12">
        <v>165</v>
      </c>
      <c r="Y12" s="12">
        <v>320</v>
      </c>
      <c r="Z12" s="12">
        <v>194</v>
      </c>
      <c r="AA12" s="12">
        <v>92</v>
      </c>
      <c r="AB12" s="12">
        <v>184</v>
      </c>
      <c r="AC12" s="12">
        <v>181</v>
      </c>
      <c r="AD12" s="12">
        <v>277</v>
      </c>
      <c r="AE12" s="12">
        <v>247</v>
      </c>
      <c r="AF12" s="12">
        <v>194</v>
      </c>
    </row>
    <row r="13" spans="1:32" x14ac:dyDescent="0.35">
      <c r="A13" s="19"/>
      <c r="B13" s="13" t="s">
        <v>761</v>
      </c>
      <c r="C13" s="15">
        <v>0.25</v>
      </c>
      <c r="D13" s="15">
        <v>0.23</v>
      </c>
      <c r="E13" s="15">
        <v>0.39</v>
      </c>
      <c r="F13" s="15">
        <v>0.27</v>
      </c>
      <c r="G13" s="15">
        <v>0.28000000000000003</v>
      </c>
      <c r="H13" s="15">
        <v>0.23</v>
      </c>
      <c r="I13" s="15">
        <v>0.23</v>
      </c>
      <c r="J13" s="15">
        <v>0.24</v>
      </c>
      <c r="K13" s="15">
        <v>0.18</v>
      </c>
      <c r="L13" s="15">
        <v>0.34</v>
      </c>
      <c r="M13" s="15">
        <v>0.31</v>
      </c>
      <c r="N13" s="15">
        <v>0.31</v>
      </c>
      <c r="O13" s="15">
        <v>0.21</v>
      </c>
      <c r="P13" s="15">
        <v>0.34</v>
      </c>
      <c r="Q13" s="15">
        <v>0.19</v>
      </c>
      <c r="R13" s="15">
        <v>0.32</v>
      </c>
      <c r="S13" s="15">
        <v>0.41</v>
      </c>
      <c r="T13" s="15">
        <v>0.3</v>
      </c>
      <c r="U13" s="15">
        <v>0.2</v>
      </c>
      <c r="V13" s="15">
        <v>0.34</v>
      </c>
      <c r="W13" s="15">
        <v>0.36</v>
      </c>
      <c r="X13" s="15">
        <v>0.21</v>
      </c>
      <c r="Y13" s="15">
        <v>0.44</v>
      </c>
      <c r="Z13" s="15">
        <v>0.27</v>
      </c>
      <c r="AA13" s="15">
        <v>0.12</v>
      </c>
      <c r="AB13" s="15">
        <v>0.24</v>
      </c>
      <c r="AC13" s="15">
        <v>0.26</v>
      </c>
      <c r="AD13" s="15">
        <v>0.36</v>
      </c>
      <c r="AE13" s="15">
        <v>0.3</v>
      </c>
      <c r="AF13" s="15">
        <v>0.23</v>
      </c>
    </row>
    <row r="14" spans="1:32" x14ac:dyDescent="0.35">
      <c r="A14" s="19"/>
      <c r="B14" s="11" t="s">
        <v>762</v>
      </c>
      <c r="C14" s="12">
        <v>9939</v>
      </c>
      <c r="D14" s="12">
        <v>397</v>
      </c>
      <c r="E14" s="12">
        <v>346</v>
      </c>
      <c r="F14" s="12">
        <v>414</v>
      </c>
      <c r="G14" s="12">
        <v>367</v>
      </c>
      <c r="H14" s="12">
        <v>383</v>
      </c>
      <c r="I14" s="12">
        <v>483</v>
      </c>
      <c r="J14" s="12">
        <v>100</v>
      </c>
      <c r="K14" s="12">
        <v>393</v>
      </c>
      <c r="L14" s="12">
        <v>385</v>
      </c>
      <c r="M14" s="12">
        <v>427</v>
      </c>
      <c r="N14" s="12">
        <v>377</v>
      </c>
      <c r="O14" s="12">
        <v>338</v>
      </c>
      <c r="P14" s="12">
        <v>400</v>
      </c>
      <c r="Q14" s="12">
        <v>431</v>
      </c>
      <c r="R14" s="12">
        <v>196</v>
      </c>
      <c r="S14" s="12">
        <v>335</v>
      </c>
      <c r="T14" s="12">
        <v>427</v>
      </c>
      <c r="U14" s="12">
        <v>175</v>
      </c>
      <c r="V14" s="12">
        <v>462</v>
      </c>
      <c r="W14" s="12">
        <v>240</v>
      </c>
      <c r="X14" s="12">
        <v>394</v>
      </c>
      <c r="Y14" s="12">
        <v>277</v>
      </c>
      <c r="Z14" s="12">
        <v>468</v>
      </c>
      <c r="AA14" s="12">
        <v>388</v>
      </c>
      <c r="AB14" s="12">
        <v>467</v>
      </c>
      <c r="AC14" s="12">
        <v>334</v>
      </c>
      <c r="AD14" s="12">
        <v>397</v>
      </c>
      <c r="AE14" s="12">
        <v>394</v>
      </c>
      <c r="AF14" s="12">
        <v>366</v>
      </c>
    </row>
    <row r="15" spans="1:32" x14ac:dyDescent="0.35">
      <c r="A15" s="19"/>
      <c r="B15" s="13" t="s">
        <v>763</v>
      </c>
      <c r="C15" s="15">
        <v>0.53</v>
      </c>
      <c r="D15" s="15">
        <v>0.5</v>
      </c>
      <c r="E15" s="15">
        <v>0.43</v>
      </c>
      <c r="F15" s="15">
        <v>0.52</v>
      </c>
      <c r="G15" s="15">
        <v>0.43</v>
      </c>
      <c r="H15" s="15">
        <v>0.51</v>
      </c>
      <c r="I15" s="15">
        <v>0.5</v>
      </c>
      <c r="J15" s="15">
        <v>0.5</v>
      </c>
      <c r="K15" s="15">
        <v>0.51</v>
      </c>
      <c r="L15" s="15">
        <v>0.5</v>
      </c>
      <c r="M15" s="15">
        <v>0.57999999999999996</v>
      </c>
      <c r="N15" s="15">
        <v>0.51</v>
      </c>
      <c r="O15" s="15">
        <v>0.52</v>
      </c>
      <c r="P15" s="15">
        <v>0.55000000000000004</v>
      </c>
      <c r="Q15" s="15">
        <v>0.6</v>
      </c>
      <c r="R15" s="15">
        <v>0.49</v>
      </c>
      <c r="S15" s="15">
        <v>0.45</v>
      </c>
      <c r="T15" s="15">
        <v>0.54</v>
      </c>
      <c r="U15" s="15">
        <v>0.48</v>
      </c>
      <c r="V15" s="15">
        <v>0.56000000000000005</v>
      </c>
      <c r="W15" s="15">
        <v>0.56000000000000005</v>
      </c>
      <c r="X15" s="15">
        <v>0.5</v>
      </c>
      <c r="Y15" s="15">
        <v>0.39</v>
      </c>
      <c r="Z15" s="15">
        <v>0.65</v>
      </c>
      <c r="AA15" s="15">
        <v>0.51</v>
      </c>
      <c r="AB15" s="15">
        <v>0.6</v>
      </c>
      <c r="AC15" s="15">
        <v>0.49</v>
      </c>
      <c r="AD15" s="15">
        <v>0.52</v>
      </c>
      <c r="AE15" s="15">
        <v>0.48</v>
      </c>
      <c r="AF15" s="15">
        <v>0.44</v>
      </c>
    </row>
    <row r="16" spans="1:32" x14ac:dyDescent="0.35">
      <c r="A16" s="19"/>
      <c r="B16" s="11" t="s">
        <v>764</v>
      </c>
      <c r="C16" s="12">
        <v>2802</v>
      </c>
      <c r="D16" s="12">
        <v>164</v>
      </c>
      <c r="E16" s="12">
        <v>106</v>
      </c>
      <c r="F16" s="12">
        <v>117</v>
      </c>
      <c r="G16" s="12">
        <v>156</v>
      </c>
      <c r="H16" s="12">
        <v>138</v>
      </c>
      <c r="I16" s="12">
        <v>181</v>
      </c>
      <c r="J16" s="12">
        <v>43</v>
      </c>
      <c r="K16" s="12">
        <v>177</v>
      </c>
      <c r="L16" s="12">
        <v>75</v>
      </c>
      <c r="M16" s="12">
        <v>51</v>
      </c>
      <c r="N16" s="12">
        <v>81</v>
      </c>
      <c r="O16" s="12">
        <v>114</v>
      </c>
      <c r="P16" s="12">
        <v>62</v>
      </c>
      <c r="Q16" s="12">
        <v>98</v>
      </c>
      <c r="R16" s="12">
        <v>43</v>
      </c>
      <c r="S16" s="12">
        <v>63</v>
      </c>
      <c r="T16" s="12">
        <v>85</v>
      </c>
      <c r="U16" s="12">
        <v>85</v>
      </c>
      <c r="V16" s="12">
        <v>50</v>
      </c>
      <c r="W16" s="12">
        <v>21</v>
      </c>
      <c r="X16" s="12">
        <v>173</v>
      </c>
      <c r="Y16" s="12">
        <v>89</v>
      </c>
      <c r="Z16" s="12">
        <v>47</v>
      </c>
      <c r="AA16" s="12">
        <v>236</v>
      </c>
      <c r="AB16" s="12">
        <v>91</v>
      </c>
      <c r="AC16" s="12">
        <v>134</v>
      </c>
      <c r="AD16" s="12">
        <v>68</v>
      </c>
      <c r="AE16" s="12">
        <v>144</v>
      </c>
      <c r="AF16" s="12">
        <v>207</v>
      </c>
    </row>
    <row r="17" spans="1:32" x14ac:dyDescent="0.35">
      <c r="A17" s="19"/>
      <c r="B17" s="13" t="s">
        <v>765</v>
      </c>
      <c r="C17" s="15">
        <v>0.15</v>
      </c>
      <c r="D17" s="15">
        <v>0.21</v>
      </c>
      <c r="E17" s="15">
        <v>0.13</v>
      </c>
      <c r="F17" s="15">
        <v>0.15</v>
      </c>
      <c r="G17" s="15">
        <v>0.18</v>
      </c>
      <c r="H17" s="15">
        <v>0.18</v>
      </c>
      <c r="I17" s="15">
        <v>0.19</v>
      </c>
      <c r="J17" s="15">
        <v>0.22</v>
      </c>
      <c r="K17" s="15">
        <v>0.23</v>
      </c>
      <c r="L17" s="15">
        <v>0.1</v>
      </c>
      <c r="M17" s="15">
        <v>7.0000000000000007E-2</v>
      </c>
      <c r="N17" s="15">
        <v>0.11</v>
      </c>
      <c r="O17" s="15">
        <v>0.18</v>
      </c>
      <c r="P17" s="15">
        <v>0.08</v>
      </c>
      <c r="Q17" s="15">
        <v>0.14000000000000001</v>
      </c>
      <c r="R17" s="15">
        <v>0.11</v>
      </c>
      <c r="S17" s="15">
        <v>0.08</v>
      </c>
      <c r="T17" s="15">
        <v>0.11</v>
      </c>
      <c r="U17" s="15">
        <v>0.23</v>
      </c>
      <c r="V17" s="15">
        <v>0.06</v>
      </c>
      <c r="W17" s="15">
        <v>0.05</v>
      </c>
      <c r="X17" s="15">
        <v>0.22</v>
      </c>
      <c r="Y17" s="15">
        <v>0.12</v>
      </c>
      <c r="Z17" s="15">
        <v>0.06</v>
      </c>
      <c r="AA17" s="15">
        <v>0.31</v>
      </c>
      <c r="AB17" s="15">
        <v>0.12</v>
      </c>
      <c r="AC17" s="15">
        <v>0.19</v>
      </c>
      <c r="AD17" s="15">
        <v>0.09</v>
      </c>
      <c r="AE17" s="15">
        <v>0.18</v>
      </c>
      <c r="AF17" s="15">
        <v>0.25</v>
      </c>
    </row>
    <row r="18" spans="1:32" x14ac:dyDescent="0.35">
      <c r="A18" s="19"/>
      <c r="B18" s="11" t="s">
        <v>766</v>
      </c>
      <c r="C18" s="12">
        <v>870</v>
      </c>
      <c r="D18" s="12">
        <v>42</v>
      </c>
      <c r="E18" s="12">
        <v>24</v>
      </c>
      <c r="F18" s="12">
        <v>27</v>
      </c>
      <c r="G18" s="12">
        <v>65</v>
      </c>
      <c r="H18" s="12">
        <v>29</v>
      </c>
      <c r="I18" s="12">
        <v>34</v>
      </c>
      <c r="J18" s="12">
        <v>5</v>
      </c>
      <c r="K18" s="12">
        <v>39</v>
      </c>
      <c r="L18" s="12">
        <v>22</v>
      </c>
      <c r="M18" s="12">
        <v>30</v>
      </c>
      <c r="N18" s="12">
        <v>44</v>
      </c>
      <c r="O18" s="12">
        <v>49</v>
      </c>
      <c r="P18" s="12">
        <v>13</v>
      </c>
      <c r="Q18" s="12">
        <v>43</v>
      </c>
      <c r="R18" s="12">
        <v>22</v>
      </c>
      <c r="S18" s="12">
        <v>26</v>
      </c>
      <c r="T18" s="12">
        <v>28</v>
      </c>
      <c r="U18" s="12">
        <v>27</v>
      </c>
      <c r="V18" s="12">
        <v>27</v>
      </c>
      <c r="W18" s="12">
        <v>12</v>
      </c>
      <c r="X18" s="12">
        <v>44</v>
      </c>
      <c r="Y18" s="12">
        <v>27</v>
      </c>
      <c r="Z18" s="12">
        <v>0</v>
      </c>
      <c r="AA18" s="12">
        <v>38</v>
      </c>
      <c r="AB18" s="12">
        <v>16</v>
      </c>
      <c r="AC18" s="12">
        <v>31</v>
      </c>
      <c r="AD18" s="12">
        <v>21</v>
      </c>
      <c r="AE18" s="12">
        <v>25</v>
      </c>
      <c r="AF18" s="12">
        <v>59</v>
      </c>
    </row>
    <row r="19" spans="1:32" x14ac:dyDescent="0.35">
      <c r="A19" s="19"/>
      <c r="B19" s="13" t="s">
        <v>767</v>
      </c>
      <c r="C19" s="15">
        <v>0.05</v>
      </c>
      <c r="D19" s="15">
        <v>0.05</v>
      </c>
      <c r="E19" s="15">
        <v>0.03</v>
      </c>
      <c r="F19" s="15">
        <v>0.03</v>
      </c>
      <c r="G19" s="15">
        <v>7.0000000000000007E-2</v>
      </c>
      <c r="H19" s="15">
        <v>0.04</v>
      </c>
      <c r="I19" s="15">
        <v>0.04</v>
      </c>
      <c r="J19" s="15">
        <v>0.02</v>
      </c>
      <c r="K19" s="15">
        <v>0.05</v>
      </c>
      <c r="L19" s="15">
        <v>0.03</v>
      </c>
      <c r="M19" s="15">
        <v>0.04</v>
      </c>
      <c r="N19" s="15">
        <v>0.06</v>
      </c>
      <c r="O19" s="15">
        <v>0.08</v>
      </c>
      <c r="P19" s="15">
        <v>0.02</v>
      </c>
      <c r="Q19" s="15">
        <v>0.06</v>
      </c>
      <c r="R19" s="15">
        <v>0.06</v>
      </c>
      <c r="S19" s="15">
        <v>0.04</v>
      </c>
      <c r="T19" s="15">
        <v>0.03</v>
      </c>
      <c r="U19" s="15">
        <v>0.08</v>
      </c>
      <c r="V19" s="15">
        <v>0.03</v>
      </c>
      <c r="W19" s="15">
        <v>0.03</v>
      </c>
      <c r="X19" s="15">
        <v>0.06</v>
      </c>
      <c r="Y19" s="15">
        <v>0.04</v>
      </c>
      <c r="Z19" s="14" t="s">
        <v>475</v>
      </c>
      <c r="AA19" s="15">
        <v>0.05</v>
      </c>
      <c r="AB19" s="15">
        <v>0.02</v>
      </c>
      <c r="AC19" s="15">
        <v>0.05</v>
      </c>
      <c r="AD19" s="15">
        <v>0.03</v>
      </c>
      <c r="AE19" s="15">
        <v>0.03</v>
      </c>
      <c r="AF19" s="15">
        <v>7.0000000000000007E-2</v>
      </c>
    </row>
    <row r="20" spans="1:32" x14ac:dyDescent="0.35">
      <c r="A20" s="19"/>
      <c r="B20" s="11" t="s">
        <v>485</v>
      </c>
      <c r="C20" s="12">
        <v>337</v>
      </c>
      <c r="D20" s="12">
        <v>6</v>
      </c>
      <c r="E20" s="12">
        <v>16</v>
      </c>
      <c r="F20" s="12">
        <v>19</v>
      </c>
      <c r="G20" s="12">
        <v>34</v>
      </c>
      <c r="H20" s="12">
        <v>33</v>
      </c>
      <c r="I20" s="12">
        <v>37</v>
      </c>
      <c r="J20" s="12">
        <v>4</v>
      </c>
      <c r="K20" s="12">
        <v>27</v>
      </c>
      <c r="L20" s="12">
        <v>21</v>
      </c>
      <c r="M20" s="12">
        <v>1</v>
      </c>
      <c r="N20" s="12">
        <v>9</v>
      </c>
      <c r="O20" s="12">
        <v>10</v>
      </c>
      <c r="P20" s="12">
        <v>7</v>
      </c>
      <c r="Q20" s="12">
        <v>8</v>
      </c>
      <c r="R20" s="12">
        <v>10</v>
      </c>
      <c r="S20" s="12">
        <v>14</v>
      </c>
      <c r="T20" s="12">
        <v>18</v>
      </c>
      <c r="U20" s="12">
        <v>4</v>
      </c>
      <c r="V20" s="12">
        <v>3</v>
      </c>
      <c r="W20" s="12">
        <v>1</v>
      </c>
      <c r="X20" s="12">
        <v>9</v>
      </c>
      <c r="Y20" s="12">
        <v>8</v>
      </c>
      <c r="Z20" s="12">
        <v>14</v>
      </c>
      <c r="AA20" s="12">
        <v>12</v>
      </c>
      <c r="AB20" s="12">
        <v>15</v>
      </c>
      <c r="AC20" s="12">
        <v>4</v>
      </c>
      <c r="AD20" s="12">
        <v>3</v>
      </c>
      <c r="AE20" s="12">
        <v>7</v>
      </c>
      <c r="AF20" s="12">
        <v>4</v>
      </c>
    </row>
    <row r="21" spans="1:32" x14ac:dyDescent="0.35">
      <c r="A21" s="19"/>
      <c r="B21" s="13" t="s">
        <v>486</v>
      </c>
      <c r="C21" s="15">
        <v>0.02</v>
      </c>
      <c r="D21" s="15">
        <v>0.01</v>
      </c>
      <c r="E21" s="15">
        <v>0.02</v>
      </c>
      <c r="F21" s="15">
        <v>0.03</v>
      </c>
      <c r="G21" s="15">
        <v>0.04</v>
      </c>
      <c r="H21" s="15">
        <v>0.04</v>
      </c>
      <c r="I21" s="15">
        <v>0.04</v>
      </c>
      <c r="J21" s="15">
        <v>0.02</v>
      </c>
      <c r="K21" s="15">
        <v>0.03</v>
      </c>
      <c r="L21" s="15">
        <v>0.03</v>
      </c>
      <c r="M21" s="14" t="s">
        <v>475</v>
      </c>
      <c r="N21" s="15">
        <v>0.01</v>
      </c>
      <c r="O21" s="15">
        <v>0.01</v>
      </c>
      <c r="P21" s="15">
        <v>0.01</v>
      </c>
      <c r="Q21" s="15">
        <v>0.01</v>
      </c>
      <c r="R21" s="15">
        <v>0.02</v>
      </c>
      <c r="S21" s="15">
        <v>0.02</v>
      </c>
      <c r="T21" s="15">
        <v>0.02</v>
      </c>
      <c r="U21" s="15">
        <v>0.01</v>
      </c>
      <c r="V21" s="15">
        <v>0.01</v>
      </c>
      <c r="W21" s="14" t="s">
        <v>475</v>
      </c>
      <c r="X21" s="15">
        <v>0.01</v>
      </c>
      <c r="Y21" s="15">
        <v>0.01</v>
      </c>
      <c r="Z21" s="15">
        <v>0.02</v>
      </c>
      <c r="AA21" s="15">
        <v>0.01</v>
      </c>
      <c r="AB21" s="15">
        <v>0.02</v>
      </c>
      <c r="AC21" s="15">
        <v>0.01</v>
      </c>
      <c r="AD21" s="14" t="s">
        <v>475</v>
      </c>
      <c r="AE21" s="15">
        <v>0.01</v>
      </c>
      <c r="AF21" s="15">
        <v>0.01</v>
      </c>
    </row>
    <row r="22" spans="1:32" x14ac:dyDescent="0.35">
      <c r="A22" s="19"/>
      <c r="B22" s="11" t="s">
        <v>768</v>
      </c>
      <c r="C22" s="12">
        <v>14632</v>
      </c>
      <c r="D22" s="12">
        <v>578</v>
      </c>
      <c r="E22" s="12">
        <v>652</v>
      </c>
      <c r="F22" s="12">
        <v>630</v>
      </c>
      <c r="G22" s="12">
        <v>609</v>
      </c>
      <c r="H22" s="12">
        <v>556</v>
      </c>
      <c r="I22" s="12">
        <v>705</v>
      </c>
      <c r="J22" s="12">
        <v>149</v>
      </c>
      <c r="K22" s="12">
        <v>530</v>
      </c>
      <c r="L22" s="12">
        <v>651</v>
      </c>
      <c r="M22" s="12">
        <v>652</v>
      </c>
      <c r="N22" s="12">
        <v>608</v>
      </c>
      <c r="O22" s="12">
        <v>474</v>
      </c>
      <c r="P22" s="12">
        <v>652</v>
      </c>
      <c r="Q22" s="12">
        <v>570</v>
      </c>
      <c r="R22" s="12">
        <v>323</v>
      </c>
      <c r="S22" s="12">
        <v>639</v>
      </c>
      <c r="T22" s="12">
        <v>663</v>
      </c>
      <c r="U22" s="12">
        <v>249</v>
      </c>
      <c r="V22" s="12">
        <v>741</v>
      </c>
      <c r="W22" s="12">
        <v>394</v>
      </c>
      <c r="X22" s="12">
        <v>559</v>
      </c>
      <c r="Y22" s="12">
        <v>597</v>
      </c>
      <c r="Z22" s="12">
        <v>662</v>
      </c>
      <c r="AA22" s="12">
        <v>480</v>
      </c>
      <c r="AB22" s="12">
        <v>651</v>
      </c>
      <c r="AC22" s="12">
        <v>515</v>
      </c>
      <c r="AD22" s="12">
        <v>674</v>
      </c>
      <c r="AE22" s="12">
        <v>641</v>
      </c>
      <c r="AF22" s="12">
        <v>560</v>
      </c>
    </row>
    <row r="23" spans="1:32" x14ac:dyDescent="0.35">
      <c r="A23" s="19"/>
      <c r="B23" s="13" t="s">
        <v>769</v>
      </c>
      <c r="C23" s="15">
        <v>0.78</v>
      </c>
      <c r="D23" s="15">
        <v>0.73</v>
      </c>
      <c r="E23" s="15">
        <v>0.82000000000000006</v>
      </c>
      <c r="F23" s="15">
        <v>0.79</v>
      </c>
      <c r="G23" s="15">
        <v>0.71</v>
      </c>
      <c r="H23" s="15">
        <v>0.74</v>
      </c>
      <c r="I23" s="15">
        <v>0.73</v>
      </c>
      <c r="J23" s="15">
        <v>0.74</v>
      </c>
      <c r="K23" s="15">
        <v>0.69000000000000006</v>
      </c>
      <c r="L23" s="15">
        <v>0.84</v>
      </c>
      <c r="M23" s="15">
        <v>0.89</v>
      </c>
      <c r="N23" s="15">
        <v>0.82000000000000006</v>
      </c>
      <c r="O23" s="15">
        <v>0.73</v>
      </c>
      <c r="P23" s="15">
        <v>0.89</v>
      </c>
      <c r="Q23" s="15">
        <v>0.79</v>
      </c>
      <c r="R23" s="15">
        <v>0.81</v>
      </c>
      <c r="S23" s="15">
        <v>0.86</v>
      </c>
      <c r="T23" s="15">
        <v>0.84</v>
      </c>
      <c r="U23" s="15">
        <v>0.68</v>
      </c>
      <c r="V23" s="15">
        <v>0.9</v>
      </c>
      <c r="W23" s="15">
        <v>0.92</v>
      </c>
      <c r="X23" s="15">
        <v>0.71</v>
      </c>
      <c r="Y23" s="15">
        <v>0.83000000000000007</v>
      </c>
      <c r="Z23" s="15">
        <v>0.92</v>
      </c>
      <c r="AA23" s="15">
        <v>0.63</v>
      </c>
      <c r="AB23" s="15">
        <v>0.84</v>
      </c>
      <c r="AC23" s="15">
        <v>0.75</v>
      </c>
      <c r="AD23" s="15">
        <v>0.88</v>
      </c>
      <c r="AE23" s="15">
        <v>0.78</v>
      </c>
      <c r="AF23" s="15">
        <v>0.67</v>
      </c>
    </row>
    <row r="24" spans="1:32" x14ac:dyDescent="0.35">
      <c r="A24" s="19"/>
      <c r="B24" s="11" t="s">
        <v>770</v>
      </c>
      <c r="C24" s="12">
        <v>3672</v>
      </c>
      <c r="D24" s="12">
        <v>206</v>
      </c>
      <c r="E24" s="12">
        <v>130</v>
      </c>
      <c r="F24" s="12">
        <v>144</v>
      </c>
      <c r="G24" s="12">
        <v>221</v>
      </c>
      <c r="H24" s="12">
        <v>167</v>
      </c>
      <c r="I24" s="12">
        <v>215</v>
      </c>
      <c r="J24" s="12">
        <v>48</v>
      </c>
      <c r="K24" s="12">
        <v>216</v>
      </c>
      <c r="L24" s="12">
        <v>97</v>
      </c>
      <c r="M24" s="12">
        <v>81</v>
      </c>
      <c r="N24" s="12">
        <v>125</v>
      </c>
      <c r="O24" s="12">
        <v>163</v>
      </c>
      <c r="P24" s="12">
        <v>75</v>
      </c>
      <c r="Q24" s="12">
        <v>141</v>
      </c>
      <c r="R24" s="12">
        <v>65</v>
      </c>
      <c r="S24" s="12">
        <v>89</v>
      </c>
      <c r="T24" s="12">
        <v>113</v>
      </c>
      <c r="U24" s="12">
        <v>112</v>
      </c>
      <c r="V24" s="12">
        <v>77</v>
      </c>
      <c r="W24" s="12">
        <v>33</v>
      </c>
      <c r="X24" s="12">
        <v>217</v>
      </c>
      <c r="Y24" s="12">
        <v>116</v>
      </c>
      <c r="Z24" s="12">
        <v>47</v>
      </c>
      <c r="AA24" s="12">
        <v>274</v>
      </c>
      <c r="AB24" s="12">
        <v>107</v>
      </c>
      <c r="AC24" s="12">
        <v>165</v>
      </c>
      <c r="AD24" s="12">
        <v>89</v>
      </c>
      <c r="AE24" s="12">
        <v>169</v>
      </c>
      <c r="AF24" s="12">
        <v>266</v>
      </c>
    </row>
    <row r="25" spans="1:32" x14ac:dyDescent="0.35">
      <c r="A25" s="19"/>
      <c r="B25" s="13" t="s">
        <v>771</v>
      </c>
      <c r="C25" s="15">
        <v>0.2</v>
      </c>
      <c r="D25" s="15">
        <v>0.26</v>
      </c>
      <c r="E25" s="15">
        <v>0.16</v>
      </c>
      <c r="F25" s="15">
        <v>0.18</v>
      </c>
      <c r="G25" s="15">
        <v>0.25</v>
      </c>
      <c r="H25" s="15">
        <v>0.22</v>
      </c>
      <c r="I25" s="15">
        <v>0.23</v>
      </c>
      <c r="J25" s="15">
        <v>0.24</v>
      </c>
      <c r="K25" s="15">
        <v>0.28000000000000003</v>
      </c>
      <c r="L25" s="15">
        <v>0.13</v>
      </c>
      <c r="M25" s="15">
        <v>0.11</v>
      </c>
      <c r="N25" s="15">
        <v>0.17</v>
      </c>
      <c r="O25" s="15">
        <v>0.26</v>
      </c>
      <c r="P25" s="15">
        <v>0.1</v>
      </c>
      <c r="Q25" s="15">
        <v>0.2</v>
      </c>
      <c r="R25" s="15">
        <v>0.17</v>
      </c>
      <c r="S25" s="15">
        <v>0.12</v>
      </c>
      <c r="T25" s="15">
        <v>0.14000000000000001</v>
      </c>
      <c r="U25" s="15">
        <v>0.31</v>
      </c>
      <c r="V25" s="15">
        <v>0.09</v>
      </c>
      <c r="W25" s="15">
        <v>0.08</v>
      </c>
      <c r="X25" s="15">
        <v>0.28000000000000003</v>
      </c>
      <c r="Y25" s="15">
        <v>0.16</v>
      </c>
      <c r="Z25" s="15">
        <v>0.06</v>
      </c>
      <c r="AA25" s="15">
        <v>0.36</v>
      </c>
      <c r="AB25" s="15">
        <v>0.14000000000000001</v>
      </c>
      <c r="AC25" s="15">
        <v>0.24</v>
      </c>
      <c r="AD25" s="15">
        <v>0.12</v>
      </c>
      <c r="AE25" s="15">
        <v>0.21</v>
      </c>
      <c r="AF25" s="15">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1381</v>
      </c>
      <c r="C3" s="18"/>
      <c r="D3" s="18"/>
      <c r="E3" s="18"/>
      <c r="F3" s="18"/>
      <c r="H3" s="18" t="s">
        <v>1382</v>
      </c>
      <c r="I3" s="18"/>
      <c r="J3" s="18"/>
      <c r="K3" s="18"/>
      <c r="L3" s="18"/>
    </row>
    <row r="4" spans="1:32" ht="27" customHeight="1" x14ac:dyDescent="0.35">
      <c r="B4" s="18" t="s">
        <v>1367</v>
      </c>
      <c r="C4" s="18"/>
      <c r="D4" s="18"/>
      <c r="E4" s="18"/>
      <c r="F4" s="18"/>
      <c r="H4" s="18" t="s">
        <v>1368</v>
      </c>
      <c r="I4" s="18"/>
      <c r="J4" s="18"/>
      <c r="K4" s="18"/>
      <c r="L4" s="18"/>
    </row>
    <row r="5" spans="1:32" ht="24" customHeight="1" x14ac:dyDescent="0.35">
      <c r="B5" s="18" t="s">
        <v>1379</v>
      </c>
      <c r="C5" s="18"/>
      <c r="D5" s="18"/>
      <c r="E5" s="18"/>
      <c r="F5" s="18"/>
      <c r="H5" s="18" t="s">
        <v>1380</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3683</v>
      </c>
      <c r="D12" s="12">
        <v>156</v>
      </c>
      <c r="E12" s="12">
        <v>140</v>
      </c>
      <c r="F12" s="12">
        <v>99</v>
      </c>
      <c r="G12" s="12">
        <v>171</v>
      </c>
      <c r="H12" s="12">
        <v>131</v>
      </c>
      <c r="I12" s="12">
        <v>154</v>
      </c>
      <c r="J12" s="12">
        <v>23</v>
      </c>
      <c r="K12" s="12">
        <v>105</v>
      </c>
      <c r="L12" s="12">
        <v>172</v>
      </c>
      <c r="M12" s="12">
        <v>143</v>
      </c>
      <c r="N12" s="12">
        <v>174</v>
      </c>
      <c r="O12" s="12">
        <v>128</v>
      </c>
      <c r="P12" s="12">
        <v>189</v>
      </c>
      <c r="Q12" s="12">
        <v>153</v>
      </c>
      <c r="R12" s="12">
        <v>59</v>
      </c>
      <c r="S12" s="12">
        <v>179</v>
      </c>
      <c r="T12" s="12">
        <v>226</v>
      </c>
      <c r="U12" s="12">
        <v>101</v>
      </c>
      <c r="V12" s="12">
        <v>246</v>
      </c>
      <c r="W12" s="12">
        <v>73</v>
      </c>
      <c r="X12" s="12">
        <v>118</v>
      </c>
      <c r="Y12" s="12">
        <v>161</v>
      </c>
      <c r="Z12" s="12">
        <v>123</v>
      </c>
      <c r="AA12" s="12">
        <v>108</v>
      </c>
      <c r="AB12" s="12">
        <v>151</v>
      </c>
      <c r="AC12" s="12">
        <v>184</v>
      </c>
      <c r="AD12" s="12">
        <v>145</v>
      </c>
      <c r="AE12" s="12">
        <v>208</v>
      </c>
      <c r="AF12" s="12">
        <v>239</v>
      </c>
    </row>
    <row r="13" spans="1:32" x14ac:dyDescent="0.35">
      <c r="A13" s="19"/>
      <c r="B13" s="13" t="s">
        <v>761</v>
      </c>
      <c r="C13" s="15">
        <v>0.2</v>
      </c>
      <c r="D13" s="15">
        <v>0.2</v>
      </c>
      <c r="E13" s="15">
        <v>0.18</v>
      </c>
      <c r="F13" s="15">
        <v>0.12</v>
      </c>
      <c r="G13" s="15">
        <v>0.2</v>
      </c>
      <c r="H13" s="15">
        <v>0.17</v>
      </c>
      <c r="I13" s="15">
        <v>0.16</v>
      </c>
      <c r="J13" s="15">
        <v>0.11</v>
      </c>
      <c r="K13" s="15">
        <v>0.14000000000000001</v>
      </c>
      <c r="L13" s="15">
        <v>0.22</v>
      </c>
      <c r="M13" s="15">
        <v>0.2</v>
      </c>
      <c r="N13" s="15">
        <v>0.23</v>
      </c>
      <c r="O13" s="15">
        <v>0.2</v>
      </c>
      <c r="P13" s="15">
        <v>0.26</v>
      </c>
      <c r="Q13" s="15">
        <v>0.21</v>
      </c>
      <c r="R13" s="15">
        <v>0.15</v>
      </c>
      <c r="S13" s="15">
        <v>0.24</v>
      </c>
      <c r="T13" s="15">
        <v>0.28000000000000003</v>
      </c>
      <c r="U13" s="15">
        <v>0.28000000000000003</v>
      </c>
      <c r="V13" s="15">
        <v>0.3</v>
      </c>
      <c r="W13" s="15">
        <v>0.17</v>
      </c>
      <c r="X13" s="15">
        <v>0.15</v>
      </c>
      <c r="Y13" s="15">
        <v>0.22</v>
      </c>
      <c r="Z13" s="15">
        <v>0.17</v>
      </c>
      <c r="AA13" s="15">
        <v>0.14000000000000001</v>
      </c>
      <c r="AB13" s="15">
        <v>0.19</v>
      </c>
      <c r="AC13" s="15">
        <v>0.27</v>
      </c>
      <c r="AD13" s="15">
        <v>0.19</v>
      </c>
      <c r="AE13" s="15">
        <v>0.25</v>
      </c>
      <c r="AF13" s="15">
        <v>0.28999999999999998</v>
      </c>
    </row>
    <row r="14" spans="1:32" x14ac:dyDescent="0.35">
      <c r="A14" s="19"/>
      <c r="B14" s="11" t="s">
        <v>762</v>
      </c>
      <c r="C14" s="12">
        <v>9153</v>
      </c>
      <c r="D14" s="12">
        <v>426</v>
      </c>
      <c r="E14" s="12">
        <v>289</v>
      </c>
      <c r="F14" s="12">
        <v>416</v>
      </c>
      <c r="G14" s="12">
        <v>445</v>
      </c>
      <c r="H14" s="12">
        <v>338</v>
      </c>
      <c r="I14" s="12">
        <v>438</v>
      </c>
      <c r="J14" s="12">
        <v>99</v>
      </c>
      <c r="K14" s="12">
        <v>375</v>
      </c>
      <c r="L14" s="12">
        <v>368</v>
      </c>
      <c r="M14" s="12">
        <v>335</v>
      </c>
      <c r="N14" s="12">
        <v>397</v>
      </c>
      <c r="O14" s="12">
        <v>281</v>
      </c>
      <c r="P14" s="12">
        <v>384</v>
      </c>
      <c r="Q14" s="12">
        <v>390</v>
      </c>
      <c r="R14" s="12">
        <v>211</v>
      </c>
      <c r="S14" s="12">
        <v>326</v>
      </c>
      <c r="T14" s="12">
        <v>388</v>
      </c>
      <c r="U14" s="12">
        <v>170</v>
      </c>
      <c r="V14" s="12">
        <v>393</v>
      </c>
      <c r="W14" s="12">
        <v>273</v>
      </c>
      <c r="X14" s="12">
        <v>405</v>
      </c>
      <c r="Y14" s="12">
        <v>206</v>
      </c>
      <c r="Z14" s="12">
        <v>353</v>
      </c>
      <c r="AA14" s="12">
        <v>499</v>
      </c>
      <c r="AB14" s="12">
        <v>392</v>
      </c>
      <c r="AC14" s="12">
        <v>302</v>
      </c>
      <c r="AD14" s="12">
        <v>353</v>
      </c>
      <c r="AE14" s="12">
        <v>416</v>
      </c>
      <c r="AF14" s="12">
        <v>434</v>
      </c>
    </row>
    <row r="15" spans="1:32" x14ac:dyDescent="0.35">
      <c r="A15" s="19"/>
      <c r="B15" s="13" t="s">
        <v>763</v>
      </c>
      <c r="C15" s="15">
        <v>0.49</v>
      </c>
      <c r="D15" s="15">
        <v>0.54</v>
      </c>
      <c r="E15" s="15">
        <v>0.36</v>
      </c>
      <c r="F15" s="15">
        <v>0.53</v>
      </c>
      <c r="G15" s="15">
        <v>0.51</v>
      </c>
      <c r="H15" s="15">
        <v>0.45</v>
      </c>
      <c r="I15" s="15">
        <v>0.46</v>
      </c>
      <c r="J15" s="15">
        <v>0.5</v>
      </c>
      <c r="K15" s="15">
        <v>0.48</v>
      </c>
      <c r="L15" s="15">
        <v>0.48</v>
      </c>
      <c r="M15" s="15">
        <v>0.46</v>
      </c>
      <c r="N15" s="15">
        <v>0.54</v>
      </c>
      <c r="O15" s="15">
        <v>0.43</v>
      </c>
      <c r="P15" s="15">
        <v>0.52</v>
      </c>
      <c r="Q15" s="15">
        <v>0.54</v>
      </c>
      <c r="R15" s="15">
        <v>0.53</v>
      </c>
      <c r="S15" s="15">
        <v>0.44</v>
      </c>
      <c r="T15" s="15">
        <v>0.49</v>
      </c>
      <c r="U15" s="15">
        <v>0.47</v>
      </c>
      <c r="V15" s="15">
        <v>0.48</v>
      </c>
      <c r="W15" s="15">
        <v>0.64</v>
      </c>
      <c r="X15" s="15">
        <v>0.51</v>
      </c>
      <c r="Y15" s="15">
        <v>0.28999999999999998</v>
      </c>
      <c r="Z15" s="15">
        <v>0.49</v>
      </c>
      <c r="AA15" s="15">
        <v>0.65</v>
      </c>
      <c r="AB15" s="15">
        <v>0.51</v>
      </c>
      <c r="AC15" s="15">
        <v>0.44</v>
      </c>
      <c r="AD15" s="15">
        <v>0.46</v>
      </c>
      <c r="AE15" s="15">
        <v>0.51</v>
      </c>
      <c r="AF15" s="15">
        <v>0.52</v>
      </c>
    </row>
    <row r="16" spans="1:32" x14ac:dyDescent="0.35">
      <c r="A16" s="19"/>
      <c r="B16" s="11" t="s">
        <v>764</v>
      </c>
      <c r="C16" s="12">
        <v>4283</v>
      </c>
      <c r="D16" s="12">
        <v>169</v>
      </c>
      <c r="E16" s="12">
        <v>241</v>
      </c>
      <c r="F16" s="12">
        <v>212</v>
      </c>
      <c r="G16" s="12">
        <v>193</v>
      </c>
      <c r="H16" s="12">
        <v>171</v>
      </c>
      <c r="I16" s="12">
        <v>237</v>
      </c>
      <c r="J16" s="12">
        <v>66</v>
      </c>
      <c r="K16" s="12">
        <v>209</v>
      </c>
      <c r="L16" s="12">
        <v>162</v>
      </c>
      <c r="M16" s="12">
        <v>205</v>
      </c>
      <c r="N16" s="12">
        <v>120</v>
      </c>
      <c r="O16" s="12">
        <v>175</v>
      </c>
      <c r="P16" s="12">
        <v>130</v>
      </c>
      <c r="Q16" s="12">
        <v>151</v>
      </c>
      <c r="R16" s="12">
        <v>87</v>
      </c>
      <c r="S16" s="12">
        <v>188</v>
      </c>
      <c r="T16" s="12">
        <v>143</v>
      </c>
      <c r="U16" s="12">
        <v>78</v>
      </c>
      <c r="V16" s="12">
        <v>149</v>
      </c>
      <c r="W16" s="12">
        <v>66</v>
      </c>
      <c r="X16" s="12">
        <v>210</v>
      </c>
      <c r="Y16" s="12">
        <v>208</v>
      </c>
      <c r="Z16" s="12">
        <v>187</v>
      </c>
      <c r="AA16" s="12">
        <v>134</v>
      </c>
      <c r="AB16" s="12">
        <v>176</v>
      </c>
      <c r="AC16" s="12">
        <v>160</v>
      </c>
      <c r="AD16" s="12">
        <v>198</v>
      </c>
      <c r="AE16" s="12">
        <v>154</v>
      </c>
      <c r="AF16" s="12">
        <v>127</v>
      </c>
    </row>
    <row r="17" spans="1:32" x14ac:dyDescent="0.35">
      <c r="A17" s="19"/>
      <c r="B17" s="13" t="s">
        <v>765</v>
      </c>
      <c r="C17" s="15">
        <v>0.23</v>
      </c>
      <c r="D17" s="15">
        <v>0.21</v>
      </c>
      <c r="E17" s="15">
        <v>0.3</v>
      </c>
      <c r="F17" s="15">
        <v>0.27</v>
      </c>
      <c r="G17" s="15">
        <v>0.22</v>
      </c>
      <c r="H17" s="15">
        <v>0.23</v>
      </c>
      <c r="I17" s="15">
        <v>0.25</v>
      </c>
      <c r="J17" s="15">
        <v>0.33</v>
      </c>
      <c r="K17" s="15">
        <v>0.27</v>
      </c>
      <c r="L17" s="15">
        <v>0.21</v>
      </c>
      <c r="M17" s="15">
        <v>0.28000000000000003</v>
      </c>
      <c r="N17" s="15">
        <v>0.16</v>
      </c>
      <c r="O17" s="15">
        <v>0.27</v>
      </c>
      <c r="P17" s="15">
        <v>0.18</v>
      </c>
      <c r="Q17" s="15">
        <v>0.21</v>
      </c>
      <c r="R17" s="15">
        <v>0.22</v>
      </c>
      <c r="S17" s="15">
        <v>0.25</v>
      </c>
      <c r="T17" s="15">
        <v>0.18</v>
      </c>
      <c r="U17" s="15">
        <v>0.21</v>
      </c>
      <c r="V17" s="15">
        <v>0.18</v>
      </c>
      <c r="W17" s="15">
        <v>0.16</v>
      </c>
      <c r="X17" s="15">
        <v>0.27</v>
      </c>
      <c r="Y17" s="15">
        <v>0.28999999999999998</v>
      </c>
      <c r="Z17" s="15">
        <v>0.26</v>
      </c>
      <c r="AA17" s="15">
        <v>0.17</v>
      </c>
      <c r="AB17" s="15">
        <v>0.23</v>
      </c>
      <c r="AC17" s="15">
        <v>0.23</v>
      </c>
      <c r="AD17" s="15">
        <v>0.26</v>
      </c>
      <c r="AE17" s="15">
        <v>0.19</v>
      </c>
      <c r="AF17" s="15">
        <v>0.15</v>
      </c>
    </row>
    <row r="18" spans="1:32" x14ac:dyDescent="0.35">
      <c r="A18" s="19"/>
      <c r="B18" s="11" t="s">
        <v>766</v>
      </c>
      <c r="C18" s="12">
        <v>687</v>
      </c>
      <c r="D18" s="12">
        <v>21</v>
      </c>
      <c r="E18" s="12">
        <v>71</v>
      </c>
      <c r="F18" s="12">
        <v>45</v>
      </c>
      <c r="G18" s="12">
        <v>15</v>
      </c>
      <c r="H18" s="12">
        <v>36</v>
      </c>
      <c r="I18" s="12">
        <v>42</v>
      </c>
      <c r="J18" s="12">
        <v>6</v>
      </c>
      <c r="K18" s="12">
        <v>33</v>
      </c>
      <c r="L18" s="12">
        <v>25</v>
      </c>
      <c r="M18" s="12">
        <v>40</v>
      </c>
      <c r="N18" s="12">
        <v>22</v>
      </c>
      <c r="O18" s="12">
        <v>34</v>
      </c>
      <c r="P18" s="12">
        <v>25</v>
      </c>
      <c r="Q18" s="12">
        <v>16</v>
      </c>
      <c r="R18" s="12">
        <v>26</v>
      </c>
      <c r="S18" s="12">
        <v>14</v>
      </c>
      <c r="T18" s="12">
        <v>10</v>
      </c>
      <c r="U18" s="12">
        <v>6</v>
      </c>
      <c r="V18" s="12">
        <v>12</v>
      </c>
      <c r="W18" s="12">
        <v>10</v>
      </c>
      <c r="X18" s="12">
        <v>22</v>
      </c>
      <c r="Y18" s="12">
        <v>114</v>
      </c>
      <c r="Z18" s="12">
        <v>11</v>
      </c>
      <c r="AA18" s="12">
        <v>5</v>
      </c>
      <c r="AB18" s="12">
        <v>30</v>
      </c>
      <c r="AC18" s="12">
        <v>31</v>
      </c>
      <c r="AD18" s="12">
        <v>39</v>
      </c>
      <c r="AE18" s="12">
        <v>24</v>
      </c>
      <c r="AF18" s="12">
        <v>16</v>
      </c>
    </row>
    <row r="19" spans="1:32" x14ac:dyDescent="0.35">
      <c r="A19" s="19"/>
      <c r="B19" s="13" t="s">
        <v>767</v>
      </c>
      <c r="C19" s="15">
        <v>0.04</v>
      </c>
      <c r="D19" s="15">
        <v>0.03</v>
      </c>
      <c r="E19" s="15">
        <v>0.09</v>
      </c>
      <c r="F19" s="15">
        <v>0.06</v>
      </c>
      <c r="G19" s="15">
        <v>0.02</v>
      </c>
      <c r="H19" s="15">
        <v>0.05</v>
      </c>
      <c r="I19" s="15">
        <v>0.04</v>
      </c>
      <c r="J19" s="15">
        <v>0.03</v>
      </c>
      <c r="K19" s="15">
        <v>0.04</v>
      </c>
      <c r="L19" s="15">
        <v>0.03</v>
      </c>
      <c r="M19" s="15">
        <v>0.05</v>
      </c>
      <c r="N19" s="15">
        <v>0.03</v>
      </c>
      <c r="O19" s="15">
        <v>0.05</v>
      </c>
      <c r="P19" s="15">
        <v>0.03</v>
      </c>
      <c r="Q19" s="15">
        <v>0.02</v>
      </c>
      <c r="R19" s="15">
        <v>7.0000000000000007E-2</v>
      </c>
      <c r="S19" s="15">
        <v>0.02</v>
      </c>
      <c r="T19" s="15">
        <v>0.01</v>
      </c>
      <c r="U19" s="15">
        <v>0.02</v>
      </c>
      <c r="V19" s="15">
        <v>0.01</v>
      </c>
      <c r="W19" s="15">
        <v>0.02</v>
      </c>
      <c r="X19" s="15">
        <v>0.03</v>
      </c>
      <c r="Y19" s="15">
        <v>0.16</v>
      </c>
      <c r="Z19" s="15">
        <v>0.01</v>
      </c>
      <c r="AA19" s="15">
        <v>0.01</v>
      </c>
      <c r="AB19" s="15">
        <v>0.04</v>
      </c>
      <c r="AC19" s="15">
        <v>0.05</v>
      </c>
      <c r="AD19" s="15">
        <v>0.05</v>
      </c>
      <c r="AE19" s="15">
        <v>0.03</v>
      </c>
      <c r="AF19" s="15">
        <v>0.02</v>
      </c>
    </row>
    <row r="20" spans="1:32" x14ac:dyDescent="0.35">
      <c r="A20" s="19"/>
      <c r="B20" s="11" t="s">
        <v>485</v>
      </c>
      <c r="C20" s="12">
        <v>836</v>
      </c>
      <c r="D20" s="12">
        <v>19</v>
      </c>
      <c r="E20" s="12">
        <v>58</v>
      </c>
      <c r="F20" s="12">
        <v>20</v>
      </c>
      <c r="G20" s="12">
        <v>41</v>
      </c>
      <c r="H20" s="12">
        <v>80</v>
      </c>
      <c r="I20" s="12">
        <v>86</v>
      </c>
      <c r="J20" s="12">
        <v>6</v>
      </c>
      <c r="K20" s="12">
        <v>51</v>
      </c>
      <c r="L20" s="12">
        <v>42</v>
      </c>
      <c r="M20" s="12">
        <v>10</v>
      </c>
      <c r="N20" s="12">
        <v>29</v>
      </c>
      <c r="O20" s="12">
        <v>30</v>
      </c>
      <c r="P20" s="12">
        <v>6</v>
      </c>
      <c r="Q20" s="12">
        <v>10</v>
      </c>
      <c r="R20" s="12">
        <v>14</v>
      </c>
      <c r="S20" s="12">
        <v>35</v>
      </c>
      <c r="T20" s="12">
        <v>28</v>
      </c>
      <c r="U20" s="12">
        <v>9</v>
      </c>
      <c r="V20" s="12">
        <v>22</v>
      </c>
      <c r="W20" s="12">
        <v>5</v>
      </c>
      <c r="X20" s="12">
        <v>30</v>
      </c>
      <c r="Y20" s="12">
        <v>32</v>
      </c>
      <c r="Z20" s="12">
        <v>49</v>
      </c>
      <c r="AA20" s="12">
        <v>20</v>
      </c>
      <c r="AB20" s="12">
        <v>25</v>
      </c>
      <c r="AC20" s="12">
        <v>7</v>
      </c>
      <c r="AD20" s="12">
        <v>32</v>
      </c>
      <c r="AE20" s="12">
        <v>16</v>
      </c>
      <c r="AF20" s="12">
        <v>13</v>
      </c>
    </row>
    <row r="21" spans="1:32" x14ac:dyDescent="0.35">
      <c r="A21" s="19"/>
      <c r="B21" s="13" t="s">
        <v>486</v>
      </c>
      <c r="C21" s="15">
        <v>0.04</v>
      </c>
      <c r="D21" s="15">
        <v>0.02</v>
      </c>
      <c r="E21" s="15">
        <v>7.0000000000000007E-2</v>
      </c>
      <c r="F21" s="15">
        <v>0.02</v>
      </c>
      <c r="G21" s="15">
        <v>0.05</v>
      </c>
      <c r="H21" s="15">
        <v>0.1</v>
      </c>
      <c r="I21" s="15">
        <v>0.09</v>
      </c>
      <c r="J21" s="15">
        <v>0.03</v>
      </c>
      <c r="K21" s="15">
        <v>7.0000000000000007E-2</v>
      </c>
      <c r="L21" s="15">
        <v>0.06</v>
      </c>
      <c r="M21" s="15">
        <v>0.01</v>
      </c>
      <c r="N21" s="15">
        <v>0.04</v>
      </c>
      <c r="O21" s="15">
        <v>0.05</v>
      </c>
      <c r="P21" s="15">
        <v>0.01</v>
      </c>
      <c r="Q21" s="15">
        <v>0.02</v>
      </c>
      <c r="R21" s="15">
        <v>0.03</v>
      </c>
      <c r="S21" s="15">
        <v>0.05</v>
      </c>
      <c r="T21" s="15">
        <v>0.04</v>
      </c>
      <c r="U21" s="15">
        <v>0.02</v>
      </c>
      <c r="V21" s="15">
        <v>0.03</v>
      </c>
      <c r="W21" s="15">
        <v>0.01</v>
      </c>
      <c r="X21" s="15">
        <v>0.04</v>
      </c>
      <c r="Y21" s="15">
        <v>0.04</v>
      </c>
      <c r="Z21" s="15">
        <v>7.0000000000000007E-2</v>
      </c>
      <c r="AA21" s="15">
        <v>0.03</v>
      </c>
      <c r="AB21" s="15">
        <v>0.03</v>
      </c>
      <c r="AC21" s="15">
        <v>0.01</v>
      </c>
      <c r="AD21" s="15">
        <v>0.04</v>
      </c>
      <c r="AE21" s="15">
        <v>0.02</v>
      </c>
      <c r="AF21" s="15">
        <v>0.02</v>
      </c>
    </row>
    <row r="22" spans="1:32" x14ac:dyDescent="0.35">
      <c r="A22" s="19"/>
      <c r="B22" s="11" t="s">
        <v>768</v>
      </c>
      <c r="C22" s="12">
        <v>12836</v>
      </c>
      <c r="D22" s="12">
        <v>582</v>
      </c>
      <c r="E22" s="12">
        <v>429</v>
      </c>
      <c r="F22" s="12">
        <v>515</v>
      </c>
      <c r="G22" s="12">
        <v>616</v>
      </c>
      <c r="H22" s="12">
        <v>469</v>
      </c>
      <c r="I22" s="12">
        <v>592</v>
      </c>
      <c r="J22" s="12">
        <v>122</v>
      </c>
      <c r="K22" s="12">
        <v>480</v>
      </c>
      <c r="L22" s="12">
        <v>540</v>
      </c>
      <c r="M22" s="12">
        <v>478</v>
      </c>
      <c r="N22" s="12">
        <v>571</v>
      </c>
      <c r="O22" s="12">
        <v>409</v>
      </c>
      <c r="P22" s="12">
        <v>573</v>
      </c>
      <c r="Q22" s="12">
        <v>543</v>
      </c>
      <c r="R22" s="12">
        <v>270</v>
      </c>
      <c r="S22" s="12">
        <v>505</v>
      </c>
      <c r="T22" s="12">
        <v>614</v>
      </c>
      <c r="U22" s="12">
        <v>271</v>
      </c>
      <c r="V22" s="12">
        <v>639</v>
      </c>
      <c r="W22" s="12">
        <v>346</v>
      </c>
      <c r="X22" s="12">
        <v>523</v>
      </c>
      <c r="Y22" s="12">
        <v>367</v>
      </c>
      <c r="Z22" s="12">
        <v>476</v>
      </c>
      <c r="AA22" s="12">
        <v>607</v>
      </c>
      <c r="AB22" s="12">
        <v>543</v>
      </c>
      <c r="AC22" s="12">
        <v>486</v>
      </c>
      <c r="AD22" s="12">
        <v>498</v>
      </c>
      <c r="AE22" s="12">
        <v>624</v>
      </c>
      <c r="AF22" s="12">
        <v>673</v>
      </c>
    </row>
    <row r="23" spans="1:32" x14ac:dyDescent="0.35">
      <c r="A23" s="19"/>
      <c r="B23" s="13" t="s">
        <v>769</v>
      </c>
      <c r="C23" s="15">
        <v>0.69000000000000006</v>
      </c>
      <c r="D23" s="15">
        <v>0.74</v>
      </c>
      <c r="E23" s="15">
        <v>0.54</v>
      </c>
      <c r="F23" s="15">
        <v>0.65</v>
      </c>
      <c r="G23" s="15">
        <v>0.71</v>
      </c>
      <c r="H23" s="15">
        <v>0.62</v>
      </c>
      <c r="I23" s="15">
        <v>0.62</v>
      </c>
      <c r="J23" s="15">
        <v>0.61</v>
      </c>
      <c r="K23" s="15">
        <v>0.62</v>
      </c>
      <c r="L23" s="15">
        <v>0.70000000000000007</v>
      </c>
      <c r="M23" s="15">
        <v>0.66</v>
      </c>
      <c r="N23" s="15">
        <v>0.77</v>
      </c>
      <c r="O23" s="15">
        <v>0.63</v>
      </c>
      <c r="P23" s="15">
        <v>0.78</v>
      </c>
      <c r="Q23" s="15">
        <v>0.75</v>
      </c>
      <c r="R23" s="15">
        <v>0.68</v>
      </c>
      <c r="S23" s="15">
        <v>0.68</v>
      </c>
      <c r="T23" s="15">
        <v>0.77</v>
      </c>
      <c r="U23" s="15">
        <v>0.75</v>
      </c>
      <c r="V23" s="15">
        <v>0.78</v>
      </c>
      <c r="W23" s="15">
        <v>0.81</v>
      </c>
      <c r="X23" s="15">
        <v>0.66</v>
      </c>
      <c r="Y23" s="15">
        <v>0.51</v>
      </c>
      <c r="Z23" s="15">
        <v>0.66</v>
      </c>
      <c r="AA23" s="15">
        <v>0.79</v>
      </c>
      <c r="AB23" s="15">
        <v>0.70000000000000007</v>
      </c>
      <c r="AC23" s="15">
        <v>0.71</v>
      </c>
      <c r="AD23" s="15">
        <v>0.65</v>
      </c>
      <c r="AE23" s="15">
        <v>0.76</v>
      </c>
      <c r="AF23" s="15">
        <v>0.81</v>
      </c>
    </row>
    <row r="24" spans="1:32" x14ac:dyDescent="0.35">
      <c r="A24" s="19"/>
      <c r="B24" s="11" t="s">
        <v>770</v>
      </c>
      <c r="C24" s="12">
        <v>4970</v>
      </c>
      <c r="D24" s="12">
        <v>190</v>
      </c>
      <c r="E24" s="12">
        <v>312</v>
      </c>
      <c r="F24" s="12">
        <v>257</v>
      </c>
      <c r="G24" s="12">
        <v>208</v>
      </c>
      <c r="H24" s="12">
        <v>207</v>
      </c>
      <c r="I24" s="12">
        <v>279</v>
      </c>
      <c r="J24" s="12">
        <v>72</v>
      </c>
      <c r="K24" s="12">
        <v>242</v>
      </c>
      <c r="L24" s="12">
        <v>187</v>
      </c>
      <c r="M24" s="12">
        <v>245</v>
      </c>
      <c r="N24" s="12">
        <v>142</v>
      </c>
      <c r="O24" s="12">
        <v>209</v>
      </c>
      <c r="P24" s="12">
        <v>155</v>
      </c>
      <c r="Q24" s="12">
        <v>167</v>
      </c>
      <c r="R24" s="12">
        <v>113</v>
      </c>
      <c r="S24" s="12">
        <v>202</v>
      </c>
      <c r="T24" s="12">
        <v>153</v>
      </c>
      <c r="U24" s="12">
        <v>84</v>
      </c>
      <c r="V24" s="12">
        <v>161</v>
      </c>
      <c r="W24" s="12">
        <v>76</v>
      </c>
      <c r="X24" s="12">
        <v>232</v>
      </c>
      <c r="Y24" s="12">
        <v>322</v>
      </c>
      <c r="Z24" s="12">
        <v>198</v>
      </c>
      <c r="AA24" s="12">
        <v>139</v>
      </c>
      <c r="AB24" s="12">
        <v>206</v>
      </c>
      <c r="AC24" s="12">
        <v>191</v>
      </c>
      <c r="AD24" s="12">
        <v>237</v>
      </c>
      <c r="AE24" s="12">
        <v>178</v>
      </c>
      <c r="AF24" s="12">
        <v>143</v>
      </c>
    </row>
    <row r="25" spans="1:32" x14ac:dyDescent="0.35">
      <c r="A25" s="19"/>
      <c r="B25" s="13" t="s">
        <v>771</v>
      </c>
      <c r="C25" s="15">
        <v>0.27</v>
      </c>
      <c r="D25" s="15">
        <v>0.24</v>
      </c>
      <c r="E25" s="15">
        <v>0.39</v>
      </c>
      <c r="F25" s="15">
        <v>0.33</v>
      </c>
      <c r="G25" s="15">
        <v>0.24</v>
      </c>
      <c r="H25" s="15">
        <v>0.28000000000000003</v>
      </c>
      <c r="I25" s="15">
        <v>0.28999999999999998</v>
      </c>
      <c r="J25" s="15">
        <v>0.36</v>
      </c>
      <c r="K25" s="15">
        <v>0.31</v>
      </c>
      <c r="L25" s="15">
        <v>0.24</v>
      </c>
      <c r="M25" s="15">
        <v>0.33</v>
      </c>
      <c r="N25" s="15">
        <v>0.19</v>
      </c>
      <c r="O25" s="15">
        <v>0.32</v>
      </c>
      <c r="P25" s="15">
        <v>0.21</v>
      </c>
      <c r="Q25" s="15">
        <v>0.23</v>
      </c>
      <c r="R25" s="15">
        <v>0.28999999999999998</v>
      </c>
      <c r="S25" s="15">
        <v>0.27</v>
      </c>
      <c r="T25" s="15">
        <v>0.19</v>
      </c>
      <c r="U25" s="15">
        <v>0.23</v>
      </c>
      <c r="V25" s="15">
        <v>0.19</v>
      </c>
      <c r="W25" s="15">
        <v>0.18</v>
      </c>
      <c r="X25" s="15">
        <v>0.3</v>
      </c>
      <c r="Y25" s="15">
        <v>0.45</v>
      </c>
      <c r="Z25" s="15">
        <v>0.27</v>
      </c>
      <c r="AA25" s="15">
        <v>0.18</v>
      </c>
      <c r="AB25" s="15">
        <v>0.27</v>
      </c>
      <c r="AC25" s="15">
        <v>0.28000000000000003</v>
      </c>
      <c r="AD25" s="15">
        <v>0.31</v>
      </c>
      <c r="AE25" s="15">
        <v>0.22</v>
      </c>
      <c r="AF25" s="15">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1383</v>
      </c>
      <c r="C3" s="18"/>
      <c r="D3" s="18"/>
      <c r="E3" s="18"/>
      <c r="F3" s="18"/>
      <c r="H3" s="18" t="s">
        <v>1384</v>
      </c>
      <c r="I3" s="18"/>
      <c r="J3" s="18"/>
      <c r="K3" s="18"/>
      <c r="L3" s="18"/>
    </row>
    <row r="4" spans="1:32" ht="27" customHeight="1" x14ac:dyDescent="0.35">
      <c r="B4" s="18" t="s">
        <v>1371</v>
      </c>
      <c r="C4" s="18"/>
      <c r="D4" s="18"/>
      <c r="E4" s="18"/>
      <c r="F4" s="18"/>
      <c r="H4" s="18" t="s">
        <v>1372</v>
      </c>
      <c r="I4" s="18"/>
      <c r="J4" s="18"/>
      <c r="K4" s="18"/>
      <c r="L4" s="18"/>
    </row>
    <row r="5" spans="1:32" ht="24" customHeight="1" x14ac:dyDescent="0.35">
      <c r="B5" s="18" t="s">
        <v>1379</v>
      </c>
      <c r="C5" s="18"/>
      <c r="D5" s="18"/>
      <c r="E5" s="18"/>
      <c r="F5" s="18"/>
      <c r="H5" s="18" t="s">
        <v>1380</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4568</v>
      </c>
      <c r="D12" s="12">
        <v>166</v>
      </c>
      <c r="E12" s="12">
        <v>214</v>
      </c>
      <c r="F12" s="12">
        <v>148</v>
      </c>
      <c r="G12" s="12">
        <v>277</v>
      </c>
      <c r="H12" s="12">
        <v>192</v>
      </c>
      <c r="I12" s="12">
        <v>244</v>
      </c>
      <c r="J12" s="12">
        <v>53</v>
      </c>
      <c r="K12" s="12">
        <v>105</v>
      </c>
      <c r="L12" s="12">
        <v>258</v>
      </c>
      <c r="M12" s="12">
        <v>208</v>
      </c>
      <c r="N12" s="12">
        <v>211</v>
      </c>
      <c r="O12" s="12">
        <v>116</v>
      </c>
      <c r="P12" s="12">
        <v>202</v>
      </c>
      <c r="Q12" s="12">
        <v>137</v>
      </c>
      <c r="R12" s="12">
        <v>74</v>
      </c>
      <c r="S12" s="12">
        <v>242</v>
      </c>
      <c r="T12" s="12">
        <v>185</v>
      </c>
      <c r="U12" s="12">
        <v>74</v>
      </c>
      <c r="V12" s="12">
        <v>241</v>
      </c>
      <c r="W12" s="12">
        <v>110</v>
      </c>
      <c r="X12" s="12">
        <v>191</v>
      </c>
      <c r="Y12" s="12">
        <v>329</v>
      </c>
      <c r="Z12" s="12">
        <v>173</v>
      </c>
      <c r="AA12" s="12">
        <v>106</v>
      </c>
      <c r="AB12" s="12">
        <v>182</v>
      </c>
      <c r="AC12" s="12">
        <v>194</v>
      </c>
      <c r="AD12" s="12">
        <v>176</v>
      </c>
      <c r="AE12" s="12">
        <v>311</v>
      </c>
      <c r="AF12" s="12">
        <v>362</v>
      </c>
    </row>
    <row r="13" spans="1:32" x14ac:dyDescent="0.35">
      <c r="A13" s="19"/>
      <c r="B13" s="13" t="s">
        <v>761</v>
      </c>
      <c r="C13" s="15">
        <v>0.25</v>
      </c>
      <c r="D13" s="15">
        <v>0.21</v>
      </c>
      <c r="E13" s="15">
        <v>0.27</v>
      </c>
      <c r="F13" s="15">
        <v>0.19</v>
      </c>
      <c r="G13" s="15">
        <v>0.32</v>
      </c>
      <c r="H13" s="15">
        <v>0.25</v>
      </c>
      <c r="I13" s="15">
        <v>0.26</v>
      </c>
      <c r="J13" s="15">
        <v>0.26</v>
      </c>
      <c r="K13" s="15">
        <v>0.14000000000000001</v>
      </c>
      <c r="L13" s="15">
        <v>0.34</v>
      </c>
      <c r="M13" s="15">
        <v>0.28000000000000003</v>
      </c>
      <c r="N13" s="15">
        <v>0.28000000000000003</v>
      </c>
      <c r="O13" s="15">
        <v>0.18</v>
      </c>
      <c r="P13" s="15">
        <v>0.28000000000000003</v>
      </c>
      <c r="Q13" s="15">
        <v>0.19</v>
      </c>
      <c r="R13" s="15">
        <v>0.19</v>
      </c>
      <c r="S13" s="15">
        <v>0.33</v>
      </c>
      <c r="T13" s="15">
        <v>0.23</v>
      </c>
      <c r="U13" s="15">
        <v>0.21</v>
      </c>
      <c r="V13" s="15">
        <v>0.28999999999999998</v>
      </c>
      <c r="W13" s="15">
        <v>0.26</v>
      </c>
      <c r="X13" s="15">
        <v>0.24</v>
      </c>
      <c r="Y13" s="15">
        <v>0.46</v>
      </c>
      <c r="Z13" s="15">
        <v>0.24</v>
      </c>
      <c r="AA13" s="15">
        <v>0.14000000000000001</v>
      </c>
      <c r="AB13" s="15">
        <v>0.23</v>
      </c>
      <c r="AC13" s="15">
        <v>0.28000000000000003</v>
      </c>
      <c r="AD13" s="15">
        <v>0.23</v>
      </c>
      <c r="AE13" s="15">
        <v>0.38</v>
      </c>
      <c r="AF13" s="15">
        <v>0.44</v>
      </c>
    </row>
    <row r="14" spans="1:32" x14ac:dyDescent="0.35">
      <c r="A14" s="19"/>
      <c r="B14" s="11" t="s">
        <v>762</v>
      </c>
      <c r="C14" s="12">
        <v>10184</v>
      </c>
      <c r="D14" s="12">
        <v>435</v>
      </c>
      <c r="E14" s="12">
        <v>301</v>
      </c>
      <c r="F14" s="12">
        <v>414</v>
      </c>
      <c r="G14" s="12">
        <v>429</v>
      </c>
      <c r="H14" s="12">
        <v>409</v>
      </c>
      <c r="I14" s="12">
        <v>512</v>
      </c>
      <c r="J14" s="12">
        <v>103</v>
      </c>
      <c r="K14" s="12">
        <v>432</v>
      </c>
      <c r="L14" s="12">
        <v>430</v>
      </c>
      <c r="M14" s="12">
        <v>389</v>
      </c>
      <c r="N14" s="12">
        <v>400</v>
      </c>
      <c r="O14" s="12">
        <v>335</v>
      </c>
      <c r="P14" s="12">
        <v>406</v>
      </c>
      <c r="Q14" s="12">
        <v>445</v>
      </c>
      <c r="R14" s="12">
        <v>241</v>
      </c>
      <c r="S14" s="12">
        <v>379</v>
      </c>
      <c r="T14" s="12">
        <v>436</v>
      </c>
      <c r="U14" s="12">
        <v>194</v>
      </c>
      <c r="V14" s="12">
        <v>442</v>
      </c>
      <c r="W14" s="12">
        <v>282</v>
      </c>
      <c r="X14" s="12">
        <v>468</v>
      </c>
      <c r="Y14" s="12">
        <v>266</v>
      </c>
      <c r="Z14" s="12">
        <v>466</v>
      </c>
      <c r="AA14" s="12">
        <v>344</v>
      </c>
      <c r="AB14" s="12">
        <v>402</v>
      </c>
      <c r="AC14" s="12">
        <v>333</v>
      </c>
      <c r="AD14" s="12">
        <v>466</v>
      </c>
      <c r="AE14" s="12">
        <v>424</v>
      </c>
      <c r="AF14" s="12">
        <v>391</v>
      </c>
    </row>
    <row r="15" spans="1:32" x14ac:dyDescent="0.35">
      <c r="A15" s="19"/>
      <c r="B15" s="13" t="s">
        <v>763</v>
      </c>
      <c r="C15" s="15">
        <v>0.55000000000000004</v>
      </c>
      <c r="D15" s="15">
        <v>0.55000000000000004</v>
      </c>
      <c r="E15" s="15">
        <v>0.38</v>
      </c>
      <c r="F15" s="15">
        <v>0.52</v>
      </c>
      <c r="G15" s="15">
        <v>0.5</v>
      </c>
      <c r="H15" s="15">
        <v>0.54</v>
      </c>
      <c r="I15" s="15">
        <v>0.53</v>
      </c>
      <c r="J15" s="15">
        <v>0.51</v>
      </c>
      <c r="K15" s="15">
        <v>0.56000000000000005</v>
      </c>
      <c r="L15" s="15">
        <v>0.56000000000000005</v>
      </c>
      <c r="M15" s="15">
        <v>0.53</v>
      </c>
      <c r="N15" s="15">
        <v>0.54</v>
      </c>
      <c r="O15" s="15">
        <v>0.52</v>
      </c>
      <c r="P15" s="15">
        <v>0.55000000000000004</v>
      </c>
      <c r="Q15" s="15">
        <v>0.62</v>
      </c>
      <c r="R15" s="15">
        <v>0.61</v>
      </c>
      <c r="S15" s="15">
        <v>0.51</v>
      </c>
      <c r="T15" s="15">
        <v>0.55000000000000004</v>
      </c>
      <c r="U15" s="15">
        <v>0.53</v>
      </c>
      <c r="V15" s="15">
        <v>0.54</v>
      </c>
      <c r="W15" s="15">
        <v>0.66</v>
      </c>
      <c r="X15" s="15">
        <v>0.6</v>
      </c>
      <c r="Y15" s="15">
        <v>0.37</v>
      </c>
      <c r="Z15" s="15">
        <v>0.64</v>
      </c>
      <c r="AA15" s="15">
        <v>0.45</v>
      </c>
      <c r="AB15" s="15">
        <v>0.52</v>
      </c>
      <c r="AC15" s="15">
        <v>0.49</v>
      </c>
      <c r="AD15" s="15">
        <v>0.61</v>
      </c>
      <c r="AE15" s="15">
        <v>0.52</v>
      </c>
      <c r="AF15" s="15">
        <v>0.47</v>
      </c>
    </row>
    <row r="16" spans="1:32" x14ac:dyDescent="0.35">
      <c r="A16" s="19"/>
      <c r="B16" s="11" t="s">
        <v>764</v>
      </c>
      <c r="C16" s="12">
        <v>2679</v>
      </c>
      <c r="D16" s="12">
        <v>146</v>
      </c>
      <c r="E16" s="12">
        <v>193</v>
      </c>
      <c r="F16" s="12">
        <v>175</v>
      </c>
      <c r="G16" s="12">
        <v>81</v>
      </c>
      <c r="H16" s="12">
        <v>91</v>
      </c>
      <c r="I16" s="12">
        <v>128</v>
      </c>
      <c r="J16" s="12">
        <v>37</v>
      </c>
      <c r="K16" s="12">
        <v>147</v>
      </c>
      <c r="L16" s="12">
        <v>56</v>
      </c>
      <c r="M16" s="12">
        <v>101</v>
      </c>
      <c r="N16" s="12">
        <v>82</v>
      </c>
      <c r="O16" s="12">
        <v>118</v>
      </c>
      <c r="P16" s="12">
        <v>100</v>
      </c>
      <c r="Q16" s="12">
        <v>106</v>
      </c>
      <c r="R16" s="12">
        <v>48</v>
      </c>
      <c r="S16" s="12">
        <v>70</v>
      </c>
      <c r="T16" s="12">
        <v>125</v>
      </c>
      <c r="U16" s="12">
        <v>61</v>
      </c>
      <c r="V16" s="12">
        <v>97</v>
      </c>
      <c r="W16" s="12">
        <v>29</v>
      </c>
      <c r="X16" s="12">
        <v>92</v>
      </c>
      <c r="Y16" s="12">
        <v>86</v>
      </c>
      <c r="Z16" s="12">
        <v>62</v>
      </c>
      <c r="AA16" s="12">
        <v>285</v>
      </c>
      <c r="AB16" s="12">
        <v>137</v>
      </c>
      <c r="AC16" s="12">
        <v>112</v>
      </c>
      <c r="AD16" s="12">
        <v>90</v>
      </c>
      <c r="AE16" s="12">
        <v>61</v>
      </c>
      <c r="AF16" s="12">
        <v>58</v>
      </c>
    </row>
    <row r="17" spans="1:32" x14ac:dyDescent="0.35">
      <c r="A17" s="19"/>
      <c r="B17" s="13" t="s">
        <v>765</v>
      </c>
      <c r="C17" s="15">
        <v>0.14000000000000001</v>
      </c>
      <c r="D17" s="15">
        <v>0.18</v>
      </c>
      <c r="E17" s="15">
        <v>0.24</v>
      </c>
      <c r="F17" s="15">
        <v>0.22</v>
      </c>
      <c r="G17" s="15">
        <v>0.09</v>
      </c>
      <c r="H17" s="15">
        <v>0.12</v>
      </c>
      <c r="I17" s="15">
        <v>0.13</v>
      </c>
      <c r="J17" s="15">
        <v>0.19</v>
      </c>
      <c r="K17" s="15">
        <v>0.19</v>
      </c>
      <c r="L17" s="15">
        <v>7.0000000000000007E-2</v>
      </c>
      <c r="M17" s="15">
        <v>0.14000000000000001</v>
      </c>
      <c r="N17" s="15">
        <v>0.11</v>
      </c>
      <c r="O17" s="15">
        <v>0.18</v>
      </c>
      <c r="P17" s="15">
        <v>0.14000000000000001</v>
      </c>
      <c r="Q17" s="15">
        <v>0.15</v>
      </c>
      <c r="R17" s="15">
        <v>0.12</v>
      </c>
      <c r="S17" s="15">
        <v>0.09</v>
      </c>
      <c r="T17" s="15">
        <v>0.16</v>
      </c>
      <c r="U17" s="15">
        <v>0.17</v>
      </c>
      <c r="V17" s="15">
        <v>0.12</v>
      </c>
      <c r="W17" s="15">
        <v>7.0000000000000007E-2</v>
      </c>
      <c r="X17" s="15">
        <v>0.12</v>
      </c>
      <c r="Y17" s="15">
        <v>0.12</v>
      </c>
      <c r="Z17" s="15">
        <v>0.09</v>
      </c>
      <c r="AA17" s="15">
        <v>0.37</v>
      </c>
      <c r="AB17" s="15">
        <v>0.18</v>
      </c>
      <c r="AC17" s="15">
        <v>0.16</v>
      </c>
      <c r="AD17" s="15">
        <v>0.12</v>
      </c>
      <c r="AE17" s="15">
        <v>7.0000000000000007E-2</v>
      </c>
      <c r="AF17" s="15">
        <v>7.0000000000000007E-2</v>
      </c>
    </row>
    <row r="18" spans="1:32" x14ac:dyDescent="0.35">
      <c r="A18" s="19"/>
      <c r="B18" s="11" t="s">
        <v>766</v>
      </c>
      <c r="C18" s="12">
        <v>638</v>
      </c>
      <c r="D18" s="12">
        <v>30</v>
      </c>
      <c r="E18" s="12">
        <v>47</v>
      </c>
      <c r="F18" s="12">
        <v>29</v>
      </c>
      <c r="G18" s="12">
        <v>21</v>
      </c>
      <c r="H18" s="12">
        <v>7</v>
      </c>
      <c r="I18" s="12">
        <v>9</v>
      </c>
      <c r="J18" s="12">
        <v>2</v>
      </c>
      <c r="K18" s="12">
        <v>47</v>
      </c>
      <c r="L18" s="12">
        <v>3</v>
      </c>
      <c r="M18" s="12">
        <v>33</v>
      </c>
      <c r="N18" s="12">
        <v>34</v>
      </c>
      <c r="O18" s="12">
        <v>52</v>
      </c>
      <c r="P18" s="12">
        <v>17</v>
      </c>
      <c r="Q18" s="12">
        <v>23</v>
      </c>
      <c r="R18" s="12">
        <v>26</v>
      </c>
      <c r="S18" s="12">
        <v>22</v>
      </c>
      <c r="T18" s="12">
        <v>29</v>
      </c>
      <c r="U18" s="12">
        <v>22</v>
      </c>
      <c r="V18" s="12">
        <v>31</v>
      </c>
      <c r="W18" s="12">
        <v>4</v>
      </c>
      <c r="X18" s="12">
        <v>11</v>
      </c>
      <c r="Y18" s="12">
        <v>30</v>
      </c>
      <c r="Z18" s="12">
        <v>8</v>
      </c>
      <c r="AA18" s="12">
        <v>17</v>
      </c>
      <c r="AB18" s="12">
        <v>28</v>
      </c>
      <c r="AC18" s="12">
        <v>33</v>
      </c>
      <c r="AD18" s="12">
        <v>23</v>
      </c>
      <c r="AE18" s="12">
        <v>8</v>
      </c>
      <c r="AF18" s="12">
        <v>12</v>
      </c>
    </row>
    <row r="19" spans="1:32" x14ac:dyDescent="0.35">
      <c r="A19" s="19"/>
      <c r="B19" s="13" t="s">
        <v>767</v>
      </c>
      <c r="C19" s="15">
        <v>0.03</v>
      </c>
      <c r="D19" s="15">
        <v>0.04</v>
      </c>
      <c r="E19" s="15">
        <v>0.06</v>
      </c>
      <c r="F19" s="15">
        <v>0.04</v>
      </c>
      <c r="G19" s="15">
        <v>0.03</v>
      </c>
      <c r="H19" s="15">
        <v>0.01</v>
      </c>
      <c r="I19" s="15">
        <v>0.01</v>
      </c>
      <c r="J19" s="15">
        <v>0.01</v>
      </c>
      <c r="K19" s="15">
        <v>0.06</v>
      </c>
      <c r="L19" s="14" t="s">
        <v>475</v>
      </c>
      <c r="M19" s="15">
        <v>0.05</v>
      </c>
      <c r="N19" s="15">
        <v>0.05</v>
      </c>
      <c r="O19" s="15">
        <v>0.08</v>
      </c>
      <c r="P19" s="15">
        <v>0.02</v>
      </c>
      <c r="Q19" s="15">
        <v>0.03</v>
      </c>
      <c r="R19" s="15">
        <v>0.06</v>
      </c>
      <c r="S19" s="15">
        <v>0.03</v>
      </c>
      <c r="T19" s="15">
        <v>0.04</v>
      </c>
      <c r="U19" s="15">
        <v>0.06</v>
      </c>
      <c r="V19" s="15">
        <v>0.04</v>
      </c>
      <c r="W19" s="15">
        <v>0.01</v>
      </c>
      <c r="X19" s="15">
        <v>0.01</v>
      </c>
      <c r="Y19" s="15">
        <v>0.04</v>
      </c>
      <c r="Z19" s="15">
        <v>0.01</v>
      </c>
      <c r="AA19" s="15">
        <v>0.02</v>
      </c>
      <c r="AB19" s="15">
        <v>0.04</v>
      </c>
      <c r="AC19" s="15">
        <v>0.05</v>
      </c>
      <c r="AD19" s="15">
        <v>0.03</v>
      </c>
      <c r="AE19" s="15">
        <v>0.01</v>
      </c>
      <c r="AF19" s="15">
        <v>0.01</v>
      </c>
    </row>
    <row r="20" spans="1:32" x14ac:dyDescent="0.35">
      <c r="A20" s="19"/>
      <c r="B20" s="11" t="s">
        <v>485</v>
      </c>
      <c r="C20" s="12">
        <v>574</v>
      </c>
      <c r="D20" s="12">
        <v>14</v>
      </c>
      <c r="E20" s="12">
        <v>44</v>
      </c>
      <c r="F20" s="12">
        <v>26</v>
      </c>
      <c r="G20" s="12">
        <v>55</v>
      </c>
      <c r="H20" s="12">
        <v>58</v>
      </c>
      <c r="I20" s="12">
        <v>64</v>
      </c>
      <c r="J20" s="12">
        <v>6</v>
      </c>
      <c r="K20" s="12">
        <v>42</v>
      </c>
      <c r="L20" s="12">
        <v>22</v>
      </c>
      <c r="M20" s="12">
        <v>3</v>
      </c>
      <c r="N20" s="12">
        <v>15</v>
      </c>
      <c r="O20" s="12">
        <v>26</v>
      </c>
      <c r="P20" s="12">
        <v>9</v>
      </c>
      <c r="Q20" s="12">
        <v>8</v>
      </c>
      <c r="R20" s="12">
        <v>8</v>
      </c>
      <c r="S20" s="12">
        <v>29</v>
      </c>
      <c r="T20" s="12">
        <v>19</v>
      </c>
      <c r="U20" s="12">
        <v>12</v>
      </c>
      <c r="V20" s="12">
        <v>10</v>
      </c>
      <c r="W20" s="12">
        <v>2</v>
      </c>
      <c r="X20" s="12">
        <v>23</v>
      </c>
      <c r="Y20" s="12">
        <v>10</v>
      </c>
      <c r="Z20" s="12">
        <v>14</v>
      </c>
      <c r="AA20" s="12">
        <v>15</v>
      </c>
      <c r="AB20" s="12">
        <v>25</v>
      </c>
      <c r="AC20" s="12">
        <v>13</v>
      </c>
      <c r="AD20" s="12">
        <v>12</v>
      </c>
      <c r="AE20" s="12">
        <v>14</v>
      </c>
      <c r="AF20" s="12">
        <v>7</v>
      </c>
    </row>
    <row r="21" spans="1:32" x14ac:dyDescent="0.35">
      <c r="A21" s="19"/>
      <c r="B21" s="13" t="s">
        <v>486</v>
      </c>
      <c r="C21" s="15">
        <v>0.03</v>
      </c>
      <c r="D21" s="15">
        <v>0.02</v>
      </c>
      <c r="E21" s="15">
        <v>0.05</v>
      </c>
      <c r="F21" s="15">
        <v>0.03</v>
      </c>
      <c r="G21" s="15">
        <v>0.06</v>
      </c>
      <c r="H21" s="15">
        <v>0.08</v>
      </c>
      <c r="I21" s="15">
        <v>7.0000000000000007E-2</v>
      </c>
      <c r="J21" s="15">
        <v>0.03</v>
      </c>
      <c r="K21" s="15">
        <v>0.05</v>
      </c>
      <c r="L21" s="15">
        <v>0.03</v>
      </c>
      <c r="M21" s="14" t="s">
        <v>475</v>
      </c>
      <c r="N21" s="15">
        <v>0.02</v>
      </c>
      <c r="O21" s="15">
        <v>0.04</v>
      </c>
      <c r="P21" s="15">
        <v>0.01</v>
      </c>
      <c r="Q21" s="15">
        <v>0.01</v>
      </c>
      <c r="R21" s="15">
        <v>0.02</v>
      </c>
      <c r="S21" s="15">
        <v>0.04</v>
      </c>
      <c r="T21" s="15">
        <v>0.02</v>
      </c>
      <c r="U21" s="15">
        <v>0.03</v>
      </c>
      <c r="V21" s="15">
        <v>0.01</v>
      </c>
      <c r="W21" s="14" t="s">
        <v>475</v>
      </c>
      <c r="X21" s="15">
        <v>0.03</v>
      </c>
      <c r="Y21" s="15">
        <v>0.01</v>
      </c>
      <c r="Z21" s="15">
        <v>0.02</v>
      </c>
      <c r="AA21" s="15">
        <v>0.02</v>
      </c>
      <c r="AB21" s="15">
        <v>0.03</v>
      </c>
      <c r="AC21" s="15">
        <v>0.02</v>
      </c>
      <c r="AD21" s="15">
        <v>0.01</v>
      </c>
      <c r="AE21" s="15">
        <v>0.02</v>
      </c>
      <c r="AF21" s="15">
        <v>0.01</v>
      </c>
    </row>
    <row r="22" spans="1:32" x14ac:dyDescent="0.35">
      <c r="A22" s="19"/>
      <c r="B22" s="11" t="s">
        <v>768</v>
      </c>
      <c r="C22" s="12">
        <v>14752</v>
      </c>
      <c r="D22" s="12">
        <v>601</v>
      </c>
      <c r="E22" s="12">
        <v>515</v>
      </c>
      <c r="F22" s="12">
        <v>562</v>
      </c>
      <c r="G22" s="12">
        <v>706</v>
      </c>
      <c r="H22" s="12">
        <v>601</v>
      </c>
      <c r="I22" s="12">
        <v>756</v>
      </c>
      <c r="J22" s="12">
        <v>156</v>
      </c>
      <c r="K22" s="12">
        <v>537</v>
      </c>
      <c r="L22" s="12">
        <v>688</v>
      </c>
      <c r="M22" s="12">
        <v>597</v>
      </c>
      <c r="N22" s="12">
        <v>611</v>
      </c>
      <c r="O22" s="12">
        <v>451</v>
      </c>
      <c r="P22" s="12">
        <v>608</v>
      </c>
      <c r="Q22" s="12">
        <v>582</v>
      </c>
      <c r="R22" s="12">
        <v>315</v>
      </c>
      <c r="S22" s="12">
        <v>621</v>
      </c>
      <c r="T22" s="12">
        <v>621</v>
      </c>
      <c r="U22" s="12">
        <v>268</v>
      </c>
      <c r="V22" s="12">
        <v>683</v>
      </c>
      <c r="W22" s="12">
        <v>392</v>
      </c>
      <c r="X22" s="12">
        <v>659</v>
      </c>
      <c r="Y22" s="12">
        <v>595</v>
      </c>
      <c r="Z22" s="12">
        <v>639</v>
      </c>
      <c r="AA22" s="12">
        <v>450</v>
      </c>
      <c r="AB22" s="12">
        <v>584</v>
      </c>
      <c r="AC22" s="12">
        <v>527</v>
      </c>
      <c r="AD22" s="12">
        <v>642</v>
      </c>
      <c r="AE22" s="12">
        <v>735</v>
      </c>
      <c r="AF22" s="12">
        <v>753</v>
      </c>
    </row>
    <row r="23" spans="1:32" x14ac:dyDescent="0.35">
      <c r="A23" s="19"/>
      <c r="B23" s="13" t="s">
        <v>769</v>
      </c>
      <c r="C23" s="15">
        <v>0.8</v>
      </c>
      <c r="D23" s="15">
        <v>0.76</v>
      </c>
      <c r="E23" s="15">
        <v>0.65</v>
      </c>
      <c r="F23" s="15">
        <v>0.71</v>
      </c>
      <c r="G23" s="15">
        <v>0.82000000000000006</v>
      </c>
      <c r="H23" s="15">
        <v>0.79</v>
      </c>
      <c r="I23" s="15">
        <v>0.79</v>
      </c>
      <c r="J23" s="15">
        <v>0.77</v>
      </c>
      <c r="K23" s="15">
        <v>0.70000000000000007</v>
      </c>
      <c r="L23" s="15">
        <v>0.9</v>
      </c>
      <c r="M23" s="15">
        <v>0.81</v>
      </c>
      <c r="N23" s="15">
        <v>0.82000000000000006</v>
      </c>
      <c r="O23" s="15">
        <v>0.70000000000000007</v>
      </c>
      <c r="P23" s="15">
        <v>0.83000000000000007</v>
      </c>
      <c r="Q23" s="15">
        <v>0.81</v>
      </c>
      <c r="R23" s="15">
        <v>0.8</v>
      </c>
      <c r="S23" s="15">
        <v>0.84</v>
      </c>
      <c r="T23" s="15">
        <v>0.78</v>
      </c>
      <c r="U23" s="15">
        <v>0.74</v>
      </c>
      <c r="V23" s="15">
        <v>0.83000000000000007</v>
      </c>
      <c r="W23" s="15">
        <v>0.92</v>
      </c>
      <c r="X23" s="15">
        <v>0.84</v>
      </c>
      <c r="Y23" s="15">
        <v>0.83000000000000007</v>
      </c>
      <c r="Z23" s="15">
        <v>0.88</v>
      </c>
      <c r="AA23" s="15">
        <v>0.59</v>
      </c>
      <c r="AB23" s="15">
        <v>0.75</v>
      </c>
      <c r="AC23" s="15">
        <v>0.77</v>
      </c>
      <c r="AD23" s="15">
        <v>0.84</v>
      </c>
      <c r="AE23" s="15">
        <v>0.9</v>
      </c>
      <c r="AF23" s="15">
        <v>0.91</v>
      </c>
    </row>
    <row r="24" spans="1:32" x14ac:dyDescent="0.35">
      <c r="A24" s="19"/>
      <c r="B24" s="11" t="s">
        <v>770</v>
      </c>
      <c r="C24" s="12">
        <v>3317</v>
      </c>
      <c r="D24" s="12">
        <v>176</v>
      </c>
      <c r="E24" s="12">
        <v>240</v>
      </c>
      <c r="F24" s="12">
        <v>204</v>
      </c>
      <c r="G24" s="12">
        <v>102</v>
      </c>
      <c r="H24" s="12">
        <v>98</v>
      </c>
      <c r="I24" s="12">
        <v>137</v>
      </c>
      <c r="J24" s="12">
        <v>39</v>
      </c>
      <c r="K24" s="12">
        <v>194</v>
      </c>
      <c r="L24" s="12">
        <v>59</v>
      </c>
      <c r="M24" s="12">
        <v>134</v>
      </c>
      <c r="N24" s="12">
        <v>116</v>
      </c>
      <c r="O24" s="12">
        <v>170</v>
      </c>
      <c r="P24" s="12">
        <v>117</v>
      </c>
      <c r="Q24" s="12">
        <v>129</v>
      </c>
      <c r="R24" s="12">
        <v>74</v>
      </c>
      <c r="S24" s="12">
        <v>92</v>
      </c>
      <c r="T24" s="12">
        <v>154</v>
      </c>
      <c r="U24" s="12">
        <v>83</v>
      </c>
      <c r="V24" s="12">
        <v>128</v>
      </c>
      <c r="W24" s="12">
        <v>33</v>
      </c>
      <c r="X24" s="12">
        <v>103</v>
      </c>
      <c r="Y24" s="12">
        <v>116</v>
      </c>
      <c r="Z24" s="12">
        <v>70</v>
      </c>
      <c r="AA24" s="12">
        <v>302</v>
      </c>
      <c r="AB24" s="12">
        <v>165</v>
      </c>
      <c r="AC24" s="12">
        <v>145</v>
      </c>
      <c r="AD24" s="12">
        <v>113</v>
      </c>
      <c r="AE24" s="12">
        <v>69</v>
      </c>
      <c r="AF24" s="12">
        <v>70</v>
      </c>
    </row>
    <row r="25" spans="1:32" x14ac:dyDescent="0.35">
      <c r="A25" s="19"/>
      <c r="B25" s="13" t="s">
        <v>771</v>
      </c>
      <c r="C25" s="15">
        <v>0.17</v>
      </c>
      <c r="D25" s="15">
        <v>0.22</v>
      </c>
      <c r="E25" s="15">
        <v>0.3</v>
      </c>
      <c r="F25" s="15">
        <v>0.26</v>
      </c>
      <c r="G25" s="15">
        <v>0.12</v>
      </c>
      <c r="H25" s="15">
        <v>0.13</v>
      </c>
      <c r="I25" s="15">
        <v>0.14000000000000001</v>
      </c>
      <c r="J25" s="15">
        <v>0.2</v>
      </c>
      <c r="K25" s="15">
        <v>0.25</v>
      </c>
      <c r="L25" s="15">
        <v>7.0000000000000007E-2</v>
      </c>
      <c r="M25" s="15">
        <v>0.19</v>
      </c>
      <c r="N25" s="15">
        <v>0.16</v>
      </c>
      <c r="O25" s="15">
        <v>0.26</v>
      </c>
      <c r="P25" s="15">
        <v>0.16</v>
      </c>
      <c r="Q25" s="15">
        <v>0.18</v>
      </c>
      <c r="R25" s="15">
        <v>0.18</v>
      </c>
      <c r="S25" s="15">
        <v>0.12</v>
      </c>
      <c r="T25" s="15">
        <v>0.2</v>
      </c>
      <c r="U25" s="15">
        <v>0.23</v>
      </c>
      <c r="V25" s="15">
        <v>0.16</v>
      </c>
      <c r="W25" s="15">
        <v>0.08</v>
      </c>
      <c r="X25" s="15">
        <v>0.13</v>
      </c>
      <c r="Y25" s="15">
        <v>0.16</v>
      </c>
      <c r="Z25" s="15">
        <v>0.1</v>
      </c>
      <c r="AA25" s="15">
        <v>0.39</v>
      </c>
      <c r="AB25" s="15">
        <v>0.22</v>
      </c>
      <c r="AC25" s="15">
        <v>0.21</v>
      </c>
      <c r="AD25" s="15">
        <v>0.15</v>
      </c>
      <c r="AE25" s="15">
        <v>0.08</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48" customHeight="1" x14ac:dyDescent="0.35">
      <c r="B3" s="18" t="s">
        <v>1385</v>
      </c>
      <c r="C3" s="18"/>
      <c r="D3" s="18"/>
      <c r="E3" s="18"/>
      <c r="F3" s="18"/>
      <c r="H3" s="18" t="s">
        <v>1386</v>
      </c>
      <c r="I3" s="18"/>
      <c r="J3" s="18"/>
      <c r="K3" s="18"/>
      <c r="L3" s="18"/>
    </row>
    <row r="4" spans="1:32" ht="27" customHeight="1" x14ac:dyDescent="0.35">
      <c r="B4" s="18" t="s">
        <v>1375</v>
      </c>
      <c r="C4" s="18"/>
      <c r="D4" s="18"/>
      <c r="E4" s="18"/>
      <c r="F4" s="18"/>
      <c r="H4" s="18" t="s">
        <v>1376</v>
      </c>
      <c r="I4" s="18"/>
      <c r="J4" s="18"/>
      <c r="K4" s="18"/>
      <c r="L4" s="18"/>
    </row>
    <row r="5" spans="1:32" ht="24" customHeight="1" x14ac:dyDescent="0.35">
      <c r="B5" s="18" t="s">
        <v>1379</v>
      </c>
      <c r="C5" s="18"/>
      <c r="D5" s="18"/>
      <c r="E5" s="18"/>
      <c r="F5" s="18"/>
      <c r="H5" s="18" t="s">
        <v>1380</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HYPERLINK("#Content!A167","&lt;&lt;Back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19"/>
      <c r="B12" s="11" t="s">
        <v>760</v>
      </c>
      <c r="C12" s="12">
        <v>3957</v>
      </c>
      <c r="D12" s="12">
        <v>137</v>
      </c>
      <c r="E12" s="12">
        <v>276</v>
      </c>
      <c r="F12" s="12">
        <v>154</v>
      </c>
      <c r="G12" s="12">
        <v>157</v>
      </c>
      <c r="H12" s="12">
        <v>137</v>
      </c>
      <c r="I12" s="12">
        <v>170</v>
      </c>
      <c r="J12" s="12">
        <v>33</v>
      </c>
      <c r="K12" s="12">
        <v>127</v>
      </c>
      <c r="L12" s="12">
        <v>189</v>
      </c>
      <c r="M12" s="12">
        <v>238</v>
      </c>
      <c r="N12" s="12">
        <v>170</v>
      </c>
      <c r="O12" s="12">
        <v>138</v>
      </c>
      <c r="P12" s="12">
        <v>183</v>
      </c>
      <c r="Q12" s="12">
        <v>133</v>
      </c>
      <c r="R12" s="12">
        <v>81</v>
      </c>
      <c r="S12" s="12">
        <v>225</v>
      </c>
      <c r="T12" s="12">
        <v>172</v>
      </c>
      <c r="U12" s="12">
        <v>74</v>
      </c>
      <c r="V12" s="12">
        <v>259</v>
      </c>
      <c r="W12" s="12">
        <v>88</v>
      </c>
      <c r="X12" s="12">
        <v>92</v>
      </c>
      <c r="Y12" s="12">
        <v>258</v>
      </c>
      <c r="Z12" s="12">
        <v>176</v>
      </c>
      <c r="AA12" s="12">
        <v>100</v>
      </c>
      <c r="AB12" s="12">
        <v>185</v>
      </c>
      <c r="AC12" s="12">
        <v>142</v>
      </c>
      <c r="AD12" s="12">
        <v>170</v>
      </c>
      <c r="AE12" s="12">
        <v>200</v>
      </c>
      <c r="AF12" s="12">
        <v>180</v>
      </c>
    </row>
    <row r="13" spans="1:32" x14ac:dyDescent="0.35">
      <c r="A13" s="19"/>
      <c r="B13" s="13" t="s">
        <v>761</v>
      </c>
      <c r="C13" s="15">
        <v>0.21</v>
      </c>
      <c r="D13" s="15">
        <v>0.17</v>
      </c>
      <c r="E13" s="15">
        <v>0.35</v>
      </c>
      <c r="F13" s="15">
        <v>0.19</v>
      </c>
      <c r="G13" s="15">
        <v>0.18</v>
      </c>
      <c r="H13" s="15">
        <v>0.18</v>
      </c>
      <c r="I13" s="15">
        <v>0.18</v>
      </c>
      <c r="J13" s="15">
        <v>0.16</v>
      </c>
      <c r="K13" s="15">
        <v>0.16</v>
      </c>
      <c r="L13" s="15">
        <v>0.24</v>
      </c>
      <c r="M13" s="15">
        <v>0.33</v>
      </c>
      <c r="N13" s="15">
        <v>0.23</v>
      </c>
      <c r="O13" s="15">
        <v>0.21</v>
      </c>
      <c r="P13" s="15">
        <v>0.25</v>
      </c>
      <c r="Q13" s="15">
        <v>0.19</v>
      </c>
      <c r="R13" s="15">
        <v>0.2</v>
      </c>
      <c r="S13" s="15">
        <v>0.3</v>
      </c>
      <c r="T13" s="15">
        <v>0.22</v>
      </c>
      <c r="U13" s="15">
        <v>0.2</v>
      </c>
      <c r="V13" s="15">
        <v>0.31</v>
      </c>
      <c r="W13" s="15">
        <v>0.21</v>
      </c>
      <c r="X13" s="15">
        <v>0.12</v>
      </c>
      <c r="Y13" s="15">
        <v>0.36</v>
      </c>
      <c r="Z13" s="15">
        <v>0.24</v>
      </c>
      <c r="AA13" s="15">
        <v>0.13</v>
      </c>
      <c r="AB13" s="15">
        <v>0.24</v>
      </c>
      <c r="AC13" s="15">
        <v>0.21</v>
      </c>
      <c r="AD13" s="15">
        <v>0.22</v>
      </c>
      <c r="AE13" s="15">
        <v>0.24</v>
      </c>
      <c r="AF13" s="15">
        <v>0.22</v>
      </c>
    </row>
    <row r="14" spans="1:32" x14ac:dyDescent="0.35">
      <c r="A14" s="19"/>
      <c r="B14" s="11" t="s">
        <v>762</v>
      </c>
      <c r="C14" s="12">
        <v>9555</v>
      </c>
      <c r="D14" s="12">
        <v>354</v>
      </c>
      <c r="E14" s="12">
        <v>332</v>
      </c>
      <c r="F14" s="12">
        <v>389</v>
      </c>
      <c r="G14" s="12">
        <v>325</v>
      </c>
      <c r="H14" s="12">
        <v>393</v>
      </c>
      <c r="I14" s="12">
        <v>498</v>
      </c>
      <c r="J14" s="12">
        <v>106</v>
      </c>
      <c r="K14" s="12">
        <v>367</v>
      </c>
      <c r="L14" s="12">
        <v>374</v>
      </c>
      <c r="M14" s="12">
        <v>373</v>
      </c>
      <c r="N14" s="12">
        <v>357</v>
      </c>
      <c r="O14" s="12">
        <v>313</v>
      </c>
      <c r="P14" s="12">
        <v>359</v>
      </c>
      <c r="Q14" s="12">
        <v>419</v>
      </c>
      <c r="R14" s="12">
        <v>209</v>
      </c>
      <c r="S14" s="12">
        <v>353</v>
      </c>
      <c r="T14" s="12">
        <v>422</v>
      </c>
      <c r="U14" s="12">
        <v>170</v>
      </c>
      <c r="V14" s="12">
        <v>441</v>
      </c>
      <c r="W14" s="12">
        <v>228</v>
      </c>
      <c r="X14" s="12">
        <v>297</v>
      </c>
      <c r="Y14" s="12">
        <v>295</v>
      </c>
      <c r="Z14" s="12">
        <v>453</v>
      </c>
      <c r="AA14" s="12">
        <v>461</v>
      </c>
      <c r="AB14" s="12">
        <v>435</v>
      </c>
      <c r="AC14" s="12">
        <v>343</v>
      </c>
      <c r="AD14" s="12">
        <v>416</v>
      </c>
      <c r="AE14" s="12">
        <v>413</v>
      </c>
      <c r="AF14" s="12">
        <v>330</v>
      </c>
    </row>
    <row r="15" spans="1:32" x14ac:dyDescent="0.35">
      <c r="A15" s="19"/>
      <c r="B15" s="13" t="s">
        <v>763</v>
      </c>
      <c r="C15" s="15">
        <v>0.51</v>
      </c>
      <c r="D15" s="15">
        <v>0.45</v>
      </c>
      <c r="E15" s="15">
        <v>0.41</v>
      </c>
      <c r="F15" s="15">
        <v>0.49</v>
      </c>
      <c r="G15" s="15">
        <v>0.38</v>
      </c>
      <c r="H15" s="15">
        <v>0.52</v>
      </c>
      <c r="I15" s="15">
        <v>0.52</v>
      </c>
      <c r="J15" s="15">
        <v>0.53</v>
      </c>
      <c r="K15" s="15">
        <v>0.48</v>
      </c>
      <c r="L15" s="15">
        <v>0.49</v>
      </c>
      <c r="M15" s="15">
        <v>0.51</v>
      </c>
      <c r="N15" s="15">
        <v>0.48</v>
      </c>
      <c r="O15" s="15">
        <v>0.48</v>
      </c>
      <c r="P15" s="15">
        <v>0.49</v>
      </c>
      <c r="Q15" s="15">
        <v>0.57999999999999996</v>
      </c>
      <c r="R15" s="15">
        <v>0.53</v>
      </c>
      <c r="S15" s="15">
        <v>0.48</v>
      </c>
      <c r="T15" s="15">
        <v>0.53</v>
      </c>
      <c r="U15" s="15">
        <v>0.47</v>
      </c>
      <c r="V15" s="15">
        <v>0.54</v>
      </c>
      <c r="W15" s="15">
        <v>0.53</v>
      </c>
      <c r="X15" s="15">
        <v>0.38</v>
      </c>
      <c r="Y15" s="15">
        <v>0.41</v>
      </c>
      <c r="Z15" s="15">
        <v>0.63</v>
      </c>
      <c r="AA15" s="15">
        <v>0.6</v>
      </c>
      <c r="AB15" s="15">
        <v>0.56000000000000005</v>
      </c>
      <c r="AC15" s="15">
        <v>0.5</v>
      </c>
      <c r="AD15" s="15">
        <v>0.54</v>
      </c>
      <c r="AE15" s="15">
        <v>0.51</v>
      </c>
      <c r="AF15" s="15">
        <v>0.4</v>
      </c>
    </row>
    <row r="16" spans="1:32" x14ac:dyDescent="0.35">
      <c r="A16" s="19"/>
      <c r="B16" s="11" t="s">
        <v>764</v>
      </c>
      <c r="C16" s="12">
        <v>3423</v>
      </c>
      <c r="D16" s="12">
        <v>228</v>
      </c>
      <c r="E16" s="12">
        <v>108</v>
      </c>
      <c r="F16" s="12">
        <v>185</v>
      </c>
      <c r="G16" s="12">
        <v>241</v>
      </c>
      <c r="H16" s="12">
        <v>138</v>
      </c>
      <c r="I16" s="12">
        <v>187</v>
      </c>
      <c r="J16" s="12">
        <v>49</v>
      </c>
      <c r="K16" s="12">
        <v>160</v>
      </c>
      <c r="L16" s="12">
        <v>139</v>
      </c>
      <c r="M16" s="12">
        <v>91</v>
      </c>
      <c r="N16" s="12">
        <v>138</v>
      </c>
      <c r="O16" s="12">
        <v>133</v>
      </c>
      <c r="P16" s="12">
        <v>121</v>
      </c>
      <c r="Q16" s="12">
        <v>112</v>
      </c>
      <c r="R16" s="12">
        <v>52</v>
      </c>
      <c r="S16" s="12">
        <v>95</v>
      </c>
      <c r="T16" s="12">
        <v>143</v>
      </c>
      <c r="U16" s="12">
        <v>71</v>
      </c>
      <c r="V16" s="12">
        <v>89</v>
      </c>
      <c r="W16" s="12">
        <v>76</v>
      </c>
      <c r="X16" s="12">
        <v>247</v>
      </c>
      <c r="Y16" s="12">
        <v>90</v>
      </c>
      <c r="Z16" s="12">
        <v>64</v>
      </c>
      <c r="AA16" s="12">
        <v>130</v>
      </c>
      <c r="AB16" s="12">
        <v>117</v>
      </c>
      <c r="AC16" s="12">
        <v>148</v>
      </c>
      <c r="AD16" s="12">
        <v>123</v>
      </c>
      <c r="AE16" s="12">
        <v>146</v>
      </c>
      <c r="AF16" s="12">
        <v>236</v>
      </c>
    </row>
    <row r="17" spans="1:32" x14ac:dyDescent="0.35">
      <c r="A17" s="19"/>
      <c r="B17" s="13" t="s">
        <v>765</v>
      </c>
      <c r="C17" s="15">
        <v>0.19</v>
      </c>
      <c r="D17" s="15">
        <v>0.28999999999999998</v>
      </c>
      <c r="E17" s="15">
        <v>0.13</v>
      </c>
      <c r="F17" s="15">
        <v>0.23</v>
      </c>
      <c r="G17" s="15">
        <v>0.28000000000000003</v>
      </c>
      <c r="H17" s="15">
        <v>0.18</v>
      </c>
      <c r="I17" s="15">
        <v>0.2</v>
      </c>
      <c r="J17" s="15">
        <v>0.25</v>
      </c>
      <c r="K17" s="15">
        <v>0.21</v>
      </c>
      <c r="L17" s="15">
        <v>0.18</v>
      </c>
      <c r="M17" s="15">
        <v>0.12</v>
      </c>
      <c r="N17" s="15">
        <v>0.19</v>
      </c>
      <c r="O17" s="15">
        <v>0.21</v>
      </c>
      <c r="P17" s="15">
        <v>0.17</v>
      </c>
      <c r="Q17" s="15">
        <v>0.16</v>
      </c>
      <c r="R17" s="15">
        <v>0.13</v>
      </c>
      <c r="S17" s="15">
        <v>0.13</v>
      </c>
      <c r="T17" s="15">
        <v>0.18</v>
      </c>
      <c r="U17" s="15">
        <v>0.19</v>
      </c>
      <c r="V17" s="15">
        <v>0.11</v>
      </c>
      <c r="W17" s="15">
        <v>0.18</v>
      </c>
      <c r="X17" s="15">
        <v>0.31</v>
      </c>
      <c r="Y17" s="15">
        <v>0.12</v>
      </c>
      <c r="Z17" s="15">
        <v>0.09</v>
      </c>
      <c r="AA17" s="15">
        <v>0.17</v>
      </c>
      <c r="AB17" s="15">
        <v>0.15</v>
      </c>
      <c r="AC17" s="15">
        <v>0.22</v>
      </c>
      <c r="AD17" s="15">
        <v>0.16</v>
      </c>
      <c r="AE17" s="15">
        <v>0.18</v>
      </c>
      <c r="AF17" s="15">
        <v>0.28000000000000003</v>
      </c>
    </row>
    <row r="18" spans="1:32" x14ac:dyDescent="0.35">
      <c r="A18" s="19"/>
      <c r="B18" s="11" t="s">
        <v>766</v>
      </c>
      <c r="C18" s="12">
        <v>1163</v>
      </c>
      <c r="D18" s="12">
        <v>60</v>
      </c>
      <c r="E18" s="12">
        <v>38</v>
      </c>
      <c r="F18" s="12">
        <v>44</v>
      </c>
      <c r="G18" s="12">
        <v>102</v>
      </c>
      <c r="H18" s="12">
        <v>33</v>
      </c>
      <c r="I18" s="12">
        <v>40</v>
      </c>
      <c r="J18" s="12">
        <v>7</v>
      </c>
      <c r="K18" s="12">
        <v>62</v>
      </c>
      <c r="L18" s="12">
        <v>28</v>
      </c>
      <c r="M18" s="12">
        <v>25</v>
      </c>
      <c r="N18" s="12">
        <v>59</v>
      </c>
      <c r="O18" s="12">
        <v>50</v>
      </c>
      <c r="P18" s="12">
        <v>60</v>
      </c>
      <c r="Q18" s="12">
        <v>45</v>
      </c>
      <c r="R18" s="12">
        <v>43</v>
      </c>
      <c r="S18" s="12">
        <v>33</v>
      </c>
      <c r="T18" s="12">
        <v>40</v>
      </c>
      <c r="U18" s="12">
        <v>43</v>
      </c>
      <c r="V18" s="12">
        <v>28</v>
      </c>
      <c r="W18" s="12">
        <v>34</v>
      </c>
      <c r="X18" s="12">
        <v>124</v>
      </c>
      <c r="Y18" s="12">
        <v>59</v>
      </c>
      <c r="Z18" s="12">
        <v>14</v>
      </c>
      <c r="AA18" s="12">
        <v>60</v>
      </c>
      <c r="AB18" s="12">
        <v>19</v>
      </c>
      <c r="AC18" s="12">
        <v>42</v>
      </c>
      <c r="AD18" s="12">
        <v>41</v>
      </c>
      <c r="AE18" s="12">
        <v>42</v>
      </c>
      <c r="AF18" s="12">
        <v>70</v>
      </c>
    </row>
    <row r="19" spans="1:32" x14ac:dyDescent="0.35">
      <c r="A19" s="19"/>
      <c r="B19" s="13" t="s">
        <v>767</v>
      </c>
      <c r="C19" s="15">
        <v>0.06</v>
      </c>
      <c r="D19" s="15">
        <v>0.08</v>
      </c>
      <c r="E19" s="15">
        <v>0.05</v>
      </c>
      <c r="F19" s="15">
        <v>0.06</v>
      </c>
      <c r="G19" s="15">
        <v>0.12</v>
      </c>
      <c r="H19" s="15">
        <v>0.04</v>
      </c>
      <c r="I19" s="15">
        <v>0.04</v>
      </c>
      <c r="J19" s="15">
        <v>0.03</v>
      </c>
      <c r="K19" s="15">
        <v>0.08</v>
      </c>
      <c r="L19" s="15">
        <v>0.04</v>
      </c>
      <c r="M19" s="15">
        <v>0.03</v>
      </c>
      <c r="N19" s="15">
        <v>0.08</v>
      </c>
      <c r="O19" s="15">
        <v>0.08</v>
      </c>
      <c r="P19" s="15">
        <v>0.08</v>
      </c>
      <c r="Q19" s="15">
        <v>0.06</v>
      </c>
      <c r="R19" s="15">
        <v>0.11</v>
      </c>
      <c r="S19" s="15">
        <v>0.04</v>
      </c>
      <c r="T19" s="15">
        <v>0.05</v>
      </c>
      <c r="U19" s="15">
        <v>0.12</v>
      </c>
      <c r="V19" s="15">
        <v>0.03</v>
      </c>
      <c r="W19" s="15">
        <v>0.08</v>
      </c>
      <c r="X19" s="15">
        <v>0.16</v>
      </c>
      <c r="Y19" s="15">
        <v>0.08</v>
      </c>
      <c r="Z19" s="15">
        <v>0.02</v>
      </c>
      <c r="AA19" s="15">
        <v>0.08</v>
      </c>
      <c r="AB19" s="15">
        <v>0.03</v>
      </c>
      <c r="AC19" s="15">
        <v>0.06</v>
      </c>
      <c r="AD19" s="15">
        <v>0.06</v>
      </c>
      <c r="AE19" s="15">
        <v>0.05</v>
      </c>
      <c r="AF19" s="15">
        <v>0.08</v>
      </c>
    </row>
    <row r="20" spans="1:32" x14ac:dyDescent="0.35">
      <c r="A20" s="19"/>
      <c r="B20" s="11" t="s">
        <v>485</v>
      </c>
      <c r="C20" s="12">
        <v>544</v>
      </c>
      <c r="D20" s="12">
        <v>12</v>
      </c>
      <c r="E20" s="12">
        <v>45</v>
      </c>
      <c r="F20" s="12">
        <v>20</v>
      </c>
      <c r="G20" s="12">
        <v>39</v>
      </c>
      <c r="H20" s="12">
        <v>57</v>
      </c>
      <c r="I20" s="12">
        <v>62</v>
      </c>
      <c r="J20" s="12">
        <v>5</v>
      </c>
      <c r="K20" s="12">
        <v>57</v>
      </c>
      <c r="L20" s="12">
        <v>39</v>
      </c>
      <c r="M20" s="12">
        <v>6</v>
      </c>
      <c r="N20" s="12">
        <v>18</v>
      </c>
      <c r="O20" s="12">
        <v>14</v>
      </c>
      <c r="P20" s="12">
        <v>11</v>
      </c>
      <c r="Q20" s="12">
        <v>9</v>
      </c>
      <c r="R20" s="12">
        <v>11</v>
      </c>
      <c r="S20" s="12">
        <v>37</v>
      </c>
      <c r="T20" s="12">
        <v>17</v>
      </c>
      <c r="U20" s="12">
        <v>6</v>
      </c>
      <c r="V20" s="12">
        <v>5</v>
      </c>
      <c r="W20" s="12">
        <v>1</v>
      </c>
      <c r="X20" s="12">
        <v>25</v>
      </c>
      <c r="Y20" s="12">
        <v>19</v>
      </c>
      <c r="Z20" s="12">
        <v>17</v>
      </c>
      <c r="AA20" s="12">
        <v>15</v>
      </c>
      <c r="AB20" s="12">
        <v>18</v>
      </c>
      <c r="AC20" s="12">
        <v>10</v>
      </c>
      <c r="AD20" s="12">
        <v>17</v>
      </c>
      <c r="AE20" s="12">
        <v>16</v>
      </c>
      <c r="AF20" s="12">
        <v>14</v>
      </c>
    </row>
    <row r="21" spans="1:32" x14ac:dyDescent="0.35">
      <c r="A21" s="19"/>
      <c r="B21" s="13" t="s">
        <v>486</v>
      </c>
      <c r="C21" s="15">
        <v>0.03</v>
      </c>
      <c r="D21" s="15">
        <v>0.01</v>
      </c>
      <c r="E21" s="15">
        <v>0.06</v>
      </c>
      <c r="F21" s="15">
        <v>0.03</v>
      </c>
      <c r="G21" s="15">
        <v>0.04</v>
      </c>
      <c r="H21" s="15">
        <v>0.08</v>
      </c>
      <c r="I21" s="15">
        <v>0.06</v>
      </c>
      <c r="J21" s="15">
        <v>0.03</v>
      </c>
      <c r="K21" s="15">
        <v>7.0000000000000007E-2</v>
      </c>
      <c r="L21" s="15">
        <v>0.05</v>
      </c>
      <c r="M21" s="15">
        <v>0.01</v>
      </c>
      <c r="N21" s="15">
        <v>0.02</v>
      </c>
      <c r="O21" s="15">
        <v>0.02</v>
      </c>
      <c r="P21" s="15">
        <v>0.01</v>
      </c>
      <c r="Q21" s="15">
        <v>0.01</v>
      </c>
      <c r="R21" s="15">
        <v>0.03</v>
      </c>
      <c r="S21" s="15">
        <v>0.05</v>
      </c>
      <c r="T21" s="15">
        <v>0.02</v>
      </c>
      <c r="U21" s="15">
        <v>0.02</v>
      </c>
      <c r="V21" s="15">
        <v>0.01</v>
      </c>
      <c r="W21" s="14" t="s">
        <v>475</v>
      </c>
      <c r="X21" s="15">
        <v>0.03</v>
      </c>
      <c r="Y21" s="15">
        <v>0.03</v>
      </c>
      <c r="Z21" s="15">
        <v>0.02</v>
      </c>
      <c r="AA21" s="15">
        <v>0.02</v>
      </c>
      <c r="AB21" s="15">
        <v>0.02</v>
      </c>
      <c r="AC21" s="15">
        <v>0.01</v>
      </c>
      <c r="AD21" s="15">
        <v>0.02</v>
      </c>
      <c r="AE21" s="15">
        <v>0.02</v>
      </c>
      <c r="AF21" s="15">
        <v>0.02</v>
      </c>
    </row>
    <row r="22" spans="1:32" x14ac:dyDescent="0.35">
      <c r="A22" s="19"/>
      <c r="B22" s="11" t="s">
        <v>768</v>
      </c>
      <c r="C22" s="12">
        <v>13512</v>
      </c>
      <c r="D22" s="12">
        <v>491</v>
      </c>
      <c r="E22" s="12">
        <v>608</v>
      </c>
      <c r="F22" s="12">
        <v>543</v>
      </c>
      <c r="G22" s="12">
        <v>482</v>
      </c>
      <c r="H22" s="12">
        <v>530</v>
      </c>
      <c r="I22" s="12">
        <v>668</v>
      </c>
      <c r="J22" s="12">
        <v>139</v>
      </c>
      <c r="K22" s="12">
        <v>494</v>
      </c>
      <c r="L22" s="12">
        <v>563</v>
      </c>
      <c r="M22" s="12">
        <v>611</v>
      </c>
      <c r="N22" s="12">
        <v>527</v>
      </c>
      <c r="O22" s="12">
        <v>451</v>
      </c>
      <c r="P22" s="12">
        <v>542</v>
      </c>
      <c r="Q22" s="12">
        <v>552</v>
      </c>
      <c r="R22" s="12">
        <v>290</v>
      </c>
      <c r="S22" s="12">
        <v>578</v>
      </c>
      <c r="T22" s="12">
        <v>594</v>
      </c>
      <c r="U22" s="12">
        <v>244</v>
      </c>
      <c r="V22" s="12">
        <v>700</v>
      </c>
      <c r="W22" s="12">
        <v>316</v>
      </c>
      <c r="X22" s="12">
        <v>389</v>
      </c>
      <c r="Y22" s="12">
        <v>553</v>
      </c>
      <c r="Z22" s="12">
        <v>629</v>
      </c>
      <c r="AA22" s="12">
        <v>561</v>
      </c>
      <c r="AB22" s="12">
        <v>620</v>
      </c>
      <c r="AC22" s="12">
        <v>485</v>
      </c>
      <c r="AD22" s="12">
        <v>586</v>
      </c>
      <c r="AE22" s="12">
        <v>613</v>
      </c>
      <c r="AF22" s="12">
        <v>510</v>
      </c>
    </row>
    <row r="23" spans="1:32" x14ac:dyDescent="0.35">
      <c r="A23" s="19"/>
      <c r="B23" s="13" t="s">
        <v>769</v>
      </c>
      <c r="C23" s="15">
        <v>0.72</v>
      </c>
      <c r="D23" s="15">
        <v>0.62</v>
      </c>
      <c r="E23" s="15">
        <v>0.76</v>
      </c>
      <c r="F23" s="15">
        <v>0.68</v>
      </c>
      <c r="G23" s="15">
        <v>0.56000000000000005</v>
      </c>
      <c r="H23" s="15">
        <v>0.70000000000000007</v>
      </c>
      <c r="I23" s="15">
        <v>0.70000000000000007</v>
      </c>
      <c r="J23" s="15">
        <v>0.69000000000000006</v>
      </c>
      <c r="K23" s="15">
        <v>0.64</v>
      </c>
      <c r="L23" s="15">
        <v>0.73</v>
      </c>
      <c r="M23" s="15">
        <v>0.84</v>
      </c>
      <c r="N23" s="15">
        <v>0.71</v>
      </c>
      <c r="O23" s="15">
        <v>0.69000000000000006</v>
      </c>
      <c r="P23" s="15">
        <v>0.74</v>
      </c>
      <c r="Q23" s="15">
        <v>0.77</v>
      </c>
      <c r="R23" s="15">
        <v>0.73</v>
      </c>
      <c r="S23" s="15">
        <v>0.78</v>
      </c>
      <c r="T23" s="15">
        <v>0.75</v>
      </c>
      <c r="U23" s="15">
        <v>0.67</v>
      </c>
      <c r="V23" s="15">
        <v>0.85</v>
      </c>
      <c r="W23" s="15">
        <v>0.74</v>
      </c>
      <c r="X23" s="15">
        <v>0.5</v>
      </c>
      <c r="Y23" s="15">
        <v>0.77</v>
      </c>
      <c r="Z23" s="15">
        <v>0.87</v>
      </c>
      <c r="AA23" s="15">
        <v>0.73</v>
      </c>
      <c r="AB23" s="15">
        <v>0.8</v>
      </c>
      <c r="AC23" s="15">
        <v>0.71</v>
      </c>
      <c r="AD23" s="15">
        <v>0.76</v>
      </c>
      <c r="AE23" s="15">
        <v>0.75</v>
      </c>
      <c r="AF23" s="15">
        <v>0.62</v>
      </c>
    </row>
    <row r="24" spans="1:32" x14ac:dyDescent="0.35">
      <c r="A24" s="19"/>
      <c r="B24" s="11" t="s">
        <v>770</v>
      </c>
      <c r="C24" s="12">
        <v>4586</v>
      </c>
      <c r="D24" s="12">
        <v>288</v>
      </c>
      <c r="E24" s="12">
        <v>146</v>
      </c>
      <c r="F24" s="12">
        <v>229</v>
      </c>
      <c r="G24" s="12">
        <v>343</v>
      </c>
      <c r="H24" s="12">
        <v>171</v>
      </c>
      <c r="I24" s="12">
        <v>227</v>
      </c>
      <c r="J24" s="12">
        <v>56</v>
      </c>
      <c r="K24" s="12">
        <v>222</v>
      </c>
      <c r="L24" s="12">
        <v>167</v>
      </c>
      <c r="M24" s="12">
        <v>116</v>
      </c>
      <c r="N24" s="12">
        <v>197</v>
      </c>
      <c r="O24" s="12">
        <v>183</v>
      </c>
      <c r="P24" s="12">
        <v>181</v>
      </c>
      <c r="Q24" s="12">
        <v>157</v>
      </c>
      <c r="R24" s="12">
        <v>95</v>
      </c>
      <c r="S24" s="12">
        <v>128</v>
      </c>
      <c r="T24" s="12">
        <v>183</v>
      </c>
      <c r="U24" s="12">
        <v>114</v>
      </c>
      <c r="V24" s="12">
        <v>117</v>
      </c>
      <c r="W24" s="12">
        <v>110</v>
      </c>
      <c r="X24" s="12">
        <v>371</v>
      </c>
      <c r="Y24" s="12">
        <v>149</v>
      </c>
      <c r="Z24" s="12">
        <v>78</v>
      </c>
      <c r="AA24" s="12">
        <v>190</v>
      </c>
      <c r="AB24" s="12">
        <v>136</v>
      </c>
      <c r="AC24" s="12">
        <v>190</v>
      </c>
      <c r="AD24" s="12">
        <v>164</v>
      </c>
      <c r="AE24" s="12">
        <v>188</v>
      </c>
      <c r="AF24" s="12">
        <v>306</v>
      </c>
    </row>
    <row r="25" spans="1:32" x14ac:dyDescent="0.35">
      <c r="A25" s="19"/>
      <c r="B25" s="13" t="s">
        <v>771</v>
      </c>
      <c r="C25" s="15">
        <v>0.25</v>
      </c>
      <c r="D25" s="15">
        <v>0.37</v>
      </c>
      <c r="E25" s="15">
        <v>0.18</v>
      </c>
      <c r="F25" s="15">
        <v>0.28999999999999998</v>
      </c>
      <c r="G25" s="15">
        <v>0.4</v>
      </c>
      <c r="H25" s="15">
        <v>0.22</v>
      </c>
      <c r="I25" s="15">
        <v>0.24</v>
      </c>
      <c r="J25" s="15">
        <v>0.28000000000000003</v>
      </c>
      <c r="K25" s="15">
        <v>0.28999999999999998</v>
      </c>
      <c r="L25" s="15">
        <v>0.22</v>
      </c>
      <c r="M25" s="15">
        <v>0.15</v>
      </c>
      <c r="N25" s="15">
        <v>0.27</v>
      </c>
      <c r="O25" s="15">
        <v>0.28999999999999998</v>
      </c>
      <c r="P25" s="15">
        <v>0.25</v>
      </c>
      <c r="Q25" s="15">
        <v>0.22</v>
      </c>
      <c r="R25" s="15">
        <v>0.24</v>
      </c>
      <c r="S25" s="15">
        <v>0.17</v>
      </c>
      <c r="T25" s="15">
        <v>0.23</v>
      </c>
      <c r="U25" s="15">
        <v>0.31</v>
      </c>
      <c r="V25" s="15">
        <v>0.14000000000000001</v>
      </c>
      <c r="W25" s="15">
        <v>0.26</v>
      </c>
      <c r="X25" s="15">
        <v>0.47</v>
      </c>
      <c r="Y25" s="15">
        <v>0.2</v>
      </c>
      <c r="Z25" s="15">
        <v>0.11</v>
      </c>
      <c r="AA25" s="15">
        <v>0.25</v>
      </c>
      <c r="AB25" s="15">
        <v>0.18</v>
      </c>
      <c r="AC25" s="15">
        <v>0.28000000000000003</v>
      </c>
      <c r="AD25" s="15">
        <v>0.22</v>
      </c>
      <c r="AE25" s="15">
        <v>0.23</v>
      </c>
      <c r="AF25" s="15">
        <v>0.36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1387</v>
      </c>
      <c r="C3" s="18"/>
      <c r="D3" s="18"/>
      <c r="E3" s="18"/>
      <c r="F3" s="18"/>
      <c r="H3" s="18" t="s">
        <v>1388</v>
      </c>
      <c r="I3" s="18"/>
      <c r="J3" s="18"/>
      <c r="K3" s="18"/>
      <c r="L3" s="18"/>
    </row>
    <row r="4" spans="1:43" ht="27" customHeight="1" x14ac:dyDescent="0.35">
      <c r="B4" s="18" t="s">
        <v>1389</v>
      </c>
      <c r="C4" s="18"/>
      <c r="D4" s="18"/>
      <c r="E4" s="18"/>
      <c r="F4" s="18"/>
      <c r="H4" s="18" t="s">
        <v>1390</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HYPERLINK("#Content!A168","&lt;&lt;Back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1048</v>
      </c>
      <c r="C12" s="12">
        <v>3095</v>
      </c>
      <c r="D12" s="12">
        <v>137</v>
      </c>
      <c r="E12" s="12">
        <v>147</v>
      </c>
      <c r="F12" s="12">
        <v>114</v>
      </c>
      <c r="G12" s="12">
        <v>362</v>
      </c>
      <c r="H12" s="12">
        <v>188</v>
      </c>
      <c r="I12" s="12">
        <v>217</v>
      </c>
      <c r="J12" s="12">
        <v>29</v>
      </c>
      <c r="K12" s="12">
        <v>144</v>
      </c>
      <c r="L12" s="12">
        <v>177</v>
      </c>
      <c r="M12" s="12">
        <v>39</v>
      </c>
      <c r="N12" s="12">
        <v>82</v>
      </c>
      <c r="O12" s="12">
        <v>54</v>
      </c>
      <c r="P12" s="12">
        <v>95</v>
      </c>
      <c r="Q12" s="12">
        <v>73</v>
      </c>
      <c r="R12" s="12">
        <v>37</v>
      </c>
      <c r="S12" s="12">
        <v>93</v>
      </c>
      <c r="T12" s="12">
        <v>78</v>
      </c>
      <c r="U12" s="12">
        <v>108</v>
      </c>
      <c r="V12" s="12">
        <v>120</v>
      </c>
      <c r="W12" s="12">
        <v>21</v>
      </c>
      <c r="X12" s="12">
        <v>204</v>
      </c>
      <c r="Y12" s="12">
        <v>257</v>
      </c>
      <c r="Z12" s="12">
        <v>94</v>
      </c>
      <c r="AA12" s="12">
        <v>80</v>
      </c>
      <c r="AB12" s="12">
        <v>173</v>
      </c>
      <c r="AC12" s="12">
        <v>83</v>
      </c>
      <c r="AD12" s="12">
        <v>93</v>
      </c>
      <c r="AE12" s="12">
        <v>440</v>
      </c>
      <c r="AF12" s="12">
        <v>297</v>
      </c>
      <c r="AG12" s="12">
        <v>273</v>
      </c>
      <c r="AH12" s="12">
        <v>106</v>
      </c>
      <c r="AI12" s="12">
        <v>130</v>
      </c>
      <c r="AJ12" s="12">
        <v>148</v>
      </c>
      <c r="AK12" s="12">
        <v>31</v>
      </c>
      <c r="AL12" s="12">
        <v>82</v>
      </c>
      <c r="AM12" s="12">
        <v>56</v>
      </c>
      <c r="AN12" s="12">
        <v>102</v>
      </c>
      <c r="AO12" s="12">
        <v>332</v>
      </c>
      <c r="AP12" s="12">
        <v>110</v>
      </c>
      <c r="AQ12" s="12">
        <v>110</v>
      </c>
    </row>
    <row r="13" spans="1:43" x14ac:dyDescent="0.35">
      <c r="A13" s="19"/>
      <c r="B13" s="13" t="s">
        <v>1049</v>
      </c>
      <c r="C13" s="15">
        <v>0.12</v>
      </c>
      <c r="D13" s="15">
        <v>0.13</v>
      </c>
      <c r="E13" s="15">
        <v>0.14000000000000001</v>
      </c>
      <c r="F13" s="15">
        <v>0.1</v>
      </c>
      <c r="G13" s="15">
        <v>0.36</v>
      </c>
      <c r="H13" s="15">
        <v>0.15</v>
      </c>
      <c r="I13" s="15">
        <v>0.14000000000000001</v>
      </c>
      <c r="J13" s="15">
        <v>0.1</v>
      </c>
      <c r="K13" s="15">
        <v>0.14000000000000001</v>
      </c>
      <c r="L13" s="15">
        <v>0.18</v>
      </c>
      <c r="M13" s="15">
        <v>0.04</v>
      </c>
      <c r="N13" s="15">
        <v>0.08</v>
      </c>
      <c r="O13" s="15">
        <v>0.05</v>
      </c>
      <c r="P13" s="15">
        <v>0.1</v>
      </c>
      <c r="Q13" s="15">
        <v>7.0000000000000007E-2</v>
      </c>
      <c r="R13" s="15">
        <v>7.0000000000000007E-2</v>
      </c>
      <c r="S13" s="15">
        <v>0.09</v>
      </c>
      <c r="T13" s="15">
        <v>0.08</v>
      </c>
      <c r="U13" s="15">
        <v>0.21</v>
      </c>
      <c r="V13" s="15">
        <v>0.12</v>
      </c>
      <c r="W13" s="15">
        <v>0.04</v>
      </c>
      <c r="X13" s="15">
        <v>0.2</v>
      </c>
      <c r="Y13" s="15">
        <v>0.26</v>
      </c>
      <c r="Z13" s="15">
        <v>0.09</v>
      </c>
      <c r="AA13" s="15">
        <v>0.08</v>
      </c>
      <c r="AB13" s="15">
        <v>0.17</v>
      </c>
      <c r="AC13" s="15">
        <v>0.08</v>
      </c>
      <c r="AD13" s="15">
        <v>0.09</v>
      </c>
      <c r="AE13" s="15">
        <v>0.44</v>
      </c>
      <c r="AF13" s="15">
        <v>0.28000000000000003</v>
      </c>
      <c r="AG13" s="15">
        <v>0.26</v>
      </c>
      <c r="AH13" s="15">
        <v>0.11</v>
      </c>
      <c r="AI13" s="15">
        <v>0.25</v>
      </c>
      <c r="AJ13" s="15">
        <v>0.14000000000000001</v>
      </c>
      <c r="AK13" s="15">
        <v>0.03</v>
      </c>
      <c r="AL13" s="15">
        <v>0.08</v>
      </c>
      <c r="AM13" s="15">
        <v>0.05</v>
      </c>
      <c r="AN13" s="15">
        <v>0.1</v>
      </c>
      <c r="AO13" s="15">
        <v>0.33</v>
      </c>
      <c r="AP13" s="15">
        <v>0.21</v>
      </c>
      <c r="AQ13" s="15">
        <v>0.11</v>
      </c>
    </row>
    <row r="14" spans="1:43" ht="21.5" x14ac:dyDescent="0.35">
      <c r="A14" s="19"/>
      <c r="B14" s="11" t="s">
        <v>1391</v>
      </c>
      <c r="C14" s="12">
        <v>15019</v>
      </c>
      <c r="D14" s="12">
        <v>584</v>
      </c>
      <c r="E14" s="12">
        <v>538</v>
      </c>
      <c r="F14" s="12">
        <v>551</v>
      </c>
      <c r="G14" s="12">
        <v>556</v>
      </c>
      <c r="H14" s="12">
        <v>816</v>
      </c>
      <c r="I14" s="12">
        <v>993</v>
      </c>
      <c r="J14" s="12">
        <v>177</v>
      </c>
      <c r="K14" s="12">
        <v>582</v>
      </c>
      <c r="L14" s="12">
        <v>556</v>
      </c>
      <c r="M14" s="12">
        <v>332</v>
      </c>
      <c r="N14" s="12">
        <v>503</v>
      </c>
      <c r="O14" s="12">
        <v>519</v>
      </c>
      <c r="P14" s="12">
        <v>545</v>
      </c>
      <c r="Q14" s="12">
        <v>585</v>
      </c>
      <c r="R14" s="12">
        <v>278</v>
      </c>
      <c r="S14" s="12">
        <v>557</v>
      </c>
      <c r="T14" s="12">
        <v>628</v>
      </c>
      <c r="U14" s="12">
        <v>301</v>
      </c>
      <c r="V14" s="12">
        <v>478</v>
      </c>
      <c r="W14" s="12">
        <v>257</v>
      </c>
      <c r="X14" s="12">
        <v>620</v>
      </c>
      <c r="Y14" s="12">
        <v>527</v>
      </c>
      <c r="Z14" s="12">
        <v>634</v>
      </c>
      <c r="AA14" s="12">
        <v>803</v>
      </c>
      <c r="AB14" s="12">
        <v>558</v>
      </c>
      <c r="AC14" s="12">
        <v>507</v>
      </c>
      <c r="AD14" s="12">
        <v>597</v>
      </c>
      <c r="AE14" s="12">
        <v>478</v>
      </c>
      <c r="AF14" s="12">
        <v>649</v>
      </c>
      <c r="AG14" s="12">
        <v>367</v>
      </c>
      <c r="AH14" s="12">
        <v>619</v>
      </c>
      <c r="AI14" s="12">
        <v>262</v>
      </c>
      <c r="AJ14" s="12">
        <v>382</v>
      </c>
      <c r="AK14" s="12">
        <v>475</v>
      </c>
      <c r="AL14" s="12">
        <v>371</v>
      </c>
      <c r="AM14" s="12">
        <v>527</v>
      </c>
      <c r="AN14" s="12">
        <v>545</v>
      </c>
      <c r="AO14" s="12">
        <v>449</v>
      </c>
      <c r="AP14" s="12">
        <v>218</v>
      </c>
      <c r="AQ14" s="12">
        <v>555</v>
      </c>
    </row>
    <row r="15" spans="1:43" x14ac:dyDescent="0.35">
      <c r="A15" s="19"/>
      <c r="B15" s="13" t="s">
        <v>1051</v>
      </c>
      <c r="C15" s="15">
        <v>0.57000000000000006</v>
      </c>
      <c r="D15" s="15">
        <v>0.57999999999999996</v>
      </c>
      <c r="E15" s="15">
        <v>0.52</v>
      </c>
      <c r="F15" s="15">
        <v>0.5</v>
      </c>
      <c r="G15" s="15">
        <v>0.55000000000000004</v>
      </c>
      <c r="H15" s="15">
        <v>0.67</v>
      </c>
      <c r="I15" s="15">
        <v>0.66</v>
      </c>
      <c r="J15" s="15">
        <v>0.6</v>
      </c>
      <c r="K15" s="15">
        <v>0.57999999999999996</v>
      </c>
      <c r="L15" s="15">
        <v>0.55000000000000004</v>
      </c>
      <c r="M15" s="15">
        <v>0.33</v>
      </c>
      <c r="N15" s="15">
        <v>0.5</v>
      </c>
      <c r="O15" s="15">
        <v>0.52</v>
      </c>
      <c r="P15" s="15">
        <v>0.54</v>
      </c>
      <c r="Q15" s="15">
        <v>0.57000000000000006</v>
      </c>
      <c r="R15" s="15">
        <v>0.55000000000000004</v>
      </c>
      <c r="S15" s="15">
        <v>0.55000000000000004</v>
      </c>
      <c r="T15" s="15">
        <v>0.62</v>
      </c>
      <c r="U15" s="15">
        <v>0.6</v>
      </c>
      <c r="V15" s="15">
        <v>0.47</v>
      </c>
      <c r="W15" s="15">
        <v>0.51</v>
      </c>
      <c r="X15" s="15">
        <v>0.61</v>
      </c>
      <c r="Y15" s="15">
        <v>0.52</v>
      </c>
      <c r="Z15" s="15">
        <v>0.62</v>
      </c>
      <c r="AA15" s="15">
        <v>0.78</v>
      </c>
      <c r="AB15" s="15">
        <v>0.53</v>
      </c>
      <c r="AC15" s="15">
        <v>0.51</v>
      </c>
      <c r="AD15" s="15">
        <v>0.59</v>
      </c>
      <c r="AE15" s="15">
        <v>0.47</v>
      </c>
      <c r="AF15" s="15">
        <v>0.62</v>
      </c>
      <c r="AG15" s="15">
        <v>0.36</v>
      </c>
      <c r="AH15" s="15">
        <v>0.61</v>
      </c>
      <c r="AI15" s="15">
        <v>0.5</v>
      </c>
      <c r="AJ15" s="15">
        <v>0.37</v>
      </c>
      <c r="AK15" s="15">
        <v>0.47</v>
      </c>
      <c r="AL15" s="15">
        <v>0.37</v>
      </c>
      <c r="AM15" s="15">
        <v>0.51</v>
      </c>
      <c r="AN15" s="15">
        <v>0.55000000000000004</v>
      </c>
      <c r="AO15" s="15">
        <v>0.45</v>
      </c>
      <c r="AP15" s="15">
        <v>0.42</v>
      </c>
      <c r="AQ15" s="15">
        <v>0.55000000000000004</v>
      </c>
    </row>
    <row r="16" spans="1:43" x14ac:dyDescent="0.35">
      <c r="A16" s="19"/>
      <c r="B16" s="11" t="s">
        <v>1392</v>
      </c>
      <c r="C16" s="12">
        <v>5867</v>
      </c>
      <c r="D16" s="12">
        <v>237</v>
      </c>
      <c r="E16" s="12">
        <v>186</v>
      </c>
      <c r="F16" s="12">
        <v>322</v>
      </c>
      <c r="G16" s="12">
        <v>64</v>
      </c>
      <c r="H16" s="12">
        <v>146</v>
      </c>
      <c r="I16" s="12">
        <v>210</v>
      </c>
      <c r="J16" s="12">
        <v>64</v>
      </c>
      <c r="K16" s="12">
        <v>180</v>
      </c>
      <c r="L16" s="12">
        <v>172</v>
      </c>
      <c r="M16" s="12">
        <v>463</v>
      </c>
      <c r="N16" s="12">
        <v>299</v>
      </c>
      <c r="O16" s="12">
        <v>290</v>
      </c>
      <c r="P16" s="12">
        <v>264</v>
      </c>
      <c r="Q16" s="12">
        <v>298</v>
      </c>
      <c r="R16" s="12">
        <v>126</v>
      </c>
      <c r="S16" s="12">
        <v>240</v>
      </c>
      <c r="T16" s="12">
        <v>229</v>
      </c>
      <c r="U16" s="12">
        <v>49</v>
      </c>
      <c r="V16" s="12">
        <v>296</v>
      </c>
      <c r="W16" s="12">
        <v>183</v>
      </c>
      <c r="X16" s="12">
        <v>119</v>
      </c>
      <c r="Y16" s="12">
        <v>147</v>
      </c>
      <c r="Z16" s="12">
        <v>189</v>
      </c>
      <c r="AA16" s="12">
        <v>96</v>
      </c>
      <c r="AB16" s="12">
        <v>215</v>
      </c>
      <c r="AC16" s="12">
        <v>260</v>
      </c>
      <c r="AD16" s="12">
        <v>215</v>
      </c>
      <c r="AE16" s="12">
        <v>62</v>
      </c>
      <c r="AF16" s="12">
        <v>58</v>
      </c>
      <c r="AG16" s="12">
        <v>230</v>
      </c>
      <c r="AH16" s="12">
        <v>242</v>
      </c>
      <c r="AI16" s="12">
        <v>99</v>
      </c>
      <c r="AJ16" s="12">
        <v>315</v>
      </c>
      <c r="AK16" s="12">
        <v>379</v>
      </c>
      <c r="AL16" s="12">
        <v>316</v>
      </c>
      <c r="AM16" s="12">
        <v>317</v>
      </c>
      <c r="AN16" s="12">
        <v>257</v>
      </c>
      <c r="AO16" s="12">
        <v>136</v>
      </c>
      <c r="AP16" s="12">
        <v>131</v>
      </c>
      <c r="AQ16" s="12">
        <v>145</v>
      </c>
    </row>
    <row r="17" spans="1:43" x14ac:dyDescent="0.35">
      <c r="A17" s="19"/>
      <c r="B17" s="13" t="s">
        <v>1053</v>
      </c>
      <c r="C17" s="15">
        <v>0.22</v>
      </c>
      <c r="D17" s="15">
        <v>0.23</v>
      </c>
      <c r="E17" s="15">
        <v>0.18</v>
      </c>
      <c r="F17" s="15">
        <v>0.28999999999999998</v>
      </c>
      <c r="G17" s="15">
        <v>0.06</v>
      </c>
      <c r="H17" s="15">
        <v>0.12</v>
      </c>
      <c r="I17" s="15">
        <v>0.14000000000000001</v>
      </c>
      <c r="J17" s="15">
        <v>0.22</v>
      </c>
      <c r="K17" s="15">
        <v>0.18</v>
      </c>
      <c r="L17" s="15">
        <v>0.17</v>
      </c>
      <c r="M17" s="15">
        <v>0.46</v>
      </c>
      <c r="N17" s="15">
        <v>0.3</v>
      </c>
      <c r="O17" s="15">
        <v>0.28999999999999998</v>
      </c>
      <c r="P17" s="15">
        <v>0.26</v>
      </c>
      <c r="Q17" s="15">
        <v>0.28999999999999998</v>
      </c>
      <c r="R17" s="15">
        <v>0.25</v>
      </c>
      <c r="S17" s="15">
        <v>0.24</v>
      </c>
      <c r="T17" s="15">
        <v>0.23</v>
      </c>
      <c r="U17" s="15">
        <v>0.1</v>
      </c>
      <c r="V17" s="15">
        <v>0.28999999999999998</v>
      </c>
      <c r="W17" s="15">
        <v>0.36</v>
      </c>
      <c r="X17" s="15">
        <v>0.12</v>
      </c>
      <c r="Y17" s="15">
        <v>0.15</v>
      </c>
      <c r="Z17" s="15">
        <v>0.18</v>
      </c>
      <c r="AA17" s="15">
        <v>0.09</v>
      </c>
      <c r="AB17" s="15">
        <v>0.2</v>
      </c>
      <c r="AC17" s="15">
        <v>0.26</v>
      </c>
      <c r="AD17" s="15">
        <v>0.21</v>
      </c>
      <c r="AE17" s="15">
        <v>0.06</v>
      </c>
      <c r="AF17" s="15">
        <v>0.06</v>
      </c>
      <c r="AG17" s="15">
        <v>0.22</v>
      </c>
      <c r="AH17" s="15">
        <v>0.24</v>
      </c>
      <c r="AI17" s="15">
        <v>0.19</v>
      </c>
      <c r="AJ17" s="15">
        <v>0.3</v>
      </c>
      <c r="AK17" s="15">
        <v>0.38</v>
      </c>
      <c r="AL17" s="15">
        <v>0.31</v>
      </c>
      <c r="AM17" s="15">
        <v>0.31</v>
      </c>
      <c r="AN17" s="15">
        <v>0.26</v>
      </c>
      <c r="AO17" s="15">
        <v>0.14000000000000001</v>
      </c>
      <c r="AP17" s="15">
        <v>0.25</v>
      </c>
      <c r="AQ17" s="15">
        <v>0.15</v>
      </c>
    </row>
    <row r="18" spans="1:43" x14ac:dyDescent="0.35">
      <c r="A18" s="19"/>
      <c r="B18" s="11" t="s">
        <v>1054</v>
      </c>
      <c r="C18" s="12">
        <v>1772</v>
      </c>
      <c r="D18" s="12">
        <v>38</v>
      </c>
      <c r="E18" s="12">
        <v>130</v>
      </c>
      <c r="F18" s="12">
        <v>99</v>
      </c>
      <c r="G18" s="12">
        <v>9</v>
      </c>
      <c r="H18" s="12">
        <v>42</v>
      </c>
      <c r="I18" s="12">
        <v>65</v>
      </c>
      <c r="J18" s="12">
        <v>24</v>
      </c>
      <c r="K18" s="12">
        <v>58</v>
      </c>
      <c r="L18" s="12">
        <v>56</v>
      </c>
      <c r="M18" s="12">
        <v>170</v>
      </c>
      <c r="N18" s="12">
        <v>105</v>
      </c>
      <c r="O18" s="12">
        <v>114</v>
      </c>
      <c r="P18" s="12">
        <v>74</v>
      </c>
      <c r="Q18" s="12">
        <v>49</v>
      </c>
      <c r="R18" s="12">
        <v>45</v>
      </c>
      <c r="S18" s="12">
        <v>58</v>
      </c>
      <c r="T18" s="12">
        <v>48</v>
      </c>
      <c r="U18" s="12">
        <v>12</v>
      </c>
      <c r="V18" s="12">
        <v>115</v>
      </c>
      <c r="W18" s="12">
        <v>38</v>
      </c>
      <c r="X18" s="12">
        <v>61</v>
      </c>
      <c r="Y18" s="12">
        <v>51</v>
      </c>
      <c r="Z18" s="12">
        <v>23</v>
      </c>
      <c r="AA18" s="12">
        <v>13</v>
      </c>
      <c r="AB18" s="12">
        <v>59</v>
      </c>
      <c r="AC18" s="12">
        <v>140</v>
      </c>
      <c r="AD18" s="12">
        <v>87</v>
      </c>
      <c r="AE18" s="12">
        <v>13</v>
      </c>
      <c r="AF18" s="12">
        <v>31</v>
      </c>
      <c r="AG18" s="12">
        <v>156</v>
      </c>
      <c r="AH18" s="12">
        <v>42</v>
      </c>
      <c r="AI18" s="12">
        <v>24</v>
      </c>
      <c r="AJ18" s="12">
        <v>181</v>
      </c>
      <c r="AK18" s="12">
        <v>119</v>
      </c>
      <c r="AL18" s="12">
        <v>130</v>
      </c>
      <c r="AM18" s="12">
        <v>120</v>
      </c>
      <c r="AN18" s="12">
        <v>93</v>
      </c>
      <c r="AO18" s="12">
        <v>63</v>
      </c>
      <c r="AP18" s="12">
        <v>63</v>
      </c>
      <c r="AQ18" s="12">
        <v>129</v>
      </c>
    </row>
    <row r="19" spans="1:43" x14ac:dyDescent="0.35">
      <c r="A19" s="19"/>
      <c r="B19" s="13" t="s">
        <v>1393</v>
      </c>
      <c r="C19" s="15">
        <v>7.0000000000000007E-2</v>
      </c>
      <c r="D19" s="15">
        <v>0.04</v>
      </c>
      <c r="E19" s="15">
        <v>0.13</v>
      </c>
      <c r="F19" s="15">
        <v>0.09</v>
      </c>
      <c r="G19" s="15">
        <v>0.01</v>
      </c>
      <c r="H19" s="15">
        <v>0.03</v>
      </c>
      <c r="I19" s="15">
        <v>0.04</v>
      </c>
      <c r="J19" s="15">
        <v>0.08</v>
      </c>
      <c r="K19" s="15">
        <v>0.06</v>
      </c>
      <c r="L19" s="15">
        <v>0.05</v>
      </c>
      <c r="M19" s="15">
        <v>0.17</v>
      </c>
      <c r="N19" s="15">
        <v>0.11</v>
      </c>
      <c r="O19" s="15">
        <v>0.11</v>
      </c>
      <c r="P19" s="15">
        <v>0.08</v>
      </c>
      <c r="Q19" s="15">
        <v>0.05</v>
      </c>
      <c r="R19" s="15">
        <v>0.09</v>
      </c>
      <c r="S19" s="15">
        <v>0.06</v>
      </c>
      <c r="T19" s="15">
        <v>0.05</v>
      </c>
      <c r="U19" s="15">
        <v>0.02</v>
      </c>
      <c r="V19" s="15">
        <v>0.11</v>
      </c>
      <c r="W19" s="15">
        <v>7.0000000000000007E-2</v>
      </c>
      <c r="X19" s="15">
        <v>0.06</v>
      </c>
      <c r="Y19" s="15">
        <v>0.05</v>
      </c>
      <c r="Z19" s="15">
        <v>0.02</v>
      </c>
      <c r="AA19" s="15">
        <v>0.01</v>
      </c>
      <c r="AB19" s="15">
        <v>0.06</v>
      </c>
      <c r="AC19" s="15">
        <v>0.14000000000000001</v>
      </c>
      <c r="AD19" s="15">
        <v>0.09</v>
      </c>
      <c r="AE19" s="15">
        <v>0.01</v>
      </c>
      <c r="AF19" s="15">
        <v>0.03</v>
      </c>
      <c r="AG19" s="15">
        <v>0.15</v>
      </c>
      <c r="AH19" s="15">
        <v>0.04</v>
      </c>
      <c r="AI19" s="15">
        <v>0.05</v>
      </c>
      <c r="AJ19" s="15">
        <v>0.17</v>
      </c>
      <c r="AK19" s="15">
        <v>0.12</v>
      </c>
      <c r="AL19" s="15">
        <v>0.13</v>
      </c>
      <c r="AM19" s="15">
        <v>0.12</v>
      </c>
      <c r="AN19" s="15">
        <v>0.09</v>
      </c>
      <c r="AO19" s="15">
        <v>0.06</v>
      </c>
      <c r="AP19" s="15">
        <v>0.12</v>
      </c>
      <c r="AQ19" s="15">
        <v>0.13</v>
      </c>
    </row>
    <row r="20" spans="1:43" x14ac:dyDescent="0.35">
      <c r="A20" s="19"/>
      <c r="B20" s="11" t="s">
        <v>1394</v>
      </c>
      <c r="C20" s="12">
        <v>322</v>
      </c>
      <c r="D20" s="12">
        <v>9</v>
      </c>
      <c r="E20" s="12">
        <v>9</v>
      </c>
      <c r="F20" s="12">
        <v>0</v>
      </c>
      <c r="G20" s="12">
        <v>5</v>
      </c>
      <c r="H20" s="12">
        <v>11</v>
      </c>
      <c r="I20" s="12">
        <v>11</v>
      </c>
      <c r="J20" s="12">
        <v>0</v>
      </c>
      <c r="K20" s="12">
        <v>18</v>
      </c>
      <c r="L20" s="12">
        <v>16</v>
      </c>
      <c r="M20" s="12">
        <v>3</v>
      </c>
      <c r="N20" s="12">
        <v>4</v>
      </c>
      <c r="O20" s="12">
        <v>14</v>
      </c>
      <c r="P20" s="12">
        <v>13</v>
      </c>
      <c r="Q20" s="12">
        <v>14</v>
      </c>
      <c r="R20" s="12">
        <v>1</v>
      </c>
      <c r="S20" s="12">
        <v>8</v>
      </c>
      <c r="T20" s="12">
        <v>9</v>
      </c>
      <c r="U20" s="12">
        <v>15</v>
      </c>
      <c r="V20" s="12">
        <v>2</v>
      </c>
      <c r="W20" s="12">
        <v>1</v>
      </c>
      <c r="X20" s="12">
        <v>1</v>
      </c>
      <c r="Y20" s="12">
        <v>13</v>
      </c>
      <c r="Z20" s="12">
        <v>56</v>
      </c>
      <c r="AA20" s="12">
        <v>2</v>
      </c>
      <c r="AB20" s="12">
        <v>11</v>
      </c>
      <c r="AC20" s="12">
        <v>12</v>
      </c>
      <c r="AD20" s="12">
        <v>6</v>
      </c>
      <c r="AE20" s="12">
        <v>2</v>
      </c>
      <c r="AF20" s="12">
        <v>1</v>
      </c>
      <c r="AG20" s="12">
        <v>2</v>
      </c>
      <c r="AH20" s="12">
        <v>1</v>
      </c>
      <c r="AI20" s="12">
        <v>1</v>
      </c>
      <c r="AJ20" s="12">
        <v>6</v>
      </c>
      <c r="AK20" s="12">
        <v>1</v>
      </c>
      <c r="AL20" s="12">
        <v>7</v>
      </c>
      <c r="AM20" s="12">
        <v>5</v>
      </c>
      <c r="AN20" s="12">
        <v>2</v>
      </c>
      <c r="AO20" s="12">
        <v>3</v>
      </c>
      <c r="AP20" s="12">
        <v>1</v>
      </c>
      <c r="AQ20" s="12">
        <v>4</v>
      </c>
    </row>
    <row r="21" spans="1:43" ht="21.5" x14ac:dyDescent="0.35">
      <c r="A21" s="19"/>
      <c r="B21" s="13" t="s">
        <v>1395</v>
      </c>
      <c r="C21" s="15">
        <v>0.01</v>
      </c>
      <c r="D21" s="15">
        <v>0.01</v>
      </c>
      <c r="E21" s="15">
        <v>0.01</v>
      </c>
      <c r="F21" s="14" t="s">
        <v>475</v>
      </c>
      <c r="G21" s="15">
        <v>0.01</v>
      </c>
      <c r="H21" s="15">
        <v>0.01</v>
      </c>
      <c r="I21" s="15">
        <v>0.01</v>
      </c>
      <c r="J21" s="14" t="s">
        <v>475</v>
      </c>
      <c r="K21" s="15">
        <v>0.02</v>
      </c>
      <c r="L21" s="15">
        <v>0.02</v>
      </c>
      <c r="M21" s="14" t="s">
        <v>475</v>
      </c>
      <c r="N21" s="14" t="s">
        <v>475</v>
      </c>
      <c r="O21" s="15">
        <v>0.02</v>
      </c>
      <c r="P21" s="15">
        <v>0.01</v>
      </c>
      <c r="Q21" s="15">
        <v>0.01</v>
      </c>
      <c r="R21" s="14" t="s">
        <v>475</v>
      </c>
      <c r="S21" s="15">
        <v>0.01</v>
      </c>
      <c r="T21" s="15">
        <v>0.01</v>
      </c>
      <c r="U21" s="15">
        <v>0.03</v>
      </c>
      <c r="V21" s="14" t="s">
        <v>475</v>
      </c>
      <c r="W21" s="14" t="s">
        <v>475</v>
      </c>
      <c r="X21" s="14" t="s">
        <v>475</v>
      </c>
      <c r="Y21" s="15">
        <v>0.01</v>
      </c>
      <c r="Z21" s="15">
        <v>0.05</v>
      </c>
      <c r="AA21" s="14" t="s">
        <v>475</v>
      </c>
      <c r="AB21" s="15">
        <v>0.01</v>
      </c>
      <c r="AC21" s="15">
        <v>0.01</v>
      </c>
      <c r="AD21" s="15">
        <v>0.01</v>
      </c>
      <c r="AE21" s="14" t="s">
        <v>475</v>
      </c>
      <c r="AF21" s="14" t="s">
        <v>475</v>
      </c>
      <c r="AG21" s="14" t="s">
        <v>475</v>
      </c>
      <c r="AH21" s="14" t="s">
        <v>475</v>
      </c>
      <c r="AI21" s="14" t="s">
        <v>475</v>
      </c>
      <c r="AJ21" s="15">
        <v>0.01</v>
      </c>
      <c r="AK21" s="14" t="s">
        <v>475</v>
      </c>
      <c r="AL21" s="15">
        <v>0.01</v>
      </c>
      <c r="AM21" s="14" t="s">
        <v>475</v>
      </c>
      <c r="AN21" s="14" t="s">
        <v>475</v>
      </c>
      <c r="AO21" s="14" t="s">
        <v>475</v>
      </c>
      <c r="AP21" s="14" t="s">
        <v>475</v>
      </c>
      <c r="AQ21" s="14" t="s">
        <v>475</v>
      </c>
    </row>
    <row r="22" spans="1:43" x14ac:dyDescent="0.35">
      <c r="A22" s="19"/>
      <c r="B22" s="11" t="s">
        <v>485</v>
      </c>
      <c r="C22" s="12">
        <v>370</v>
      </c>
      <c r="D22" s="12">
        <v>7</v>
      </c>
      <c r="E22" s="12">
        <v>21</v>
      </c>
      <c r="F22" s="12">
        <v>15</v>
      </c>
      <c r="G22" s="12">
        <v>9</v>
      </c>
      <c r="H22" s="12">
        <v>18</v>
      </c>
      <c r="I22" s="12">
        <v>19</v>
      </c>
      <c r="J22" s="12">
        <v>2</v>
      </c>
      <c r="K22" s="12">
        <v>19</v>
      </c>
      <c r="L22" s="12">
        <v>26</v>
      </c>
      <c r="M22" s="12">
        <v>3</v>
      </c>
      <c r="N22" s="12">
        <v>10</v>
      </c>
      <c r="O22" s="12">
        <v>10</v>
      </c>
      <c r="P22" s="12">
        <v>13</v>
      </c>
      <c r="Q22" s="12">
        <v>8</v>
      </c>
      <c r="R22" s="12">
        <v>18</v>
      </c>
      <c r="S22" s="12">
        <v>46</v>
      </c>
      <c r="T22" s="12">
        <v>14</v>
      </c>
      <c r="U22" s="12">
        <v>20</v>
      </c>
      <c r="V22" s="12">
        <v>4</v>
      </c>
      <c r="W22" s="12">
        <v>7</v>
      </c>
      <c r="X22" s="12">
        <v>5</v>
      </c>
      <c r="Y22" s="12">
        <v>8</v>
      </c>
      <c r="Z22" s="12">
        <v>35</v>
      </c>
      <c r="AA22" s="12">
        <v>40</v>
      </c>
      <c r="AB22" s="12">
        <v>35</v>
      </c>
      <c r="AC22" s="12">
        <v>1</v>
      </c>
      <c r="AD22" s="12">
        <v>7</v>
      </c>
      <c r="AE22" s="12">
        <v>18</v>
      </c>
      <c r="AF22" s="12">
        <v>7</v>
      </c>
      <c r="AG22" s="12">
        <v>6</v>
      </c>
      <c r="AH22" s="12">
        <v>3</v>
      </c>
      <c r="AI22" s="12">
        <v>7</v>
      </c>
      <c r="AJ22" s="12">
        <v>5</v>
      </c>
      <c r="AK22" s="12">
        <v>3</v>
      </c>
      <c r="AL22" s="12">
        <v>107</v>
      </c>
      <c r="AM22" s="12">
        <v>15</v>
      </c>
      <c r="AN22" s="12">
        <v>3</v>
      </c>
      <c r="AO22" s="12">
        <v>21</v>
      </c>
      <c r="AP22" s="12">
        <v>0</v>
      </c>
      <c r="AQ22" s="12">
        <v>58</v>
      </c>
    </row>
    <row r="23" spans="1:43" x14ac:dyDescent="0.35">
      <c r="A23" s="19"/>
      <c r="B23" s="13" t="s">
        <v>486</v>
      </c>
      <c r="C23" s="15">
        <v>0.01</v>
      </c>
      <c r="D23" s="15">
        <v>0.01</v>
      </c>
      <c r="E23" s="15">
        <v>0.02</v>
      </c>
      <c r="F23" s="15">
        <v>0.02</v>
      </c>
      <c r="G23" s="15">
        <v>0.01</v>
      </c>
      <c r="H23" s="15">
        <v>0.02</v>
      </c>
      <c r="I23" s="15">
        <v>0.01</v>
      </c>
      <c r="J23" s="14" t="s">
        <v>475</v>
      </c>
      <c r="K23" s="15">
        <v>0.02</v>
      </c>
      <c r="L23" s="15">
        <v>0.03</v>
      </c>
      <c r="M23" s="14" t="s">
        <v>475</v>
      </c>
      <c r="N23" s="15">
        <v>0.01</v>
      </c>
      <c r="O23" s="15">
        <v>0.01</v>
      </c>
      <c r="P23" s="15">
        <v>0.01</v>
      </c>
      <c r="Q23" s="15">
        <v>0.01</v>
      </c>
      <c r="R23" s="15">
        <v>0.04</v>
      </c>
      <c r="S23" s="15">
        <v>0.05</v>
      </c>
      <c r="T23" s="15">
        <v>0.01</v>
      </c>
      <c r="U23" s="15">
        <v>0.04</v>
      </c>
      <c r="V23" s="15">
        <v>0.01</v>
      </c>
      <c r="W23" s="15">
        <v>0.02</v>
      </c>
      <c r="X23" s="15">
        <v>0.01</v>
      </c>
      <c r="Y23" s="15">
        <v>0.01</v>
      </c>
      <c r="Z23" s="15">
        <v>0.04</v>
      </c>
      <c r="AA23" s="15">
        <v>0.04</v>
      </c>
      <c r="AB23" s="15">
        <v>0.03</v>
      </c>
      <c r="AC23" s="14" t="s">
        <v>475</v>
      </c>
      <c r="AD23" s="15">
        <v>0.01</v>
      </c>
      <c r="AE23" s="15">
        <v>0.02</v>
      </c>
      <c r="AF23" s="15">
        <v>0.01</v>
      </c>
      <c r="AG23" s="15">
        <v>0.01</v>
      </c>
      <c r="AH23" s="14" t="s">
        <v>475</v>
      </c>
      <c r="AI23" s="15">
        <v>0.01</v>
      </c>
      <c r="AJ23" s="15">
        <v>0.01</v>
      </c>
      <c r="AK23" s="14" t="s">
        <v>475</v>
      </c>
      <c r="AL23" s="15">
        <v>0.1</v>
      </c>
      <c r="AM23" s="15">
        <v>0.01</v>
      </c>
      <c r="AN23" s="14" t="s">
        <v>475</v>
      </c>
      <c r="AO23" s="15">
        <v>0.02</v>
      </c>
      <c r="AP23" s="14" t="s">
        <v>475</v>
      </c>
      <c r="AQ23" s="15">
        <v>0.06</v>
      </c>
    </row>
    <row r="24" spans="1:43" x14ac:dyDescent="0.35">
      <c r="A24" s="19"/>
      <c r="B24" s="11" t="s">
        <v>1056</v>
      </c>
      <c r="C24" s="12">
        <v>18114</v>
      </c>
      <c r="D24" s="12">
        <v>721</v>
      </c>
      <c r="E24" s="12">
        <v>685</v>
      </c>
      <c r="F24" s="12">
        <v>665</v>
      </c>
      <c r="G24" s="12">
        <v>918</v>
      </c>
      <c r="H24" s="12">
        <v>1004</v>
      </c>
      <c r="I24" s="12">
        <v>1210</v>
      </c>
      <c r="J24" s="12">
        <v>206</v>
      </c>
      <c r="K24" s="12">
        <v>726</v>
      </c>
      <c r="L24" s="12">
        <v>733</v>
      </c>
      <c r="M24" s="12">
        <v>371</v>
      </c>
      <c r="N24" s="12">
        <v>585</v>
      </c>
      <c r="O24" s="12">
        <v>573</v>
      </c>
      <c r="P24" s="12">
        <v>640</v>
      </c>
      <c r="Q24" s="12">
        <v>658</v>
      </c>
      <c r="R24" s="12">
        <v>315</v>
      </c>
      <c r="S24" s="12">
        <v>650</v>
      </c>
      <c r="T24" s="12">
        <v>706</v>
      </c>
      <c r="U24" s="12">
        <v>409</v>
      </c>
      <c r="V24" s="12">
        <v>598</v>
      </c>
      <c r="W24" s="12">
        <v>278</v>
      </c>
      <c r="X24" s="12">
        <v>824</v>
      </c>
      <c r="Y24" s="12">
        <v>784</v>
      </c>
      <c r="Z24" s="12">
        <v>728</v>
      </c>
      <c r="AA24" s="12">
        <v>883</v>
      </c>
      <c r="AB24" s="12">
        <v>731</v>
      </c>
      <c r="AC24" s="12">
        <v>590</v>
      </c>
      <c r="AD24" s="12">
        <v>690</v>
      </c>
      <c r="AE24" s="12">
        <v>918</v>
      </c>
      <c r="AF24" s="12">
        <v>946</v>
      </c>
      <c r="AG24" s="12">
        <v>640</v>
      </c>
      <c r="AH24" s="12">
        <v>725</v>
      </c>
      <c r="AI24" s="12">
        <v>392</v>
      </c>
      <c r="AJ24" s="12">
        <v>530</v>
      </c>
      <c r="AK24" s="12">
        <v>506</v>
      </c>
      <c r="AL24" s="12">
        <v>453</v>
      </c>
      <c r="AM24" s="12">
        <v>583</v>
      </c>
      <c r="AN24" s="12">
        <v>647</v>
      </c>
      <c r="AO24" s="12">
        <v>781</v>
      </c>
      <c r="AP24" s="12">
        <v>328</v>
      </c>
      <c r="AQ24" s="12">
        <v>665</v>
      </c>
    </row>
    <row r="25" spans="1:43" x14ac:dyDescent="0.35">
      <c r="A25" s="19"/>
      <c r="B25" s="13" t="s">
        <v>1057</v>
      </c>
      <c r="C25" s="15">
        <v>0.69000000000000006</v>
      </c>
      <c r="D25" s="15">
        <v>0.71</v>
      </c>
      <c r="E25" s="15">
        <v>0.66</v>
      </c>
      <c r="F25" s="15">
        <v>0.6</v>
      </c>
      <c r="G25" s="15">
        <v>0.91</v>
      </c>
      <c r="H25" s="15">
        <v>0.82000000000000006</v>
      </c>
      <c r="I25" s="15">
        <v>0.8</v>
      </c>
      <c r="J25" s="15">
        <v>0.70000000000000007</v>
      </c>
      <c r="K25" s="15">
        <v>0.72</v>
      </c>
      <c r="L25" s="15">
        <v>0.73</v>
      </c>
      <c r="M25" s="15">
        <v>0.37</v>
      </c>
      <c r="N25" s="15">
        <v>0.57999999999999996</v>
      </c>
      <c r="O25" s="15">
        <v>0.57000000000000006</v>
      </c>
      <c r="P25" s="15">
        <v>0.64</v>
      </c>
      <c r="Q25" s="15">
        <v>0.64</v>
      </c>
      <c r="R25" s="15">
        <v>0.62</v>
      </c>
      <c r="S25" s="15">
        <v>0.64</v>
      </c>
      <c r="T25" s="15">
        <v>0.70000000000000007</v>
      </c>
      <c r="U25" s="15">
        <v>0.81</v>
      </c>
      <c r="V25" s="15">
        <v>0.59</v>
      </c>
      <c r="W25" s="15">
        <v>0.55000000000000004</v>
      </c>
      <c r="X25" s="15">
        <v>0.81</v>
      </c>
      <c r="Y25" s="15">
        <v>0.78</v>
      </c>
      <c r="Z25" s="15">
        <v>0.71</v>
      </c>
      <c r="AA25" s="15">
        <v>0.86</v>
      </c>
      <c r="AB25" s="15">
        <v>0.70000000000000007</v>
      </c>
      <c r="AC25" s="15">
        <v>0.59</v>
      </c>
      <c r="AD25" s="15">
        <v>0.68</v>
      </c>
      <c r="AE25" s="15">
        <v>0.91</v>
      </c>
      <c r="AF25" s="15">
        <v>0.9</v>
      </c>
      <c r="AG25" s="15">
        <v>0.62</v>
      </c>
      <c r="AH25" s="15">
        <v>0.72</v>
      </c>
      <c r="AI25" s="15">
        <v>0.75</v>
      </c>
      <c r="AJ25" s="15">
        <v>0.51</v>
      </c>
      <c r="AK25" s="15">
        <v>0.5</v>
      </c>
      <c r="AL25" s="15">
        <v>0.45</v>
      </c>
      <c r="AM25" s="15">
        <v>0.56000000000000005</v>
      </c>
      <c r="AN25" s="15">
        <v>0.65</v>
      </c>
      <c r="AO25" s="15">
        <v>0.78</v>
      </c>
      <c r="AP25" s="15">
        <v>0.63</v>
      </c>
      <c r="AQ25" s="15">
        <v>0.66</v>
      </c>
    </row>
    <row r="26" spans="1:43" x14ac:dyDescent="0.35">
      <c r="A26" s="19"/>
      <c r="B26" s="11" t="s">
        <v>1058</v>
      </c>
      <c r="C26" s="12">
        <v>7639</v>
      </c>
      <c r="D26" s="12">
        <v>275</v>
      </c>
      <c r="E26" s="12">
        <v>316</v>
      </c>
      <c r="F26" s="12">
        <v>421</v>
      </c>
      <c r="G26" s="12">
        <v>73</v>
      </c>
      <c r="H26" s="12">
        <v>188</v>
      </c>
      <c r="I26" s="12">
        <v>275</v>
      </c>
      <c r="J26" s="12">
        <v>88</v>
      </c>
      <c r="K26" s="12">
        <v>238</v>
      </c>
      <c r="L26" s="12">
        <v>228</v>
      </c>
      <c r="M26" s="12">
        <v>633</v>
      </c>
      <c r="N26" s="12">
        <v>404</v>
      </c>
      <c r="O26" s="12">
        <v>404</v>
      </c>
      <c r="P26" s="12">
        <v>338</v>
      </c>
      <c r="Q26" s="12">
        <v>347</v>
      </c>
      <c r="R26" s="12">
        <v>171</v>
      </c>
      <c r="S26" s="12">
        <v>298</v>
      </c>
      <c r="T26" s="12">
        <v>277</v>
      </c>
      <c r="U26" s="12">
        <v>61</v>
      </c>
      <c r="V26" s="12">
        <v>411</v>
      </c>
      <c r="W26" s="12">
        <v>221</v>
      </c>
      <c r="X26" s="12">
        <v>180</v>
      </c>
      <c r="Y26" s="12">
        <v>198</v>
      </c>
      <c r="Z26" s="12">
        <v>212</v>
      </c>
      <c r="AA26" s="12">
        <v>109</v>
      </c>
      <c r="AB26" s="12">
        <v>274</v>
      </c>
      <c r="AC26" s="12">
        <v>400</v>
      </c>
      <c r="AD26" s="12">
        <v>302</v>
      </c>
      <c r="AE26" s="12">
        <v>75</v>
      </c>
      <c r="AF26" s="12">
        <v>89</v>
      </c>
      <c r="AG26" s="12">
        <v>386</v>
      </c>
      <c r="AH26" s="12">
        <v>284</v>
      </c>
      <c r="AI26" s="12">
        <v>123</v>
      </c>
      <c r="AJ26" s="12">
        <v>496</v>
      </c>
      <c r="AK26" s="12">
        <v>498</v>
      </c>
      <c r="AL26" s="12">
        <v>446</v>
      </c>
      <c r="AM26" s="12">
        <v>437</v>
      </c>
      <c r="AN26" s="12">
        <v>350</v>
      </c>
      <c r="AO26" s="12">
        <v>199</v>
      </c>
      <c r="AP26" s="12">
        <v>194</v>
      </c>
      <c r="AQ26" s="12">
        <v>274</v>
      </c>
    </row>
    <row r="27" spans="1:43" x14ac:dyDescent="0.35">
      <c r="A27" s="19"/>
      <c r="B27" s="13" t="s">
        <v>1059</v>
      </c>
      <c r="C27" s="15">
        <v>0.28999999999999998</v>
      </c>
      <c r="D27" s="15">
        <v>0.27</v>
      </c>
      <c r="E27" s="15">
        <v>0.31</v>
      </c>
      <c r="F27" s="15">
        <v>0.38</v>
      </c>
      <c r="G27" s="15">
        <v>7.0000000000000007E-2</v>
      </c>
      <c r="H27" s="15">
        <v>0.15</v>
      </c>
      <c r="I27" s="15">
        <v>0.18</v>
      </c>
      <c r="J27" s="15">
        <v>0.3</v>
      </c>
      <c r="K27" s="15">
        <v>0.24</v>
      </c>
      <c r="L27" s="15">
        <v>0.22</v>
      </c>
      <c r="M27" s="15">
        <v>0.63</v>
      </c>
      <c r="N27" s="15">
        <v>0.41</v>
      </c>
      <c r="O27" s="15">
        <v>0.4</v>
      </c>
      <c r="P27" s="15">
        <v>0.34</v>
      </c>
      <c r="Q27" s="15">
        <v>0.34</v>
      </c>
      <c r="R27" s="15">
        <v>0.34</v>
      </c>
      <c r="S27" s="15">
        <v>0.3</v>
      </c>
      <c r="T27" s="15">
        <v>0.28000000000000003</v>
      </c>
      <c r="U27" s="15">
        <v>0.12</v>
      </c>
      <c r="V27" s="15">
        <v>0.4</v>
      </c>
      <c r="W27" s="15">
        <v>0.43</v>
      </c>
      <c r="X27" s="15">
        <v>0.18</v>
      </c>
      <c r="Y27" s="15">
        <v>0.2</v>
      </c>
      <c r="Z27" s="15">
        <v>0.2</v>
      </c>
      <c r="AA27" s="15">
        <v>0.1</v>
      </c>
      <c r="AB27" s="15">
        <v>0.26</v>
      </c>
      <c r="AC27" s="15">
        <v>0.4</v>
      </c>
      <c r="AD27" s="15">
        <v>0.3</v>
      </c>
      <c r="AE27" s="15">
        <v>7.0000000000000007E-2</v>
      </c>
      <c r="AF27" s="15">
        <v>0.09</v>
      </c>
      <c r="AG27" s="15">
        <v>0.37</v>
      </c>
      <c r="AH27" s="15">
        <v>0.28000000000000003</v>
      </c>
      <c r="AI27" s="15">
        <v>0.24</v>
      </c>
      <c r="AJ27" s="15">
        <v>0.47</v>
      </c>
      <c r="AK27" s="15">
        <v>0.5</v>
      </c>
      <c r="AL27" s="15">
        <v>0.44</v>
      </c>
      <c r="AM27" s="15">
        <v>0.43</v>
      </c>
      <c r="AN27" s="15">
        <v>0.35</v>
      </c>
      <c r="AO27" s="15">
        <v>0.2</v>
      </c>
      <c r="AP27" s="15">
        <v>0.37</v>
      </c>
      <c r="AQ27" s="15">
        <v>0.28000000000000003</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1396</v>
      </c>
      <c r="C3" s="18"/>
      <c r="D3" s="18"/>
      <c r="E3" s="18"/>
      <c r="F3" s="18"/>
      <c r="H3" s="18" t="s">
        <v>1397</v>
      </c>
      <c r="I3" s="18"/>
      <c r="J3" s="18"/>
      <c r="K3" s="18"/>
      <c r="L3" s="18"/>
    </row>
    <row r="4" spans="1:43" ht="27" customHeight="1" x14ac:dyDescent="0.35">
      <c r="B4" s="18" t="s">
        <v>1398</v>
      </c>
      <c r="C4" s="18"/>
      <c r="D4" s="18"/>
      <c r="E4" s="18"/>
      <c r="F4" s="18"/>
      <c r="H4" s="18" t="s">
        <v>1399</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HYPERLINK("#Content!A169","&lt;&lt;Back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1048</v>
      </c>
      <c r="C12" s="12">
        <v>4815</v>
      </c>
      <c r="D12" s="12">
        <v>123</v>
      </c>
      <c r="E12" s="12">
        <v>225</v>
      </c>
      <c r="F12" s="12">
        <v>180</v>
      </c>
      <c r="G12" s="12">
        <v>327</v>
      </c>
      <c r="H12" s="12">
        <v>246</v>
      </c>
      <c r="I12" s="12">
        <v>301</v>
      </c>
      <c r="J12" s="12">
        <v>55</v>
      </c>
      <c r="K12" s="12">
        <v>194</v>
      </c>
      <c r="L12" s="12">
        <v>185</v>
      </c>
      <c r="M12" s="12">
        <v>111</v>
      </c>
      <c r="N12" s="12">
        <v>186</v>
      </c>
      <c r="O12" s="12">
        <v>157</v>
      </c>
      <c r="P12" s="12">
        <v>133</v>
      </c>
      <c r="Q12" s="12">
        <v>127</v>
      </c>
      <c r="R12" s="12">
        <v>90</v>
      </c>
      <c r="S12" s="12">
        <v>143</v>
      </c>
      <c r="T12" s="12">
        <v>192</v>
      </c>
      <c r="U12" s="12">
        <v>69</v>
      </c>
      <c r="V12" s="12">
        <v>187</v>
      </c>
      <c r="W12" s="12">
        <v>83</v>
      </c>
      <c r="X12" s="12">
        <v>280</v>
      </c>
      <c r="Y12" s="12">
        <v>292</v>
      </c>
      <c r="Z12" s="12">
        <v>166</v>
      </c>
      <c r="AA12" s="12">
        <v>166</v>
      </c>
      <c r="AB12" s="12">
        <v>258</v>
      </c>
      <c r="AC12" s="12">
        <v>153</v>
      </c>
      <c r="AD12" s="12">
        <v>185</v>
      </c>
      <c r="AE12" s="12">
        <v>361</v>
      </c>
      <c r="AF12" s="12">
        <v>261</v>
      </c>
      <c r="AG12" s="12">
        <v>198</v>
      </c>
      <c r="AH12" s="12">
        <v>129</v>
      </c>
      <c r="AI12" s="12">
        <v>100</v>
      </c>
      <c r="AJ12" s="12">
        <v>270</v>
      </c>
      <c r="AK12" s="12">
        <v>65</v>
      </c>
      <c r="AL12" s="12">
        <v>159</v>
      </c>
      <c r="AM12" s="12">
        <v>121</v>
      </c>
      <c r="AN12" s="12">
        <v>118</v>
      </c>
      <c r="AO12" s="12">
        <v>389</v>
      </c>
      <c r="AP12" s="12">
        <v>104</v>
      </c>
      <c r="AQ12" s="12">
        <v>151</v>
      </c>
    </row>
    <row r="13" spans="1:43" x14ac:dyDescent="0.35">
      <c r="A13" s="19"/>
      <c r="B13" s="13" t="s">
        <v>1049</v>
      </c>
      <c r="C13" s="15">
        <v>0.18</v>
      </c>
      <c r="D13" s="15">
        <v>0.12</v>
      </c>
      <c r="E13" s="15">
        <v>0.22</v>
      </c>
      <c r="F13" s="15">
        <v>0.16</v>
      </c>
      <c r="G13" s="15">
        <v>0.32</v>
      </c>
      <c r="H13" s="15">
        <v>0.2</v>
      </c>
      <c r="I13" s="15">
        <v>0.2</v>
      </c>
      <c r="J13" s="15">
        <v>0.19</v>
      </c>
      <c r="K13" s="15">
        <v>0.19</v>
      </c>
      <c r="L13" s="15">
        <v>0.19</v>
      </c>
      <c r="M13" s="15">
        <v>0.11</v>
      </c>
      <c r="N13" s="15">
        <v>0.19</v>
      </c>
      <c r="O13" s="15">
        <v>0.16</v>
      </c>
      <c r="P13" s="15">
        <v>0.13</v>
      </c>
      <c r="Q13" s="15">
        <v>0.12</v>
      </c>
      <c r="R13" s="15">
        <v>0.18</v>
      </c>
      <c r="S13" s="15">
        <v>0.14000000000000001</v>
      </c>
      <c r="T13" s="15">
        <v>0.19</v>
      </c>
      <c r="U13" s="15">
        <v>0.14000000000000001</v>
      </c>
      <c r="V13" s="15">
        <v>0.18</v>
      </c>
      <c r="W13" s="15">
        <v>0.16</v>
      </c>
      <c r="X13" s="15">
        <v>0.28000000000000003</v>
      </c>
      <c r="Y13" s="15">
        <v>0.28999999999999998</v>
      </c>
      <c r="Z13" s="15">
        <v>0.16</v>
      </c>
      <c r="AA13" s="15">
        <v>0.16</v>
      </c>
      <c r="AB13" s="15">
        <v>0.25</v>
      </c>
      <c r="AC13" s="15">
        <v>0.15</v>
      </c>
      <c r="AD13" s="15">
        <v>0.18</v>
      </c>
      <c r="AE13" s="15">
        <v>0.36</v>
      </c>
      <c r="AF13" s="15">
        <v>0.25</v>
      </c>
      <c r="AG13" s="15">
        <v>0.19</v>
      </c>
      <c r="AH13" s="15">
        <v>0.13</v>
      </c>
      <c r="AI13" s="15">
        <v>0.19</v>
      </c>
      <c r="AJ13" s="15">
        <v>0.26</v>
      </c>
      <c r="AK13" s="15">
        <v>7.0000000000000007E-2</v>
      </c>
      <c r="AL13" s="15">
        <v>0.16</v>
      </c>
      <c r="AM13" s="15">
        <v>0.12</v>
      </c>
      <c r="AN13" s="15">
        <v>0.12</v>
      </c>
      <c r="AO13" s="15">
        <v>0.39</v>
      </c>
      <c r="AP13" s="15">
        <v>0.2</v>
      </c>
      <c r="AQ13" s="15">
        <v>0.15</v>
      </c>
    </row>
    <row r="14" spans="1:43" ht="21.5" x14ac:dyDescent="0.35">
      <c r="A14" s="19"/>
      <c r="B14" s="11" t="s">
        <v>1391</v>
      </c>
      <c r="C14" s="12">
        <v>14449</v>
      </c>
      <c r="D14" s="12">
        <v>585</v>
      </c>
      <c r="E14" s="12">
        <v>490</v>
      </c>
      <c r="F14" s="12">
        <v>580</v>
      </c>
      <c r="G14" s="12">
        <v>540</v>
      </c>
      <c r="H14" s="12">
        <v>717</v>
      </c>
      <c r="I14" s="12">
        <v>881</v>
      </c>
      <c r="J14" s="12">
        <v>164</v>
      </c>
      <c r="K14" s="12">
        <v>539</v>
      </c>
      <c r="L14" s="12">
        <v>555</v>
      </c>
      <c r="M14" s="12">
        <v>422</v>
      </c>
      <c r="N14" s="12">
        <v>517</v>
      </c>
      <c r="O14" s="12">
        <v>483</v>
      </c>
      <c r="P14" s="12">
        <v>568</v>
      </c>
      <c r="Q14" s="12">
        <v>642</v>
      </c>
      <c r="R14" s="12">
        <v>263</v>
      </c>
      <c r="S14" s="12">
        <v>494</v>
      </c>
      <c r="T14" s="12">
        <v>577</v>
      </c>
      <c r="U14" s="12">
        <v>288</v>
      </c>
      <c r="V14" s="12">
        <v>505</v>
      </c>
      <c r="W14" s="12">
        <v>320</v>
      </c>
      <c r="X14" s="12">
        <v>535</v>
      </c>
      <c r="Y14" s="12">
        <v>468</v>
      </c>
      <c r="Z14" s="12">
        <v>610</v>
      </c>
      <c r="AA14" s="12">
        <v>585</v>
      </c>
      <c r="AB14" s="12">
        <v>549</v>
      </c>
      <c r="AC14" s="12">
        <v>515</v>
      </c>
      <c r="AD14" s="12">
        <v>582</v>
      </c>
      <c r="AE14" s="12">
        <v>537</v>
      </c>
      <c r="AF14" s="12">
        <v>546</v>
      </c>
      <c r="AG14" s="12">
        <v>431</v>
      </c>
      <c r="AH14" s="12">
        <v>616</v>
      </c>
      <c r="AI14" s="12">
        <v>275</v>
      </c>
      <c r="AJ14" s="12">
        <v>343</v>
      </c>
      <c r="AK14" s="12">
        <v>513</v>
      </c>
      <c r="AL14" s="12">
        <v>371</v>
      </c>
      <c r="AM14" s="12">
        <v>542</v>
      </c>
      <c r="AN14" s="12">
        <v>517</v>
      </c>
      <c r="AO14" s="12">
        <v>420</v>
      </c>
      <c r="AP14" s="12">
        <v>212</v>
      </c>
      <c r="AQ14" s="12">
        <v>526</v>
      </c>
    </row>
    <row r="15" spans="1:43" x14ac:dyDescent="0.35">
      <c r="A15" s="19"/>
      <c r="B15" s="13" t="s">
        <v>1051</v>
      </c>
      <c r="C15" s="15">
        <v>0.55000000000000004</v>
      </c>
      <c r="D15" s="15">
        <v>0.57999999999999996</v>
      </c>
      <c r="E15" s="15">
        <v>0.48</v>
      </c>
      <c r="F15" s="15">
        <v>0.53</v>
      </c>
      <c r="G15" s="15">
        <v>0.54</v>
      </c>
      <c r="H15" s="15">
        <v>0.59</v>
      </c>
      <c r="I15" s="15">
        <v>0.57999999999999996</v>
      </c>
      <c r="J15" s="15">
        <v>0.56000000000000005</v>
      </c>
      <c r="K15" s="15">
        <v>0.54</v>
      </c>
      <c r="L15" s="15">
        <v>0.55000000000000004</v>
      </c>
      <c r="M15" s="15">
        <v>0.42</v>
      </c>
      <c r="N15" s="15">
        <v>0.52</v>
      </c>
      <c r="O15" s="15">
        <v>0.48</v>
      </c>
      <c r="P15" s="15">
        <v>0.57000000000000006</v>
      </c>
      <c r="Q15" s="15">
        <v>0.63</v>
      </c>
      <c r="R15" s="15">
        <v>0.52</v>
      </c>
      <c r="S15" s="15">
        <v>0.49</v>
      </c>
      <c r="T15" s="15">
        <v>0.57000000000000006</v>
      </c>
      <c r="U15" s="15">
        <v>0.57000000000000006</v>
      </c>
      <c r="V15" s="15">
        <v>0.5</v>
      </c>
      <c r="W15" s="15">
        <v>0.63</v>
      </c>
      <c r="X15" s="15">
        <v>0.53</v>
      </c>
      <c r="Y15" s="15">
        <v>0.47</v>
      </c>
      <c r="Z15" s="15">
        <v>0.59</v>
      </c>
      <c r="AA15" s="15">
        <v>0.57000000000000006</v>
      </c>
      <c r="AB15" s="15">
        <v>0.52</v>
      </c>
      <c r="AC15" s="15">
        <v>0.51</v>
      </c>
      <c r="AD15" s="15">
        <v>0.57999999999999996</v>
      </c>
      <c r="AE15" s="15">
        <v>0.53</v>
      </c>
      <c r="AF15" s="15">
        <v>0.52</v>
      </c>
      <c r="AG15" s="15">
        <v>0.42</v>
      </c>
      <c r="AH15" s="15">
        <v>0.61</v>
      </c>
      <c r="AI15" s="15">
        <v>0.53</v>
      </c>
      <c r="AJ15" s="15">
        <v>0.33</v>
      </c>
      <c r="AK15" s="15">
        <v>0.51</v>
      </c>
      <c r="AL15" s="15">
        <v>0.37</v>
      </c>
      <c r="AM15" s="15">
        <v>0.52</v>
      </c>
      <c r="AN15" s="15">
        <v>0.51</v>
      </c>
      <c r="AO15" s="15">
        <v>0.42</v>
      </c>
      <c r="AP15" s="15">
        <v>0.41</v>
      </c>
      <c r="AQ15" s="15">
        <v>0.53</v>
      </c>
    </row>
    <row r="16" spans="1:43" x14ac:dyDescent="0.35">
      <c r="A16" s="19"/>
      <c r="B16" s="11" t="s">
        <v>1392</v>
      </c>
      <c r="C16" s="12">
        <v>5138</v>
      </c>
      <c r="D16" s="12">
        <v>247</v>
      </c>
      <c r="E16" s="12">
        <v>148</v>
      </c>
      <c r="F16" s="12">
        <v>258</v>
      </c>
      <c r="G16" s="12">
        <v>106</v>
      </c>
      <c r="H16" s="12">
        <v>185</v>
      </c>
      <c r="I16" s="12">
        <v>236</v>
      </c>
      <c r="J16" s="12">
        <v>51</v>
      </c>
      <c r="K16" s="12">
        <v>173</v>
      </c>
      <c r="L16" s="12">
        <v>181</v>
      </c>
      <c r="M16" s="12">
        <v>354</v>
      </c>
      <c r="N16" s="12">
        <v>213</v>
      </c>
      <c r="O16" s="12">
        <v>260</v>
      </c>
      <c r="P16" s="12">
        <v>243</v>
      </c>
      <c r="Q16" s="12">
        <v>196</v>
      </c>
      <c r="R16" s="12">
        <v>95</v>
      </c>
      <c r="S16" s="12">
        <v>262</v>
      </c>
      <c r="T16" s="12">
        <v>180</v>
      </c>
      <c r="U16" s="12">
        <v>94</v>
      </c>
      <c r="V16" s="12">
        <v>242</v>
      </c>
      <c r="W16" s="12">
        <v>77</v>
      </c>
      <c r="X16" s="12">
        <v>126</v>
      </c>
      <c r="Y16" s="12">
        <v>171</v>
      </c>
      <c r="Z16" s="12">
        <v>162</v>
      </c>
      <c r="AA16" s="12">
        <v>231</v>
      </c>
      <c r="AB16" s="12">
        <v>161</v>
      </c>
      <c r="AC16" s="12">
        <v>235</v>
      </c>
      <c r="AD16" s="12">
        <v>166</v>
      </c>
      <c r="AE16" s="12">
        <v>89</v>
      </c>
      <c r="AF16" s="12">
        <v>176</v>
      </c>
      <c r="AG16" s="12">
        <v>208</v>
      </c>
      <c r="AH16" s="12">
        <v>202</v>
      </c>
      <c r="AI16" s="12">
        <v>105</v>
      </c>
      <c r="AJ16" s="12">
        <v>262</v>
      </c>
      <c r="AK16" s="12">
        <v>319</v>
      </c>
      <c r="AL16" s="12">
        <v>263</v>
      </c>
      <c r="AM16" s="12">
        <v>273</v>
      </c>
      <c r="AN16" s="12">
        <v>259</v>
      </c>
      <c r="AO16" s="12">
        <v>114</v>
      </c>
      <c r="AP16" s="12">
        <v>148</v>
      </c>
      <c r="AQ16" s="12">
        <v>130</v>
      </c>
    </row>
    <row r="17" spans="1:43" x14ac:dyDescent="0.35">
      <c r="A17" s="19"/>
      <c r="B17" s="13" t="s">
        <v>1053</v>
      </c>
      <c r="C17" s="15">
        <v>0.2</v>
      </c>
      <c r="D17" s="15">
        <v>0.24</v>
      </c>
      <c r="E17" s="15">
        <v>0.14000000000000001</v>
      </c>
      <c r="F17" s="15">
        <v>0.23</v>
      </c>
      <c r="G17" s="15">
        <v>0.11</v>
      </c>
      <c r="H17" s="15">
        <v>0.15</v>
      </c>
      <c r="I17" s="15">
        <v>0.16</v>
      </c>
      <c r="J17" s="15">
        <v>0.17</v>
      </c>
      <c r="K17" s="15">
        <v>0.17</v>
      </c>
      <c r="L17" s="15">
        <v>0.18</v>
      </c>
      <c r="M17" s="15">
        <v>0.35</v>
      </c>
      <c r="N17" s="15">
        <v>0.21</v>
      </c>
      <c r="O17" s="15">
        <v>0.26</v>
      </c>
      <c r="P17" s="15">
        <v>0.24</v>
      </c>
      <c r="Q17" s="15">
        <v>0.19</v>
      </c>
      <c r="R17" s="15">
        <v>0.19</v>
      </c>
      <c r="S17" s="15">
        <v>0.26</v>
      </c>
      <c r="T17" s="15">
        <v>0.18</v>
      </c>
      <c r="U17" s="15">
        <v>0.18</v>
      </c>
      <c r="V17" s="15">
        <v>0.24</v>
      </c>
      <c r="W17" s="15">
        <v>0.15</v>
      </c>
      <c r="X17" s="15">
        <v>0.12</v>
      </c>
      <c r="Y17" s="15">
        <v>0.17</v>
      </c>
      <c r="Z17" s="15">
        <v>0.16</v>
      </c>
      <c r="AA17" s="15">
        <v>0.22</v>
      </c>
      <c r="AB17" s="15">
        <v>0.15</v>
      </c>
      <c r="AC17" s="15">
        <v>0.24</v>
      </c>
      <c r="AD17" s="15">
        <v>0.16</v>
      </c>
      <c r="AE17" s="15">
        <v>0.09</v>
      </c>
      <c r="AF17" s="15">
        <v>0.17</v>
      </c>
      <c r="AG17" s="15">
        <v>0.2</v>
      </c>
      <c r="AH17" s="15">
        <v>0.2</v>
      </c>
      <c r="AI17" s="15">
        <v>0.2</v>
      </c>
      <c r="AJ17" s="15">
        <v>0.25</v>
      </c>
      <c r="AK17" s="15">
        <v>0.32</v>
      </c>
      <c r="AL17" s="15">
        <v>0.26</v>
      </c>
      <c r="AM17" s="15">
        <v>0.26</v>
      </c>
      <c r="AN17" s="15">
        <v>0.26</v>
      </c>
      <c r="AO17" s="15">
        <v>0.11</v>
      </c>
      <c r="AP17" s="15">
        <v>0.28000000000000003</v>
      </c>
      <c r="AQ17" s="15">
        <v>0.13</v>
      </c>
    </row>
    <row r="18" spans="1:43" x14ac:dyDescent="0.35">
      <c r="A18" s="19"/>
      <c r="B18" s="11" t="s">
        <v>1054</v>
      </c>
      <c r="C18" s="12">
        <v>1392</v>
      </c>
      <c r="D18" s="12">
        <v>45</v>
      </c>
      <c r="E18" s="12">
        <v>138</v>
      </c>
      <c r="F18" s="12">
        <v>63</v>
      </c>
      <c r="G18" s="12">
        <v>14</v>
      </c>
      <c r="H18" s="12">
        <v>41</v>
      </c>
      <c r="I18" s="12">
        <v>64</v>
      </c>
      <c r="J18" s="12">
        <v>23</v>
      </c>
      <c r="K18" s="12">
        <v>55</v>
      </c>
      <c r="L18" s="12">
        <v>44</v>
      </c>
      <c r="M18" s="12">
        <v>119</v>
      </c>
      <c r="N18" s="12">
        <v>67</v>
      </c>
      <c r="O18" s="12">
        <v>78</v>
      </c>
      <c r="P18" s="12">
        <v>36</v>
      </c>
      <c r="Q18" s="12">
        <v>44</v>
      </c>
      <c r="R18" s="12">
        <v>34</v>
      </c>
      <c r="S18" s="12">
        <v>46</v>
      </c>
      <c r="T18" s="12">
        <v>35</v>
      </c>
      <c r="U18" s="12">
        <v>16</v>
      </c>
      <c r="V18" s="12">
        <v>77</v>
      </c>
      <c r="W18" s="12">
        <v>22</v>
      </c>
      <c r="X18" s="12">
        <v>57</v>
      </c>
      <c r="Y18" s="12">
        <v>50</v>
      </c>
      <c r="Z18" s="12">
        <v>25</v>
      </c>
      <c r="AA18" s="12">
        <v>9</v>
      </c>
      <c r="AB18" s="12">
        <v>40</v>
      </c>
      <c r="AC18" s="12">
        <v>81</v>
      </c>
      <c r="AD18" s="12">
        <v>61</v>
      </c>
      <c r="AE18" s="12">
        <v>17</v>
      </c>
      <c r="AF18" s="12">
        <v>51</v>
      </c>
      <c r="AG18" s="12">
        <v>188</v>
      </c>
      <c r="AH18" s="12">
        <v>55</v>
      </c>
      <c r="AI18" s="12">
        <v>25</v>
      </c>
      <c r="AJ18" s="12">
        <v>153</v>
      </c>
      <c r="AK18" s="12">
        <v>103</v>
      </c>
      <c r="AL18" s="12">
        <v>95</v>
      </c>
      <c r="AM18" s="12">
        <v>79</v>
      </c>
      <c r="AN18" s="12">
        <v>99</v>
      </c>
      <c r="AO18" s="12">
        <v>33</v>
      </c>
      <c r="AP18" s="12">
        <v>58</v>
      </c>
      <c r="AQ18" s="12">
        <v>120</v>
      </c>
    </row>
    <row r="19" spans="1:43" x14ac:dyDescent="0.35">
      <c r="A19" s="19"/>
      <c r="B19" s="13" t="s">
        <v>1393</v>
      </c>
      <c r="C19" s="15">
        <v>0.05</v>
      </c>
      <c r="D19" s="15">
        <v>0.05</v>
      </c>
      <c r="E19" s="15">
        <v>0.13</v>
      </c>
      <c r="F19" s="15">
        <v>0.06</v>
      </c>
      <c r="G19" s="15">
        <v>0.01</v>
      </c>
      <c r="H19" s="15">
        <v>0.03</v>
      </c>
      <c r="I19" s="15">
        <v>0.04</v>
      </c>
      <c r="J19" s="15">
        <v>0.08</v>
      </c>
      <c r="K19" s="15">
        <v>0.06</v>
      </c>
      <c r="L19" s="15">
        <v>0.04</v>
      </c>
      <c r="M19" s="15">
        <v>0.12</v>
      </c>
      <c r="N19" s="15">
        <v>7.0000000000000007E-2</v>
      </c>
      <c r="O19" s="15">
        <v>0.08</v>
      </c>
      <c r="P19" s="15">
        <v>0.04</v>
      </c>
      <c r="Q19" s="15">
        <v>0.04</v>
      </c>
      <c r="R19" s="15">
        <v>7.0000000000000007E-2</v>
      </c>
      <c r="S19" s="15">
        <v>0.05</v>
      </c>
      <c r="T19" s="15">
        <v>0.04</v>
      </c>
      <c r="U19" s="15">
        <v>0.03</v>
      </c>
      <c r="V19" s="15">
        <v>0.08</v>
      </c>
      <c r="W19" s="15">
        <v>0.05</v>
      </c>
      <c r="X19" s="15">
        <v>0.06</v>
      </c>
      <c r="Y19" s="15">
        <v>0.05</v>
      </c>
      <c r="Z19" s="15">
        <v>0.02</v>
      </c>
      <c r="AA19" s="15">
        <v>0.01</v>
      </c>
      <c r="AB19" s="15">
        <v>0.04</v>
      </c>
      <c r="AC19" s="15">
        <v>0.08</v>
      </c>
      <c r="AD19" s="15">
        <v>0.06</v>
      </c>
      <c r="AE19" s="15">
        <v>0.01</v>
      </c>
      <c r="AF19" s="15">
        <v>0.05</v>
      </c>
      <c r="AG19" s="15">
        <v>0.18</v>
      </c>
      <c r="AH19" s="15">
        <v>0.05</v>
      </c>
      <c r="AI19" s="15">
        <v>0.05</v>
      </c>
      <c r="AJ19" s="15">
        <v>0.15</v>
      </c>
      <c r="AK19" s="15">
        <v>0.1</v>
      </c>
      <c r="AL19" s="15">
        <v>0.09</v>
      </c>
      <c r="AM19" s="15">
        <v>0.08</v>
      </c>
      <c r="AN19" s="15">
        <v>0.1</v>
      </c>
      <c r="AO19" s="15">
        <v>0.03</v>
      </c>
      <c r="AP19" s="15">
        <v>0.11</v>
      </c>
      <c r="AQ19" s="15">
        <v>0.12</v>
      </c>
    </row>
    <row r="20" spans="1:43" x14ac:dyDescent="0.35">
      <c r="A20" s="19"/>
      <c r="B20" s="11" t="s">
        <v>1394</v>
      </c>
      <c r="C20" s="12">
        <v>304</v>
      </c>
      <c r="D20" s="12">
        <v>4</v>
      </c>
      <c r="E20" s="12">
        <v>11</v>
      </c>
      <c r="F20" s="12">
        <v>2</v>
      </c>
      <c r="G20" s="12">
        <v>4</v>
      </c>
      <c r="H20" s="12">
        <v>17</v>
      </c>
      <c r="I20" s="12">
        <v>17</v>
      </c>
      <c r="J20" s="12">
        <v>0</v>
      </c>
      <c r="K20" s="12">
        <v>19</v>
      </c>
      <c r="L20" s="12">
        <v>10</v>
      </c>
      <c r="M20" s="12">
        <v>3</v>
      </c>
      <c r="N20" s="12">
        <v>4</v>
      </c>
      <c r="O20" s="12">
        <v>10</v>
      </c>
      <c r="P20" s="12">
        <v>10</v>
      </c>
      <c r="Q20" s="12">
        <v>11</v>
      </c>
      <c r="R20" s="12">
        <v>3</v>
      </c>
      <c r="S20" s="12">
        <v>13</v>
      </c>
      <c r="T20" s="12">
        <v>9</v>
      </c>
      <c r="U20" s="12">
        <v>4</v>
      </c>
      <c r="V20" s="12">
        <v>2</v>
      </c>
      <c r="W20" s="12">
        <v>0</v>
      </c>
      <c r="X20" s="12">
        <v>5</v>
      </c>
      <c r="Y20" s="12">
        <v>9</v>
      </c>
      <c r="Z20" s="12">
        <v>52</v>
      </c>
      <c r="AA20" s="12">
        <v>5</v>
      </c>
      <c r="AB20" s="12">
        <v>10</v>
      </c>
      <c r="AC20" s="12">
        <v>10</v>
      </c>
      <c r="AD20" s="12">
        <v>5</v>
      </c>
      <c r="AE20" s="12">
        <v>1</v>
      </c>
      <c r="AF20" s="12">
        <v>2</v>
      </c>
      <c r="AG20" s="12">
        <v>4</v>
      </c>
      <c r="AH20" s="12">
        <v>3</v>
      </c>
      <c r="AI20" s="12">
        <v>6</v>
      </c>
      <c r="AJ20" s="12">
        <v>5</v>
      </c>
      <c r="AK20" s="12">
        <v>4</v>
      </c>
      <c r="AL20" s="12">
        <v>6</v>
      </c>
      <c r="AM20" s="12">
        <v>3</v>
      </c>
      <c r="AN20" s="12">
        <v>7</v>
      </c>
      <c r="AO20" s="12">
        <v>4</v>
      </c>
      <c r="AP20" s="12">
        <v>1</v>
      </c>
      <c r="AQ20" s="12">
        <v>2</v>
      </c>
    </row>
    <row r="21" spans="1:43" ht="21.5" x14ac:dyDescent="0.35">
      <c r="A21" s="19"/>
      <c r="B21" s="13" t="s">
        <v>1395</v>
      </c>
      <c r="C21" s="15">
        <v>0.01</v>
      </c>
      <c r="D21" s="14" t="s">
        <v>475</v>
      </c>
      <c r="E21" s="15">
        <v>0.01</v>
      </c>
      <c r="F21" s="14" t="s">
        <v>475</v>
      </c>
      <c r="G21" s="14" t="s">
        <v>475</v>
      </c>
      <c r="H21" s="15">
        <v>0.02</v>
      </c>
      <c r="I21" s="15">
        <v>0.01</v>
      </c>
      <c r="J21" s="14" t="s">
        <v>475</v>
      </c>
      <c r="K21" s="15">
        <v>0.02</v>
      </c>
      <c r="L21" s="15">
        <v>0.01</v>
      </c>
      <c r="M21" s="14" t="s">
        <v>475</v>
      </c>
      <c r="N21" s="14" t="s">
        <v>475</v>
      </c>
      <c r="O21" s="15">
        <v>0.01</v>
      </c>
      <c r="P21" s="15">
        <v>0.01</v>
      </c>
      <c r="Q21" s="15">
        <v>0.01</v>
      </c>
      <c r="R21" s="14" t="s">
        <v>475</v>
      </c>
      <c r="S21" s="15">
        <v>0.02</v>
      </c>
      <c r="T21" s="15">
        <v>0.01</v>
      </c>
      <c r="U21" s="15">
        <v>0.01</v>
      </c>
      <c r="V21" s="14" t="s">
        <v>475</v>
      </c>
      <c r="W21" s="14" t="s">
        <v>475</v>
      </c>
      <c r="X21" s="14" t="s">
        <v>475</v>
      </c>
      <c r="Y21" s="15">
        <v>0.01</v>
      </c>
      <c r="Z21" s="15">
        <v>0.05</v>
      </c>
      <c r="AA21" s="14" t="s">
        <v>475</v>
      </c>
      <c r="AB21" s="15">
        <v>0.01</v>
      </c>
      <c r="AC21" s="15">
        <v>0.01</v>
      </c>
      <c r="AD21" s="15">
        <v>0.01</v>
      </c>
      <c r="AE21" s="14" t="s">
        <v>475</v>
      </c>
      <c r="AF21" s="14" t="s">
        <v>475</v>
      </c>
      <c r="AG21" s="14" t="s">
        <v>475</v>
      </c>
      <c r="AH21" s="14" t="s">
        <v>475</v>
      </c>
      <c r="AI21" s="15">
        <v>0.01</v>
      </c>
      <c r="AJ21" s="15">
        <v>0.01</v>
      </c>
      <c r="AK21" s="14" t="s">
        <v>475</v>
      </c>
      <c r="AL21" s="14" t="s">
        <v>475</v>
      </c>
      <c r="AM21" s="14" t="s">
        <v>475</v>
      </c>
      <c r="AN21" s="15">
        <v>0.01</v>
      </c>
      <c r="AO21" s="14" t="s">
        <v>475</v>
      </c>
      <c r="AP21" s="14" t="s">
        <v>475</v>
      </c>
      <c r="AQ21" s="14" t="s">
        <v>475</v>
      </c>
    </row>
    <row r="22" spans="1:43" x14ac:dyDescent="0.35">
      <c r="A22" s="19"/>
      <c r="B22" s="11" t="s">
        <v>485</v>
      </c>
      <c r="C22" s="12">
        <v>347</v>
      </c>
      <c r="D22" s="12">
        <v>10</v>
      </c>
      <c r="E22" s="12">
        <v>19</v>
      </c>
      <c r="F22" s="12">
        <v>19</v>
      </c>
      <c r="G22" s="12">
        <v>16</v>
      </c>
      <c r="H22" s="12">
        <v>16</v>
      </c>
      <c r="I22" s="12">
        <v>18</v>
      </c>
      <c r="J22" s="12">
        <v>2</v>
      </c>
      <c r="K22" s="12">
        <v>21</v>
      </c>
      <c r="L22" s="12">
        <v>26</v>
      </c>
      <c r="M22" s="12">
        <v>2</v>
      </c>
      <c r="N22" s="12">
        <v>15</v>
      </c>
      <c r="O22" s="12">
        <v>13</v>
      </c>
      <c r="P22" s="12">
        <v>14</v>
      </c>
      <c r="Q22" s="12">
        <v>7</v>
      </c>
      <c r="R22" s="12">
        <v>19</v>
      </c>
      <c r="S22" s="12">
        <v>43</v>
      </c>
      <c r="T22" s="12">
        <v>13</v>
      </c>
      <c r="U22" s="12">
        <v>34</v>
      </c>
      <c r="V22" s="12">
        <v>2</v>
      </c>
      <c r="W22" s="12">
        <v>5</v>
      </c>
      <c r="X22" s="12">
        <v>6</v>
      </c>
      <c r="Y22" s="12">
        <v>11</v>
      </c>
      <c r="Z22" s="12">
        <v>17</v>
      </c>
      <c r="AA22" s="12">
        <v>37</v>
      </c>
      <c r="AB22" s="12">
        <v>33</v>
      </c>
      <c r="AC22" s="12">
        <v>9</v>
      </c>
      <c r="AD22" s="12">
        <v>6</v>
      </c>
      <c r="AE22" s="12">
        <v>7</v>
      </c>
      <c r="AF22" s="12">
        <v>7</v>
      </c>
      <c r="AG22" s="12">
        <v>6</v>
      </c>
      <c r="AH22" s="12">
        <v>7</v>
      </c>
      <c r="AI22" s="12">
        <v>12</v>
      </c>
      <c r="AJ22" s="12">
        <v>4</v>
      </c>
      <c r="AK22" s="12">
        <v>3</v>
      </c>
      <c r="AL22" s="12">
        <v>119</v>
      </c>
      <c r="AM22" s="12">
        <v>21</v>
      </c>
      <c r="AN22" s="12">
        <v>4</v>
      </c>
      <c r="AO22" s="12">
        <v>44</v>
      </c>
      <c r="AP22" s="12">
        <v>1</v>
      </c>
      <c r="AQ22" s="12">
        <v>74</v>
      </c>
    </row>
    <row r="23" spans="1:43" x14ac:dyDescent="0.35">
      <c r="A23" s="19"/>
      <c r="B23" s="13" t="s">
        <v>486</v>
      </c>
      <c r="C23" s="15">
        <v>0.01</v>
      </c>
      <c r="D23" s="15">
        <v>0.01</v>
      </c>
      <c r="E23" s="15">
        <v>0.02</v>
      </c>
      <c r="F23" s="15">
        <v>0.02</v>
      </c>
      <c r="G23" s="15">
        <v>0.02</v>
      </c>
      <c r="H23" s="15">
        <v>0.01</v>
      </c>
      <c r="I23" s="15">
        <v>0.01</v>
      </c>
      <c r="J23" s="14" t="s">
        <v>475</v>
      </c>
      <c r="K23" s="15">
        <v>0.02</v>
      </c>
      <c r="L23" s="15">
        <v>0.03</v>
      </c>
      <c r="M23" s="14" t="s">
        <v>475</v>
      </c>
      <c r="N23" s="15">
        <v>0.01</v>
      </c>
      <c r="O23" s="15">
        <v>0.01</v>
      </c>
      <c r="P23" s="15">
        <v>0.01</v>
      </c>
      <c r="Q23" s="15">
        <v>0.01</v>
      </c>
      <c r="R23" s="15">
        <v>0.04</v>
      </c>
      <c r="S23" s="15">
        <v>0.04</v>
      </c>
      <c r="T23" s="15">
        <v>0.01</v>
      </c>
      <c r="U23" s="15">
        <v>7.0000000000000007E-2</v>
      </c>
      <c r="V23" s="14" t="s">
        <v>475</v>
      </c>
      <c r="W23" s="15">
        <v>0.01</v>
      </c>
      <c r="X23" s="15">
        <v>0.01</v>
      </c>
      <c r="Y23" s="15">
        <v>0.01</v>
      </c>
      <c r="Z23" s="15">
        <v>0.02</v>
      </c>
      <c r="AA23" s="15">
        <v>0.04</v>
      </c>
      <c r="AB23" s="15">
        <v>0.03</v>
      </c>
      <c r="AC23" s="15">
        <v>0.01</v>
      </c>
      <c r="AD23" s="15">
        <v>0.01</v>
      </c>
      <c r="AE23" s="15">
        <v>0.01</v>
      </c>
      <c r="AF23" s="15">
        <v>0.01</v>
      </c>
      <c r="AG23" s="15">
        <v>0.01</v>
      </c>
      <c r="AH23" s="15">
        <v>0.01</v>
      </c>
      <c r="AI23" s="15">
        <v>0.02</v>
      </c>
      <c r="AJ23" s="14" t="s">
        <v>475</v>
      </c>
      <c r="AK23" s="14" t="s">
        <v>475</v>
      </c>
      <c r="AL23" s="15">
        <v>0.12</v>
      </c>
      <c r="AM23" s="15">
        <v>0.02</v>
      </c>
      <c r="AN23" s="14" t="s">
        <v>475</v>
      </c>
      <c r="AO23" s="15">
        <v>0.05</v>
      </c>
      <c r="AP23" s="14" t="s">
        <v>475</v>
      </c>
      <c r="AQ23" s="15">
        <v>7.0000000000000007E-2</v>
      </c>
    </row>
    <row r="24" spans="1:43" x14ac:dyDescent="0.35">
      <c r="A24" s="19"/>
      <c r="B24" s="11" t="s">
        <v>1056</v>
      </c>
      <c r="C24" s="12">
        <v>19264</v>
      </c>
      <c r="D24" s="12">
        <v>708</v>
      </c>
      <c r="E24" s="12">
        <v>715</v>
      </c>
      <c r="F24" s="12">
        <v>760</v>
      </c>
      <c r="G24" s="12">
        <v>867</v>
      </c>
      <c r="H24" s="12">
        <v>963</v>
      </c>
      <c r="I24" s="12">
        <v>1182</v>
      </c>
      <c r="J24" s="12">
        <v>219</v>
      </c>
      <c r="K24" s="12">
        <v>733</v>
      </c>
      <c r="L24" s="12">
        <v>740</v>
      </c>
      <c r="M24" s="12">
        <v>533</v>
      </c>
      <c r="N24" s="12">
        <v>703</v>
      </c>
      <c r="O24" s="12">
        <v>640</v>
      </c>
      <c r="P24" s="12">
        <v>701</v>
      </c>
      <c r="Q24" s="12">
        <v>769</v>
      </c>
      <c r="R24" s="12">
        <v>353</v>
      </c>
      <c r="S24" s="12">
        <v>637</v>
      </c>
      <c r="T24" s="12">
        <v>769</v>
      </c>
      <c r="U24" s="12">
        <v>357</v>
      </c>
      <c r="V24" s="12">
        <v>692</v>
      </c>
      <c r="W24" s="12">
        <v>403</v>
      </c>
      <c r="X24" s="12">
        <v>815</v>
      </c>
      <c r="Y24" s="12">
        <v>760</v>
      </c>
      <c r="Z24" s="12">
        <v>776</v>
      </c>
      <c r="AA24" s="12">
        <v>751</v>
      </c>
      <c r="AB24" s="12">
        <v>807</v>
      </c>
      <c r="AC24" s="12">
        <v>668</v>
      </c>
      <c r="AD24" s="12">
        <v>767</v>
      </c>
      <c r="AE24" s="12">
        <v>898</v>
      </c>
      <c r="AF24" s="12">
        <v>807</v>
      </c>
      <c r="AG24" s="12">
        <v>629</v>
      </c>
      <c r="AH24" s="12">
        <v>745</v>
      </c>
      <c r="AI24" s="12">
        <v>375</v>
      </c>
      <c r="AJ24" s="12">
        <v>613</v>
      </c>
      <c r="AK24" s="12">
        <v>578</v>
      </c>
      <c r="AL24" s="12">
        <v>530</v>
      </c>
      <c r="AM24" s="12">
        <v>663</v>
      </c>
      <c r="AN24" s="12">
        <v>635</v>
      </c>
      <c r="AO24" s="12">
        <v>809</v>
      </c>
      <c r="AP24" s="12">
        <v>316</v>
      </c>
      <c r="AQ24" s="12">
        <v>677</v>
      </c>
    </row>
    <row r="25" spans="1:43" x14ac:dyDescent="0.35">
      <c r="A25" s="19"/>
      <c r="B25" s="13" t="s">
        <v>1057</v>
      </c>
      <c r="C25" s="15">
        <v>0.73</v>
      </c>
      <c r="D25" s="15">
        <v>0.70000000000000007</v>
      </c>
      <c r="E25" s="15">
        <v>0.70000000000000007</v>
      </c>
      <c r="F25" s="15">
        <v>0.69000000000000006</v>
      </c>
      <c r="G25" s="15">
        <v>0.86</v>
      </c>
      <c r="H25" s="15">
        <v>0.79</v>
      </c>
      <c r="I25" s="15">
        <v>0.78</v>
      </c>
      <c r="J25" s="15">
        <v>0.75</v>
      </c>
      <c r="K25" s="15">
        <v>0.73</v>
      </c>
      <c r="L25" s="15">
        <v>0.74</v>
      </c>
      <c r="M25" s="15">
        <v>0.53</v>
      </c>
      <c r="N25" s="15">
        <v>0.71</v>
      </c>
      <c r="O25" s="15">
        <v>0.64</v>
      </c>
      <c r="P25" s="15">
        <v>0.70000000000000007</v>
      </c>
      <c r="Q25" s="15">
        <v>0.75</v>
      </c>
      <c r="R25" s="15">
        <v>0.70000000000000007</v>
      </c>
      <c r="S25" s="15">
        <v>0.63</v>
      </c>
      <c r="T25" s="15">
        <v>0.76</v>
      </c>
      <c r="U25" s="15">
        <v>0.71</v>
      </c>
      <c r="V25" s="15">
        <v>0.68</v>
      </c>
      <c r="W25" s="15">
        <v>0.79</v>
      </c>
      <c r="X25" s="15">
        <v>0.81</v>
      </c>
      <c r="Y25" s="15">
        <v>0.76</v>
      </c>
      <c r="Z25" s="15">
        <v>0.75</v>
      </c>
      <c r="AA25" s="15">
        <v>0.73</v>
      </c>
      <c r="AB25" s="15">
        <v>0.77</v>
      </c>
      <c r="AC25" s="15">
        <v>0.66</v>
      </c>
      <c r="AD25" s="15">
        <v>0.76</v>
      </c>
      <c r="AE25" s="15">
        <v>0.89</v>
      </c>
      <c r="AF25" s="15">
        <v>0.77</v>
      </c>
      <c r="AG25" s="15">
        <v>0.61</v>
      </c>
      <c r="AH25" s="15">
        <v>0.74</v>
      </c>
      <c r="AI25" s="15">
        <v>0.72</v>
      </c>
      <c r="AJ25" s="15">
        <v>0.59</v>
      </c>
      <c r="AK25" s="15">
        <v>0.57999999999999996</v>
      </c>
      <c r="AL25" s="15">
        <v>0.53</v>
      </c>
      <c r="AM25" s="15">
        <v>0.64</v>
      </c>
      <c r="AN25" s="15">
        <v>0.63</v>
      </c>
      <c r="AO25" s="15">
        <v>0.81</v>
      </c>
      <c r="AP25" s="15">
        <v>0.61</v>
      </c>
      <c r="AQ25" s="15">
        <v>0.68</v>
      </c>
    </row>
    <row r="26" spans="1:43" x14ac:dyDescent="0.35">
      <c r="A26" s="19"/>
      <c r="B26" s="11" t="s">
        <v>1058</v>
      </c>
      <c r="C26" s="12">
        <v>6530</v>
      </c>
      <c r="D26" s="12">
        <v>292</v>
      </c>
      <c r="E26" s="12">
        <v>286</v>
      </c>
      <c r="F26" s="12">
        <v>321</v>
      </c>
      <c r="G26" s="12">
        <v>120</v>
      </c>
      <c r="H26" s="12">
        <v>226</v>
      </c>
      <c r="I26" s="12">
        <v>300</v>
      </c>
      <c r="J26" s="12">
        <v>74</v>
      </c>
      <c r="K26" s="12">
        <v>228</v>
      </c>
      <c r="L26" s="12">
        <v>225</v>
      </c>
      <c r="M26" s="12">
        <v>473</v>
      </c>
      <c r="N26" s="12">
        <v>280</v>
      </c>
      <c r="O26" s="12">
        <v>338</v>
      </c>
      <c r="P26" s="12">
        <v>279</v>
      </c>
      <c r="Q26" s="12">
        <v>240</v>
      </c>
      <c r="R26" s="12">
        <v>129</v>
      </c>
      <c r="S26" s="12">
        <v>308</v>
      </c>
      <c r="T26" s="12">
        <v>215</v>
      </c>
      <c r="U26" s="12">
        <v>110</v>
      </c>
      <c r="V26" s="12">
        <v>319</v>
      </c>
      <c r="W26" s="12">
        <v>99</v>
      </c>
      <c r="X26" s="12">
        <v>183</v>
      </c>
      <c r="Y26" s="12">
        <v>221</v>
      </c>
      <c r="Z26" s="12">
        <v>187</v>
      </c>
      <c r="AA26" s="12">
        <v>240</v>
      </c>
      <c r="AB26" s="12">
        <v>201</v>
      </c>
      <c r="AC26" s="12">
        <v>316</v>
      </c>
      <c r="AD26" s="12">
        <v>227</v>
      </c>
      <c r="AE26" s="12">
        <v>106</v>
      </c>
      <c r="AF26" s="12">
        <v>227</v>
      </c>
      <c r="AG26" s="12">
        <v>396</v>
      </c>
      <c r="AH26" s="12">
        <v>257</v>
      </c>
      <c r="AI26" s="12">
        <v>130</v>
      </c>
      <c r="AJ26" s="12">
        <v>415</v>
      </c>
      <c r="AK26" s="12">
        <v>422</v>
      </c>
      <c r="AL26" s="12">
        <v>358</v>
      </c>
      <c r="AM26" s="12">
        <v>352</v>
      </c>
      <c r="AN26" s="12">
        <v>358</v>
      </c>
      <c r="AO26" s="12">
        <v>147</v>
      </c>
      <c r="AP26" s="12">
        <v>206</v>
      </c>
      <c r="AQ26" s="12">
        <v>250</v>
      </c>
    </row>
    <row r="27" spans="1:43" x14ac:dyDescent="0.35">
      <c r="A27" s="19"/>
      <c r="B27" s="13" t="s">
        <v>1059</v>
      </c>
      <c r="C27" s="15">
        <v>0.25</v>
      </c>
      <c r="D27" s="15">
        <v>0.28999999999999998</v>
      </c>
      <c r="E27" s="15">
        <v>0.27</v>
      </c>
      <c r="F27" s="15">
        <v>0.28999999999999998</v>
      </c>
      <c r="G27" s="15">
        <v>0.12</v>
      </c>
      <c r="H27" s="15">
        <v>0.18</v>
      </c>
      <c r="I27" s="15">
        <v>0.2</v>
      </c>
      <c r="J27" s="15">
        <v>0.25</v>
      </c>
      <c r="K27" s="15">
        <v>0.23</v>
      </c>
      <c r="L27" s="15">
        <v>0.22</v>
      </c>
      <c r="M27" s="15">
        <v>0.47</v>
      </c>
      <c r="N27" s="15">
        <v>0.28000000000000003</v>
      </c>
      <c r="O27" s="15">
        <v>0.34</v>
      </c>
      <c r="P27" s="15">
        <v>0.28000000000000003</v>
      </c>
      <c r="Q27" s="15">
        <v>0.23</v>
      </c>
      <c r="R27" s="15">
        <v>0.26</v>
      </c>
      <c r="S27" s="15">
        <v>0.31</v>
      </c>
      <c r="T27" s="15">
        <v>0.22</v>
      </c>
      <c r="U27" s="15">
        <v>0.21</v>
      </c>
      <c r="V27" s="15">
        <v>0.32</v>
      </c>
      <c r="W27" s="15">
        <v>0.2</v>
      </c>
      <c r="X27" s="15">
        <v>0.18</v>
      </c>
      <c r="Y27" s="15">
        <v>0.22</v>
      </c>
      <c r="Z27" s="15">
        <v>0.18</v>
      </c>
      <c r="AA27" s="15">
        <v>0.23</v>
      </c>
      <c r="AB27" s="15">
        <v>0.19</v>
      </c>
      <c r="AC27" s="15">
        <v>0.32</v>
      </c>
      <c r="AD27" s="15">
        <v>0.22</v>
      </c>
      <c r="AE27" s="15">
        <v>0.1</v>
      </c>
      <c r="AF27" s="15">
        <v>0.22</v>
      </c>
      <c r="AG27" s="15">
        <v>0.38</v>
      </c>
      <c r="AH27" s="15">
        <v>0.25</v>
      </c>
      <c r="AI27" s="15">
        <v>0.25</v>
      </c>
      <c r="AJ27" s="15">
        <v>0.4</v>
      </c>
      <c r="AK27" s="15">
        <v>0.42</v>
      </c>
      <c r="AL27" s="15">
        <v>0.35</v>
      </c>
      <c r="AM27" s="15">
        <v>0.34</v>
      </c>
      <c r="AN27" s="15">
        <v>0.36</v>
      </c>
      <c r="AO27" s="15">
        <v>0.14000000000000001</v>
      </c>
      <c r="AP27" s="15">
        <v>0.39</v>
      </c>
      <c r="AQ27" s="15">
        <v>0.25</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1400</v>
      </c>
      <c r="C3" s="18"/>
      <c r="D3" s="18"/>
      <c r="E3" s="18"/>
      <c r="F3" s="18"/>
      <c r="H3" s="18" t="s">
        <v>1401</v>
      </c>
      <c r="I3" s="18"/>
      <c r="J3" s="18"/>
      <c r="K3" s="18"/>
      <c r="L3" s="18"/>
    </row>
    <row r="4" spans="1:43" ht="27" customHeight="1" x14ac:dyDescent="0.35">
      <c r="B4" s="18" t="s">
        <v>1402</v>
      </c>
      <c r="C4" s="18"/>
      <c r="D4" s="18"/>
      <c r="E4" s="18"/>
      <c r="F4" s="18"/>
      <c r="H4" s="18" t="s">
        <v>1403</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HYPERLINK("#Content!A170","&lt;&lt;Back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1048</v>
      </c>
      <c r="C12" s="12">
        <v>2443</v>
      </c>
      <c r="D12" s="12">
        <v>79</v>
      </c>
      <c r="E12" s="12">
        <v>105</v>
      </c>
      <c r="F12" s="12">
        <v>61</v>
      </c>
      <c r="G12" s="12">
        <v>244</v>
      </c>
      <c r="H12" s="12">
        <v>118</v>
      </c>
      <c r="I12" s="12">
        <v>133</v>
      </c>
      <c r="J12" s="12">
        <v>15</v>
      </c>
      <c r="K12" s="12">
        <v>94</v>
      </c>
      <c r="L12" s="12">
        <v>141</v>
      </c>
      <c r="M12" s="12">
        <v>29</v>
      </c>
      <c r="N12" s="12">
        <v>53</v>
      </c>
      <c r="O12" s="12">
        <v>46</v>
      </c>
      <c r="P12" s="12">
        <v>97</v>
      </c>
      <c r="Q12" s="12">
        <v>88</v>
      </c>
      <c r="R12" s="12">
        <v>17</v>
      </c>
      <c r="S12" s="12">
        <v>63</v>
      </c>
      <c r="T12" s="12">
        <v>56</v>
      </c>
      <c r="U12" s="12">
        <v>67</v>
      </c>
      <c r="V12" s="12">
        <v>127</v>
      </c>
      <c r="W12" s="12">
        <v>20</v>
      </c>
      <c r="X12" s="12">
        <v>188</v>
      </c>
      <c r="Y12" s="12">
        <v>187</v>
      </c>
      <c r="Z12" s="12">
        <v>131</v>
      </c>
      <c r="AA12" s="12">
        <v>66</v>
      </c>
      <c r="AB12" s="12">
        <v>158</v>
      </c>
      <c r="AC12" s="12">
        <v>48</v>
      </c>
      <c r="AD12" s="12">
        <v>98</v>
      </c>
      <c r="AE12" s="12">
        <v>260</v>
      </c>
      <c r="AF12" s="12">
        <v>127</v>
      </c>
      <c r="AG12" s="12">
        <v>234</v>
      </c>
      <c r="AH12" s="12">
        <v>90</v>
      </c>
      <c r="AI12" s="12">
        <v>71</v>
      </c>
      <c r="AJ12" s="12">
        <v>119</v>
      </c>
      <c r="AK12" s="12">
        <v>41</v>
      </c>
      <c r="AL12" s="12">
        <v>103</v>
      </c>
      <c r="AM12" s="12">
        <v>35</v>
      </c>
      <c r="AN12" s="12">
        <v>61</v>
      </c>
      <c r="AO12" s="12">
        <v>271</v>
      </c>
      <c r="AP12" s="12">
        <v>79</v>
      </c>
      <c r="AQ12" s="12">
        <v>107</v>
      </c>
    </row>
    <row r="13" spans="1:43" x14ac:dyDescent="0.35">
      <c r="A13" s="19"/>
      <c r="B13" s="13" t="s">
        <v>1049</v>
      </c>
      <c r="C13" s="15">
        <v>0.09</v>
      </c>
      <c r="D13" s="15">
        <v>0.08</v>
      </c>
      <c r="E13" s="15">
        <v>0.1</v>
      </c>
      <c r="F13" s="15">
        <v>0.06</v>
      </c>
      <c r="G13" s="15">
        <v>0.24</v>
      </c>
      <c r="H13" s="15">
        <v>0.1</v>
      </c>
      <c r="I13" s="15">
        <v>0.09</v>
      </c>
      <c r="J13" s="15">
        <v>0.05</v>
      </c>
      <c r="K13" s="15">
        <v>0.09</v>
      </c>
      <c r="L13" s="15">
        <v>0.14000000000000001</v>
      </c>
      <c r="M13" s="15">
        <v>0.03</v>
      </c>
      <c r="N13" s="15">
        <v>0.05</v>
      </c>
      <c r="O13" s="15">
        <v>0.05</v>
      </c>
      <c r="P13" s="15">
        <v>0.1</v>
      </c>
      <c r="Q13" s="15">
        <v>0.08</v>
      </c>
      <c r="R13" s="15">
        <v>0.03</v>
      </c>
      <c r="S13" s="15">
        <v>0.06</v>
      </c>
      <c r="T13" s="15">
        <v>0.06</v>
      </c>
      <c r="U13" s="15">
        <v>0.13</v>
      </c>
      <c r="V13" s="15">
        <v>0.13</v>
      </c>
      <c r="W13" s="15">
        <v>0.04</v>
      </c>
      <c r="X13" s="15">
        <v>0.19</v>
      </c>
      <c r="Y13" s="15">
        <v>0.19</v>
      </c>
      <c r="Z13" s="15">
        <v>0.13</v>
      </c>
      <c r="AA13" s="15">
        <v>0.06</v>
      </c>
      <c r="AB13" s="15">
        <v>0.15</v>
      </c>
      <c r="AC13" s="15">
        <v>0.05</v>
      </c>
      <c r="AD13" s="15">
        <v>0.1</v>
      </c>
      <c r="AE13" s="15">
        <v>0.26</v>
      </c>
      <c r="AF13" s="15">
        <v>0.12</v>
      </c>
      <c r="AG13" s="15">
        <v>0.23</v>
      </c>
      <c r="AH13" s="15">
        <v>0.09</v>
      </c>
      <c r="AI13" s="15">
        <v>0.14000000000000001</v>
      </c>
      <c r="AJ13" s="15">
        <v>0.11</v>
      </c>
      <c r="AK13" s="15">
        <v>0.04</v>
      </c>
      <c r="AL13" s="15">
        <v>0.1</v>
      </c>
      <c r="AM13" s="15">
        <v>0.03</v>
      </c>
      <c r="AN13" s="15">
        <v>0.06</v>
      </c>
      <c r="AO13" s="15">
        <v>0.27</v>
      </c>
      <c r="AP13" s="15">
        <v>0.15</v>
      </c>
      <c r="AQ13" s="15">
        <v>0.11</v>
      </c>
    </row>
    <row r="14" spans="1:43" ht="21.5" x14ac:dyDescent="0.35">
      <c r="A14" s="19"/>
      <c r="B14" s="11" t="s">
        <v>1391</v>
      </c>
      <c r="C14" s="12">
        <v>10598</v>
      </c>
      <c r="D14" s="12">
        <v>415</v>
      </c>
      <c r="E14" s="12">
        <v>318</v>
      </c>
      <c r="F14" s="12">
        <v>358</v>
      </c>
      <c r="G14" s="12">
        <v>453</v>
      </c>
      <c r="H14" s="12">
        <v>603</v>
      </c>
      <c r="I14" s="12">
        <v>735</v>
      </c>
      <c r="J14" s="12">
        <v>132</v>
      </c>
      <c r="K14" s="12">
        <v>414</v>
      </c>
      <c r="L14" s="12">
        <v>367</v>
      </c>
      <c r="M14" s="12">
        <v>150</v>
      </c>
      <c r="N14" s="12">
        <v>305</v>
      </c>
      <c r="O14" s="12">
        <v>318</v>
      </c>
      <c r="P14" s="12">
        <v>395</v>
      </c>
      <c r="Q14" s="12">
        <v>388</v>
      </c>
      <c r="R14" s="12">
        <v>138</v>
      </c>
      <c r="S14" s="12">
        <v>326</v>
      </c>
      <c r="T14" s="12">
        <v>471</v>
      </c>
      <c r="U14" s="12">
        <v>187</v>
      </c>
      <c r="V14" s="12">
        <v>337</v>
      </c>
      <c r="W14" s="12">
        <v>103</v>
      </c>
      <c r="X14" s="12">
        <v>498</v>
      </c>
      <c r="Y14" s="12">
        <v>446</v>
      </c>
      <c r="Z14" s="12">
        <v>500</v>
      </c>
      <c r="AA14" s="12">
        <v>645</v>
      </c>
      <c r="AB14" s="12">
        <v>450</v>
      </c>
      <c r="AC14" s="12">
        <v>324</v>
      </c>
      <c r="AD14" s="12">
        <v>449</v>
      </c>
      <c r="AE14" s="12">
        <v>519</v>
      </c>
      <c r="AF14" s="12">
        <v>472</v>
      </c>
      <c r="AG14" s="12">
        <v>369</v>
      </c>
      <c r="AH14" s="12">
        <v>383</v>
      </c>
      <c r="AI14" s="12">
        <v>229</v>
      </c>
      <c r="AJ14" s="12">
        <v>287</v>
      </c>
      <c r="AK14" s="12">
        <v>316</v>
      </c>
      <c r="AL14" s="12">
        <v>295</v>
      </c>
      <c r="AM14" s="12">
        <v>337</v>
      </c>
      <c r="AN14" s="12">
        <v>374</v>
      </c>
      <c r="AO14" s="12">
        <v>362</v>
      </c>
      <c r="AP14" s="12">
        <v>173</v>
      </c>
      <c r="AQ14" s="12">
        <v>405</v>
      </c>
    </row>
    <row r="15" spans="1:43" x14ac:dyDescent="0.35">
      <c r="A15" s="19"/>
      <c r="B15" s="13" t="s">
        <v>1051</v>
      </c>
      <c r="C15" s="15">
        <v>0.4</v>
      </c>
      <c r="D15" s="15">
        <v>0.41</v>
      </c>
      <c r="E15" s="15">
        <v>0.31</v>
      </c>
      <c r="F15" s="15">
        <v>0.32</v>
      </c>
      <c r="G15" s="15">
        <v>0.45</v>
      </c>
      <c r="H15" s="15">
        <v>0.49</v>
      </c>
      <c r="I15" s="15">
        <v>0.48</v>
      </c>
      <c r="J15" s="15">
        <v>0.45</v>
      </c>
      <c r="K15" s="15">
        <v>0.41</v>
      </c>
      <c r="L15" s="15">
        <v>0.37</v>
      </c>
      <c r="M15" s="15">
        <v>0.15</v>
      </c>
      <c r="N15" s="15">
        <v>0.31</v>
      </c>
      <c r="O15" s="15">
        <v>0.32</v>
      </c>
      <c r="P15" s="15">
        <v>0.39</v>
      </c>
      <c r="Q15" s="15">
        <v>0.38</v>
      </c>
      <c r="R15" s="15">
        <v>0.28000000000000003</v>
      </c>
      <c r="S15" s="15">
        <v>0.33</v>
      </c>
      <c r="T15" s="15">
        <v>0.47</v>
      </c>
      <c r="U15" s="15">
        <v>0.37</v>
      </c>
      <c r="V15" s="15">
        <v>0.33</v>
      </c>
      <c r="W15" s="15">
        <v>0.2</v>
      </c>
      <c r="X15" s="15">
        <v>0.49</v>
      </c>
      <c r="Y15" s="15">
        <v>0.44</v>
      </c>
      <c r="Z15" s="15">
        <v>0.48</v>
      </c>
      <c r="AA15" s="15">
        <v>0.62</v>
      </c>
      <c r="AB15" s="15">
        <v>0.43</v>
      </c>
      <c r="AC15" s="15">
        <v>0.32</v>
      </c>
      <c r="AD15" s="15">
        <v>0.44</v>
      </c>
      <c r="AE15" s="15">
        <v>0.51</v>
      </c>
      <c r="AF15" s="15">
        <v>0.45</v>
      </c>
      <c r="AG15" s="15">
        <v>0.36</v>
      </c>
      <c r="AH15" s="15">
        <v>0.38</v>
      </c>
      <c r="AI15" s="15">
        <v>0.44</v>
      </c>
      <c r="AJ15" s="15">
        <v>0.28000000000000003</v>
      </c>
      <c r="AK15" s="15">
        <v>0.31</v>
      </c>
      <c r="AL15" s="15">
        <v>0.28999999999999998</v>
      </c>
      <c r="AM15" s="15">
        <v>0.33</v>
      </c>
      <c r="AN15" s="15">
        <v>0.37</v>
      </c>
      <c r="AO15" s="15">
        <v>0.36</v>
      </c>
      <c r="AP15" s="15">
        <v>0.33</v>
      </c>
      <c r="AQ15" s="15">
        <v>0.4</v>
      </c>
    </row>
    <row r="16" spans="1:43" x14ac:dyDescent="0.35">
      <c r="A16" s="19"/>
      <c r="B16" s="11" t="s">
        <v>1392</v>
      </c>
      <c r="C16" s="12">
        <v>8622</v>
      </c>
      <c r="D16" s="12">
        <v>394</v>
      </c>
      <c r="E16" s="12">
        <v>273</v>
      </c>
      <c r="F16" s="12">
        <v>469</v>
      </c>
      <c r="G16" s="12">
        <v>213</v>
      </c>
      <c r="H16" s="12">
        <v>345</v>
      </c>
      <c r="I16" s="12">
        <v>439</v>
      </c>
      <c r="J16" s="12">
        <v>95</v>
      </c>
      <c r="K16" s="12">
        <v>271</v>
      </c>
      <c r="L16" s="12">
        <v>308</v>
      </c>
      <c r="M16" s="12">
        <v>441</v>
      </c>
      <c r="N16" s="12">
        <v>382</v>
      </c>
      <c r="O16" s="12">
        <v>416</v>
      </c>
      <c r="P16" s="12">
        <v>327</v>
      </c>
      <c r="Q16" s="12">
        <v>376</v>
      </c>
      <c r="R16" s="12">
        <v>194</v>
      </c>
      <c r="S16" s="12">
        <v>351</v>
      </c>
      <c r="T16" s="12">
        <v>312</v>
      </c>
      <c r="U16" s="12">
        <v>156</v>
      </c>
      <c r="V16" s="12">
        <v>318</v>
      </c>
      <c r="W16" s="12">
        <v>204</v>
      </c>
      <c r="X16" s="12">
        <v>203</v>
      </c>
      <c r="Y16" s="12">
        <v>196</v>
      </c>
      <c r="Z16" s="12">
        <v>259</v>
      </c>
      <c r="AA16" s="12">
        <v>192</v>
      </c>
      <c r="AB16" s="12">
        <v>294</v>
      </c>
      <c r="AC16" s="12">
        <v>384</v>
      </c>
      <c r="AD16" s="12">
        <v>309</v>
      </c>
      <c r="AE16" s="12">
        <v>166</v>
      </c>
      <c r="AF16" s="12">
        <v>306</v>
      </c>
      <c r="AG16" s="12">
        <v>231</v>
      </c>
      <c r="AH16" s="12">
        <v>352</v>
      </c>
      <c r="AI16" s="12">
        <v>175</v>
      </c>
      <c r="AJ16" s="12">
        <v>253</v>
      </c>
      <c r="AK16" s="12">
        <v>471</v>
      </c>
      <c r="AL16" s="12">
        <v>292</v>
      </c>
      <c r="AM16" s="12">
        <v>430</v>
      </c>
      <c r="AN16" s="12">
        <v>387</v>
      </c>
      <c r="AO16" s="12">
        <v>199</v>
      </c>
      <c r="AP16" s="12">
        <v>173</v>
      </c>
      <c r="AQ16" s="12">
        <v>189</v>
      </c>
    </row>
    <row r="17" spans="1:43" x14ac:dyDescent="0.35">
      <c r="A17" s="19"/>
      <c r="B17" s="13" t="s">
        <v>1053</v>
      </c>
      <c r="C17" s="15">
        <v>0.33</v>
      </c>
      <c r="D17" s="15">
        <v>0.39</v>
      </c>
      <c r="E17" s="15">
        <v>0.27</v>
      </c>
      <c r="F17" s="15">
        <v>0.43</v>
      </c>
      <c r="G17" s="15">
        <v>0.21</v>
      </c>
      <c r="H17" s="15">
        <v>0.28000000000000003</v>
      </c>
      <c r="I17" s="15">
        <v>0.28999999999999998</v>
      </c>
      <c r="J17" s="15">
        <v>0.32</v>
      </c>
      <c r="K17" s="15">
        <v>0.27</v>
      </c>
      <c r="L17" s="15">
        <v>0.31</v>
      </c>
      <c r="M17" s="15">
        <v>0.44</v>
      </c>
      <c r="N17" s="15">
        <v>0.38</v>
      </c>
      <c r="O17" s="15">
        <v>0.42</v>
      </c>
      <c r="P17" s="15">
        <v>0.32</v>
      </c>
      <c r="Q17" s="15">
        <v>0.37</v>
      </c>
      <c r="R17" s="15">
        <v>0.38</v>
      </c>
      <c r="S17" s="15">
        <v>0.35</v>
      </c>
      <c r="T17" s="15">
        <v>0.31</v>
      </c>
      <c r="U17" s="15">
        <v>0.31</v>
      </c>
      <c r="V17" s="15">
        <v>0.31</v>
      </c>
      <c r="W17" s="15">
        <v>0.4</v>
      </c>
      <c r="X17" s="15">
        <v>0.2</v>
      </c>
      <c r="Y17" s="15">
        <v>0.2</v>
      </c>
      <c r="Z17" s="15">
        <v>0.25</v>
      </c>
      <c r="AA17" s="15">
        <v>0.19</v>
      </c>
      <c r="AB17" s="15">
        <v>0.28000000000000003</v>
      </c>
      <c r="AC17" s="15">
        <v>0.38</v>
      </c>
      <c r="AD17" s="15">
        <v>0.31</v>
      </c>
      <c r="AE17" s="15">
        <v>0.16</v>
      </c>
      <c r="AF17" s="15">
        <v>0.28999999999999998</v>
      </c>
      <c r="AG17" s="15">
        <v>0.22</v>
      </c>
      <c r="AH17" s="15">
        <v>0.35</v>
      </c>
      <c r="AI17" s="15">
        <v>0.33</v>
      </c>
      <c r="AJ17" s="15">
        <v>0.24</v>
      </c>
      <c r="AK17" s="15">
        <v>0.47</v>
      </c>
      <c r="AL17" s="15">
        <v>0.28999999999999998</v>
      </c>
      <c r="AM17" s="15">
        <v>0.41</v>
      </c>
      <c r="AN17" s="15">
        <v>0.39</v>
      </c>
      <c r="AO17" s="15">
        <v>0.2</v>
      </c>
      <c r="AP17" s="15">
        <v>0.33</v>
      </c>
      <c r="AQ17" s="15">
        <v>0.19</v>
      </c>
    </row>
    <row r="18" spans="1:43" x14ac:dyDescent="0.35">
      <c r="A18" s="19"/>
      <c r="B18" s="11" t="s">
        <v>1054</v>
      </c>
      <c r="C18" s="12">
        <v>3607</v>
      </c>
      <c r="D18" s="12">
        <v>88</v>
      </c>
      <c r="E18" s="12">
        <v>208</v>
      </c>
      <c r="F18" s="12">
        <v>183</v>
      </c>
      <c r="G18" s="12">
        <v>52</v>
      </c>
      <c r="H18" s="12">
        <v>103</v>
      </c>
      <c r="I18" s="12">
        <v>153</v>
      </c>
      <c r="J18" s="12">
        <v>50</v>
      </c>
      <c r="K18" s="12">
        <v>108</v>
      </c>
      <c r="L18" s="12">
        <v>119</v>
      </c>
      <c r="M18" s="12">
        <v>369</v>
      </c>
      <c r="N18" s="12">
        <v>223</v>
      </c>
      <c r="O18" s="12">
        <v>170</v>
      </c>
      <c r="P18" s="12">
        <v>128</v>
      </c>
      <c r="Q18" s="12">
        <v>148</v>
      </c>
      <c r="R18" s="12">
        <v>129</v>
      </c>
      <c r="S18" s="12">
        <v>135</v>
      </c>
      <c r="T18" s="12">
        <v>110</v>
      </c>
      <c r="U18" s="12">
        <v>35</v>
      </c>
      <c r="V18" s="12">
        <v>217</v>
      </c>
      <c r="W18" s="12">
        <v>175</v>
      </c>
      <c r="X18" s="12">
        <v>97</v>
      </c>
      <c r="Y18" s="12">
        <v>126</v>
      </c>
      <c r="Z18" s="12">
        <v>63</v>
      </c>
      <c r="AA18" s="12">
        <v>31</v>
      </c>
      <c r="AB18" s="12">
        <v>77</v>
      </c>
      <c r="AC18" s="12">
        <v>221</v>
      </c>
      <c r="AD18" s="12">
        <v>121</v>
      </c>
      <c r="AE18" s="12">
        <v>25</v>
      </c>
      <c r="AF18" s="12">
        <v>113</v>
      </c>
      <c r="AG18" s="12">
        <v>189</v>
      </c>
      <c r="AH18" s="12">
        <v>159</v>
      </c>
      <c r="AI18" s="12">
        <v>33</v>
      </c>
      <c r="AJ18" s="12">
        <v>358</v>
      </c>
      <c r="AK18" s="12">
        <v>169</v>
      </c>
      <c r="AL18" s="12">
        <v>126</v>
      </c>
      <c r="AM18" s="12">
        <v>180</v>
      </c>
      <c r="AN18" s="12">
        <v>174</v>
      </c>
      <c r="AO18" s="12">
        <v>86</v>
      </c>
      <c r="AP18" s="12">
        <v>97</v>
      </c>
      <c r="AQ18" s="12">
        <v>176</v>
      </c>
    </row>
    <row r="19" spans="1:43" x14ac:dyDescent="0.35">
      <c r="A19" s="19"/>
      <c r="B19" s="13" t="s">
        <v>1393</v>
      </c>
      <c r="C19" s="15">
        <v>0.14000000000000001</v>
      </c>
      <c r="D19" s="15">
        <v>0.08</v>
      </c>
      <c r="E19" s="15">
        <v>0.2</v>
      </c>
      <c r="F19" s="15">
        <v>0.17</v>
      </c>
      <c r="G19" s="15">
        <v>0.05</v>
      </c>
      <c r="H19" s="15">
        <v>0.08</v>
      </c>
      <c r="I19" s="15">
        <v>0.1</v>
      </c>
      <c r="J19" s="15">
        <v>0.17</v>
      </c>
      <c r="K19" s="15">
        <v>0.11</v>
      </c>
      <c r="L19" s="15">
        <v>0.12</v>
      </c>
      <c r="M19" s="15">
        <v>0.37</v>
      </c>
      <c r="N19" s="15">
        <v>0.22</v>
      </c>
      <c r="O19" s="15">
        <v>0.17</v>
      </c>
      <c r="P19" s="15">
        <v>0.13</v>
      </c>
      <c r="Q19" s="15">
        <v>0.14000000000000001</v>
      </c>
      <c r="R19" s="15">
        <v>0.26</v>
      </c>
      <c r="S19" s="15">
        <v>0.13</v>
      </c>
      <c r="T19" s="15">
        <v>0.11</v>
      </c>
      <c r="U19" s="15">
        <v>7.0000000000000007E-2</v>
      </c>
      <c r="V19" s="15">
        <v>0.21</v>
      </c>
      <c r="W19" s="15">
        <v>0.35</v>
      </c>
      <c r="X19" s="15">
        <v>0.1</v>
      </c>
      <c r="Y19" s="15">
        <v>0.12</v>
      </c>
      <c r="Z19" s="15">
        <v>0.06</v>
      </c>
      <c r="AA19" s="15">
        <v>0.03</v>
      </c>
      <c r="AB19" s="15">
        <v>7.0000000000000007E-2</v>
      </c>
      <c r="AC19" s="15">
        <v>0.22</v>
      </c>
      <c r="AD19" s="15">
        <v>0.12</v>
      </c>
      <c r="AE19" s="15">
        <v>0.03</v>
      </c>
      <c r="AF19" s="15">
        <v>0.11</v>
      </c>
      <c r="AG19" s="15">
        <v>0.18</v>
      </c>
      <c r="AH19" s="15">
        <v>0.15</v>
      </c>
      <c r="AI19" s="15">
        <v>0.06</v>
      </c>
      <c r="AJ19" s="15">
        <v>0.35</v>
      </c>
      <c r="AK19" s="15">
        <v>0.17</v>
      </c>
      <c r="AL19" s="15">
        <v>0.13</v>
      </c>
      <c r="AM19" s="15">
        <v>0.17</v>
      </c>
      <c r="AN19" s="15">
        <v>0.17</v>
      </c>
      <c r="AO19" s="15">
        <v>0.08</v>
      </c>
      <c r="AP19" s="15">
        <v>0.19</v>
      </c>
      <c r="AQ19" s="15">
        <v>0.18</v>
      </c>
    </row>
    <row r="20" spans="1:43" x14ac:dyDescent="0.35">
      <c r="A20" s="19"/>
      <c r="B20" s="11" t="s">
        <v>1394</v>
      </c>
      <c r="C20" s="12">
        <v>402</v>
      </c>
      <c r="D20" s="12">
        <v>18</v>
      </c>
      <c r="E20" s="12">
        <v>29</v>
      </c>
      <c r="F20" s="12">
        <v>3</v>
      </c>
      <c r="G20" s="12">
        <v>11</v>
      </c>
      <c r="H20" s="12">
        <v>22</v>
      </c>
      <c r="I20" s="12">
        <v>23</v>
      </c>
      <c r="J20" s="12">
        <v>2</v>
      </c>
      <c r="K20" s="12">
        <v>39</v>
      </c>
      <c r="L20" s="12">
        <v>15</v>
      </c>
      <c r="M20" s="12">
        <v>5</v>
      </c>
      <c r="N20" s="12">
        <v>8</v>
      </c>
      <c r="O20" s="12">
        <v>15</v>
      </c>
      <c r="P20" s="12">
        <v>38</v>
      </c>
      <c r="Q20" s="12">
        <v>8</v>
      </c>
      <c r="R20" s="12">
        <v>6</v>
      </c>
      <c r="S20" s="12">
        <v>19</v>
      </c>
      <c r="T20" s="12">
        <v>14</v>
      </c>
      <c r="U20" s="12">
        <v>10</v>
      </c>
      <c r="V20" s="12">
        <v>4</v>
      </c>
      <c r="W20" s="12">
        <v>1</v>
      </c>
      <c r="X20" s="12">
        <v>5</v>
      </c>
      <c r="Y20" s="12">
        <v>18</v>
      </c>
      <c r="Z20" s="12">
        <v>51</v>
      </c>
      <c r="AA20" s="12">
        <v>10</v>
      </c>
      <c r="AB20" s="12">
        <v>24</v>
      </c>
      <c r="AC20" s="12">
        <v>10</v>
      </c>
      <c r="AD20" s="12">
        <v>10</v>
      </c>
      <c r="AE20" s="12">
        <v>2</v>
      </c>
      <c r="AF20" s="12">
        <v>7</v>
      </c>
      <c r="AG20" s="12">
        <v>6</v>
      </c>
      <c r="AH20" s="12">
        <v>9</v>
      </c>
      <c r="AI20" s="12">
        <v>11</v>
      </c>
      <c r="AJ20" s="12">
        <v>13</v>
      </c>
      <c r="AK20" s="12">
        <v>4</v>
      </c>
      <c r="AL20" s="12">
        <v>3</v>
      </c>
      <c r="AM20" s="12">
        <v>6</v>
      </c>
      <c r="AN20" s="12">
        <v>4</v>
      </c>
      <c r="AO20" s="12">
        <v>11</v>
      </c>
      <c r="AP20" s="12">
        <v>1</v>
      </c>
      <c r="AQ20" s="12">
        <v>1</v>
      </c>
    </row>
    <row r="21" spans="1:43" ht="21.5" x14ac:dyDescent="0.35">
      <c r="A21" s="19"/>
      <c r="B21" s="13" t="s">
        <v>1395</v>
      </c>
      <c r="C21" s="15">
        <v>0.01</v>
      </c>
      <c r="D21" s="15">
        <v>0.02</v>
      </c>
      <c r="E21" s="15">
        <v>0.03</v>
      </c>
      <c r="F21" s="14" t="s">
        <v>475</v>
      </c>
      <c r="G21" s="15">
        <v>0.01</v>
      </c>
      <c r="H21" s="15">
        <v>0.02</v>
      </c>
      <c r="I21" s="15">
        <v>0.02</v>
      </c>
      <c r="J21" s="15">
        <v>0.01</v>
      </c>
      <c r="K21" s="15">
        <v>0.04</v>
      </c>
      <c r="L21" s="15">
        <v>0.01</v>
      </c>
      <c r="M21" s="14" t="s">
        <v>475</v>
      </c>
      <c r="N21" s="15">
        <v>0.01</v>
      </c>
      <c r="O21" s="15">
        <v>0.01</v>
      </c>
      <c r="P21" s="15">
        <v>0.04</v>
      </c>
      <c r="Q21" s="15">
        <v>0.01</v>
      </c>
      <c r="R21" s="15">
        <v>0.01</v>
      </c>
      <c r="S21" s="15">
        <v>0.02</v>
      </c>
      <c r="T21" s="15">
        <v>0.01</v>
      </c>
      <c r="U21" s="15">
        <v>0.02</v>
      </c>
      <c r="V21" s="15">
        <v>0.01</v>
      </c>
      <c r="W21" s="14" t="s">
        <v>475</v>
      </c>
      <c r="X21" s="14" t="s">
        <v>475</v>
      </c>
      <c r="Y21" s="15">
        <v>0.02</v>
      </c>
      <c r="Z21" s="15">
        <v>0.05</v>
      </c>
      <c r="AA21" s="15">
        <v>0.01</v>
      </c>
      <c r="AB21" s="15">
        <v>0.02</v>
      </c>
      <c r="AC21" s="15">
        <v>0.01</v>
      </c>
      <c r="AD21" s="15">
        <v>0.01</v>
      </c>
      <c r="AE21" s="14" t="s">
        <v>475</v>
      </c>
      <c r="AF21" s="15">
        <v>0.01</v>
      </c>
      <c r="AG21" s="14" t="s">
        <v>475</v>
      </c>
      <c r="AH21" s="15">
        <v>0.01</v>
      </c>
      <c r="AI21" s="15">
        <v>0.02</v>
      </c>
      <c r="AJ21" s="15">
        <v>0.01</v>
      </c>
      <c r="AK21" s="14" t="s">
        <v>475</v>
      </c>
      <c r="AL21" s="14" t="s">
        <v>475</v>
      </c>
      <c r="AM21" s="15">
        <v>0.01</v>
      </c>
      <c r="AN21" s="14" t="s">
        <v>475</v>
      </c>
      <c r="AO21" s="15">
        <v>0.01</v>
      </c>
      <c r="AP21" s="14" t="s">
        <v>475</v>
      </c>
      <c r="AQ21" s="14" t="s">
        <v>475</v>
      </c>
    </row>
    <row r="22" spans="1:43" x14ac:dyDescent="0.35">
      <c r="A22" s="19"/>
      <c r="B22" s="11" t="s">
        <v>485</v>
      </c>
      <c r="C22" s="12">
        <v>773</v>
      </c>
      <c r="D22" s="12">
        <v>19</v>
      </c>
      <c r="E22" s="12">
        <v>97</v>
      </c>
      <c r="F22" s="12">
        <v>28</v>
      </c>
      <c r="G22" s="12">
        <v>33</v>
      </c>
      <c r="H22" s="12">
        <v>31</v>
      </c>
      <c r="I22" s="12">
        <v>32</v>
      </c>
      <c r="J22" s="12">
        <v>1</v>
      </c>
      <c r="K22" s="12">
        <v>75</v>
      </c>
      <c r="L22" s="12">
        <v>52</v>
      </c>
      <c r="M22" s="12">
        <v>15</v>
      </c>
      <c r="N22" s="12">
        <v>32</v>
      </c>
      <c r="O22" s="12">
        <v>36</v>
      </c>
      <c r="P22" s="12">
        <v>19</v>
      </c>
      <c r="Q22" s="12">
        <v>19</v>
      </c>
      <c r="R22" s="12">
        <v>21</v>
      </c>
      <c r="S22" s="12">
        <v>108</v>
      </c>
      <c r="T22" s="12">
        <v>42</v>
      </c>
      <c r="U22" s="12">
        <v>50</v>
      </c>
      <c r="V22" s="12">
        <v>12</v>
      </c>
      <c r="W22" s="12">
        <v>5</v>
      </c>
      <c r="X22" s="12">
        <v>17</v>
      </c>
      <c r="Y22" s="12">
        <v>29</v>
      </c>
      <c r="Z22" s="12">
        <v>28</v>
      </c>
      <c r="AA22" s="12">
        <v>88</v>
      </c>
      <c r="AB22" s="12">
        <v>48</v>
      </c>
      <c r="AC22" s="12">
        <v>15</v>
      </c>
      <c r="AD22" s="12">
        <v>18</v>
      </c>
      <c r="AE22" s="12">
        <v>40</v>
      </c>
      <c r="AF22" s="12">
        <v>17</v>
      </c>
      <c r="AG22" s="12">
        <v>6</v>
      </c>
      <c r="AH22" s="12">
        <v>21</v>
      </c>
      <c r="AI22" s="12">
        <v>5</v>
      </c>
      <c r="AJ22" s="12">
        <v>6</v>
      </c>
      <c r="AK22" s="12">
        <v>7</v>
      </c>
      <c r="AL22" s="12">
        <v>193</v>
      </c>
      <c r="AM22" s="12">
        <v>52</v>
      </c>
      <c r="AN22" s="12">
        <v>4</v>
      </c>
      <c r="AO22" s="12">
        <v>76</v>
      </c>
      <c r="AP22" s="12">
        <v>1</v>
      </c>
      <c r="AQ22" s="12">
        <v>124</v>
      </c>
    </row>
    <row r="23" spans="1:43" x14ac:dyDescent="0.35">
      <c r="A23" s="19"/>
      <c r="B23" s="13" t="s">
        <v>486</v>
      </c>
      <c r="C23" s="15">
        <v>0.03</v>
      </c>
      <c r="D23" s="15">
        <v>0.02</v>
      </c>
      <c r="E23" s="15">
        <v>0.09</v>
      </c>
      <c r="F23" s="15">
        <v>0.02</v>
      </c>
      <c r="G23" s="15">
        <v>0.04</v>
      </c>
      <c r="H23" s="15">
        <v>0.03</v>
      </c>
      <c r="I23" s="15">
        <v>0.02</v>
      </c>
      <c r="J23" s="14" t="s">
        <v>475</v>
      </c>
      <c r="K23" s="15">
        <v>0.08</v>
      </c>
      <c r="L23" s="15">
        <v>0.05</v>
      </c>
      <c r="M23" s="15">
        <v>0.01</v>
      </c>
      <c r="N23" s="15">
        <v>0.03</v>
      </c>
      <c r="O23" s="15">
        <v>0.03</v>
      </c>
      <c r="P23" s="15">
        <v>0.02</v>
      </c>
      <c r="Q23" s="15">
        <v>0.02</v>
      </c>
      <c r="R23" s="15">
        <v>0.04</v>
      </c>
      <c r="S23" s="15">
        <v>0.11</v>
      </c>
      <c r="T23" s="15">
        <v>0.04</v>
      </c>
      <c r="U23" s="15">
        <v>0.1</v>
      </c>
      <c r="V23" s="15">
        <v>0.01</v>
      </c>
      <c r="W23" s="15">
        <v>0.01</v>
      </c>
      <c r="X23" s="15">
        <v>0.02</v>
      </c>
      <c r="Y23" s="15">
        <v>0.03</v>
      </c>
      <c r="Z23" s="15">
        <v>0.03</v>
      </c>
      <c r="AA23" s="15">
        <v>0.09</v>
      </c>
      <c r="AB23" s="15">
        <v>0.05</v>
      </c>
      <c r="AC23" s="15">
        <v>0.02</v>
      </c>
      <c r="AD23" s="15">
        <v>0.02</v>
      </c>
      <c r="AE23" s="15">
        <v>0.04</v>
      </c>
      <c r="AF23" s="15">
        <v>0.02</v>
      </c>
      <c r="AG23" s="15">
        <v>0.01</v>
      </c>
      <c r="AH23" s="15">
        <v>0.02</v>
      </c>
      <c r="AI23" s="15">
        <v>0.01</v>
      </c>
      <c r="AJ23" s="15">
        <v>0.01</v>
      </c>
      <c r="AK23" s="15">
        <v>0.01</v>
      </c>
      <c r="AL23" s="15">
        <v>0.19</v>
      </c>
      <c r="AM23" s="15">
        <v>0.05</v>
      </c>
      <c r="AN23" s="15">
        <v>0.01</v>
      </c>
      <c r="AO23" s="15">
        <v>0.08</v>
      </c>
      <c r="AP23" s="14" t="s">
        <v>475</v>
      </c>
      <c r="AQ23" s="15">
        <v>0.12</v>
      </c>
    </row>
    <row r="24" spans="1:43" x14ac:dyDescent="0.35">
      <c r="A24" s="19"/>
      <c r="B24" s="11" t="s">
        <v>1056</v>
      </c>
      <c r="C24" s="12">
        <v>13041</v>
      </c>
      <c r="D24" s="12">
        <v>494</v>
      </c>
      <c r="E24" s="12">
        <v>423</v>
      </c>
      <c r="F24" s="12">
        <v>419</v>
      </c>
      <c r="G24" s="12">
        <v>697</v>
      </c>
      <c r="H24" s="12">
        <v>721</v>
      </c>
      <c r="I24" s="12">
        <v>868</v>
      </c>
      <c r="J24" s="12">
        <v>147</v>
      </c>
      <c r="K24" s="12">
        <v>508</v>
      </c>
      <c r="L24" s="12">
        <v>508</v>
      </c>
      <c r="M24" s="12">
        <v>179</v>
      </c>
      <c r="N24" s="12">
        <v>358</v>
      </c>
      <c r="O24" s="12">
        <v>364</v>
      </c>
      <c r="P24" s="12">
        <v>492</v>
      </c>
      <c r="Q24" s="12">
        <v>476</v>
      </c>
      <c r="R24" s="12">
        <v>155</v>
      </c>
      <c r="S24" s="12">
        <v>389</v>
      </c>
      <c r="T24" s="12">
        <v>527</v>
      </c>
      <c r="U24" s="12">
        <v>254</v>
      </c>
      <c r="V24" s="12">
        <v>464</v>
      </c>
      <c r="W24" s="12">
        <v>123</v>
      </c>
      <c r="X24" s="12">
        <v>686</v>
      </c>
      <c r="Y24" s="12">
        <v>633</v>
      </c>
      <c r="Z24" s="12">
        <v>631</v>
      </c>
      <c r="AA24" s="12">
        <v>711</v>
      </c>
      <c r="AB24" s="12">
        <v>608</v>
      </c>
      <c r="AC24" s="12">
        <v>372</v>
      </c>
      <c r="AD24" s="12">
        <v>547</v>
      </c>
      <c r="AE24" s="12">
        <v>779</v>
      </c>
      <c r="AF24" s="12">
        <v>599</v>
      </c>
      <c r="AG24" s="12">
        <v>603</v>
      </c>
      <c r="AH24" s="12">
        <v>473</v>
      </c>
      <c r="AI24" s="12">
        <v>300</v>
      </c>
      <c r="AJ24" s="12">
        <v>406</v>
      </c>
      <c r="AK24" s="12">
        <v>357</v>
      </c>
      <c r="AL24" s="12">
        <v>398</v>
      </c>
      <c r="AM24" s="12">
        <v>372</v>
      </c>
      <c r="AN24" s="12">
        <v>435</v>
      </c>
      <c r="AO24" s="12">
        <v>633</v>
      </c>
      <c r="AP24" s="12">
        <v>252</v>
      </c>
      <c r="AQ24" s="12">
        <v>512</v>
      </c>
    </row>
    <row r="25" spans="1:43" x14ac:dyDescent="0.35">
      <c r="A25" s="19"/>
      <c r="B25" s="13" t="s">
        <v>1057</v>
      </c>
      <c r="C25" s="15">
        <v>0.49</v>
      </c>
      <c r="D25" s="15">
        <v>0.49</v>
      </c>
      <c r="E25" s="15">
        <v>0.41</v>
      </c>
      <c r="F25" s="15">
        <v>0.38</v>
      </c>
      <c r="G25" s="15">
        <v>0.69000000000000006</v>
      </c>
      <c r="H25" s="15">
        <v>0.59</v>
      </c>
      <c r="I25" s="15">
        <v>0.57000000000000006</v>
      </c>
      <c r="J25" s="15">
        <v>0.5</v>
      </c>
      <c r="K25" s="15">
        <v>0.5</v>
      </c>
      <c r="L25" s="15">
        <v>0.51</v>
      </c>
      <c r="M25" s="15">
        <v>0.18</v>
      </c>
      <c r="N25" s="15">
        <v>0.36</v>
      </c>
      <c r="O25" s="15">
        <v>0.37</v>
      </c>
      <c r="P25" s="15">
        <v>0.49</v>
      </c>
      <c r="Q25" s="15">
        <v>0.46</v>
      </c>
      <c r="R25" s="15">
        <v>0.31</v>
      </c>
      <c r="S25" s="15">
        <v>0.39</v>
      </c>
      <c r="T25" s="15">
        <v>0.53</v>
      </c>
      <c r="U25" s="15">
        <v>0.5</v>
      </c>
      <c r="V25" s="15">
        <v>0.46</v>
      </c>
      <c r="W25" s="15">
        <v>0.24</v>
      </c>
      <c r="X25" s="15">
        <v>0.68</v>
      </c>
      <c r="Y25" s="15">
        <v>0.63</v>
      </c>
      <c r="Z25" s="15">
        <v>0.61</v>
      </c>
      <c r="AA25" s="15">
        <v>0.68</v>
      </c>
      <c r="AB25" s="15">
        <v>0.57999999999999996</v>
      </c>
      <c r="AC25" s="15">
        <v>0.37</v>
      </c>
      <c r="AD25" s="15">
        <v>0.54</v>
      </c>
      <c r="AE25" s="15">
        <v>0.77</v>
      </c>
      <c r="AF25" s="15">
        <v>0.57000000000000006</v>
      </c>
      <c r="AG25" s="15">
        <v>0.59</v>
      </c>
      <c r="AH25" s="15">
        <v>0.47</v>
      </c>
      <c r="AI25" s="15">
        <v>0.57999999999999996</v>
      </c>
      <c r="AJ25" s="15">
        <v>0.39</v>
      </c>
      <c r="AK25" s="15">
        <v>0.35</v>
      </c>
      <c r="AL25" s="15">
        <v>0.39</v>
      </c>
      <c r="AM25" s="15">
        <v>0.36</v>
      </c>
      <c r="AN25" s="15">
        <v>0.43</v>
      </c>
      <c r="AO25" s="15">
        <v>0.63</v>
      </c>
      <c r="AP25" s="15">
        <v>0.48</v>
      </c>
      <c r="AQ25" s="15">
        <v>0.51</v>
      </c>
    </row>
    <row r="26" spans="1:43" x14ac:dyDescent="0.35">
      <c r="A26" s="19"/>
      <c r="B26" s="11" t="s">
        <v>1058</v>
      </c>
      <c r="C26" s="12">
        <v>12229</v>
      </c>
      <c r="D26" s="12">
        <v>482</v>
      </c>
      <c r="E26" s="12">
        <v>481</v>
      </c>
      <c r="F26" s="12">
        <v>652</v>
      </c>
      <c r="G26" s="12">
        <v>265</v>
      </c>
      <c r="H26" s="12">
        <v>448</v>
      </c>
      <c r="I26" s="12">
        <v>592</v>
      </c>
      <c r="J26" s="12">
        <v>145</v>
      </c>
      <c r="K26" s="12">
        <v>379</v>
      </c>
      <c r="L26" s="12">
        <v>427</v>
      </c>
      <c r="M26" s="12">
        <v>810</v>
      </c>
      <c r="N26" s="12">
        <v>605</v>
      </c>
      <c r="O26" s="12">
        <v>586</v>
      </c>
      <c r="P26" s="12">
        <v>455</v>
      </c>
      <c r="Q26" s="12">
        <v>524</v>
      </c>
      <c r="R26" s="12">
        <v>323</v>
      </c>
      <c r="S26" s="12">
        <v>486</v>
      </c>
      <c r="T26" s="12">
        <v>422</v>
      </c>
      <c r="U26" s="12">
        <v>191</v>
      </c>
      <c r="V26" s="12">
        <v>535</v>
      </c>
      <c r="W26" s="12">
        <v>379</v>
      </c>
      <c r="X26" s="12">
        <v>300</v>
      </c>
      <c r="Y26" s="12">
        <v>322</v>
      </c>
      <c r="Z26" s="12">
        <v>322</v>
      </c>
      <c r="AA26" s="12">
        <v>223</v>
      </c>
      <c r="AB26" s="12">
        <v>371</v>
      </c>
      <c r="AC26" s="12">
        <v>605</v>
      </c>
      <c r="AD26" s="12">
        <v>430</v>
      </c>
      <c r="AE26" s="12">
        <v>191</v>
      </c>
      <c r="AF26" s="12">
        <v>419</v>
      </c>
      <c r="AG26" s="12">
        <v>420</v>
      </c>
      <c r="AH26" s="12">
        <v>511</v>
      </c>
      <c r="AI26" s="12">
        <v>208</v>
      </c>
      <c r="AJ26" s="12">
        <v>611</v>
      </c>
      <c r="AK26" s="12">
        <v>640</v>
      </c>
      <c r="AL26" s="12">
        <v>418</v>
      </c>
      <c r="AM26" s="12">
        <v>610</v>
      </c>
      <c r="AN26" s="12">
        <v>561</v>
      </c>
      <c r="AO26" s="12">
        <v>285</v>
      </c>
      <c r="AP26" s="12">
        <v>270</v>
      </c>
      <c r="AQ26" s="12">
        <v>365</v>
      </c>
    </row>
    <row r="27" spans="1:43" x14ac:dyDescent="0.35">
      <c r="A27" s="19"/>
      <c r="B27" s="13" t="s">
        <v>1059</v>
      </c>
      <c r="C27" s="15">
        <v>0.47</v>
      </c>
      <c r="D27" s="15">
        <v>0.47</v>
      </c>
      <c r="E27" s="15">
        <v>0.47</v>
      </c>
      <c r="F27" s="15">
        <v>0.6</v>
      </c>
      <c r="G27" s="15">
        <v>0.26</v>
      </c>
      <c r="H27" s="15">
        <v>0.36</v>
      </c>
      <c r="I27" s="15">
        <v>0.39</v>
      </c>
      <c r="J27" s="15">
        <v>0.49</v>
      </c>
      <c r="K27" s="15">
        <v>0.38</v>
      </c>
      <c r="L27" s="15">
        <v>0.43</v>
      </c>
      <c r="M27" s="15">
        <v>0.81</v>
      </c>
      <c r="N27" s="15">
        <v>0.6</v>
      </c>
      <c r="O27" s="15">
        <v>0.59</v>
      </c>
      <c r="P27" s="15">
        <v>0.45</v>
      </c>
      <c r="Q27" s="15">
        <v>0.51</v>
      </c>
      <c r="R27" s="15">
        <v>0.64</v>
      </c>
      <c r="S27" s="15">
        <v>0.48</v>
      </c>
      <c r="T27" s="15">
        <v>0.42</v>
      </c>
      <c r="U27" s="15">
        <v>0.38</v>
      </c>
      <c r="V27" s="15">
        <v>0.52</v>
      </c>
      <c r="W27" s="15">
        <v>0.75</v>
      </c>
      <c r="X27" s="15">
        <v>0.3</v>
      </c>
      <c r="Y27" s="15">
        <v>0.32</v>
      </c>
      <c r="Z27" s="15">
        <v>0.31</v>
      </c>
      <c r="AA27" s="15">
        <v>0.22</v>
      </c>
      <c r="AB27" s="15">
        <v>0.35</v>
      </c>
      <c r="AC27" s="15">
        <v>0.6</v>
      </c>
      <c r="AD27" s="15">
        <v>0.43</v>
      </c>
      <c r="AE27" s="15">
        <v>0.19</v>
      </c>
      <c r="AF27" s="15">
        <v>0.4</v>
      </c>
      <c r="AG27" s="15">
        <v>0.4</v>
      </c>
      <c r="AH27" s="15">
        <v>0.5</v>
      </c>
      <c r="AI27" s="15">
        <v>0.39</v>
      </c>
      <c r="AJ27" s="15">
        <v>0.59</v>
      </c>
      <c r="AK27" s="15">
        <v>0.64</v>
      </c>
      <c r="AL27" s="15">
        <v>0.42</v>
      </c>
      <c r="AM27" s="15">
        <v>0.57999999999999996</v>
      </c>
      <c r="AN27" s="15">
        <v>0.56000000000000005</v>
      </c>
      <c r="AO27" s="15">
        <v>0.28000000000000003</v>
      </c>
      <c r="AP27" s="15">
        <v>0.52</v>
      </c>
      <c r="AQ27" s="15">
        <v>0.37</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36" customHeight="1" x14ac:dyDescent="0.35">
      <c r="B3" s="18" t="s">
        <v>1404</v>
      </c>
      <c r="C3" s="18"/>
      <c r="D3" s="18"/>
      <c r="E3" s="18"/>
      <c r="F3" s="18"/>
      <c r="H3" s="18" t="s">
        <v>1405</v>
      </c>
      <c r="I3" s="18"/>
      <c r="J3" s="18"/>
      <c r="K3" s="18"/>
      <c r="L3" s="18"/>
    </row>
    <row r="4" spans="1:43" ht="27" customHeight="1" x14ac:dyDescent="0.35">
      <c r="B4" s="18" t="s">
        <v>1406</v>
      </c>
      <c r="C4" s="18"/>
      <c r="D4" s="18"/>
      <c r="E4" s="18"/>
      <c r="F4" s="18"/>
      <c r="H4" s="18" t="s">
        <v>1407</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HYPERLINK("#Content!A171","&lt;&lt;Back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1048</v>
      </c>
      <c r="C12" s="12">
        <v>2273</v>
      </c>
      <c r="D12" s="12">
        <v>73</v>
      </c>
      <c r="E12" s="12">
        <v>76</v>
      </c>
      <c r="F12" s="12">
        <v>109</v>
      </c>
      <c r="G12" s="12">
        <v>200</v>
      </c>
      <c r="H12" s="12">
        <v>127</v>
      </c>
      <c r="I12" s="12">
        <v>142</v>
      </c>
      <c r="J12" s="12">
        <v>15</v>
      </c>
      <c r="K12" s="12">
        <v>125</v>
      </c>
      <c r="L12" s="12">
        <v>119</v>
      </c>
      <c r="M12" s="12">
        <v>31</v>
      </c>
      <c r="N12" s="12">
        <v>36</v>
      </c>
      <c r="O12" s="12">
        <v>49</v>
      </c>
      <c r="P12" s="12">
        <v>95</v>
      </c>
      <c r="Q12" s="12">
        <v>66</v>
      </c>
      <c r="R12" s="12">
        <v>8</v>
      </c>
      <c r="S12" s="12">
        <v>58</v>
      </c>
      <c r="T12" s="12">
        <v>57</v>
      </c>
      <c r="U12" s="12">
        <v>44</v>
      </c>
      <c r="V12" s="12">
        <v>76</v>
      </c>
      <c r="W12" s="12">
        <v>17</v>
      </c>
      <c r="X12" s="12">
        <v>187</v>
      </c>
      <c r="Y12" s="12">
        <v>154</v>
      </c>
      <c r="Z12" s="12">
        <v>101</v>
      </c>
      <c r="AA12" s="12">
        <v>47</v>
      </c>
      <c r="AB12" s="12">
        <v>137</v>
      </c>
      <c r="AC12" s="12">
        <v>53</v>
      </c>
      <c r="AD12" s="12">
        <v>90</v>
      </c>
      <c r="AE12" s="12">
        <v>243</v>
      </c>
      <c r="AF12" s="12">
        <v>263</v>
      </c>
      <c r="AG12" s="12">
        <v>233</v>
      </c>
      <c r="AH12" s="12">
        <v>68</v>
      </c>
      <c r="AI12" s="12">
        <v>55</v>
      </c>
      <c r="AJ12" s="12">
        <v>142</v>
      </c>
      <c r="AK12" s="12">
        <v>36</v>
      </c>
      <c r="AL12" s="12">
        <v>144</v>
      </c>
      <c r="AM12" s="12">
        <v>35</v>
      </c>
      <c r="AN12" s="12">
        <v>47</v>
      </c>
      <c r="AO12" s="12">
        <v>227</v>
      </c>
      <c r="AP12" s="12">
        <v>63</v>
      </c>
      <c r="AQ12" s="12">
        <v>140</v>
      </c>
    </row>
    <row r="13" spans="1:43" x14ac:dyDescent="0.35">
      <c r="A13" s="19"/>
      <c r="B13" s="13" t="s">
        <v>1049</v>
      </c>
      <c r="C13" s="15">
        <v>0.09</v>
      </c>
      <c r="D13" s="15">
        <v>7.0000000000000007E-2</v>
      </c>
      <c r="E13" s="15">
        <v>0.08</v>
      </c>
      <c r="F13" s="15">
        <v>0.1</v>
      </c>
      <c r="G13" s="15">
        <v>0.2</v>
      </c>
      <c r="H13" s="15">
        <v>0.1</v>
      </c>
      <c r="I13" s="15">
        <v>0.09</v>
      </c>
      <c r="J13" s="15">
        <v>0.05</v>
      </c>
      <c r="K13" s="15">
        <v>0.12</v>
      </c>
      <c r="L13" s="15">
        <v>0.12</v>
      </c>
      <c r="M13" s="15">
        <v>0.03</v>
      </c>
      <c r="N13" s="15">
        <v>0.04</v>
      </c>
      <c r="O13" s="15">
        <v>0.05</v>
      </c>
      <c r="P13" s="15">
        <v>0.1</v>
      </c>
      <c r="Q13" s="15">
        <v>0.06</v>
      </c>
      <c r="R13" s="15">
        <v>0.02</v>
      </c>
      <c r="S13" s="15">
        <v>0.06</v>
      </c>
      <c r="T13" s="15">
        <v>0.06</v>
      </c>
      <c r="U13" s="15">
        <v>0.09</v>
      </c>
      <c r="V13" s="15">
        <v>0.08</v>
      </c>
      <c r="W13" s="15">
        <v>0.03</v>
      </c>
      <c r="X13" s="15">
        <v>0.18</v>
      </c>
      <c r="Y13" s="15">
        <v>0.16</v>
      </c>
      <c r="Z13" s="15">
        <v>0.1</v>
      </c>
      <c r="AA13" s="15">
        <v>0.05</v>
      </c>
      <c r="AB13" s="15">
        <v>0.13</v>
      </c>
      <c r="AC13" s="15">
        <v>0.05</v>
      </c>
      <c r="AD13" s="15">
        <v>0.09</v>
      </c>
      <c r="AE13" s="15">
        <v>0.24</v>
      </c>
      <c r="AF13" s="15">
        <v>0.25</v>
      </c>
      <c r="AG13" s="15">
        <v>0.22</v>
      </c>
      <c r="AH13" s="15">
        <v>7.0000000000000007E-2</v>
      </c>
      <c r="AI13" s="15">
        <v>0.1</v>
      </c>
      <c r="AJ13" s="15">
        <v>0.14000000000000001</v>
      </c>
      <c r="AK13" s="15">
        <v>0.04</v>
      </c>
      <c r="AL13" s="15">
        <v>0.14000000000000001</v>
      </c>
      <c r="AM13" s="15">
        <v>0.03</v>
      </c>
      <c r="AN13" s="15">
        <v>0.05</v>
      </c>
      <c r="AO13" s="15">
        <v>0.23</v>
      </c>
      <c r="AP13" s="15">
        <v>0.12</v>
      </c>
      <c r="AQ13" s="15">
        <v>0.14000000000000001</v>
      </c>
    </row>
    <row r="14" spans="1:43" ht="21.5" x14ac:dyDescent="0.35">
      <c r="A14" s="19"/>
      <c r="B14" s="11" t="s">
        <v>1391</v>
      </c>
      <c r="C14" s="12">
        <v>9316</v>
      </c>
      <c r="D14" s="12">
        <v>342</v>
      </c>
      <c r="E14" s="12">
        <v>291</v>
      </c>
      <c r="F14" s="12">
        <v>361</v>
      </c>
      <c r="G14" s="12">
        <v>427</v>
      </c>
      <c r="H14" s="12">
        <v>557</v>
      </c>
      <c r="I14" s="12">
        <v>665</v>
      </c>
      <c r="J14" s="12">
        <v>108</v>
      </c>
      <c r="K14" s="12">
        <v>360</v>
      </c>
      <c r="L14" s="12">
        <v>344</v>
      </c>
      <c r="M14" s="12">
        <v>118</v>
      </c>
      <c r="N14" s="12">
        <v>276</v>
      </c>
      <c r="O14" s="12">
        <v>207</v>
      </c>
      <c r="P14" s="12">
        <v>400</v>
      </c>
      <c r="Q14" s="12">
        <v>333</v>
      </c>
      <c r="R14" s="12">
        <v>98</v>
      </c>
      <c r="S14" s="12">
        <v>286</v>
      </c>
      <c r="T14" s="12">
        <v>423</v>
      </c>
      <c r="U14" s="12">
        <v>159</v>
      </c>
      <c r="V14" s="12">
        <v>316</v>
      </c>
      <c r="W14" s="12">
        <v>100</v>
      </c>
      <c r="X14" s="12">
        <v>432</v>
      </c>
      <c r="Y14" s="12">
        <v>425</v>
      </c>
      <c r="Z14" s="12">
        <v>479</v>
      </c>
      <c r="AA14" s="12">
        <v>593</v>
      </c>
      <c r="AB14" s="12">
        <v>471</v>
      </c>
      <c r="AC14" s="12">
        <v>309</v>
      </c>
      <c r="AD14" s="12">
        <v>416</v>
      </c>
      <c r="AE14" s="12">
        <v>447</v>
      </c>
      <c r="AF14" s="12">
        <v>397</v>
      </c>
      <c r="AG14" s="12">
        <v>359</v>
      </c>
      <c r="AH14" s="12">
        <v>345</v>
      </c>
      <c r="AI14" s="12">
        <v>217</v>
      </c>
      <c r="AJ14" s="12">
        <v>257</v>
      </c>
      <c r="AK14" s="12">
        <v>266</v>
      </c>
      <c r="AL14" s="12">
        <v>300</v>
      </c>
      <c r="AM14" s="12">
        <v>304</v>
      </c>
      <c r="AN14" s="12">
        <v>327</v>
      </c>
      <c r="AO14" s="12">
        <v>366</v>
      </c>
      <c r="AP14" s="12">
        <v>175</v>
      </c>
      <c r="AQ14" s="12">
        <v>293</v>
      </c>
    </row>
    <row r="15" spans="1:43" x14ac:dyDescent="0.35">
      <c r="A15" s="19"/>
      <c r="B15" s="13" t="s">
        <v>1051</v>
      </c>
      <c r="C15" s="15">
        <v>0.35</v>
      </c>
      <c r="D15" s="15">
        <v>0.34</v>
      </c>
      <c r="E15" s="15">
        <v>0.28000000000000003</v>
      </c>
      <c r="F15" s="15">
        <v>0.33</v>
      </c>
      <c r="G15" s="15">
        <v>0.42</v>
      </c>
      <c r="H15" s="15">
        <v>0.46</v>
      </c>
      <c r="I15" s="15">
        <v>0.44</v>
      </c>
      <c r="J15" s="15">
        <v>0.36</v>
      </c>
      <c r="K15" s="15">
        <v>0.36</v>
      </c>
      <c r="L15" s="15">
        <v>0.34</v>
      </c>
      <c r="M15" s="15">
        <v>0.12</v>
      </c>
      <c r="N15" s="15">
        <v>0.27</v>
      </c>
      <c r="O15" s="15">
        <v>0.21</v>
      </c>
      <c r="P15" s="15">
        <v>0.4</v>
      </c>
      <c r="Q15" s="15">
        <v>0.32</v>
      </c>
      <c r="R15" s="15">
        <v>0.19</v>
      </c>
      <c r="S15" s="15">
        <v>0.28999999999999998</v>
      </c>
      <c r="T15" s="15">
        <v>0.42</v>
      </c>
      <c r="U15" s="15">
        <v>0.32</v>
      </c>
      <c r="V15" s="15">
        <v>0.31</v>
      </c>
      <c r="W15" s="15">
        <v>0.2</v>
      </c>
      <c r="X15" s="15">
        <v>0.43</v>
      </c>
      <c r="Y15" s="15">
        <v>0.42</v>
      </c>
      <c r="Z15" s="15">
        <v>0.47</v>
      </c>
      <c r="AA15" s="15">
        <v>0.57000000000000006</v>
      </c>
      <c r="AB15" s="15">
        <v>0.45</v>
      </c>
      <c r="AC15" s="15">
        <v>0.31</v>
      </c>
      <c r="AD15" s="15">
        <v>0.41</v>
      </c>
      <c r="AE15" s="15">
        <v>0.44</v>
      </c>
      <c r="AF15" s="15">
        <v>0.38</v>
      </c>
      <c r="AG15" s="15">
        <v>0.35</v>
      </c>
      <c r="AH15" s="15">
        <v>0.34</v>
      </c>
      <c r="AI15" s="15">
        <v>0.41</v>
      </c>
      <c r="AJ15" s="15">
        <v>0.25</v>
      </c>
      <c r="AK15" s="15">
        <v>0.26</v>
      </c>
      <c r="AL15" s="15">
        <v>0.3</v>
      </c>
      <c r="AM15" s="15">
        <v>0.28999999999999998</v>
      </c>
      <c r="AN15" s="15">
        <v>0.33</v>
      </c>
      <c r="AO15" s="15">
        <v>0.36</v>
      </c>
      <c r="AP15" s="15">
        <v>0.33</v>
      </c>
      <c r="AQ15" s="15">
        <v>0.28999999999999998</v>
      </c>
    </row>
    <row r="16" spans="1:43" x14ac:dyDescent="0.35">
      <c r="A16" s="19"/>
      <c r="B16" s="11" t="s">
        <v>1392</v>
      </c>
      <c r="C16" s="12">
        <v>8878</v>
      </c>
      <c r="D16" s="12">
        <v>400</v>
      </c>
      <c r="E16" s="12">
        <v>299</v>
      </c>
      <c r="F16" s="12">
        <v>424</v>
      </c>
      <c r="G16" s="12">
        <v>253</v>
      </c>
      <c r="H16" s="12">
        <v>371</v>
      </c>
      <c r="I16" s="12">
        <v>485</v>
      </c>
      <c r="J16" s="12">
        <v>114</v>
      </c>
      <c r="K16" s="12">
        <v>278</v>
      </c>
      <c r="L16" s="12">
        <v>324</v>
      </c>
      <c r="M16" s="12">
        <v>413</v>
      </c>
      <c r="N16" s="12">
        <v>368</v>
      </c>
      <c r="O16" s="12">
        <v>424</v>
      </c>
      <c r="P16" s="12">
        <v>304</v>
      </c>
      <c r="Q16" s="12">
        <v>388</v>
      </c>
      <c r="R16" s="12">
        <v>212</v>
      </c>
      <c r="S16" s="12">
        <v>353</v>
      </c>
      <c r="T16" s="12">
        <v>344</v>
      </c>
      <c r="U16" s="12">
        <v>181</v>
      </c>
      <c r="V16" s="12">
        <v>295</v>
      </c>
      <c r="W16" s="12">
        <v>193</v>
      </c>
      <c r="X16" s="12">
        <v>251</v>
      </c>
      <c r="Y16" s="12">
        <v>228</v>
      </c>
      <c r="Z16" s="12">
        <v>284</v>
      </c>
      <c r="AA16" s="12">
        <v>235</v>
      </c>
      <c r="AB16" s="12">
        <v>268</v>
      </c>
      <c r="AC16" s="12">
        <v>351</v>
      </c>
      <c r="AD16" s="12">
        <v>313</v>
      </c>
      <c r="AE16" s="12">
        <v>223</v>
      </c>
      <c r="AF16" s="12">
        <v>237</v>
      </c>
      <c r="AG16" s="12">
        <v>226</v>
      </c>
      <c r="AH16" s="12">
        <v>355</v>
      </c>
      <c r="AI16" s="12">
        <v>187</v>
      </c>
      <c r="AJ16" s="12">
        <v>273</v>
      </c>
      <c r="AK16" s="12">
        <v>458</v>
      </c>
      <c r="AL16" s="12">
        <v>223</v>
      </c>
      <c r="AM16" s="12">
        <v>422</v>
      </c>
      <c r="AN16" s="12">
        <v>380</v>
      </c>
      <c r="AO16" s="12">
        <v>203</v>
      </c>
      <c r="AP16" s="12">
        <v>167</v>
      </c>
      <c r="AQ16" s="12">
        <v>190</v>
      </c>
    </row>
    <row r="17" spans="1:43" x14ac:dyDescent="0.35">
      <c r="A17" s="19"/>
      <c r="B17" s="13" t="s">
        <v>1053</v>
      </c>
      <c r="C17" s="15">
        <v>0.33</v>
      </c>
      <c r="D17" s="15">
        <v>0.39</v>
      </c>
      <c r="E17" s="15">
        <v>0.28999999999999998</v>
      </c>
      <c r="F17" s="15">
        <v>0.38</v>
      </c>
      <c r="G17" s="15">
        <v>0.25</v>
      </c>
      <c r="H17" s="15">
        <v>0.3</v>
      </c>
      <c r="I17" s="15">
        <v>0.32</v>
      </c>
      <c r="J17" s="15">
        <v>0.39</v>
      </c>
      <c r="K17" s="15">
        <v>0.28000000000000003</v>
      </c>
      <c r="L17" s="15">
        <v>0.32</v>
      </c>
      <c r="M17" s="15">
        <v>0.41</v>
      </c>
      <c r="N17" s="15">
        <v>0.37</v>
      </c>
      <c r="O17" s="15">
        <v>0.42</v>
      </c>
      <c r="P17" s="15">
        <v>0.3</v>
      </c>
      <c r="Q17" s="15">
        <v>0.38</v>
      </c>
      <c r="R17" s="15">
        <v>0.42</v>
      </c>
      <c r="S17" s="15">
        <v>0.35</v>
      </c>
      <c r="T17" s="15">
        <v>0.34</v>
      </c>
      <c r="U17" s="15">
        <v>0.36</v>
      </c>
      <c r="V17" s="15">
        <v>0.28999999999999998</v>
      </c>
      <c r="W17" s="15">
        <v>0.38</v>
      </c>
      <c r="X17" s="15">
        <v>0.25</v>
      </c>
      <c r="Y17" s="15">
        <v>0.23</v>
      </c>
      <c r="Z17" s="15">
        <v>0.28000000000000003</v>
      </c>
      <c r="AA17" s="15">
        <v>0.23</v>
      </c>
      <c r="AB17" s="15">
        <v>0.26</v>
      </c>
      <c r="AC17" s="15">
        <v>0.35</v>
      </c>
      <c r="AD17" s="15">
        <v>0.31</v>
      </c>
      <c r="AE17" s="15">
        <v>0.22</v>
      </c>
      <c r="AF17" s="15">
        <v>0.23</v>
      </c>
      <c r="AG17" s="15">
        <v>0.22</v>
      </c>
      <c r="AH17" s="15">
        <v>0.35</v>
      </c>
      <c r="AI17" s="15">
        <v>0.36</v>
      </c>
      <c r="AJ17" s="15">
        <v>0.26</v>
      </c>
      <c r="AK17" s="15">
        <v>0.46</v>
      </c>
      <c r="AL17" s="15">
        <v>0.22</v>
      </c>
      <c r="AM17" s="15">
        <v>0.41</v>
      </c>
      <c r="AN17" s="15">
        <v>0.38</v>
      </c>
      <c r="AO17" s="15">
        <v>0.2</v>
      </c>
      <c r="AP17" s="15">
        <v>0.32</v>
      </c>
      <c r="AQ17" s="15">
        <v>0.19</v>
      </c>
    </row>
    <row r="18" spans="1:43" x14ac:dyDescent="0.35">
      <c r="A18" s="19"/>
      <c r="B18" s="11" t="s">
        <v>1054</v>
      </c>
      <c r="C18" s="12">
        <v>4740</v>
      </c>
      <c r="D18" s="12">
        <v>159</v>
      </c>
      <c r="E18" s="12">
        <v>240</v>
      </c>
      <c r="F18" s="12">
        <v>170</v>
      </c>
      <c r="G18" s="12">
        <v>57</v>
      </c>
      <c r="H18" s="12">
        <v>120</v>
      </c>
      <c r="I18" s="12">
        <v>176</v>
      </c>
      <c r="J18" s="12">
        <v>56</v>
      </c>
      <c r="K18" s="12">
        <v>119</v>
      </c>
      <c r="L18" s="12">
        <v>137</v>
      </c>
      <c r="M18" s="12">
        <v>427</v>
      </c>
      <c r="N18" s="12">
        <v>287</v>
      </c>
      <c r="O18" s="12">
        <v>252</v>
      </c>
      <c r="P18" s="12">
        <v>131</v>
      </c>
      <c r="Q18" s="12">
        <v>214</v>
      </c>
      <c r="R18" s="12">
        <v>159</v>
      </c>
      <c r="S18" s="12">
        <v>184</v>
      </c>
      <c r="T18" s="12">
        <v>124</v>
      </c>
      <c r="U18" s="12">
        <v>40</v>
      </c>
      <c r="V18" s="12">
        <v>316</v>
      </c>
      <c r="W18" s="12">
        <v>193</v>
      </c>
      <c r="X18" s="12">
        <v>118</v>
      </c>
      <c r="Y18" s="12">
        <v>161</v>
      </c>
      <c r="Z18" s="12">
        <v>86</v>
      </c>
      <c r="AA18" s="12">
        <v>52</v>
      </c>
      <c r="AB18" s="12">
        <v>97</v>
      </c>
      <c r="AC18" s="12">
        <v>264</v>
      </c>
      <c r="AD18" s="12">
        <v>160</v>
      </c>
      <c r="AE18" s="12">
        <v>39</v>
      </c>
      <c r="AF18" s="12">
        <v>127</v>
      </c>
      <c r="AG18" s="12">
        <v>199</v>
      </c>
      <c r="AH18" s="12">
        <v>216</v>
      </c>
      <c r="AI18" s="12">
        <v>50</v>
      </c>
      <c r="AJ18" s="12">
        <v>344</v>
      </c>
      <c r="AK18" s="12">
        <v>234</v>
      </c>
      <c r="AL18" s="12">
        <v>150</v>
      </c>
      <c r="AM18" s="12">
        <v>209</v>
      </c>
      <c r="AN18" s="12">
        <v>236</v>
      </c>
      <c r="AO18" s="12">
        <v>114</v>
      </c>
      <c r="AP18" s="12">
        <v>115</v>
      </c>
      <c r="AQ18" s="12">
        <v>234</v>
      </c>
    </row>
    <row r="19" spans="1:43" x14ac:dyDescent="0.35">
      <c r="A19" s="19"/>
      <c r="B19" s="13" t="s">
        <v>1393</v>
      </c>
      <c r="C19" s="15">
        <v>0.18</v>
      </c>
      <c r="D19" s="15">
        <v>0.16</v>
      </c>
      <c r="E19" s="15">
        <v>0.23</v>
      </c>
      <c r="F19" s="15">
        <v>0.15</v>
      </c>
      <c r="G19" s="15">
        <v>0.06</v>
      </c>
      <c r="H19" s="15">
        <v>0.1</v>
      </c>
      <c r="I19" s="15">
        <v>0.12</v>
      </c>
      <c r="J19" s="15">
        <v>0.19</v>
      </c>
      <c r="K19" s="15">
        <v>0.12</v>
      </c>
      <c r="L19" s="15">
        <v>0.14000000000000001</v>
      </c>
      <c r="M19" s="15">
        <v>0.42</v>
      </c>
      <c r="N19" s="15">
        <v>0.28999999999999998</v>
      </c>
      <c r="O19" s="15">
        <v>0.25</v>
      </c>
      <c r="P19" s="15">
        <v>0.13</v>
      </c>
      <c r="Q19" s="15">
        <v>0.21</v>
      </c>
      <c r="R19" s="15">
        <v>0.31</v>
      </c>
      <c r="S19" s="15">
        <v>0.18</v>
      </c>
      <c r="T19" s="15">
        <v>0.12</v>
      </c>
      <c r="U19" s="15">
        <v>0.08</v>
      </c>
      <c r="V19" s="15">
        <v>0.31</v>
      </c>
      <c r="W19" s="15">
        <v>0.38</v>
      </c>
      <c r="X19" s="15">
        <v>0.12</v>
      </c>
      <c r="Y19" s="15">
        <v>0.16</v>
      </c>
      <c r="Z19" s="15">
        <v>0.08</v>
      </c>
      <c r="AA19" s="15">
        <v>0.05</v>
      </c>
      <c r="AB19" s="15">
        <v>0.09</v>
      </c>
      <c r="AC19" s="15">
        <v>0.26</v>
      </c>
      <c r="AD19" s="15">
        <v>0.16</v>
      </c>
      <c r="AE19" s="15">
        <v>0.04</v>
      </c>
      <c r="AF19" s="15">
        <v>0.12</v>
      </c>
      <c r="AG19" s="15">
        <v>0.19</v>
      </c>
      <c r="AH19" s="15">
        <v>0.21</v>
      </c>
      <c r="AI19" s="15">
        <v>0.1</v>
      </c>
      <c r="AJ19" s="15">
        <v>0.33</v>
      </c>
      <c r="AK19" s="15">
        <v>0.23</v>
      </c>
      <c r="AL19" s="15">
        <v>0.15</v>
      </c>
      <c r="AM19" s="15">
        <v>0.2</v>
      </c>
      <c r="AN19" s="15">
        <v>0.23</v>
      </c>
      <c r="AO19" s="15">
        <v>0.11</v>
      </c>
      <c r="AP19" s="15">
        <v>0.22</v>
      </c>
      <c r="AQ19" s="15">
        <v>0.24</v>
      </c>
    </row>
    <row r="20" spans="1:43" x14ac:dyDescent="0.35">
      <c r="A20" s="19"/>
      <c r="B20" s="11" t="s">
        <v>1394</v>
      </c>
      <c r="C20" s="12">
        <v>467</v>
      </c>
      <c r="D20" s="12">
        <v>17</v>
      </c>
      <c r="E20" s="12">
        <v>34</v>
      </c>
      <c r="F20" s="12">
        <v>7</v>
      </c>
      <c r="G20" s="12">
        <v>17</v>
      </c>
      <c r="H20" s="12">
        <v>20</v>
      </c>
      <c r="I20" s="12">
        <v>22</v>
      </c>
      <c r="J20" s="12">
        <v>2</v>
      </c>
      <c r="K20" s="12">
        <v>36</v>
      </c>
      <c r="L20" s="12">
        <v>16</v>
      </c>
      <c r="M20" s="12">
        <v>4</v>
      </c>
      <c r="N20" s="12">
        <v>11</v>
      </c>
      <c r="O20" s="12">
        <v>23</v>
      </c>
      <c r="P20" s="12">
        <v>54</v>
      </c>
      <c r="Q20" s="12">
        <v>9</v>
      </c>
      <c r="R20" s="12">
        <v>3</v>
      </c>
      <c r="S20" s="12">
        <v>16</v>
      </c>
      <c r="T20" s="12">
        <v>14</v>
      </c>
      <c r="U20" s="12">
        <v>12</v>
      </c>
      <c r="V20" s="12">
        <v>8</v>
      </c>
      <c r="W20" s="12">
        <v>0</v>
      </c>
      <c r="X20" s="12">
        <v>8</v>
      </c>
      <c r="Y20" s="12">
        <v>13</v>
      </c>
      <c r="Z20" s="12">
        <v>54</v>
      </c>
      <c r="AA20" s="12">
        <v>14</v>
      </c>
      <c r="AB20" s="12">
        <v>34</v>
      </c>
      <c r="AC20" s="12">
        <v>9</v>
      </c>
      <c r="AD20" s="12">
        <v>10</v>
      </c>
      <c r="AE20" s="12">
        <v>3</v>
      </c>
      <c r="AF20" s="12">
        <v>0</v>
      </c>
      <c r="AG20" s="12">
        <v>8</v>
      </c>
      <c r="AH20" s="12">
        <v>4</v>
      </c>
      <c r="AI20" s="12">
        <v>10</v>
      </c>
      <c r="AJ20" s="12">
        <v>13</v>
      </c>
      <c r="AK20" s="12">
        <v>8</v>
      </c>
      <c r="AL20" s="12">
        <v>4</v>
      </c>
      <c r="AM20" s="12">
        <v>5</v>
      </c>
      <c r="AN20" s="12">
        <v>7</v>
      </c>
      <c r="AO20" s="12">
        <v>15</v>
      </c>
      <c r="AP20" s="12">
        <v>3</v>
      </c>
      <c r="AQ20" s="12">
        <v>3</v>
      </c>
    </row>
    <row r="21" spans="1:43" ht="21.5" x14ac:dyDescent="0.35">
      <c r="A21" s="19"/>
      <c r="B21" s="13" t="s">
        <v>1395</v>
      </c>
      <c r="C21" s="15">
        <v>0.02</v>
      </c>
      <c r="D21" s="15">
        <v>0.02</v>
      </c>
      <c r="E21" s="15">
        <v>0.03</v>
      </c>
      <c r="F21" s="15">
        <v>0.01</v>
      </c>
      <c r="G21" s="15">
        <v>0.02</v>
      </c>
      <c r="H21" s="15">
        <v>0.02</v>
      </c>
      <c r="I21" s="15">
        <v>0.01</v>
      </c>
      <c r="J21" s="15">
        <v>0.01</v>
      </c>
      <c r="K21" s="15">
        <v>0.04</v>
      </c>
      <c r="L21" s="15">
        <v>0.02</v>
      </c>
      <c r="M21" s="14" t="s">
        <v>475</v>
      </c>
      <c r="N21" s="15">
        <v>0.01</v>
      </c>
      <c r="O21" s="15">
        <v>0.02</v>
      </c>
      <c r="P21" s="15">
        <v>0.05</v>
      </c>
      <c r="Q21" s="15">
        <v>0.01</v>
      </c>
      <c r="R21" s="15">
        <v>0.01</v>
      </c>
      <c r="S21" s="15">
        <v>0.02</v>
      </c>
      <c r="T21" s="15">
        <v>0.01</v>
      </c>
      <c r="U21" s="15">
        <v>0.02</v>
      </c>
      <c r="V21" s="15">
        <v>0.01</v>
      </c>
      <c r="W21" s="14" t="s">
        <v>475</v>
      </c>
      <c r="X21" s="15">
        <v>0.01</v>
      </c>
      <c r="Y21" s="15">
        <v>0.01</v>
      </c>
      <c r="Z21" s="15">
        <v>0.05</v>
      </c>
      <c r="AA21" s="15">
        <v>0.01</v>
      </c>
      <c r="AB21" s="15">
        <v>0.03</v>
      </c>
      <c r="AC21" s="15">
        <v>0.01</v>
      </c>
      <c r="AD21" s="15">
        <v>0.01</v>
      </c>
      <c r="AE21" s="14" t="s">
        <v>475</v>
      </c>
      <c r="AF21" s="14" t="s">
        <v>475</v>
      </c>
      <c r="AG21" s="15">
        <v>0.01</v>
      </c>
      <c r="AH21" s="14" t="s">
        <v>475</v>
      </c>
      <c r="AI21" s="15">
        <v>0.02</v>
      </c>
      <c r="AJ21" s="15">
        <v>0.01</v>
      </c>
      <c r="AK21" s="15">
        <v>0.01</v>
      </c>
      <c r="AL21" s="14" t="s">
        <v>475</v>
      </c>
      <c r="AM21" s="15">
        <v>0.01</v>
      </c>
      <c r="AN21" s="15">
        <v>0.01</v>
      </c>
      <c r="AO21" s="15">
        <v>0.02</v>
      </c>
      <c r="AP21" s="15">
        <v>0.01</v>
      </c>
      <c r="AQ21" s="14" t="s">
        <v>475</v>
      </c>
    </row>
    <row r="22" spans="1:43" x14ac:dyDescent="0.35">
      <c r="A22" s="19"/>
      <c r="B22" s="11" t="s">
        <v>485</v>
      </c>
      <c r="C22" s="12">
        <v>770</v>
      </c>
      <c r="D22" s="12">
        <v>23</v>
      </c>
      <c r="E22" s="12">
        <v>90</v>
      </c>
      <c r="F22" s="12">
        <v>31</v>
      </c>
      <c r="G22" s="12">
        <v>51</v>
      </c>
      <c r="H22" s="12">
        <v>25</v>
      </c>
      <c r="I22" s="12">
        <v>25</v>
      </c>
      <c r="J22" s="12">
        <v>0</v>
      </c>
      <c r="K22" s="12">
        <v>85</v>
      </c>
      <c r="L22" s="12">
        <v>62</v>
      </c>
      <c r="M22" s="12">
        <v>16</v>
      </c>
      <c r="N22" s="12">
        <v>25</v>
      </c>
      <c r="O22" s="12">
        <v>46</v>
      </c>
      <c r="P22" s="12">
        <v>21</v>
      </c>
      <c r="Q22" s="12">
        <v>17</v>
      </c>
      <c r="R22" s="12">
        <v>24</v>
      </c>
      <c r="S22" s="12">
        <v>104</v>
      </c>
      <c r="T22" s="12">
        <v>44</v>
      </c>
      <c r="U22" s="12">
        <v>68</v>
      </c>
      <c r="V22" s="12">
        <v>5</v>
      </c>
      <c r="W22" s="12">
        <v>5</v>
      </c>
      <c r="X22" s="12">
        <v>13</v>
      </c>
      <c r="Y22" s="12">
        <v>23</v>
      </c>
      <c r="Z22" s="12">
        <v>26</v>
      </c>
      <c r="AA22" s="12">
        <v>93</v>
      </c>
      <c r="AB22" s="12">
        <v>45</v>
      </c>
      <c r="AC22" s="12">
        <v>17</v>
      </c>
      <c r="AD22" s="12">
        <v>17</v>
      </c>
      <c r="AE22" s="12">
        <v>57</v>
      </c>
      <c r="AF22" s="12">
        <v>20</v>
      </c>
      <c r="AG22" s="12">
        <v>11</v>
      </c>
      <c r="AH22" s="12">
        <v>25</v>
      </c>
      <c r="AI22" s="12">
        <v>5</v>
      </c>
      <c r="AJ22" s="12">
        <v>7</v>
      </c>
      <c r="AK22" s="12">
        <v>4</v>
      </c>
      <c r="AL22" s="12">
        <v>191</v>
      </c>
      <c r="AM22" s="12">
        <v>66</v>
      </c>
      <c r="AN22" s="12">
        <v>5</v>
      </c>
      <c r="AO22" s="12">
        <v>79</v>
      </c>
      <c r="AP22" s="12">
        <v>1</v>
      </c>
      <c r="AQ22" s="12">
        <v>142</v>
      </c>
    </row>
    <row r="23" spans="1:43" x14ac:dyDescent="0.35">
      <c r="A23" s="19"/>
      <c r="B23" s="13" t="s">
        <v>486</v>
      </c>
      <c r="C23" s="15">
        <v>0.03</v>
      </c>
      <c r="D23" s="15">
        <v>0.02</v>
      </c>
      <c r="E23" s="15">
        <v>0.09</v>
      </c>
      <c r="F23" s="15">
        <v>0.03</v>
      </c>
      <c r="G23" s="15">
        <v>0.05</v>
      </c>
      <c r="H23" s="15">
        <v>0.02</v>
      </c>
      <c r="I23" s="15">
        <v>0.02</v>
      </c>
      <c r="J23" s="14" t="s">
        <v>475</v>
      </c>
      <c r="K23" s="15">
        <v>0.08</v>
      </c>
      <c r="L23" s="15">
        <v>0.06</v>
      </c>
      <c r="M23" s="15">
        <v>0.02</v>
      </c>
      <c r="N23" s="15">
        <v>0.02</v>
      </c>
      <c r="O23" s="15">
        <v>0.05</v>
      </c>
      <c r="P23" s="15">
        <v>0.02</v>
      </c>
      <c r="Q23" s="15">
        <v>0.02</v>
      </c>
      <c r="R23" s="15">
        <v>0.05</v>
      </c>
      <c r="S23" s="15">
        <v>0.1</v>
      </c>
      <c r="T23" s="15">
        <v>0.05</v>
      </c>
      <c r="U23" s="15">
        <v>0.13</v>
      </c>
      <c r="V23" s="14" t="s">
        <v>475</v>
      </c>
      <c r="W23" s="15">
        <v>0.01</v>
      </c>
      <c r="X23" s="15">
        <v>0.01</v>
      </c>
      <c r="Y23" s="15">
        <v>0.02</v>
      </c>
      <c r="Z23" s="15">
        <v>0.02</v>
      </c>
      <c r="AA23" s="15">
        <v>0.09</v>
      </c>
      <c r="AB23" s="15">
        <v>0.04</v>
      </c>
      <c r="AC23" s="15">
        <v>0.02</v>
      </c>
      <c r="AD23" s="15">
        <v>0.02</v>
      </c>
      <c r="AE23" s="15">
        <v>0.06</v>
      </c>
      <c r="AF23" s="15">
        <v>0.02</v>
      </c>
      <c r="AG23" s="15">
        <v>0.01</v>
      </c>
      <c r="AH23" s="15">
        <v>0.03</v>
      </c>
      <c r="AI23" s="15">
        <v>0.01</v>
      </c>
      <c r="AJ23" s="15">
        <v>0.01</v>
      </c>
      <c r="AK23" s="14" t="s">
        <v>475</v>
      </c>
      <c r="AL23" s="15">
        <v>0.19</v>
      </c>
      <c r="AM23" s="15">
        <v>0.06</v>
      </c>
      <c r="AN23" s="14" t="s">
        <v>475</v>
      </c>
      <c r="AO23" s="15">
        <v>0.08</v>
      </c>
      <c r="AP23" s="14" t="s">
        <v>475</v>
      </c>
      <c r="AQ23" s="15">
        <v>0.14000000000000001</v>
      </c>
    </row>
    <row r="24" spans="1:43" x14ac:dyDescent="0.35">
      <c r="A24" s="19"/>
      <c r="B24" s="11" t="s">
        <v>1056</v>
      </c>
      <c r="C24" s="12">
        <v>11589</v>
      </c>
      <c r="D24" s="12">
        <v>415</v>
      </c>
      <c r="E24" s="12">
        <v>367</v>
      </c>
      <c r="F24" s="12">
        <v>470</v>
      </c>
      <c r="G24" s="12">
        <v>627</v>
      </c>
      <c r="H24" s="12">
        <v>684</v>
      </c>
      <c r="I24" s="12">
        <v>807</v>
      </c>
      <c r="J24" s="12">
        <v>123</v>
      </c>
      <c r="K24" s="12">
        <v>485</v>
      </c>
      <c r="L24" s="12">
        <v>463</v>
      </c>
      <c r="M24" s="12">
        <v>149</v>
      </c>
      <c r="N24" s="12">
        <v>312</v>
      </c>
      <c r="O24" s="12">
        <v>256</v>
      </c>
      <c r="P24" s="12">
        <v>495</v>
      </c>
      <c r="Q24" s="12">
        <v>399</v>
      </c>
      <c r="R24" s="12">
        <v>106</v>
      </c>
      <c r="S24" s="12">
        <v>344</v>
      </c>
      <c r="T24" s="12">
        <v>480</v>
      </c>
      <c r="U24" s="12">
        <v>203</v>
      </c>
      <c r="V24" s="12">
        <v>392</v>
      </c>
      <c r="W24" s="12">
        <v>117</v>
      </c>
      <c r="X24" s="12">
        <v>619</v>
      </c>
      <c r="Y24" s="12">
        <v>579</v>
      </c>
      <c r="Z24" s="12">
        <v>580</v>
      </c>
      <c r="AA24" s="12">
        <v>640</v>
      </c>
      <c r="AB24" s="12">
        <v>608</v>
      </c>
      <c r="AC24" s="12">
        <v>362</v>
      </c>
      <c r="AD24" s="12">
        <v>506</v>
      </c>
      <c r="AE24" s="12">
        <v>690</v>
      </c>
      <c r="AF24" s="12">
        <v>660</v>
      </c>
      <c r="AG24" s="12">
        <v>592</v>
      </c>
      <c r="AH24" s="12">
        <v>413</v>
      </c>
      <c r="AI24" s="12">
        <v>272</v>
      </c>
      <c r="AJ24" s="12">
        <v>399</v>
      </c>
      <c r="AK24" s="12">
        <v>302</v>
      </c>
      <c r="AL24" s="12">
        <v>444</v>
      </c>
      <c r="AM24" s="12">
        <v>339</v>
      </c>
      <c r="AN24" s="12">
        <v>374</v>
      </c>
      <c r="AO24" s="12">
        <v>593</v>
      </c>
      <c r="AP24" s="12">
        <v>238</v>
      </c>
      <c r="AQ24" s="12">
        <v>433</v>
      </c>
    </row>
    <row r="25" spans="1:43" x14ac:dyDescent="0.35">
      <c r="A25" s="19"/>
      <c r="B25" s="13" t="s">
        <v>1057</v>
      </c>
      <c r="C25" s="15">
        <v>0.44</v>
      </c>
      <c r="D25" s="15">
        <v>0.41</v>
      </c>
      <c r="E25" s="15">
        <v>0.36</v>
      </c>
      <c r="F25" s="15">
        <v>0.43</v>
      </c>
      <c r="G25" s="15">
        <v>0.62</v>
      </c>
      <c r="H25" s="15">
        <v>0.56000000000000005</v>
      </c>
      <c r="I25" s="15">
        <v>0.53</v>
      </c>
      <c r="J25" s="15">
        <v>0.41</v>
      </c>
      <c r="K25" s="15">
        <v>0.48</v>
      </c>
      <c r="L25" s="15">
        <v>0.46</v>
      </c>
      <c r="M25" s="15">
        <v>0.15</v>
      </c>
      <c r="N25" s="15">
        <v>0.31</v>
      </c>
      <c r="O25" s="15">
        <v>0.26</v>
      </c>
      <c r="P25" s="15">
        <v>0.5</v>
      </c>
      <c r="Q25" s="15">
        <v>0.38</v>
      </c>
      <c r="R25" s="15">
        <v>0.21</v>
      </c>
      <c r="S25" s="15">
        <v>0.35</v>
      </c>
      <c r="T25" s="15">
        <v>0.48</v>
      </c>
      <c r="U25" s="15">
        <v>0.41</v>
      </c>
      <c r="V25" s="15">
        <v>0.39</v>
      </c>
      <c r="W25" s="15">
        <v>0.23</v>
      </c>
      <c r="X25" s="15">
        <v>0.61</v>
      </c>
      <c r="Y25" s="15">
        <v>0.57999999999999996</v>
      </c>
      <c r="Z25" s="15">
        <v>0.57000000000000006</v>
      </c>
      <c r="AA25" s="15">
        <v>0.62</v>
      </c>
      <c r="AB25" s="15">
        <v>0.57999999999999996</v>
      </c>
      <c r="AC25" s="15">
        <v>0.36</v>
      </c>
      <c r="AD25" s="15">
        <v>0.5</v>
      </c>
      <c r="AE25" s="15">
        <v>0.68</v>
      </c>
      <c r="AF25" s="15">
        <v>0.63</v>
      </c>
      <c r="AG25" s="15">
        <v>0.57000000000000006</v>
      </c>
      <c r="AH25" s="15">
        <v>0.41</v>
      </c>
      <c r="AI25" s="15">
        <v>0.51</v>
      </c>
      <c r="AJ25" s="15">
        <v>0.39</v>
      </c>
      <c r="AK25" s="15">
        <v>0.3</v>
      </c>
      <c r="AL25" s="15">
        <v>0.44</v>
      </c>
      <c r="AM25" s="15">
        <v>0.32</v>
      </c>
      <c r="AN25" s="15">
        <v>0.38</v>
      </c>
      <c r="AO25" s="15">
        <v>0.59</v>
      </c>
      <c r="AP25" s="15">
        <v>0.45</v>
      </c>
      <c r="AQ25" s="15">
        <v>0.43</v>
      </c>
    </row>
    <row r="26" spans="1:43" x14ac:dyDescent="0.35">
      <c r="A26" s="19"/>
      <c r="B26" s="11" t="s">
        <v>1058</v>
      </c>
      <c r="C26" s="12">
        <v>13618</v>
      </c>
      <c r="D26" s="12">
        <v>559</v>
      </c>
      <c r="E26" s="12">
        <v>539</v>
      </c>
      <c r="F26" s="12">
        <v>594</v>
      </c>
      <c r="G26" s="12">
        <v>310</v>
      </c>
      <c r="H26" s="12">
        <v>491</v>
      </c>
      <c r="I26" s="12">
        <v>661</v>
      </c>
      <c r="J26" s="12">
        <v>170</v>
      </c>
      <c r="K26" s="12">
        <v>397</v>
      </c>
      <c r="L26" s="12">
        <v>461</v>
      </c>
      <c r="M26" s="12">
        <v>840</v>
      </c>
      <c r="N26" s="12">
        <v>655</v>
      </c>
      <c r="O26" s="12">
        <v>676</v>
      </c>
      <c r="P26" s="12">
        <v>435</v>
      </c>
      <c r="Q26" s="12">
        <v>602</v>
      </c>
      <c r="R26" s="12">
        <v>371</v>
      </c>
      <c r="S26" s="12">
        <v>537</v>
      </c>
      <c r="T26" s="12">
        <v>468</v>
      </c>
      <c r="U26" s="12">
        <v>221</v>
      </c>
      <c r="V26" s="12">
        <v>611</v>
      </c>
      <c r="W26" s="12">
        <v>386</v>
      </c>
      <c r="X26" s="12">
        <v>369</v>
      </c>
      <c r="Y26" s="12">
        <v>389</v>
      </c>
      <c r="Z26" s="12">
        <v>370</v>
      </c>
      <c r="AA26" s="12">
        <v>287</v>
      </c>
      <c r="AB26" s="12">
        <v>365</v>
      </c>
      <c r="AC26" s="12">
        <v>615</v>
      </c>
      <c r="AD26" s="12">
        <v>473</v>
      </c>
      <c r="AE26" s="12">
        <v>262</v>
      </c>
      <c r="AF26" s="12">
        <v>364</v>
      </c>
      <c r="AG26" s="12">
        <v>425</v>
      </c>
      <c r="AH26" s="12">
        <v>571</v>
      </c>
      <c r="AI26" s="12">
        <v>237</v>
      </c>
      <c r="AJ26" s="12">
        <v>617</v>
      </c>
      <c r="AK26" s="12">
        <v>692</v>
      </c>
      <c r="AL26" s="12">
        <v>373</v>
      </c>
      <c r="AM26" s="12">
        <v>631</v>
      </c>
      <c r="AN26" s="12">
        <v>616</v>
      </c>
      <c r="AO26" s="12">
        <v>317</v>
      </c>
      <c r="AP26" s="12">
        <v>282</v>
      </c>
      <c r="AQ26" s="12">
        <v>424</v>
      </c>
    </row>
    <row r="27" spans="1:43" x14ac:dyDescent="0.35">
      <c r="A27" s="19"/>
      <c r="B27" s="13" t="s">
        <v>1059</v>
      </c>
      <c r="C27" s="15">
        <v>0.51</v>
      </c>
      <c r="D27" s="15">
        <v>0.55000000000000004</v>
      </c>
      <c r="E27" s="15">
        <v>0.52</v>
      </c>
      <c r="F27" s="15">
        <v>0.53</v>
      </c>
      <c r="G27" s="15">
        <v>0.31</v>
      </c>
      <c r="H27" s="15">
        <v>0.4</v>
      </c>
      <c r="I27" s="15">
        <v>0.44</v>
      </c>
      <c r="J27" s="15">
        <v>0.57999999999999996</v>
      </c>
      <c r="K27" s="15">
        <v>0.4</v>
      </c>
      <c r="L27" s="15">
        <v>0.46</v>
      </c>
      <c r="M27" s="15">
        <v>0.83000000000000007</v>
      </c>
      <c r="N27" s="15">
        <v>0.66</v>
      </c>
      <c r="O27" s="15">
        <v>0.67</v>
      </c>
      <c r="P27" s="15">
        <v>0.43</v>
      </c>
      <c r="Q27" s="15">
        <v>0.59</v>
      </c>
      <c r="R27" s="15">
        <v>0.73</v>
      </c>
      <c r="S27" s="15">
        <v>0.53</v>
      </c>
      <c r="T27" s="15">
        <v>0.46</v>
      </c>
      <c r="U27" s="15">
        <v>0.44</v>
      </c>
      <c r="V27" s="15">
        <v>0.6</v>
      </c>
      <c r="W27" s="15">
        <v>0.76</v>
      </c>
      <c r="X27" s="15">
        <v>0.37</v>
      </c>
      <c r="Y27" s="15">
        <v>0.39</v>
      </c>
      <c r="Z27" s="15">
        <v>0.36</v>
      </c>
      <c r="AA27" s="15">
        <v>0.28000000000000003</v>
      </c>
      <c r="AB27" s="15">
        <v>0.35</v>
      </c>
      <c r="AC27" s="15">
        <v>0.61</v>
      </c>
      <c r="AD27" s="15">
        <v>0.47</v>
      </c>
      <c r="AE27" s="15">
        <v>0.26</v>
      </c>
      <c r="AF27" s="15">
        <v>0.35</v>
      </c>
      <c r="AG27" s="15">
        <v>0.41</v>
      </c>
      <c r="AH27" s="15">
        <v>0.56000000000000005</v>
      </c>
      <c r="AI27" s="15">
        <v>0.46</v>
      </c>
      <c r="AJ27" s="15">
        <v>0.59</v>
      </c>
      <c r="AK27" s="15">
        <v>0.69000000000000006</v>
      </c>
      <c r="AL27" s="15">
        <v>0.37</v>
      </c>
      <c r="AM27" s="15">
        <v>0.61</v>
      </c>
      <c r="AN27" s="15">
        <v>0.61</v>
      </c>
      <c r="AO27" s="15">
        <v>0.31</v>
      </c>
      <c r="AP27" s="15">
        <v>0.54</v>
      </c>
      <c r="AQ27" s="15">
        <v>0.43</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1408</v>
      </c>
      <c r="C3" s="18"/>
      <c r="D3" s="18"/>
      <c r="E3" s="18"/>
      <c r="F3" s="18"/>
      <c r="H3" s="18" t="s">
        <v>1409</v>
      </c>
      <c r="I3" s="18"/>
      <c r="J3" s="18"/>
      <c r="K3" s="18"/>
      <c r="L3" s="18"/>
    </row>
    <row r="4" spans="1:43" ht="27" customHeight="1" x14ac:dyDescent="0.35">
      <c r="B4" s="18" t="s">
        <v>1410</v>
      </c>
      <c r="C4" s="18"/>
      <c r="D4" s="18"/>
      <c r="E4" s="18"/>
      <c r="F4" s="18"/>
      <c r="H4" s="18" t="s">
        <v>1411</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HYPERLINK("#Content!A172","&lt;&lt;Back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5766</v>
      </c>
      <c r="D12" s="12">
        <v>176</v>
      </c>
      <c r="E12" s="12">
        <v>195</v>
      </c>
      <c r="F12" s="12">
        <v>202</v>
      </c>
      <c r="G12" s="12">
        <v>219</v>
      </c>
      <c r="H12" s="12">
        <v>168</v>
      </c>
      <c r="I12" s="12">
        <v>220</v>
      </c>
      <c r="J12" s="12">
        <v>52</v>
      </c>
      <c r="K12" s="12">
        <v>154</v>
      </c>
      <c r="L12" s="12">
        <v>324</v>
      </c>
      <c r="M12" s="12">
        <v>324</v>
      </c>
      <c r="N12" s="12">
        <v>354</v>
      </c>
      <c r="O12" s="12">
        <v>338</v>
      </c>
      <c r="P12" s="12">
        <v>184</v>
      </c>
      <c r="Q12" s="12">
        <v>130</v>
      </c>
      <c r="R12" s="12">
        <v>174</v>
      </c>
      <c r="S12" s="12">
        <v>224</v>
      </c>
      <c r="T12" s="12">
        <v>159</v>
      </c>
      <c r="U12" s="12">
        <v>182</v>
      </c>
      <c r="V12" s="12">
        <v>266</v>
      </c>
      <c r="W12" s="12">
        <v>169</v>
      </c>
      <c r="X12" s="12">
        <v>189</v>
      </c>
      <c r="Y12" s="12">
        <v>239</v>
      </c>
      <c r="Z12" s="12">
        <v>161</v>
      </c>
      <c r="AA12" s="12">
        <v>103</v>
      </c>
      <c r="AB12" s="12">
        <v>184</v>
      </c>
      <c r="AC12" s="12">
        <v>251</v>
      </c>
      <c r="AD12" s="12">
        <v>330</v>
      </c>
      <c r="AE12" s="12">
        <v>191</v>
      </c>
      <c r="AF12" s="12">
        <v>267</v>
      </c>
      <c r="AG12" s="12">
        <v>411</v>
      </c>
      <c r="AH12" s="12">
        <v>207</v>
      </c>
      <c r="AI12" s="12">
        <v>144</v>
      </c>
      <c r="AJ12" s="12">
        <v>339</v>
      </c>
      <c r="AK12" s="12">
        <v>285</v>
      </c>
      <c r="AL12" s="12">
        <v>392</v>
      </c>
      <c r="AM12" s="12">
        <v>325</v>
      </c>
      <c r="AN12" s="12">
        <v>241</v>
      </c>
      <c r="AO12" s="12">
        <v>493</v>
      </c>
      <c r="AP12" s="12">
        <v>201</v>
      </c>
      <c r="AQ12" s="12">
        <v>443</v>
      </c>
    </row>
    <row r="13" spans="1:43" x14ac:dyDescent="0.35">
      <c r="A13" s="19"/>
      <c r="B13" s="13" t="s">
        <v>761</v>
      </c>
      <c r="C13" s="15">
        <v>0.22</v>
      </c>
      <c r="D13" s="15">
        <v>0.17</v>
      </c>
      <c r="E13" s="15">
        <v>0.19</v>
      </c>
      <c r="F13" s="15">
        <v>0.18</v>
      </c>
      <c r="G13" s="15">
        <v>0.22</v>
      </c>
      <c r="H13" s="15">
        <v>0.14000000000000001</v>
      </c>
      <c r="I13" s="15">
        <v>0.14000000000000001</v>
      </c>
      <c r="J13" s="15">
        <v>0.18</v>
      </c>
      <c r="K13" s="15">
        <v>0.15</v>
      </c>
      <c r="L13" s="15">
        <v>0.32</v>
      </c>
      <c r="M13" s="15">
        <v>0.32</v>
      </c>
      <c r="N13" s="15">
        <v>0.35</v>
      </c>
      <c r="O13" s="15">
        <v>0.34</v>
      </c>
      <c r="P13" s="15">
        <v>0.18</v>
      </c>
      <c r="Q13" s="15">
        <v>0.13</v>
      </c>
      <c r="R13" s="15">
        <v>0.35</v>
      </c>
      <c r="S13" s="15">
        <v>0.22</v>
      </c>
      <c r="T13" s="15">
        <v>0.16</v>
      </c>
      <c r="U13" s="15">
        <v>0.36</v>
      </c>
      <c r="V13" s="15">
        <v>0.26</v>
      </c>
      <c r="W13" s="15">
        <v>0.33</v>
      </c>
      <c r="X13" s="15">
        <v>0.19</v>
      </c>
      <c r="Y13" s="15">
        <v>0.24</v>
      </c>
      <c r="Z13" s="15">
        <v>0.16</v>
      </c>
      <c r="AA13" s="15">
        <v>0.1</v>
      </c>
      <c r="AB13" s="15">
        <v>0.18</v>
      </c>
      <c r="AC13" s="15">
        <v>0.25</v>
      </c>
      <c r="AD13" s="15">
        <v>0.33</v>
      </c>
      <c r="AE13" s="15">
        <v>0.19</v>
      </c>
      <c r="AF13" s="15">
        <v>0.26</v>
      </c>
      <c r="AG13" s="15">
        <v>0.4</v>
      </c>
      <c r="AH13" s="15">
        <v>0.21</v>
      </c>
      <c r="AI13" s="15">
        <v>0.28000000000000003</v>
      </c>
      <c r="AJ13" s="15">
        <v>0.33</v>
      </c>
      <c r="AK13" s="15">
        <v>0.28000000000000003</v>
      </c>
      <c r="AL13" s="15">
        <v>0.39</v>
      </c>
      <c r="AM13" s="15">
        <v>0.31</v>
      </c>
      <c r="AN13" s="15">
        <v>0.24</v>
      </c>
      <c r="AO13" s="15">
        <v>0.49</v>
      </c>
      <c r="AP13" s="15">
        <v>0.38</v>
      </c>
      <c r="AQ13" s="15">
        <v>0.44</v>
      </c>
    </row>
    <row r="14" spans="1:43" x14ac:dyDescent="0.35">
      <c r="A14" s="19"/>
      <c r="B14" s="11" t="s">
        <v>762</v>
      </c>
      <c r="C14" s="12">
        <v>13376</v>
      </c>
      <c r="D14" s="12">
        <v>574</v>
      </c>
      <c r="E14" s="12">
        <v>402</v>
      </c>
      <c r="F14" s="12">
        <v>560</v>
      </c>
      <c r="G14" s="12">
        <v>414</v>
      </c>
      <c r="H14" s="12">
        <v>552</v>
      </c>
      <c r="I14" s="12">
        <v>696</v>
      </c>
      <c r="J14" s="12">
        <v>144</v>
      </c>
      <c r="K14" s="12">
        <v>411</v>
      </c>
      <c r="L14" s="12">
        <v>517</v>
      </c>
      <c r="M14" s="12">
        <v>570</v>
      </c>
      <c r="N14" s="12">
        <v>502</v>
      </c>
      <c r="O14" s="12">
        <v>525</v>
      </c>
      <c r="P14" s="12">
        <v>540</v>
      </c>
      <c r="Q14" s="12">
        <v>560</v>
      </c>
      <c r="R14" s="12">
        <v>241</v>
      </c>
      <c r="S14" s="12">
        <v>478</v>
      </c>
      <c r="T14" s="12">
        <v>583</v>
      </c>
      <c r="U14" s="12">
        <v>220</v>
      </c>
      <c r="V14" s="12">
        <v>558</v>
      </c>
      <c r="W14" s="12">
        <v>289</v>
      </c>
      <c r="X14" s="12">
        <v>459</v>
      </c>
      <c r="Y14" s="12">
        <v>375</v>
      </c>
      <c r="Z14" s="12">
        <v>569</v>
      </c>
      <c r="AA14" s="12">
        <v>514</v>
      </c>
      <c r="AB14" s="12">
        <v>603</v>
      </c>
      <c r="AC14" s="12">
        <v>498</v>
      </c>
      <c r="AD14" s="12">
        <v>494</v>
      </c>
      <c r="AE14" s="12">
        <v>451</v>
      </c>
      <c r="AF14" s="12">
        <v>492</v>
      </c>
      <c r="AG14" s="12">
        <v>431</v>
      </c>
      <c r="AH14" s="12">
        <v>628</v>
      </c>
      <c r="AI14" s="12">
        <v>298</v>
      </c>
      <c r="AJ14" s="12">
        <v>416</v>
      </c>
      <c r="AK14" s="12">
        <v>633</v>
      </c>
      <c r="AL14" s="12">
        <v>416</v>
      </c>
      <c r="AM14" s="12">
        <v>560</v>
      </c>
      <c r="AN14" s="12">
        <v>535</v>
      </c>
      <c r="AO14" s="12">
        <v>389</v>
      </c>
      <c r="AP14" s="12">
        <v>184</v>
      </c>
      <c r="AQ14" s="12">
        <v>361</v>
      </c>
    </row>
    <row r="15" spans="1:43" x14ac:dyDescent="0.35">
      <c r="A15" s="19"/>
      <c r="B15" s="13" t="s">
        <v>763</v>
      </c>
      <c r="C15" s="15">
        <v>0.5</v>
      </c>
      <c r="D15" s="15">
        <v>0.57000000000000006</v>
      </c>
      <c r="E15" s="15">
        <v>0.39</v>
      </c>
      <c r="F15" s="15">
        <v>0.51</v>
      </c>
      <c r="G15" s="15">
        <v>0.41</v>
      </c>
      <c r="H15" s="15">
        <v>0.45</v>
      </c>
      <c r="I15" s="15">
        <v>0.46</v>
      </c>
      <c r="J15" s="15">
        <v>0.49</v>
      </c>
      <c r="K15" s="15">
        <v>0.41</v>
      </c>
      <c r="L15" s="15">
        <v>0.52</v>
      </c>
      <c r="M15" s="15">
        <v>0.57000000000000006</v>
      </c>
      <c r="N15" s="15">
        <v>0.5</v>
      </c>
      <c r="O15" s="15">
        <v>0.52</v>
      </c>
      <c r="P15" s="15">
        <v>0.54</v>
      </c>
      <c r="Q15" s="15">
        <v>0.54</v>
      </c>
      <c r="R15" s="15">
        <v>0.48</v>
      </c>
      <c r="S15" s="15">
        <v>0.48</v>
      </c>
      <c r="T15" s="15">
        <v>0.57999999999999996</v>
      </c>
      <c r="U15" s="15">
        <v>0.44</v>
      </c>
      <c r="V15" s="15">
        <v>0.55000000000000004</v>
      </c>
      <c r="W15" s="15">
        <v>0.57000000000000006</v>
      </c>
      <c r="X15" s="15">
        <v>0.45</v>
      </c>
      <c r="Y15" s="15">
        <v>0.37</v>
      </c>
      <c r="Z15" s="15">
        <v>0.55000000000000004</v>
      </c>
      <c r="AA15" s="15">
        <v>0.5</v>
      </c>
      <c r="AB15" s="15">
        <v>0.57000000000000006</v>
      </c>
      <c r="AC15" s="15">
        <v>0.5</v>
      </c>
      <c r="AD15" s="15">
        <v>0.49</v>
      </c>
      <c r="AE15" s="15">
        <v>0.45</v>
      </c>
      <c r="AF15" s="15">
        <v>0.47</v>
      </c>
      <c r="AG15" s="15">
        <v>0.42</v>
      </c>
      <c r="AH15" s="15">
        <v>0.62</v>
      </c>
      <c r="AI15" s="15">
        <v>0.57000000000000006</v>
      </c>
      <c r="AJ15" s="15">
        <v>0.4</v>
      </c>
      <c r="AK15" s="15">
        <v>0.63</v>
      </c>
      <c r="AL15" s="15">
        <v>0.41</v>
      </c>
      <c r="AM15" s="15">
        <v>0.54</v>
      </c>
      <c r="AN15" s="15">
        <v>0.53</v>
      </c>
      <c r="AO15" s="15">
        <v>0.38</v>
      </c>
      <c r="AP15" s="15">
        <v>0.35</v>
      </c>
      <c r="AQ15" s="15">
        <v>0.36</v>
      </c>
    </row>
    <row r="16" spans="1:43" x14ac:dyDescent="0.35">
      <c r="A16" s="19"/>
      <c r="B16" s="11" t="s">
        <v>764</v>
      </c>
      <c r="C16" s="12">
        <v>5205</v>
      </c>
      <c r="D16" s="12">
        <v>228</v>
      </c>
      <c r="E16" s="12">
        <v>253</v>
      </c>
      <c r="F16" s="12">
        <v>244</v>
      </c>
      <c r="G16" s="12">
        <v>267</v>
      </c>
      <c r="H16" s="12">
        <v>321</v>
      </c>
      <c r="I16" s="12">
        <v>409</v>
      </c>
      <c r="J16" s="12">
        <v>88</v>
      </c>
      <c r="K16" s="12">
        <v>321</v>
      </c>
      <c r="L16" s="12">
        <v>115</v>
      </c>
      <c r="M16" s="12">
        <v>75</v>
      </c>
      <c r="N16" s="12">
        <v>96</v>
      </c>
      <c r="O16" s="12">
        <v>94</v>
      </c>
      <c r="P16" s="12">
        <v>219</v>
      </c>
      <c r="Q16" s="12">
        <v>235</v>
      </c>
      <c r="R16" s="12">
        <v>57</v>
      </c>
      <c r="S16" s="12">
        <v>174</v>
      </c>
      <c r="T16" s="12">
        <v>183</v>
      </c>
      <c r="U16" s="12">
        <v>73</v>
      </c>
      <c r="V16" s="12">
        <v>135</v>
      </c>
      <c r="W16" s="12">
        <v>39</v>
      </c>
      <c r="X16" s="12">
        <v>297</v>
      </c>
      <c r="Y16" s="12">
        <v>259</v>
      </c>
      <c r="Z16" s="12">
        <v>238</v>
      </c>
      <c r="AA16" s="12">
        <v>339</v>
      </c>
      <c r="AB16" s="12">
        <v>177</v>
      </c>
      <c r="AC16" s="12">
        <v>196</v>
      </c>
      <c r="AD16" s="12">
        <v>148</v>
      </c>
      <c r="AE16" s="12">
        <v>295</v>
      </c>
      <c r="AF16" s="12">
        <v>216</v>
      </c>
      <c r="AG16" s="12">
        <v>162</v>
      </c>
      <c r="AH16" s="12">
        <v>143</v>
      </c>
      <c r="AI16" s="12">
        <v>65</v>
      </c>
      <c r="AJ16" s="12">
        <v>225</v>
      </c>
      <c r="AK16" s="12">
        <v>72</v>
      </c>
      <c r="AL16" s="12">
        <v>85</v>
      </c>
      <c r="AM16" s="12">
        <v>124</v>
      </c>
      <c r="AN16" s="12">
        <v>195</v>
      </c>
      <c r="AO16" s="12">
        <v>48</v>
      </c>
      <c r="AP16" s="12">
        <v>120</v>
      </c>
      <c r="AQ16" s="12">
        <v>82</v>
      </c>
    </row>
    <row r="17" spans="1:43" x14ac:dyDescent="0.35">
      <c r="A17" s="19"/>
      <c r="B17" s="13" t="s">
        <v>765</v>
      </c>
      <c r="C17" s="15">
        <v>0.2</v>
      </c>
      <c r="D17" s="15">
        <v>0.23</v>
      </c>
      <c r="E17" s="15">
        <v>0.25</v>
      </c>
      <c r="F17" s="15">
        <v>0.22</v>
      </c>
      <c r="G17" s="15">
        <v>0.26</v>
      </c>
      <c r="H17" s="15">
        <v>0.26</v>
      </c>
      <c r="I17" s="15">
        <v>0.27</v>
      </c>
      <c r="J17" s="15">
        <v>0.3</v>
      </c>
      <c r="K17" s="15">
        <v>0.32</v>
      </c>
      <c r="L17" s="15">
        <v>0.11</v>
      </c>
      <c r="M17" s="15">
        <v>7.0000000000000007E-2</v>
      </c>
      <c r="N17" s="15">
        <v>0.1</v>
      </c>
      <c r="O17" s="15">
        <v>0.1</v>
      </c>
      <c r="P17" s="15">
        <v>0.22</v>
      </c>
      <c r="Q17" s="15">
        <v>0.23</v>
      </c>
      <c r="R17" s="15">
        <v>0.11</v>
      </c>
      <c r="S17" s="15">
        <v>0.17</v>
      </c>
      <c r="T17" s="15">
        <v>0.18</v>
      </c>
      <c r="U17" s="15">
        <v>0.15</v>
      </c>
      <c r="V17" s="15">
        <v>0.13</v>
      </c>
      <c r="W17" s="15">
        <v>0.08</v>
      </c>
      <c r="X17" s="15">
        <v>0.3</v>
      </c>
      <c r="Y17" s="15">
        <v>0.26</v>
      </c>
      <c r="Z17" s="15">
        <v>0.23</v>
      </c>
      <c r="AA17" s="15">
        <v>0.33</v>
      </c>
      <c r="AB17" s="15">
        <v>0.17</v>
      </c>
      <c r="AC17" s="15">
        <v>0.19</v>
      </c>
      <c r="AD17" s="15">
        <v>0.15</v>
      </c>
      <c r="AE17" s="15">
        <v>0.28999999999999998</v>
      </c>
      <c r="AF17" s="15">
        <v>0.21</v>
      </c>
      <c r="AG17" s="15">
        <v>0.16</v>
      </c>
      <c r="AH17" s="15">
        <v>0.14000000000000001</v>
      </c>
      <c r="AI17" s="15">
        <v>0.12</v>
      </c>
      <c r="AJ17" s="15">
        <v>0.22</v>
      </c>
      <c r="AK17" s="15">
        <v>7.0000000000000007E-2</v>
      </c>
      <c r="AL17" s="15">
        <v>0.08</v>
      </c>
      <c r="AM17" s="15">
        <v>0.12</v>
      </c>
      <c r="AN17" s="15">
        <v>0.2</v>
      </c>
      <c r="AO17" s="15">
        <v>0.05</v>
      </c>
      <c r="AP17" s="15">
        <v>0.23</v>
      </c>
      <c r="AQ17" s="15">
        <v>0.08</v>
      </c>
    </row>
    <row r="18" spans="1:43" x14ac:dyDescent="0.35">
      <c r="A18" s="19"/>
      <c r="B18" s="11" t="s">
        <v>766</v>
      </c>
      <c r="C18" s="12">
        <v>827</v>
      </c>
      <c r="D18" s="12">
        <v>25</v>
      </c>
      <c r="E18" s="12">
        <v>66</v>
      </c>
      <c r="F18" s="12">
        <v>45</v>
      </c>
      <c r="G18" s="12">
        <v>69</v>
      </c>
      <c r="H18" s="12">
        <v>52</v>
      </c>
      <c r="I18" s="12">
        <v>58</v>
      </c>
      <c r="J18" s="12">
        <v>6</v>
      </c>
      <c r="K18" s="12">
        <v>67</v>
      </c>
      <c r="L18" s="12">
        <v>25</v>
      </c>
      <c r="M18" s="12">
        <v>29</v>
      </c>
      <c r="N18" s="12">
        <v>16</v>
      </c>
      <c r="O18" s="12">
        <v>21</v>
      </c>
      <c r="P18" s="12">
        <v>36</v>
      </c>
      <c r="Q18" s="12">
        <v>37</v>
      </c>
      <c r="R18" s="12">
        <v>11</v>
      </c>
      <c r="S18" s="12">
        <v>49</v>
      </c>
      <c r="T18" s="12">
        <v>18</v>
      </c>
      <c r="U18" s="12">
        <v>13</v>
      </c>
      <c r="V18" s="12">
        <v>24</v>
      </c>
      <c r="W18" s="12">
        <v>6</v>
      </c>
      <c r="X18" s="12">
        <v>42</v>
      </c>
      <c r="Y18" s="12">
        <v>90</v>
      </c>
      <c r="Z18" s="12">
        <v>17</v>
      </c>
      <c r="AA18" s="12">
        <v>17</v>
      </c>
      <c r="AB18" s="12">
        <v>31</v>
      </c>
      <c r="AC18" s="12">
        <v>41</v>
      </c>
      <c r="AD18" s="12">
        <v>16</v>
      </c>
      <c r="AE18" s="12">
        <v>51</v>
      </c>
      <c r="AF18" s="12">
        <v>56</v>
      </c>
      <c r="AG18" s="12">
        <v>26</v>
      </c>
      <c r="AH18" s="12">
        <v>24</v>
      </c>
      <c r="AI18" s="12">
        <v>14</v>
      </c>
      <c r="AJ18" s="12">
        <v>53</v>
      </c>
      <c r="AK18" s="12">
        <v>3</v>
      </c>
      <c r="AL18" s="12">
        <v>50</v>
      </c>
      <c r="AM18" s="12">
        <v>30</v>
      </c>
      <c r="AN18" s="12">
        <v>22</v>
      </c>
      <c r="AO18" s="12">
        <v>38</v>
      </c>
      <c r="AP18" s="12">
        <v>20</v>
      </c>
      <c r="AQ18" s="12">
        <v>59</v>
      </c>
    </row>
    <row r="19" spans="1:43" x14ac:dyDescent="0.35">
      <c r="A19" s="19"/>
      <c r="B19" s="13" t="s">
        <v>767</v>
      </c>
      <c r="C19" s="15">
        <v>0.03</v>
      </c>
      <c r="D19" s="15">
        <v>0.02</v>
      </c>
      <c r="E19" s="15">
        <v>0.06</v>
      </c>
      <c r="F19" s="15">
        <v>0.04</v>
      </c>
      <c r="G19" s="15">
        <v>7.0000000000000007E-2</v>
      </c>
      <c r="H19" s="15">
        <v>0.04</v>
      </c>
      <c r="I19" s="15">
        <v>0.04</v>
      </c>
      <c r="J19" s="15">
        <v>0.02</v>
      </c>
      <c r="K19" s="15">
        <v>7.0000000000000007E-2</v>
      </c>
      <c r="L19" s="15">
        <v>0.03</v>
      </c>
      <c r="M19" s="15">
        <v>0.03</v>
      </c>
      <c r="N19" s="15">
        <v>0.02</v>
      </c>
      <c r="O19" s="15">
        <v>0.02</v>
      </c>
      <c r="P19" s="15">
        <v>0.04</v>
      </c>
      <c r="Q19" s="15">
        <v>0.04</v>
      </c>
      <c r="R19" s="15">
        <v>0.02</v>
      </c>
      <c r="S19" s="15">
        <v>0.05</v>
      </c>
      <c r="T19" s="15">
        <v>0.02</v>
      </c>
      <c r="U19" s="15">
        <v>0.02</v>
      </c>
      <c r="V19" s="15">
        <v>0.03</v>
      </c>
      <c r="W19" s="15">
        <v>0.01</v>
      </c>
      <c r="X19" s="15">
        <v>0.04</v>
      </c>
      <c r="Y19" s="15">
        <v>0.09</v>
      </c>
      <c r="Z19" s="15">
        <v>0.02</v>
      </c>
      <c r="AA19" s="15">
        <v>0.01</v>
      </c>
      <c r="AB19" s="15">
        <v>0.03</v>
      </c>
      <c r="AC19" s="15">
        <v>0.04</v>
      </c>
      <c r="AD19" s="15">
        <v>0.01</v>
      </c>
      <c r="AE19" s="15">
        <v>0.05</v>
      </c>
      <c r="AF19" s="15">
        <v>0.05</v>
      </c>
      <c r="AG19" s="15">
        <v>0.02</v>
      </c>
      <c r="AH19" s="15">
        <v>0.02</v>
      </c>
      <c r="AI19" s="15">
        <v>0.03</v>
      </c>
      <c r="AJ19" s="15">
        <v>0.05</v>
      </c>
      <c r="AK19" s="14" t="s">
        <v>475</v>
      </c>
      <c r="AL19" s="15">
        <v>0.05</v>
      </c>
      <c r="AM19" s="15">
        <v>0.03</v>
      </c>
      <c r="AN19" s="15">
        <v>0.02</v>
      </c>
      <c r="AO19" s="15">
        <v>0.04</v>
      </c>
      <c r="AP19" s="15">
        <v>0.04</v>
      </c>
      <c r="AQ19" s="15">
        <v>0.06</v>
      </c>
    </row>
    <row r="20" spans="1:43" x14ac:dyDescent="0.35">
      <c r="A20" s="19"/>
      <c r="B20" s="11" t="s">
        <v>485</v>
      </c>
      <c r="C20" s="12">
        <v>1271</v>
      </c>
      <c r="D20" s="12">
        <v>10</v>
      </c>
      <c r="E20" s="12">
        <v>114</v>
      </c>
      <c r="F20" s="12">
        <v>51</v>
      </c>
      <c r="G20" s="12">
        <v>36</v>
      </c>
      <c r="H20" s="12">
        <v>128</v>
      </c>
      <c r="I20" s="12">
        <v>133</v>
      </c>
      <c r="J20" s="12">
        <v>5</v>
      </c>
      <c r="K20" s="12">
        <v>50</v>
      </c>
      <c r="L20" s="12">
        <v>20</v>
      </c>
      <c r="M20" s="12">
        <v>12</v>
      </c>
      <c r="N20" s="12">
        <v>35</v>
      </c>
      <c r="O20" s="12">
        <v>24</v>
      </c>
      <c r="P20" s="12">
        <v>25</v>
      </c>
      <c r="Q20" s="12">
        <v>66</v>
      </c>
      <c r="R20" s="12">
        <v>22</v>
      </c>
      <c r="S20" s="12">
        <v>78</v>
      </c>
      <c r="T20" s="12">
        <v>63</v>
      </c>
      <c r="U20" s="12">
        <v>16</v>
      </c>
      <c r="V20" s="12">
        <v>33</v>
      </c>
      <c r="W20" s="12">
        <v>5</v>
      </c>
      <c r="X20" s="12">
        <v>23</v>
      </c>
      <c r="Y20" s="12">
        <v>40</v>
      </c>
      <c r="Z20" s="12">
        <v>45</v>
      </c>
      <c r="AA20" s="12">
        <v>61</v>
      </c>
      <c r="AB20" s="12">
        <v>55</v>
      </c>
      <c r="AC20" s="12">
        <v>17</v>
      </c>
      <c r="AD20" s="12">
        <v>18</v>
      </c>
      <c r="AE20" s="12">
        <v>25</v>
      </c>
      <c r="AF20" s="12">
        <v>13</v>
      </c>
      <c r="AG20" s="12">
        <v>5</v>
      </c>
      <c r="AH20" s="12">
        <v>11</v>
      </c>
      <c r="AI20" s="12">
        <v>2</v>
      </c>
      <c r="AJ20" s="12">
        <v>4</v>
      </c>
      <c r="AK20" s="12">
        <v>14</v>
      </c>
      <c r="AL20" s="12">
        <v>69</v>
      </c>
      <c r="AM20" s="12">
        <v>0</v>
      </c>
      <c r="AN20" s="12">
        <v>9</v>
      </c>
      <c r="AO20" s="12">
        <v>37</v>
      </c>
      <c r="AP20" s="12">
        <v>0</v>
      </c>
      <c r="AQ20" s="12">
        <v>57</v>
      </c>
    </row>
    <row r="21" spans="1:43" x14ac:dyDescent="0.35">
      <c r="A21" s="19"/>
      <c r="B21" s="13" t="s">
        <v>486</v>
      </c>
      <c r="C21" s="15">
        <v>0.05</v>
      </c>
      <c r="D21" s="15">
        <v>0.01</v>
      </c>
      <c r="E21" s="15">
        <v>0.11</v>
      </c>
      <c r="F21" s="15">
        <v>0.05</v>
      </c>
      <c r="G21" s="15">
        <v>0.04</v>
      </c>
      <c r="H21" s="15">
        <v>0.11</v>
      </c>
      <c r="I21" s="15">
        <v>0.09</v>
      </c>
      <c r="J21" s="15">
        <v>0.01</v>
      </c>
      <c r="K21" s="15">
        <v>0.05</v>
      </c>
      <c r="L21" s="15">
        <v>0.02</v>
      </c>
      <c r="M21" s="15">
        <v>0.01</v>
      </c>
      <c r="N21" s="15">
        <v>0.03</v>
      </c>
      <c r="O21" s="15">
        <v>0.02</v>
      </c>
      <c r="P21" s="15">
        <v>0.02</v>
      </c>
      <c r="Q21" s="15">
        <v>0.06</v>
      </c>
      <c r="R21" s="15">
        <v>0.04</v>
      </c>
      <c r="S21" s="15">
        <v>0.08</v>
      </c>
      <c r="T21" s="15">
        <v>0.06</v>
      </c>
      <c r="U21" s="15">
        <v>0.03</v>
      </c>
      <c r="V21" s="15">
        <v>0.03</v>
      </c>
      <c r="W21" s="15">
        <v>0.01</v>
      </c>
      <c r="X21" s="15">
        <v>0.02</v>
      </c>
      <c r="Y21" s="15">
        <v>0.04</v>
      </c>
      <c r="Z21" s="15">
        <v>0.04</v>
      </c>
      <c r="AA21" s="15">
        <v>0.06</v>
      </c>
      <c r="AB21" s="15">
        <v>0.05</v>
      </c>
      <c r="AC21" s="15">
        <v>0.02</v>
      </c>
      <c r="AD21" s="15">
        <v>0.02</v>
      </c>
      <c r="AE21" s="15">
        <v>0.02</v>
      </c>
      <c r="AF21" s="15">
        <v>0.01</v>
      </c>
      <c r="AG21" s="14" t="s">
        <v>475</v>
      </c>
      <c r="AH21" s="15">
        <v>0.01</v>
      </c>
      <c r="AI21" s="14" t="s">
        <v>475</v>
      </c>
      <c r="AJ21" s="14" t="s">
        <v>475</v>
      </c>
      <c r="AK21" s="15">
        <v>0.02</v>
      </c>
      <c r="AL21" s="15">
        <v>7.0000000000000007E-2</v>
      </c>
      <c r="AM21" s="14" t="s">
        <v>475</v>
      </c>
      <c r="AN21" s="15">
        <v>0.01</v>
      </c>
      <c r="AO21" s="15">
        <v>0.04</v>
      </c>
      <c r="AP21" s="14" t="s">
        <v>475</v>
      </c>
      <c r="AQ21" s="15">
        <v>0.06</v>
      </c>
    </row>
    <row r="22" spans="1:43" x14ac:dyDescent="0.35">
      <c r="A22" s="19"/>
      <c r="B22" s="11" t="s">
        <v>768</v>
      </c>
      <c r="C22" s="12">
        <v>19142</v>
      </c>
      <c r="D22" s="12">
        <v>750</v>
      </c>
      <c r="E22" s="12">
        <v>597</v>
      </c>
      <c r="F22" s="12">
        <v>762</v>
      </c>
      <c r="G22" s="12">
        <v>633</v>
      </c>
      <c r="H22" s="12">
        <v>720</v>
      </c>
      <c r="I22" s="12">
        <v>916</v>
      </c>
      <c r="J22" s="12">
        <v>196</v>
      </c>
      <c r="K22" s="12">
        <v>565</v>
      </c>
      <c r="L22" s="12">
        <v>841</v>
      </c>
      <c r="M22" s="12">
        <v>894</v>
      </c>
      <c r="N22" s="12">
        <v>856</v>
      </c>
      <c r="O22" s="12">
        <v>863</v>
      </c>
      <c r="P22" s="12">
        <v>724</v>
      </c>
      <c r="Q22" s="12">
        <v>690</v>
      </c>
      <c r="R22" s="12">
        <v>415</v>
      </c>
      <c r="S22" s="12">
        <v>702</v>
      </c>
      <c r="T22" s="12">
        <v>742</v>
      </c>
      <c r="U22" s="12">
        <v>402</v>
      </c>
      <c r="V22" s="12">
        <v>824</v>
      </c>
      <c r="W22" s="12">
        <v>458</v>
      </c>
      <c r="X22" s="12">
        <v>648</v>
      </c>
      <c r="Y22" s="12">
        <v>614</v>
      </c>
      <c r="Z22" s="12">
        <v>730</v>
      </c>
      <c r="AA22" s="12">
        <v>617</v>
      </c>
      <c r="AB22" s="12">
        <v>787</v>
      </c>
      <c r="AC22" s="12">
        <v>749</v>
      </c>
      <c r="AD22" s="12">
        <v>824</v>
      </c>
      <c r="AE22" s="12">
        <v>642</v>
      </c>
      <c r="AF22" s="12">
        <v>759</v>
      </c>
      <c r="AG22" s="12">
        <v>842</v>
      </c>
      <c r="AH22" s="12">
        <v>835</v>
      </c>
      <c r="AI22" s="12">
        <v>442</v>
      </c>
      <c r="AJ22" s="12">
        <v>755</v>
      </c>
      <c r="AK22" s="12">
        <v>918</v>
      </c>
      <c r="AL22" s="12">
        <v>808</v>
      </c>
      <c r="AM22" s="12">
        <v>885</v>
      </c>
      <c r="AN22" s="12">
        <v>776</v>
      </c>
      <c r="AO22" s="12">
        <v>882</v>
      </c>
      <c r="AP22" s="12">
        <v>385</v>
      </c>
      <c r="AQ22" s="12">
        <v>804</v>
      </c>
    </row>
    <row r="23" spans="1:43" x14ac:dyDescent="0.35">
      <c r="A23" s="19"/>
      <c r="B23" s="13" t="s">
        <v>769</v>
      </c>
      <c r="C23" s="15">
        <v>0.72</v>
      </c>
      <c r="D23" s="15">
        <v>0.74</v>
      </c>
      <c r="E23" s="15">
        <v>0.57999999999999996</v>
      </c>
      <c r="F23" s="15">
        <v>0.69000000000000006</v>
      </c>
      <c r="G23" s="15">
        <v>0.63</v>
      </c>
      <c r="H23" s="15">
        <v>0.59</v>
      </c>
      <c r="I23" s="15">
        <v>0.6</v>
      </c>
      <c r="J23" s="15">
        <v>0.67</v>
      </c>
      <c r="K23" s="15">
        <v>0.56000000000000005</v>
      </c>
      <c r="L23" s="15">
        <v>0.84</v>
      </c>
      <c r="M23" s="15">
        <v>0.89</v>
      </c>
      <c r="N23" s="15">
        <v>0.85</v>
      </c>
      <c r="O23" s="15">
        <v>0.86</v>
      </c>
      <c r="P23" s="15">
        <v>0.72</v>
      </c>
      <c r="Q23" s="15">
        <v>0.67</v>
      </c>
      <c r="R23" s="15">
        <v>0.83000000000000007</v>
      </c>
      <c r="S23" s="15">
        <v>0.70000000000000007</v>
      </c>
      <c r="T23" s="15">
        <v>0.74</v>
      </c>
      <c r="U23" s="15">
        <v>0.8</v>
      </c>
      <c r="V23" s="15">
        <v>0.81</v>
      </c>
      <c r="W23" s="15">
        <v>0.9</v>
      </c>
      <c r="X23" s="15">
        <v>0.64</v>
      </c>
      <c r="Y23" s="15">
        <v>0.61</v>
      </c>
      <c r="Z23" s="15">
        <v>0.71</v>
      </c>
      <c r="AA23" s="15">
        <v>0.6</v>
      </c>
      <c r="AB23" s="15">
        <v>0.75</v>
      </c>
      <c r="AC23" s="15">
        <v>0.75</v>
      </c>
      <c r="AD23" s="15">
        <v>0.82000000000000006</v>
      </c>
      <c r="AE23" s="15">
        <v>0.64</v>
      </c>
      <c r="AF23" s="15">
        <v>0.73</v>
      </c>
      <c r="AG23" s="15">
        <v>0.82000000000000006</v>
      </c>
      <c r="AH23" s="15">
        <v>0.83000000000000007</v>
      </c>
      <c r="AI23" s="15">
        <v>0.85</v>
      </c>
      <c r="AJ23" s="15">
        <v>0.73</v>
      </c>
      <c r="AK23" s="15">
        <v>0.91</v>
      </c>
      <c r="AL23" s="15">
        <v>0.8</v>
      </c>
      <c r="AM23" s="15">
        <v>0.85</v>
      </c>
      <c r="AN23" s="15">
        <v>0.77</v>
      </c>
      <c r="AO23" s="15">
        <v>0.87</v>
      </c>
      <c r="AP23" s="15">
        <v>0.73</v>
      </c>
      <c r="AQ23" s="15">
        <v>0.8</v>
      </c>
    </row>
    <row r="24" spans="1:43" x14ac:dyDescent="0.35">
      <c r="A24" s="19"/>
      <c r="B24" s="11" t="s">
        <v>770</v>
      </c>
      <c r="C24" s="12">
        <v>6032</v>
      </c>
      <c r="D24" s="12">
        <v>253</v>
      </c>
      <c r="E24" s="12">
        <v>319</v>
      </c>
      <c r="F24" s="12">
        <v>289</v>
      </c>
      <c r="G24" s="12">
        <v>336</v>
      </c>
      <c r="H24" s="12">
        <v>373</v>
      </c>
      <c r="I24" s="12">
        <v>467</v>
      </c>
      <c r="J24" s="12">
        <v>94</v>
      </c>
      <c r="K24" s="12">
        <v>388</v>
      </c>
      <c r="L24" s="12">
        <v>140</v>
      </c>
      <c r="M24" s="12">
        <v>104</v>
      </c>
      <c r="N24" s="12">
        <v>112</v>
      </c>
      <c r="O24" s="12">
        <v>115</v>
      </c>
      <c r="P24" s="12">
        <v>255</v>
      </c>
      <c r="Q24" s="12">
        <v>272</v>
      </c>
      <c r="R24" s="12">
        <v>68</v>
      </c>
      <c r="S24" s="12">
        <v>223</v>
      </c>
      <c r="T24" s="12">
        <v>201</v>
      </c>
      <c r="U24" s="12">
        <v>86</v>
      </c>
      <c r="V24" s="12">
        <v>159</v>
      </c>
      <c r="W24" s="12">
        <v>45</v>
      </c>
      <c r="X24" s="12">
        <v>339</v>
      </c>
      <c r="Y24" s="12">
        <v>349</v>
      </c>
      <c r="Z24" s="12">
        <v>255</v>
      </c>
      <c r="AA24" s="12">
        <v>356</v>
      </c>
      <c r="AB24" s="12">
        <v>208</v>
      </c>
      <c r="AC24" s="12">
        <v>237</v>
      </c>
      <c r="AD24" s="12">
        <v>164</v>
      </c>
      <c r="AE24" s="12">
        <v>346</v>
      </c>
      <c r="AF24" s="12">
        <v>272</v>
      </c>
      <c r="AG24" s="12">
        <v>188</v>
      </c>
      <c r="AH24" s="12">
        <v>167</v>
      </c>
      <c r="AI24" s="12">
        <v>79</v>
      </c>
      <c r="AJ24" s="12">
        <v>278</v>
      </c>
      <c r="AK24" s="12">
        <v>75</v>
      </c>
      <c r="AL24" s="12">
        <v>135</v>
      </c>
      <c r="AM24" s="12">
        <v>154</v>
      </c>
      <c r="AN24" s="12">
        <v>217</v>
      </c>
      <c r="AO24" s="12">
        <v>86</v>
      </c>
      <c r="AP24" s="12">
        <v>140</v>
      </c>
      <c r="AQ24" s="12">
        <v>141</v>
      </c>
    </row>
    <row r="25" spans="1:43" x14ac:dyDescent="0.35">
      <c r="A25" s="19"/>
      <c r="B25" s="13" t="s">
        <v>771</v>
      </c>
      <c r="C25" s="15">
        <v>0.23</v>
      </c>
      <c r="D25" s="15">
        <v>0.25</v>
      </c>
      <c r="E25" s="15">
        <v>0.31</v>
      </c>
      <c r="F25" s="15">
        <v>0.26</v>
      </c>
      <c r="G25" s="15">
        <v>0.33</v>
      </c>
      <c r="H25" s="15">
        <v>0.3</v>
      </c>
      <c r="I25" s="15">
        <v>0.31</v>
      </c>
      <c r="J25" s="15">
        <v>0.32</v>
      </c>
      <c r="K25" s="15">
        <v>0.39</v>
      </c>
      <c r="L25" s="15">
        <v>0.14000000000000001</v>
      </c>
      <c r="M25" s="15">
        <v>0.1</v>
      </c>
      <c r="N25" s="15">
        <v>0.12</v>
      </c>
      <c r="O25" s="15">
        <v>0.12</v>
      </c>
      <c r="P25" s="15">
        <v>0.26</v>
      </c>
      <c r="Q25" s="15">
        <v>0.27</v>
      </c>
      <c r="R25" s="15">
        <v>0.13</v>
      </c>
      <c r="S25" s="15">
        <v>0.22</v>
      </c>
      <c r="T25" s="15">
        <v>0.2</v>
      </c>
      <c r="U25" s="15">
        <v>0.17</v>
      </c>
      <c r="V25" s="15">
        <v>0.16</v>
      </c>
      <c r="W25" s="15">
        <v>0.09</v>
      </c>
      <c r="X25" s="15">
        <v>0.34</v>
      </c>
      <c r="Y25" s="15">
        <v>0.35</v>
      </c>
      <c r="Z25" s="15">
        <v>0.25</v>
      </c>
      <c r="AA25" s="15">
        <v>0.34</v>
      </c>
      <c r="AB25" s="15">
        <v>0.2</v>
      </c>
      <c r="AC25" s="15">
        <v>0.23</v>
      </c>
      <c r="AD25" s="15">
        <v>0.16</v>
      </c>
      <c r="AE25" s="15">
        <v>0.34</v>
      </c>
      <c r="AF25" s="15">
        <v>0.26</v>
      </c>
      <c r="AG25" s="15">
        <v>0.18</v>
      </c>
      <c r="AH25" s="15">
        <v>0.16</v>
      </c>
      <c r="AI25" s="15">
        <v>0.15</v>
      </c>
      <c r="AJ25" s="15">
        <v>0.27</v>
      </c>
      <c r="AK25" s="15">
        <v>7.0000000000000007E-2</v>
      </c>
      <c r="AL25" s="15">
        <v>0.13</v>
      </c>
      <c r="AM25" s="15">
        <v>0.15</v>
      </c>
      <c r="AN25" s="15">
        <v>0.22</v>
      </c>
      <c r="AO25" s="15">
        <v>0.09</v>
      </c>
      <c r="AP25" s="15">
        <v>0.27</v>
      </c>
      <c r="AQ25" s="15">
        <v>0.14000000000000001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1412</v>
      </c>
      <c r="C3" s="18"/>
      <c r="D3" s="18"/>
      <c r="E3" s="18"/>
      <c r="F3" s="18"/>
      <c r="H3" s="18" t="s">
        <v>1413</v>
      </c>
      <c r="I3" s="18"/>
      <c r="J3" s="18"/>
      <c r="K3" s="18"/>
      <c r="L3" s="18"/>
    </row>
    <row r="4" spans="1:43" ht="27" customHeight="1" x14ac:dyDescent="0.35">
      <c r="B4" s="18" t="s">
        <v>1414</v>
      </c>
      <c r="C4" s="18"/>
      <c r="D4" s="18"/>
      <c r="E4" s="18"/>
      <c r="F4" s="18"/>
      <c r="H4" s="18" t="s">
        <v>1415</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HYPERLINK("#Content!A173","&lt;&lt;Back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3629</v>
      </c>
      <c r="D12" s="12">
        <v>100</v>
      </c>
      <c r="E12" s="12">
        <v>172</v>
      </c>
      <c r="F12" s="12">
        <v>124</v>
      </c>
      <c r="G12" s="12">
        <v>159</v>
      </c>
      <c r="H12" s="12">
        <v>162</v>
      </c>
      <c r="I12" s="12">
        <v>196</v>
      </c>
      <c r="J12" s="12">
        <v>34</v>
      </c>
      <c r="K12" s="12">
        <v>143</v>
      </c>
      <c r="L12" s="12">
        <v>221</v>
      </c>
      <c r="M12" s="12">
        <v>192</v>
      </c>
      <c r="N12" s="12">
        <v>165</v>
      </c>
      <c r="O12" s="12">
        <v>123</v>
      </c>
      <c r="P12" s="12">
        <v>158</v>
      </c>
      <c r="Q12" s="12">
        <v>92</v>
      </c>
      <c r="R12" s="12">
        <v>117</v>
      </c>
      <c r="S12" s="12">
        <v>245</v>
      </c>
      <c r="T12" s="12">
        <v>152</v>
      </c>
      <c r="U12" s="12">
        <v>67</v>
      </c>
      <c r="V12" s="12">
        <v>170</v>
      </c>
      <c r="W12" s="12">
        <v>97</v>
      </c>
      <c r="X12" s="12">
        <v>150</v>
      </c>
      <c r="Y12" s="12">
        <v>276</v>
      </c>
      <c r="Z12" s="12">
        <v>144</v>
      </c>
      <c r="AA12" s="12">
        <v>91</v>
      </c>
      <c r="AB12" s="12">
        <v>142</v>
      </c>
      <c r="AC12" s="12">
        <v>186</v>
      </c>
      <c r="AD12" s="12">
        <v>223</v>
      </c>
      <c r="AE12" s="12">
        <v>176</v>
      </c>
      <c r="AF12" s="12">
        <v>156</v>
      </c>
      <c r="AG12" s="12">
        <v>366</v>
      </c>
      <c r="AH12" s="12">
        <v>218</v>
      </c>
      <c r="AI12" s="12">
        <v>134</v>
      </c>
      <c r="AJ12" s="12">
        <v>255</v>
      </c>
      <c r="AK12" s="12">
        <v>222</v>
      </c>
      <c r="AL12" s="12">
        <v>291</v>
      </c>
      <c r="AM12" s="12">
        <v>154</v>
      </c>
      <c r="AN12" s="12">
        <v>173</v>
      </c>
      <c r="AO12" s="12">
        <v>465</v>
      </c>
      <c r="AP12" s="12">
        <v>202</v>
      </c>
      <c r="AQ12" s="12">
        <v>343</v>
      </c>
    </row>
    <row r="13" spans="1:43" x14ac:dyDescent="0.35">
      <c r="A13" s="19"/>
      <c r="B13" s="13" t="s">
        <v>761</v>
      </c>
      <c r="C13" s="15">
        <v>0.14000000000000001</v>
      </c>
      <c r="D13" s="15">
        <v>0.1</v>
      </c>
      <c r="E13" s="15">
        <v>0.17</v>
      </c>
      <c r="F13" s="15">
        <v>0.11</v>
      </c>
      <c r="G13" s="15">
        <v>0.16</v>
      </c>
      <c r="H13" s="15">
        <v>0.13</v>
      </c>
      <c r="I13" s="15">
        <v>0.13</v>
      </c>
      <c r="J13" s="15">
        <v>0.12</v>
      </c>
      <c r="K13" s="15">
        <v>0.14000000000000001</v>
      </c>
      <c r="L13" s="15">
        <v>0.22</v>
      </c>
      <c r="M13" s="15">
        <v>0.19</v>
      </c>
      <c r="N13" s="15">
        <v>0.16</v>
      </c>
      <c r="O13" s="15">
        <v>0.12</v>
      </c>
      <c r="P13" s="15">
        <v>0.16</v>
      </c>
      <c r="Q13" s="15">
        <v>0.09</v>
      </c>
      <c r="R13" s="15">
        <v>0.23</v>
      </c>
      <c r="S13" s="15">
        <v>0.24</v>
      </c>
      <c r="T13" s="15">
        <v>0.15</v>
      </c>
      <c r="U13" s="15">
        <v>0.13</v>
      </c>
      <c r="V13" s="15">
        <v>0.17</v>
      </c>
      <c r="W13" s="15">
        <v>0.19</v>
      </c>
      <c r="X13" s="15">
        <v>0.15</v>
      </c>
      <c r="Y13" s="15">
        <v>0.28000000000000003</v>
      </c>
      <c r="Z13" s="15">
        <v>0.14000000000000001</v>
      </c>
      <c r="AA13" s="15">
        <v>0.09</v>
      </c>
      <c r="AB13" s="15">
        <v>0.14000000000000001</v>
      </c>
      <c r="AC13" s="15">
        <v>0.19</v>
      </c>
      <c r="AD13" s="15">
        <v>0.22</v>
      </c>
      <c r="AE13" s="15">
        <v>0.17</v>
      </c>
      <c r="AF13" s="15">
        <v>0.15</v>
      </c>
      <c r="AG13" s="15">
        <v>0.36</v>
      </c>
      <c r="AH13" s="15">
        <v>0.21</v>
      </c>
      <c r="AI13" s="15">
        <v>0.26</v>
      </c>
      <c r="AJ13" s="15">
        <v>0.24</v>
      </c>
      <c r="AK13" s="15">
        <v>0.22</v>
      </c>
      <c r="AL13" s="15">
        <v>0.28999999999999998</v>
      </c>
      <c r="AM13" s="15">
        <v>0.15</v>
      </c>
      <c r="AN13" s="15">
        <v>0.17</v>
      </c>
      <c r="AO13" s="15">
        <v>0.46</v>
      </c>
      <c r="AP13" s="15">
        <v>0.39</v>
      </c>
      <c r="AQ13" s="15">
        <v>0.34</v>
      </c>
    </row>
    <row r="14" spans="1:43" x14ac:dyDescent="0.35">
      <c r="A14" s="19"/>
      <c r="B14" s="11" t="s">
        <v>762</v>
      </c>
      <c r="C14" s="12">
        <v>12185</v>
      </c>
      <c r="D14" s="12">
        <v>513</v>
      </c>
      <c r="E14" s="12">
        <v>416</v>
      </c>
      <c r="F14" s="12">
        <v>501</v>
      </c>
      <c r="G14" s="12">
        <v>518</v>
      </c>
      <c r="H14" s="12">
        <v>489</v>
      </c>
      <c r="I14" s="12">
        <v>636</v>
      </c>
      <c r="J14" s="12">
        <v>148</v>
      </c>
      <c r="K14" s="12">
        <v>461</v>
      </c>
      <c r="L14" s="12">
        <v>476</v>
      </c>
      <c r="M14" s="12">
        <v>507</v>
      </c>
      <c r="N14" s="12">
        <v>459</v>
      </c>
      <c r="O14" s="12">
        <v>441</v>
      </c>
      <c r="P14" s="12">
        <v>505</v>
      </c>
      <c r="Q14" s="12">
        <v>425</v>
      </c>
      <c r="R14" s="12">
        <v>251</v>
      </c>
      <c r="S14" s="12">
        <v>456</v>
      </c>
      <c r="T14" s="12">
        <v>510</v>
      </c>
      <c r="U14" s="12">
        <v>286</v>
      </c>
      <c r="V14" s="12">
        <v>502</v>
      </c>
      <c r="W14" s="12">
        <v>255</v>
      </c>
      <c r="X14" s="12">
        <v>504</v>
      </c>
      <c r="Y14" s="12">
        <v>412</v>
      </c>
      <c r="Z14" s="12">
        <v>577</v>
      </c>
      <c r="AA14" s="12">
        <v>474</v>
      </c>
      <c r="AB14" s="12">
        <v>496</v>
      </c>
      <c r="AC14" s="12">
        <v>517</v>
      </c>
      <c r="AD14" s="12">
        <v>519</v>
      </c>
      <c r="AE14" s="12">
        <v>577</v>
      </c>
      <c r="AF14" s="12">
        <v>588</v>
      </c>
      <c r="AG14" s="12">
        <v>467</v>
      </c>
      <c r="AH14" s="12">
        <v>547</v>
      </c>
      <c r="AI14" s="12">
        <v>319</v>
      </c>
      <c r="AJ14" s="12">
        <v>473</v>
      </c>
      <c r="AK14" s="12">
        <v>541</v>
      </c>
      <c r="AL14" s="12">
        <v>394</v>
      </c>
      <c r="AM14" s="12">
        <v>597</v>
      </c>
      <c r="AN14" s="12">
        <v>456</v>
      </c>
      <c r="AO14" s="12">
        <v>377</v>
      </c>
      <c r="AP14" s="12">
        <v>157</v>
      </c>
      <c r="AQ14" s="12">
        <v>403</v>
      </c>
    </row>
    <row r="15" spans="1:43" x14ac:dyDescent="0.35">
      <c r="A15" s="19"/>
      <c r="B15" s="13" t="s">
        <v>763</v>
      </c>
      <c r="C15" s="15">
        <v>0.46</v>
      </c>
      <c r="D15" s="15">
        <v>0.51</v>
      </c>
      <c r="E15" s="15">
        <v>0.4</v>
      </c>
      <c r="F15" s="15">
        <v>0.45</v>
      </c>
      <c r="G15" s="15">
        <v>0.51</v>
      </c>
      <c r="H15" s="15">
        <v>0.4</v>
      </c>
      <c r="I15" s="15">
        <v>0.42</v>
      </c>
      <c r="J15" s="15">
        <v>0.5</v>
      </c>
      <c r="K15" s="15">
        <v>0.46</v>
      </c>
      <c r="L15" s="15">
        <v>0.47</v>
      </c>
      <c r="M15" s="15">
        <v>0.5</v>
      </c>
      <c r="N15" s="15">
        <v>0.46</v>
      </c>
      <c r="O15" s="15">
        <v>0.44</v>
      </c>
      <c r="P15" s="15">
        <v>0.5</v>
      </c>
      <c r="Q15" s="15">
        <v>0.41</v>
      </c>
      <c r="R15" s="15">
        <v>0.5</v>
      </c>
      <c r="S15" s="15">
        <v>0.46</v>
      </c>
      <c r="T15" s="15">
        <v>0.51</v>
      </c>
      <c r="U15" s="15">
        <v>0.57000000000000006</v>
      </c>
      <c r="V15" s="15">
        <v>0.49</v>
      </c>
      <c r="W15" s="15">
        <v>0.5</v>
      </c>
      <c r="X15" s="15">
        <v>0.5</v>
      </c>
      <c r="Y15" s="15">
        <v>0.41</v>
      </c>
      <c r="Z15" s="15">
        <v>0.56000000000000005</v>
      </c>
      <c r="AA15" s="15">
        <v>0.46</v>
      </c>
      <c r="AB15" s="15">
        <v>0.47</v>
      </c>
      <c r="AC15" s="15">
        <v>0.51</v>
      </c>
      <c r="AD15" s="15">
        <v>0.52</v>
      </c>
      <c r="AE15" s="15">
        <v>0.57000000000000006</v>
      </c>
      <c r="AF15" s="15">
        <v>0.56000000000000005</v>
      </c>
      <c r="AG15" s="15">
        <v>0.45</v>
      </c>
      <c r="AH15" s="15">
        <v>0.54</v>
      </c>
      <c r="AI15" s="15">
        <v>0.61</v>
      </c>
      <c r="AJ15" s="15">
        <v>0.46</v>
      </c>
      <c r="AK15" s="15">
        <v>0.54</v>
      </c>
      <c r="AL15" s="15">
        <v>0.39</v>
      </c>
      <c r="AM15" s="15">
        <v>0.57000000000000006</v>
      </c>
      <c r="AN15" s="15">
        <v>0.46</v>
      </c>
      <c r="AO15" s="15">
        <v>0.38</v>
      </c>
      <c r="AP15" s="15">
        <v>0.3</v>
      </c>
      <c r="AQ15" s="15">
        <v>0.4</v>
      </c>
    </row>
    <row r="16" spans="1:43" x14ac:dyDescent="0.35">
      <c r="A16" s="19"/>
      <c r="B16" s="11" t="s">
        <v>764</v>
      </c>
      <c r="C16" s="12">
        <v>7503</v>
      </c>
      <c r="D16" s="12">
        <v>339</v>
      </c>
      <c r="E16" s="12">
        <v>278</v>
      </c>
      <c r="F16" s="12">
        <v>327</v>
      </c>
      <c r="G16" s="12">
        <v>221</v>
      </c>
      <c r="H16" s="12">
        <v>344</v>
      </c>
      <c r="I16" s="12">
        <v>431</v>
      </c>
      <c r="J16" s="12">
        <v>88</v>
      </c>
      <c r="K16" s="12">
        <v>266</v>
      </c>
      <c r="L16" s="12">
        <v>224</v>
      </c>
      <c r="M16" s="12">
        <v>247</v>
      </c>
      <c r="N16" s="12">
        <v>269</v>
      </c>
      <c r="O16" s="12">
        <v>328</v>
      </c>
      <c r="P16" s="12">
        <v>220</v>
      </c>
      <c r="Q16" s="12">
        <v>345</v>
      </c>
      <c r="R16" s="12">
        <v>94</v>
      </c>
      <c r="S16" s="12">
        <v>187</v>
      </c>
      <c r="T16" s="12">
        <v>254</v>
      </c>
      <c r="U16" s="12">
        <v>115</v>
      </c>
      <c r="V16" s="12">
        <v>252</v>
      </c>
      <c r="W16" s="12">
        <v>138</v>
      </c>
      <c r="X16" s="12">
        <v>288</v>
      </c>
      <c r="Y16" s="12">
        <v>194</v>
      </c>
      <c r="Z16" s="12">
        <v>228</v>
      </c>
      <c r="AA16" s="12">
        <v>374</v>
      </c>
      <c r="AB16" s="12">
        <v>296</v>
      </c>
      <c r="AC16" s="12">
        <v>241</v>
      </c>
      <c r="AD16" s="12">
        <v>185</v>
      </c>
      <c r="AE16" s="12">
        <v>208</v>
      </c>
      <c r="AF16" s="12">
        <v>234</v>
      </c>
      <c r="AG16" s="12">
        <v>165</v>
      </c>
      <c r="AH16" s="12">
        <v>200</v>
      </c>
      <c r="AI16" s="12">
        <v>55</v>
      </c>
      <c r="AJ16" s="12">
        <v>239</v>
      </c>
      <c r="AK16" s="12">
        <v>209</v>
      </c>
      <c r="AL16" s="12">
        <v>193</v>
      </c>
      <c r="AM16" s="12">
        <v>239</v>
      </c>
      <c r="AN16" s="12">
        <v>280</v>
      </c>
      <c r="AO16" s="12">
        <v>73</v>
      </c>
      <c r="AP16" s="12">
        <v>144</v>
      </c>
      <c r="AQ16" s="12">
        <v>120</v>
      </c>
    </row>
    <row r="17" spans="1:43" x14ac:dyDescent="0.35">
      <c r="A17" s="19"/>
      <c r="B17" s="13" t="s">
        <v>765</v>
      </c>
      <c r="C17" s="15">
        <v>0.28000000000000003</v>
      </c>
      <c r="D17" s="15">
        <v>0.33</v>
      </c>
      <c r="E17" s="15">
        <v>0.27</v>
      </c>
      <c r="F17" s="15">
        <v>0.3</v>
      </c>
      <c r="G17" s="15">
        <v>0.22</v>
      </c>
      <c r="H17" s="15">
        <v>0.28000000000000003</v>
      </c>
      <c r="I17" s="15">
        <v>0.28000000000000003</v>
      </c>
      <c r="J17" s="15">
        <v>0.3</v>
      </c>
      <c r="K17" s="15">
        <v>0.27</v>
      </c>
      <c r="L17" s="15">
        <v>0.22</v>
      </c>
      <c r="M17" s="15">
        <v>0.24</v>
      </c>
      <c r="N17" s="15">
        <v>0.27</v>
      </c>
      <c r="O17" s="15">
        <v>0.33</v>
      </c>
      <c r="P17" s="15">
        <v>0.22</v>
      </c>
      <c r="Q17" s="15">
        <v>0.34</v>
      </c>
      <c r="R17" s="15">
        <v>0.19</v>
      </c>
      <c r="S17" s="15">
        <v>0.19</v>
      </c>
      <c r="T17" s="15">
        <v>0.25</v>
      </c>
      <c r="U17" s="15">
        <v>0.23</v>
      </c>
      <c r="V17" s="15">
        <v>0.25</v>
      </c>
      <c r="W17" s="15">
        <v>0.27</v>
      </c>
      <c r="X17" s="15">
        <v>0.28000000000000003</v>
      </c>
      <c r="Y17" s="15">
        <v>0.19</v>
      </c>
      <c r="Z17" s="15">
        <v>0.22</v>
      </c>
      <c r="AA17" s="15">
        <v>0.36</v>
      </c>
      <c r="AB17" s="15">
        <v>0.28000000000000003</v>
      </c>
      <c r="AC17" s="15">
        <v>0.24</v>
      </c>
      <c r="AD17" s="15">
        <v>0.18</v>
      </c>
      <c r="AE17" s="15">
        <v>0.21</v>
      </c>
      <c r="AF17" s="15">
        <v>0.23</v>
      </c>
      <c r="AG17" s="15">
        <v>0.16</v>
      </c>
      <c r="AH17" s="15">
        <v>0.2</v>
      </c>
      <c r="AI17" s="15">
        <v>0.1</v>
      </c>
      <c r="AJ17" s="15">
        <v>0.23</v>
      </c>
      <c r="AK17" s="15">
        <v>0.21</v>
      </c>
      <c r="AL17" s="15">
        <v>0.19</v>
      </c>
      <c r="AM17" s="15">
        <v>0.23</v>
      </c>
      <c r="AN17" s="15">
        <v>0.28000000000000003</v>
      </c>
      <c r="AO17" s="15">
        <v>7.0000000000000007E-2</v>
      </c>
      <c r="AP17" s="15">
        <v>0.27</v>
      </c>
      <c r="AQ17" s="15">
        <v>0.12</v>
      </c>
    </row>
    <row r="18" spans="1:43" x14ac:dyDescent="0.35">
      <c r="A18" s="19"/>
      <c r="B18" s="11" t="s">
        <v>766</v>
      </c>
      <c r="C18" s="12">
        <v>1937</v>
      </c>
      <c r="D18" s="12">
        <v>38</v>
      </c>
      <c r="E18" s="12">
        <v>76</v>
      </c>
      <c r="F18" s="12">
        <v>88</v>
      </c>
      <c r="G18" s="12">
        <v>52</v>
      </c>
      <c r="H18" s="12">
        <v>136</v>
      </c>
      <c r="I18" s="12">
        <v>154</v>
      </c>
      <c r="J18" s="12">
        <v>18</v>
      </c>
      <c r="K18" s="12">
        <v>60</v>
      </c>
      <c r="L18" s="12">
        <v>56</v>
      </c>
      <c r="M18" s="12">
        <v>55</v>
      </c>
      <c r="N18" s="12">
        <v>65</v>
      </c>
      <c r="O18" s="12">
        <v>74</v>
      </c>
      <c r="P18" s="12">
        <v>79</v>
      </c>
      <c r="Q18" s="12">
        <v>116</v>
      </c>
      <c r="R18" s="12">
        <v>21</v>
      </c>
      <c r="S18" s="12">
        <v>51</v>
      </c>
      <c r="T18" s="12">
        <v>33</v>
      </c>
      <c r="U18" s="12">
        <v>20</v>
      </c>
      <c r="V18" s="12">
        <v>63</v>
      </c>
      <c r="W18" s="12">
        <v>10</v>
      </c>
      <c r="X18" s="12">
        <v>30</v>
      </c>
      <c r="Y18" s="12">
        <v>61</v>
      </c>
      <c r="Z18" s="12">
        <v>39</v>
      </c>
      <c r="AA18" s="12">
        <v>43</v>
      </c>
      <c r="AB18" s="12">
        <v>76</v>
      </c>
      <c r="AC18" s="12">
        <v>32</v>
      </c>
      <c r="AD18" s="12">
        <v>43</v>
      </c>
      <c r="AE18" s="12">
        <v>25</v>
      </c>
      <c r="AF18" s="12">
        <v>51</v>
      </c>
      <c r="AG18" s="12">
        <v>24</v>
      </c>
      <c r="AH18" s="12">
        <v>39</v>
      </c>
      <c r="AI18" s="12">
        <v>12</v>
      </c>
      <c r="AJ18" s="12">
        <v>64</v>
      </c>
      <c r="AK18" s="12">
        <v>21</v>
      </c>
      <c r="AL18" s="12">
        <v>70</v>
      </c>
      <c r="AM18" s="12">
        <v>50</v>
      </c>
      <c r="AN18" s="12">
        <v>85</v>
      </c>
      <c r="AO18" s="12">
        <v>49</v>
      </c>
      <c r="AP18" s="12">
        <v>19</v>
      </c>
      <c r="AQ18" s="12">
        <v>82</v>
      </c>
    </row>
    <row r="19" spans="1:43" x14ac:dyDescent="0.35">
      <c r="A19" s="19"/>
      <c r="B19" s="13" t="s">
        <v>767</v>
      </c>
      <c r="C19" s="15">
        <v>7.0000000000000007E-2</v>
      </c>
      <c r="D19" s="15">
        <v>0.04</v>
      </c>
      <c r="E19" s="15">
        <v>7.0000000000000007E-2</v>
      </c>
      <c r="F19" s="15">
        <v>0.08</v>
      </c>
      <c r="G19" s="15">
        <v>0.05</v>
      </c>
      <c r="H19" s="15">
        <v>0.11</v>
      </c>
      <c r="I19" s="15">
        <v>0.1</v>
      </c>
      <c r="J19" s="15">
        <v>0.06</v>
      </c>
      <c r="K19" s="15">
        <v>0.06</v>
      </c>
      <c r="L19" s="15">
        <v>0.06</v>
      </c>
      <c r="M19" s="15">
        <v>0.06</v>
      </c>
      <c r="N19" s="15">
        <v>7.0000000000000007E-2</v>
      </c>
      <c r="O19" s="15">
        <v>7.0000000000000007E-2</v>
      </c>
      <c r="P19" s="15">
        <v>0.08</v>
      </c>
      <c r="Q19" s="15">
        <v>0.11</v>
      </c>
      <c r="R19" s="15">
        <v>0.04</v>
      </c>
      <c r="S19" s="15">
        <v>0.05</v>
      </c>
      <c r="T19" s="15">
        <v>0.03</v>
      </c>
      <c r="U19" s="15">
        <v>0.04</v>
      </c>
      <c r="V19" s="15">
        <v>0.06</v>
      </c>
      <c r="W19" s="15">
        <v>0.02</v>
      </c>
      <c r="X19" s="15">
        <v>0.03</v>
      </c>
      <c r="Y19" s="15">
        <v>0.06</v>
      </c>
      <c r="Z19" s="15">
        <v>0.04</v>
      </c>
      <c r="AA19" s="15">
        <v>0.04</v>
      </c>
      <c r="AB19" s="15">
        <v>7.0000000000000007E-2</v>
      </c>
      <c r="AC19" s="15">
        <v>0.03</v>
      </c>
      <c r="AD19" s="15">
        <v>0.04</v>
      </c>
      <c r="AE19" s="15">
        <v>0.02</v>
      </c>
      <c r="AF19" s="15">
        <v>0.05</v>
      </c>
      <c r="AG19" s="15">
        <v>0.02</v>
      </c>
      <c r="AH19" s="15">
        <v>0.04</v>
      </c>
      <c r="AI19" s="15">
        <v>0.02</v>
      </c>
      <c r="AJ19" s="15">
        <v>0.06</v>
      </c>
      <c r="AK19" s="15">
        <v>0.02</v>
      </c>
      <c r="AL19" s="15">
        <v>7.0000000000000007E-2</v>
      </c>
      <c r="AM19" s="15">
        <v>0.05</v>
      </c>
      <c r="AN19" s="15">
        <v>0.08</v>
      </c>
      <c r="AO19" s="15">
        <v>0.05</v>
      </c>
      <c r="AP19" s="15">
        <v>0.04</v>
      </c>
      <c r="AQ19" s="15">
        <v>0.08</v>
      </c>
    </row>
    <row r="20" spans="1:43" x14ac:dyDescent="0.35">
      <c r="A20" s="19"/>
      <c r="B20" s="11" t="s">
        <v>485</v>
      </c>
      <c r="C20" s="12">
        <v>1190</v>
      </c>
      <c r="D20" s="12">
        <v>23</v>
      </c>
      <c r="E20" s="12">
        <v>88</v>
      </c>
      <c r="F20" s="12">
        <v>62</v>
      </c>
      <c r="G20" s="12">
        <v>57</v>
      </c>
      <c r="H20" s="12">
        <v>91</v>
      </c>
      <c r="I20" s="12">
        <v>99</v>
      </c>
      <c r="J20" s="12">
        <v>7</v>
      </c>
      <c r="K20" s="12">
        <v>72</v>
      </c>
      <c r="L20" s="12">
        <v>25</v>
      </c>
      <c r="M20" s="12">
        <v>10</v>
      </c>
      <c r="N20" s="12">
        <v>45</v>
      </c>
      <c r="O20" s="12">
        <v>35</v>
      </c>
      <c r="P20" s="12">
        <v>42</v>
      </c>
      <c r="Q20" s="12">
        <v>49</v>
      </c>
      <c r="R20" s="12">
        <v>22</v>
      </c>
      <c r="S20" s="12">
        <v>64</v>
      </c>
      <c r="T20" s="12">
        <v>57</v>
      </c>
      <c r="U20" s="12">
        <v>17</v>
      </c>
      <c r="V20" s="12">
        <v>28</v>
      </c>
      <c r="W20" s="12">
        <v>8</v>
      </c>
      <c r="X20" s="12">
        <v>37</v>
      </c>
      <c r="Y20" s="12">
        <v>59</v>
      </c>
      <c r="Z20" s="12">
        <v>43</v>
      </c>
      <c r="AA20" s="12">
        <v>50</v>
      </c>
      <c r="AB20" s="12">
        <v>41</v>
      </c>
      <c r="AC20" s="12">
        <v>26</v>
      </c>
      <c r="AD20" s="12">
        <v>35</v>
      </c>
      <c r="AE20" s="12">
        <v>26</v>
      </c>
      <c r="AF20" s="12">
        <v>14</v>
      </c>
      <c r="AG20" s="12">
        <v>13</v>
      </c>
      <c r="AH20" s="12">
        <v>9</v>
      </c>
      <c r="AI20" s="12">
        <v>3</v>
      </c>
      <c r="AJ20" s="12">
        <v>7</v>
      </c>
      <c r="AK20" s="12">
        <v>14</v>
      </c>
      <c r="AL20" s="12">
        <v>64</v>
      </c>
      <c r="AM20" s="12">
        <v>0</v>
      </c>
      <c r="AN20" s="12">
        <v>10</v>
      </c>
      <c r="AO20" s="12">
        <v>41</v>
      </c>
      <c r="AP20" s="12">
        <v>3</v>
      </c>
      <c r="AQ20" s="12">
        <v>54</v>
      </c>
    </row>
    <row r="21" spans="1:43" x14ac:dyDescent="0.35">
      <c r="A21" s="19"/>
      <c r="B21" s="13" t="s">
        <v>486</v>
      </c>
      <c r="C21" s="15">
        <v>0.05</v>
      </c>
      <c r="D21" s="15">
        <v>0.02</v>
      </c>
      <c r="E21" s="15">
        <v>0.09</v>
      </c>
      <c r="F21" s="15">
        <v>0.06</v>
      </c>
      <c r="G21" s="15">
        <v>0.06</v>
      </c>
      <c r="H21" s="15">
        <v>0.08</v>
      </c>
      <c r="I21" s="15">
        <v>7.0000000000000007E-2</v>
      </c>
      <c r="J21" s="15">
        <v>0.02</v>
      </c>
      <c r="K21" s="15">
        <v>7.0000000000000007E-2</v>
      </c>
      <c r="L21" s="15">
        <v>0.03</v>
      </c>
      <c r="M21" s="15">
        <v>0.01</v>
      </c>
      <c r="N21" s="15">
        <v>0.04</v>
      </c>
      <c r="O21" s="15">
        <v>0.04</v>
      </c>
      <c r="P21" s="15">
        <v>0.04</v>
      </c>
      <c r="Q21" s="15">
        <v>0.05</v>
      </c>
      <c r="R21" s="15">
        <v>0.04</v>
      </c>
      <c r="S21" s="15">
        <v>0.06</v>
      </c>
      <c r="T21" s="15">
        <v>0.06</v>
      </c>
      <c r="U21" s="15">
        <v>0.03</v>
      </c>
      <c r="V21" s="15">
        <v>0.03</v>
      </c>
      <c r="W21" s="15">
        <v>0.02</v>
      </c>
      <c r="X21" s="15">
        <v>0.04</v>
      </c>
      <c r="Y21" s="15">
        <v>0.06</v>
      </c>
      <c r="Z21" s="15">
        <v>0.04</v>
      </c>
      <c r="AA21" s="15">
        <v>0.05</v>
      </c>
      <c r="AB21" s="15">
        <v>0.04</v>
      </c>
      <c r="AC21" s="15">
        <v>0.03</v>
      </c>
      <c r="AD21" s="15">
        <v>0.04</v>
      </c>
      <c r="AE21" s="15">
        <v>0.03</v>
      </c>
      <c r="AF21" s="15">
        <v>0.01</v>
      </c>
      <c r="AG21" s="15">
        <v>0.01</v>
      </c>
      <c r="AH21" s="15">
        <v>0.01</v>
      </c>
      <c r="AI21" s="15">
        <v>0.01</v>
      </c>
      <c r="AJ21" s="15">
        <v>0.01</v>
      </c>
      <c r="AK21" s="15">
        <v>0.01</v>
      </c>
      <c r="AL21" s="15">
        <v>0.06</v>
      </c>
      <c r="AM21" s="14" t="s">
        <v>475</v>
      </c>
      <c r="AN21" s="15">
        <v>0.01</v>
      </c>
      <c r="AO21" s="15">
        <v>0.04</v>
      </c>
      <c r="AP21" s="14" t="s">
        <v>475</v>
      </c>
      <c r="AQ21" s="15">
        <v>0.06</v>
      </c>
    </row>
    <row r="22" spans="1:43" x14ac:dyDescent="0.35">
      <c r="A22" s="19"/>
      <c r="B22" s="11" t="s">
        <v>768</v>
      </c>
      <c r="C22" s="12">
        <v>15814</v>
      </c>
      <c r="D22" s="12">
        <v>613</v>
      </c>
      <c r="E22" s="12">
        <v>588</v>
      </c>
      <c r="F22" s="12">
        <v>625</v>
      </c>
      <c r="G22" s="12">
        <v>677</v>
      </c>
      <c r="H22" s="12">
        <v>651</v>
      </c>
      <c r="I22" s="12">
        <v>832</v>
      </c>
      <c r="J22" s="12">
        <v>182</v>
      </c>
      <c r="K22" s="12">
        <v>604</v>
      </c>
      <c r="L22" s="12">
        <v>697</v>
      </c>
      <c r="M22" s="12">
        <v>699</v>
      </c>
      <c r="N22" s="12">
        <v>624</v>
      </c>
      <c r="O22" s="12">
        <v>564</v>
      </c>
      <c r="P22" s="12">
        <v>663</v>
      </c>
      <c r="Q22" s="12">
        <v>517</v>
      </c>
      <c r="R22" s="12">
        <v>368</v>
      </c>
      <c r="S22" s="12">
        <v>701</v>
      </c>
      <c r="T22" s="12">
        <v>662</v>
      </c>
      <c r="U22" s="12">
        <v>353</v>
      </c>
      <c r="V22" s="12">
        <v>672</v>
      </c>
      <c r="W22" s="12">
        <v>352</v>
      </c>
      <c r="X22" s="12">
        <v>654</v>
      </c>
      <c r="Y22" s="12">
        <v>688</v>
      </c>
      <c r="Z22" s="12">
        <v>721</v>
      </c>
      <c r="AA22" s="12">
        <v>565</v>
      </c>
      <c r="AB22" s="12">
        <v>638</v>
      </c>
      <c r="AC22" s="12">
        <v>703</v>
      </c>
      <c r="AD22" s="12">
        <v>742</v>
      </c>
      <c r="AE22" s="12">
        <v>753</v>
      </c>
      <c r="AF22" s="12">
        <v>744</v>
      </c>
      <c r="AG22" s="12">
        <v>833</v>
      </c>
      <c r="AH22" s="12">
        <v>765</v>
      </c>
      <c r="AI22" s="12">
        <v>453</v>
      </c>
      <c r="AJ22" s="12">
        <v>728</v>
      </c>
      <c r="AK22" s="12">
        <v>763</v>
      </c>
      <c r="AL22" s="12">
        <v>685</v>
      </c>
      <c r="AM22" s="12">
        <v>751</v>
      </c>
      <c r="AN22" s="12">
        <v>629</v>
      </c>
      <c r="AO22" s="12">
        <v>842</v>
      </c>
      <c r="AP22" s="12">
        <v>359</v>
      </c>
      <c r="AQ22" s="12">
        <v>746</v>
      </c>
    </row>
    <row r="23" spans="1:43" x14ac:dyDescent="0.35">
      <c r="A23" s="19"/>
      <c r="B23" s="13" t="s">
        <v>769</v>
      </c>
      <c r="C23" s="15">
        <v>0.6</v>
      </c>
      <c r="D23" s="15">
        <v>0.61</v>
      </c>
      <c r="E23" s="15">
        <v>0.57000000000000006</v>
      </c>
      <c r="F23" s="15">
        <v>0.56000000000000005</v>
      </c>
      <c r="G23" s="15">
        <v>0.67</v>
      </c>
      <c r="H23" s="15">
        <v>0.53</v>
      </c>
      <c r="I23" s="15">
        <v>0.55000000000000004</v>
      </c>
      <c r="J23" s="15">
        <v>0.62</v>
      </c>
      <c r="K23" s="15">
        <v>0.6</v>
      </c>
      <c r="L23" s="15">
        <v>0.69000000000000006</v>
      </c>
      <c r="M23" s="15">
        <v>0.69000000000000006</v>
      </c>
      <c r="N23" s="15">
        <v>0.62</v>
      </c>
      <c r="O23" s="15">
        <v>0.56000000000000005</v>
      </c>
      <c r="P23" s="15">
        <v>0.66</v>
      </c>
      <c r="Q23" s="15">
        <v>0.5</v>
      </c>
      <c r="R23" s="15">
        <v>0.73</v>
      </c>
      <c r="S23" s="15">
        <v>0.70000000000000007</v>
      </c>
      <c r="T23" s="15">
        <v>0.66</v>
      </c>
      <c r="U23" s="15">
        <v>0.70000000000000007</v>
      </c>
      <c r="V23" s="15">
        <v>0.66</v>
      </c>
      <c r="W23" s="15">
        <v>0.69000000000000006</v>
      </c>
      <c r="X23" s="15">
        <v>0.65</v>
      </c>
      <c r="Y23" s="15">
        <v>0.69000000000000006</v>
      </c>
      <c r="Z23" s="15">
        <v>0.70000000000000007</v>
      </c>
      <c r="AA23" s="15">
        <v>0.55000000000000004</v>
      </c>
      <c r="AB23" s="15">
        <v>0.61</v>
      </c>
      <c r="AC23" s="15">
        <v>0.70000000000000007</v>
      </c>
      <c r="AD23" s="15">
        <v>0.74</v>
      </c>
      <c r="AE23" s="15">
        <v>0.74</v>
      </c>
      <c r="AF23" s="15">
        <v>0.71</v>
      </c>
      <c r="AG23" s="15">
        <v>0.81</v>
      </c>
      <c r="AH23" s="15">
        <v>0.75</v>
      </c>
      <c r="AI23" s="15">
        <v>0.87</v>
      </c>
      <c r="AJ23" s="15">
        <v>0.70000000000000007</v>
      </c>
      <c r="AK23" s="15">
        <v>0.76</v>
      </c>
      <c r="AL23" s="15">
        <v>0.68</v>
      </c>
      <c r="AM23" s="15">
        <v>0.72</v>
      </c>
      <c r="AN23" s="15">
        <v>0.63</v>
      </c>
      <c r="AO23" s="15">
        <v>0.84</v>
      </c>
      <c r="AP23" s="15">
        <v>0.69000000000000006</v>
      </c>
      <c r="AQ23" s="15">
        <v>0.74</v>
      </c>
    </row>
    <row r="24" spans="1:43" x14ac:dyDescent="0.35">
      <c r="A24" s="19"/>
      <c r="B24" s="11" t="s">
        <v>770</v>
      </c>
      <c r="C24" s="12">
        <v>9440</v>
      </c>
      <c r="D24" s="12">
        <v>377</v>
      </c>
      <c r="E24" s="12">
        <v>354</v>
      </c>
      <c r="F24" s="12">
        <v>415</v>
      </c>
      <c r="G24" s="12">
        <v>273</v>
      </c>
      <c r="H24" s="12">
        <v>480</v>
      </c>
      <c r="I24" s="12">
        <v>585</v>
      </c>
      <c r="J24" s="12">
        <v>106</v>
      </c>
      <c r="K24" s="12">
        <v>326</v>
      </c>
      <c r="L24" s="12">
        <v>280</v>
      </c>
      <c r="M24" s="12">
        <v>302</v>
      </c>
      <c r="N24" s="12">
        <v>334</v>
      </c>
      <c r="O24" s="12">
        <v>402</v>
      </c>
      <c r="P24" s="12">
        <v>299</v>
      </c>
      <c r="Q24" s="12">
        <v>461</v>
      </c>
      <c r="R24" s="12">
        <v>115</v>
      </c>
      <c r="S24" s="12">
        <v>238</v>
      </c>
      <c r="T24" s="12">
        <v>287</v>
      </c>
      <c r="U24" s="12">
        <v>135</v>
      </c>
      <c r="V24" s="12">
        <v>315</v>
      </c>
      <c r="W24" s="12">
        <v>148</v>
      </c>
      <c r="X24" s="12">
        <v>318</v>
      </c>
      <c r="Y24" s="12">
        <v>255</v>
      </c>
      <c r="Z24" s="12">
        <v>267</v>
      </c>
      <c r="AA24" s="12">
        <v>417</v>
      </c>
      <c r="AB24" s="12">
        <v>372</v>
      </c>
      <c r="AC24" s="12">
        <v>273</v>
      </c>
      <c r="AD24" s="12">
        <v>228</v>
      </c>
      <c r="AE24" s="12">
        <v>233</v>
      </c>
      <c r="AF24" s="12">
        <v>285</v>
      </c>
      <c r="AG24" s="12">
        <v>189</v>
      </c>
      <c r="AH24" s="12">
        <v>239</v>
      </c>
      <c r="AI24" s="12">
        <v>67</v>
      </c>
      <c r="AJ24" s="12">
        <v>303</v>
      </c>
      <c r="AK24" s="12">
        <v>230</v>
      </c>
      <c r="AL24" s="12">
        <v>263</v>
      </c>
      <c r="AM24" s="12">
        <v>289</v>
      </c>
      <c r="AN24" s="12">
        <v>365</v>
      </c>
      <c r="AO24" s="12">
        <v>122</v>
      </c>
      <c r="AP24" s="12">
        <v>163</v>
      </c>
      <c r="AQ24" s="12">
        <v>202</v>
      </c>
    </row>
    <row r="25" spans="1:43" x14ac:dyDescent="0.35">
      <c r="A25" s="19"/>
      <c r="B25" s="13" t="s">
        <v>771</v>
      </c>
      <c r="C25" s="15">
        <v>0.35</v>
      </c>
      <c r="D25" s="15">
        <v>0.37</v>
      </c>
      <c r="E25" s="15">
        <v>0.34</v>
      </c>
      <c r="F25" s="15">
        <v>0.38</v>
      </c>
      <c r="G25" s="15">
        <v>0.27</v>
      </c>
      <c r="H25" s="15">
        <v>0.39</v>
      </c>
      <c r="I25" s="15">
        <v>0.38</v>
      </c>
      <c r="J25" s="15">
        <v>0.36</v>
      </c>
      <c r="K25" s="15">
        <v>0.33</v>
      </c>
      <c r="L25" s="15">
        <v>0.28000000000000003</v>
      </c>
      <c r="M25" s="15">
        <v>0.3</v>
      </c>
      <c r="N25" s="15">
        <v>0.34</v>
      </c>
      <c r="O25" s="15">
        <v>0.4</v>
      </c>
      <c r="P25" s="15">
        <v>0.3</v>
      </c>
      <c r="Q25" s="15">
        <v>0.45</v>
      </c>
      <c r="R25" s="15">
        <v>0.23</v>
      </c>
      <c r="S25" s="15">
        <v>0.24</v>
      </c>
      <c r="T25" s="15">
        <v>0.28000000000000003</v>
      </c>
      <c r="U25" s="15">
        <v>0.27</v>
      </c>
      <c r="V25" s="15">
        <v>0.31</v>
      </c>
      <c r="W25" s="15">
        <v>0.28999999999999998</v>
      </c>
      <c r="X25" s="15">
        <v>0.31</v>
      </c>
      <c r="Y25" s="15">
        <v>0.25</v>
      </c>
      <c r="Z25" s="15">
        <v>0.26</v>
      </c>
      <c r="AA25" s="15">
        <v>0.4</v>
      </c>
      <c r="AB25" s="15">
        <v>0.35</v>
      </c>
      <c r="AC25" s="15">
        <v>0.27</v>
      </c>
      <c r="AD25" s="15">
        <v>0.22</v>
      </c>
      <c r="AE25" s="15">
        <v>0.23</v>
      </c>
      <c r="AF25" s="15">
        <v>0.28000000000000003</v>
      </c>
      <c r="AG25" s="15">
        <v>0.18</v>
      </c>
      <c r="AH25" s="15">
        <v>0.24</v>
      </c>
      <c r="AI25" s="15">
        <v>0.12</v>
      </c>
      <c r="AJ25" s="15">
        <v>0.28999999999999998</v>
      </c>
      <c r="AK25" s="15">
        <v>0.23</v>
      </c>
      <c r="AL25" s="15">
        <v>0.26</v>
      </c>
      <c r="AM25" s="15">
        <v>0.28000000000000003</v>
      </c>
      <c r="AN25" s="15">
        <v>0.36</v>
      </c>
      <c r="AO25" s="15">
        <v>0.12</v>
      </c>
      <c r="AP25" s="15">
        <v>0.31</v>
      </c>
      <c r="AQ25" s="15">
        <v>0.2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1416</v>
      </c>
      <c r="C3" s="18"/>
      <c r="D3" s="18"/>
      <c r="E3" s="18"/>
      <c r="F3" s="18"/>
      <c r="H3" s="18" t="s">
        <v>1417</v>
      </c>
      <c r="I3" s="18"/>
      <c r="J3" s="18"/>
      <c r="K3" s="18"/>
      <c r="L3" s="18"/>
    </row>
    <row r="4" spans="1:43" ht="27" customHeight="1" x14ac:dyDescent="0.35">
      <c r="B4" s="18" t="s">
        <v>1418</v>
      </c>
      <c r="C4" s="18"/>
      <c r="D4" s="18"/>
      <c r="E4" s="18"/>
      <c r="F4" s="18"/>
      <c r="H4" s="18" t="s">
        <v>1419</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HYPERLINK("#Content!A174","&lt;&lt;Back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8567</v>
      </c>
      <c r="D12" s="12">
        <v>165</v>
      </c>
      <c r="E12" s="12">
        <v>322</v>
      </c>
      <c r="F12" s="12">
        <v>228</v>
      </c>
      <c r="G12" s="12">
        <v>278</v>
      </c>
      <c r="H12" s="12">
        <v>380</v>
      </c>
      <c r="I12" s="12">
        <v>464</v>
      </c>
      <c r="J12" s="12">
        <v>84</v>
      </c>
      <c r="K12" s="12">
        <v>152</v>
      </c>
      <c r="L12" s="12">
        <v>322</v>
      </c>
      <c r="M12" s="12">
        <v>478</v>
      </c>
      <c r="N12" s="12">
        <v>435</v>
      </c>
      <c r="O12" s="12">
        <v>421</v>
      </c>
      <c r="P12" s="12">
        <v>226</v>
      </c>
      <c r="Q12" s="12">
        <v>289</v>
      </c>
      <c r="R12" s="12">
        <v>236</v>
      </c>
      <c r="S12" s="12">
        <v>321</v>
      </c>
      <c r="T12" s="12">
        <v>302</v>
      </c>
      <c r="U12" s="12">
        <v>121</v>
      </c>
      <c r="V12" s="12">
        <v>304</v>
      </c>
      <c r="W12" s="12">
        <v>219</v>
      </c>
      <c r="X12" s="12">
        <v>368</v>
      </c>
      <c r="Y12" s="12">
        <v>384</v>
      </c>
      <c r="Z12" s="12">
        <v>223</v>
      </c>
      <c r="AA12" s="12">
        <v>114</v>
      </c>
      <c r="AB12" s="12">
        <v>278</v>
      </c>
      <c r="AC12" s="12">
        <v>358</v>
      </c>
      <c r="AD12" s="12">
        <v>377</v>
      </c>
      <c r="AE12" s="12">
        <v>174</v>
      </c>
      <c r="AF12" s="12">
        <v>497</v>
      </c>
      <c r="AG12" s="12">
        <v>355</v>
      </c>
      <c r="AH12" s="12">
        <v>354</v>
      </c>
      <c r="AI12" s="12">
        <v>117</v>
      </c>
      <c r="AJ12" s="12">
        <v>430</v>
      </c>
      <c r="AK12" s="12">
        <v>335</v>
      </c>
      <c r="AL12" s="12">
        <v>636</v>
      </c>
      <c r="AM12" s="12">
        <v>367</v>
      </c>
      <c r="AN12" s="12">
        <v>280</v>
      </c>
      <c r="AO12" s="12">
        <v>564</v>
      </c>
      <c r="AP12" s="12">
        <v>259</v>
      </c>
      <c r="AQ12" s="12">
        <v>468</v>
      </c>
    </row>
    <row r="13" spans="1:43" x14ac:dyDescent="0.35">
      <c r="A13" s="19"/>
      <c r="B13" s="13" t="s">
        <v>761</v>
      </c>
      <c r="C13" s="15">
        <v>0.32</v>
      </c>
      <c r="D13" s="15">
        <v>0.16</v>
      </c>
      <c r="E13" s="15">
        <v>0.31</v>
      </c>
      <c r="F13" s="15">
        <v>0.21</v>
      </c>
      <c r="G13" s="15">
        <v>0.28000000000000003</v>
      </c>
      <c r="H13" s="15">
        <v>0.31</v>
      </c>
      <c r="I13" s="15">
        <v>0.31</v>
      </c>
      <c r="J13" s="15">
        <v>0.28000000000000003</v>
      </c>
      <c r="K13" s="15">
        <v>0.15</v>
      </c>
      <c r="L13" s="15">
        <v>0.32</v>
      </c>
      <c r="M13" s="15">
        <v>0.47</v>
      </c>
      <c r="N13" s="15">
        <v>0.43</v>
      </c>
      <c r="O13" s="15">
        <v>0.42</v>
      </c>
      <c r="P13" s="15">
        <v>0.23</v>
      </c>
      <c r="Q13" s="15">
        <v>0.28000000000000003</v>
      </c>
      <c r="R13" s="15">
        <v>0.47</v>
      </c>
      <c r="S13" s="15">
        <v>0.32</v>
      </c>
      <c r="T13" s="15">
        <v>0.3</v>
      </c>
      <c r="U13" s="15">
        <v>0.24</v>
      </c>
      <c r="V13" s="15">
        <v>0.3</v>
      </c>
      <c r="W13" s="15">
        <v>0.43</v>
      </c>
      <c r="X13" s="15">
        <v>0.37</v>
      </c>
      <c r="Y13" s="15">
        <v>0.38</v>
      </c>
      <c r="Z13" s="15">
        <v>0.22</v>
      </c>
      <c r="AA13" s="15">
        <v>0.11</v>
      </c>
      <c r="AB13" s="15">
        <v>0.26</v>
      </c>
      <c r="AC13" s="15">
        <v>0.36</v>
      </c>
      <c r="AD13" s="15">
        <v>0.38</v>
      </c>
      <c r="AE13" s="15">
        <v>0.17</v>
      </c>
      <c r="AF13" s="15">
        <v>0.48</v>
      </c>
      <c r="AG13" s="15">
        <v>0.34</v>
      </c>
      <c r="AH13" s="15">
        <v>0.35</v>
      </c>
      <c r="AI13" s="15">
        <v>0.22</v>
      </c>
      <c r="AJ13" s="15">
        <v>0.42</v>
      </c>
      <c r="AK13" s="15">
        <v>0.33</v>
      </c>
      <c r="AL13" s="15">
        <v>0.63</v>
      </c>
      <c r="AM13" s="15">
        <v>0.35</v>
      </c>
      <c r="AN13" s="15">
        <v>0.28000000000000003</v>
      </c>
      <c r="AO13" s="15">
        <v>0.56000000000000005</v>
      </c>
      <c r="AP13" s="15">
        <v>0.49</v>
      </c>
      <c r="AQ13" s="15">
        <v>0.47</v>
      </c>
    </row>
    <row r="14" spans="1:43" x14ac:dyDescent="0.35">
      <c r="A14" s="19"/>
      <c r="B14" s="11" t="s">
        <v>762</v>
      </c>
      <c r="C14" s="12">
        <v>12714</v>
      </c>
      <c r="D14" s="12">
        <v>535</v>
      </c>
      <c r="E14" s="12">
        <v>415</v>
      </c>
      <c r="F14" s="12">
        <v>589</v>
      </c>
      <c r="G14" s="12">
        <v>424</v>
      </c>
      <c r="H14" s="12">
        <v>570</v>
      </c>
      <c r="I14" s="12">
        <v>720</v>
      </c>
      <c r="J14" s="12">
        <v>150</v>
      </c>
      <c r="K14" s="12">
        <v>393</v>
      </c>
      <c r="L14" s="12">
        <v>529</v>
      </c>
      <c r="M14" s="12">
        <v>424</v>
      </c>
      <c r="N14" s="12">
        <v>445</v>
      </c>
      <c r="O14" s="12">
        <v>476</v>
      </c>
      <c r="P14" s="12">
        <v>555</v>
      </c>
      <c r="Q14" s="12">
        <v>537</v>
      </c>
      <c r="R14" s="12">
        <v>183</v>
      </c>
      <c r="S14" s="12">
        <v>430</v>
      </c>
      <c r="T14" s="12">
        <v>479</v>
      </c>
      <c r="U14" s="12">
        <v>236</v>
      </c>
      <c r="V14" s="12">
        <v>526</v>
      </c>
      <c r="W14" s="12">
        <v>243</v>
      </c>
      <c r="X14" s="12">
        <v>458</v>
      </c>
      <c r="Y14" s="12">
        <v>332</v>
      </c>
      <c r="Z14" s="12">
        <v>581</v>
      </c>
      <c r="AA14" s="12">
        <v>649</v>
      </c>
      <c r="AB14" s="12">
        <v>472</v>
      </c>
      <c r="AC14" s="12">
        <v>433</v>
      </c>
      <c r="AD14" s="12">
        <v>476</v>
      </c>
      <c r="AE14" s="12">
        <v>340</v>
      </c>
      <c r="AF14" s="12">
        <v>370</v>
      </c>
      <c r="AG14" s="12">
        <v>447</v>
      </c>
      <c r="AH14" s="12">
        <v>516</v>
      </c>
      <c r="AI14" s="12">
        <v>326</v>
      </c>
      <c r="AJ14" s="12">
        <v>417</v>
      </c>
      <c r="AK14" s="12">
        <v>550</v>
      </c>
      <c r="AL14" s="12">
        <v>253</v>
      </c>
      <c r="AM14" s="12">
        <v>577</v>
      </c>
      <c r="AN14" s="12">
        <v>507</v>
      </c>
      <c r="AO14" s="12">
        <v>344</v>
      </c>
      <c r="AP14" s="12">
        <v>155</v>
      </c>
      <c r="AQ14" s="12">
        <v>329</v>
      </c>
    </row>
    <row r="15" spans="1:43" x14ac:dyDescent="0.35">
      <c r="A15" s="19"/>
      <c r="B15" s="13" t="s">
        <v>763</v>
      </c>
      <c r="C15" s="15">
        <v>0.48</v>
      </c>
      <c r="D15" s="15">
        <v>0.53</v>
      </c>
      <c r="E15" s="15">
        <v>0.4</v>
      </c>
      <c r="F15" s="15">
        <v>0.54</v>
      </c>
      <c r="G15" s="15">
        <v>0.42</v>
      </c>
      <c r="H15" s="15">
        <v>0.47</v>
      </c>
      <c r="I15" s="15">
        <v>0.47</v>
      </c>
      <c r="J15" s="15">
        <v>0.51</v>
      </c>
      <c r="K15" s="15">
        <v>0.39</v>
      </c>
      <c r="L15" s="15">
        <v>0.53</v>
      </c>
      <c r="M15" s="15">
        <v>0.42</v>
      </c>
      <c r="N15" s="15">
        <v>0.45</v>
      </c>
      <c r="O15" s="15">
        <v>0.47</v>
      </c>
      <c r="P15" s="15">
        <v>0.55000000000000004</v>
      </c>
      <c r="Q15" s="15">
        <v>0.52</v>
      </c>
      <c r="R15" s="15">
        <v>0.36</v>
      </c>
      <c r="S15" s="15">
        <v>0.43</v>
      </c>
      <c r="T15" s="15">
        <v>0.48</v>
      </c>
      <c r="U15" s="15">
        <v>0.47</v>
      </c>
      <c r="V15" s="15">
        <v>0.52</v>
      </c>
      <c r="W15" s="15">
        <v>0.48</v>
      </c>
      <c r="X15" s="15">
        <v>0.45</v>
      </c>
      <c r="Y15" s="15">
        <v>0.33</v>
      </c>
      <c r="Z15" s="15">
        <v>0.56000000000000005</v>
      </c>
      <c r="AA15" s="15">
        <v>0.63</v>
      </c>
      <c r="AB15" s="15">
        <v>0.45</v>
      </c>
      <c r="AC15" s="15">
        <v>0.43</v>
      </c>
      <c r="AD15" s="15">
        <v>0.47</v>
      </c>
      <c r="AE15" s="15">
        <v>0.34</v>
      </c>
      <c r="AF15" s="15">
        <v>0.35</v>
      </c>
      <c r="AG15" s="15">
        <v>0.43</v>
      </c>
      <c r="AH15" s="15">
        <v>0.51</v>
      </c>
      <c r="AI15" s="15">
        <v>0.63</v>
      </c>
      <c r="AJ15" s="15">
        <v>0.4</v>
      </c>
      <c r="AK15" s="15">
        <v>0.55000000000000004</v>
      </c>
      <c r="AL15" s="15">
        <v>0.25</v>
      </c>
      <c r="AM15" s="15">
        <v>0.56000000000000005</v>
      </c>
      <c r="AN15" s="15">
        <v>0.51</v>
      </c>
      <c r="AO15" s="15">
        <v>0.34</v>
      </c>
      <c r="AP15" s="15">
        <v>0.3</v>
      </c>
      <c r="AQ15" s="15">
        <v>0.33</v>
      </c>
    </row>
    <row r="16" spans="1:43" x14ac:dyDescent="0.35">
      <c r="A16" s="19"/>
      <c r="B16" s="11" t="s">
        <v>764</v>
      </c>
      <c r="C16" s="12">
        <v>3353</v>
      </c>
      <c r="D16" s="12">
        <v>250</v>
      </c>
      <c r="E16" s="12">
        <v>170</v>
      </c>
      <c r="F16" s="12">
        <v>188</v>
      </c>
      <c r="G16" s="12">
        <v>216</v>
      </c>
      <c r="H16" s="12">
        <v>146</v>
      </c>
      <c r="I16" s="12">
        <v>199</v>
      </c>
      <c r="J16" s="12">
        <v>53</v>
      </c>
      <c r="K16" s="12">
        <v>312</v>
      </c>
      <c r="L16" s="12">
        <v>72</v>
      </c>
      <c r="M16" s="12">
        <v>70</v>
      </c>
      <c r="N16" s="12">
        <v>73</v>
      </c>
      <c r="O16" s="12">
        <v>61</v>
      </c>
      <c r="P16" s="12">
        <v>162</v>
      </c>
      <c r="Q16" s="12">
        <v>137</v>
      </c>
      <c r="R16" s="12">
        <v>43</v>
      </c>
      <c r="S16" s="12">
        <v>147</v>
      </c>
      <c r="T16" s="12">
        <v>157</v>
      </c>
      <c r="U16" s="12">
        <v>95</v>
      </c>
      <c r="V16" s="12">
        <v>125</v>
      </c>
      <c r="W16" s="12">
        <v>34</v>
      </c>
      <c r="X16" s="12">
        <v>133</v>
      </c>
      <c r="Y16" s="12">
        <v>187</v>
      </c>
      <c r="Z16" s="12">
        <v>151</v>
      </c>
      <c r="AA16" s="12">
        <v>174</v>
      </c>
      <c r="AB16" s="12">
        <v>201</v>
      </c>
      <c r="AC16" s="12">
        <v>157</v>
      </c>
      <c r="AD16" s="12">
        <v>103</v>
      </c>
      <c r="AE16" s="12">
        <v>349</v>
      </c>
      <c r="AF16" s="12">
        <v>132</v>
      </c>
      <c r="AG16" s="12">
        <v>184</v>
      </c>
      <c r="AH16" s="12">
        <v>103</v>
      </c>
      <c r="AI16" s="12">
        <v>59</v>
      </c>
      <c r="AJ16" s="12">
        <v>146</v>
      </c>
      <c r="AK16" s="12">
        <v>105</v>
      </c>
      <c r="AL16" s="12">
        <v>44</v>
      </c>
      <c r="AM16" s="12">
        <v>84</v>
      </c>
      <c r="AN16" s="12">
        <v>180</v>
      </c>
      <c r="AO16" s="12">
        <v>42</v>
      </c>
      <c r="AP16" s="12">
        <v>89</v>
      </c>
      <c r="AQ16" s="12">
        <v>65</v>
      </c>
    </row>
    <row r="17" spans="1:43" x14ac:dyDescent="0.35">
      <c r="A17" s="19"/>
      <c r="B17" s="13" t="s">
        <v>765</v>
      </c>
      <c r="C17" s="15">
        <v>0.13</v>
      </c>
      <c r="D17" s="15">
        <v>0.25</v>
      </c>
      <c r="E17" s="15">
        <v>0.17</v>
      </c>
      <c r="F17" s="15">
        <v>0.17</v>
      </c>
      <c r="G17" s="15">
        <v>0.22</v>
      </c>
      <c r="H17" s="15">
        <v>0.12</v>
      </c>
      <c r="I17" s="15">
        <v>0.13</v>
      </c>
      <c r="J17" s="15">
        <v>0.18</v>
      </c>
      <c r="K17" s="15">
        <v>0.31</v>
      </c>
      <c r="L17" s="15">
        <v>7.0000000000000007E-2</v>
      </c>
      <c r="M17" s="15">
        <v>7.0000000000000007E-2</v>
      </c>
      <c r="N17" s="15">
        <v>7.0000000000000007E-2</v>
      </c>
      <c r="O17" s="15">
        <v>0.06</v>
      </c>
      <c r="P17" s="15">
        <v>0.16</v>
      </c>
      <c r="Q17" s="15">
        <v>0.13</v>
      </c>
      <c r="R17" s="15">
        <v>0.09</v>
      </c>
      <c r="S17" s="15">
        <v>0.15</v>
      </c>
      <c r="T17" s="15">
        <v>0.16</v>
      </c>
      <c r="U17" s="15">
        <v>0.19</v>
      </c>
      <c r="V17" s="15">
        <v>0.12</v>
      </c>
      <c r="W17" s="15">
        <v>7.0000000000000007E-2</v>
      </c>
      <c r="X17" s="15">
        <v>0.13</v>
      </c>
      <c r="Y17" s="15">
        <v>0.19</v>
      </c>
      <c r="Z17" s="15">
        <v>0.15</v>
      </c>
      <c r="AA17" s="15">
        <v>0.17</v>
      </c>
      <c r="AB17" s="15">
        <v>0.19</v>
      </c>
      <c r="AC17" s="15">
        <v>0.16</v>
      </c>
      <c r="AD17" s="15">
        <v>0.1</v>
      </c>
      <c r="AE17" s="15">
        <v>0.34</v>
      </c>
      <c r="AF17" s="15">
        <v>0.13</v>
      </c>
      <c r="AG17" s="15">
        <v>0.18</v>
      </c>
      <c r="AH17" s="15">
        <v>0.1</v>
      </c>
      <c r="AI17" s="15">
        <v>0.11</v>
      </c>
      <c r="AJ17" s="15">
        <v>0.14000000000000001</v>
      </c>
      <c r="AK17" s="15">
        <v>0.1</v>
      </c>
      <c r="AL17" s="15">
        <v>0.04</v>
      </c>
      <c r="AM17" s="15">
        <v>0.08</v>
      </c>
      <c r="AN17" s="15">
        <v>0.18</v>
      </c>
      <c r="AO17" s="15">
        <v>0.04</v>
      </c>
      <c r="AP17" s="15">
        <v>0.17</v>
      </c>
      <c r="AQ17" s="15">
        <v>0.06</v>
      </c>
    </row>
    <row r="18" spans="1:43" x14ac:dyDescent="0.35">
      <c r="A18" s="19"/>
      <c r="B18" s="11" t="s">
        <v>766</v>
      </c>
      <c r="C18" s="12">
        <v>591</v>
      </c>
      <c r="D18" s="12">
        <v>33</v>
      </c>
      <c r="E18" s="12">
        <v>30</v>
      </c>
      <c r="F18" s="12">
        <v>48</v>
      </c>
      <c r="G18" s="12">
        <v>43</v>
      </c>
      <c r="H18" s="12">
        <v>17</v>
      </c>
      <c r="I18" s="12">
        <v>18</v>
      </c>
      <c r="J18" s="12">
        <v>2</v>
      </c>
      <c r="K18" s="12">
        <v>54</v>
      </c>
      <c r="L18" s="12">
        <v>28</v>
      </c>
      <c r="M18" s="12">
        <v>31</v>
      </c>
      <c r="N18" s="12">
        <v>12</v>
      </c>
      <c r="O18" s="12">
        <v>18</v>
      </c>
      <c r="P18" s="12">
        <v>24</v>
      </c>
      <c r="Q18" s="12">
        <v>34</v>
      </c>
      <c r="R18" s="12">
        <v>16</v>
      </c>
      <c r="S18" s="12">
        <v>19</v>
      </c>
      <c r="T18" s="12">
        <v>6</v>
      </c>
      <c r="U18" s="12">
        <v>15</v>
      </c>
      <c r="V18" s="12">
        <v>27</v>
      </c>
      <c r="W18" s="12">
        <v>5</v>
      </c>
      <c r="X18" s="12">
        <v>12</v>
      </c>
      <c r="Y18" s="12">
        <v>31</v>
      </c>
      <c r="Z18" s="12">
        <v>21</v>
      </c>
      <c r="AA18" s="12">
        <v>10</v>
      </c>
      <c r="AB18" s="12">
        <v>31</v>
      </c>
      <c r="AC18" s="12">
        <v>34</v>
      </c>
      <c r="AD18" s="12">
        <v>16</v>
      </c>
      <c r="AE18" s="12">
        <v>107</v>
      </c>
      <c r="AF18" s="12">
        <v>29</v>
      </c>
      <c r="AG18" s="12">
        <v>37</v>
      </c>
      <c r="AH18" s="12">
        <v>26</v>
      </c>
      <c r="AI18" s="12">
        <v>16</v>
      </c>
      <c r="AJ18" s="12">
        <v>41</v>
      </c>
      <c r="AK18" s="12">
        <v>2</v>
      </c>
      <c r="AL18" s="12">
        <v>24</v>
      </c>
      <c r="AM18" s="12">
        <v>13</v>
      </c>
      <c r="AN18" s="12">
        <v>30</v>
      </c>
      <c r="AO18" s="12">
        <v>20</v>
      </c>
      <c r="AP18" s="12">
        <v>21</v>
      </c>
      <c r="AQ18" s="12">
        <v>51</v>
      </c>
    </row>
    <row r="19" spans="1:43" x14ac:dyDescent="0.35">
      <c r="A19" s="19"/>
      <c r="B19" s="13" t="s">
        <v>767</v>
      </c>
      <c r="C19" s="15">
        <v>0.02</v>
      </c>
      <c r="D19" s="15">
        <v>0.03</v>
      </c>
      <c r="E19" s="15">
        <v>0.03</v>
      </c>
      <c r="F19" s="15">
        <v>0.04</v>
      </c>
      <c r="G19" s="15">
        <v>0.04</v>
      </c>
      <c r="H19" s="15">
        <v>0.01</v>
      </c>
      <c r="I19" s="15">
        <v>0.01</v>
      </c>
      <c r="J19" s="15">
        <v>0.01</v>
      </c>
      <c r="K19" s="15">
        <v>0.06</v>
      </c>
      <c r="L19" s="15">
        <v>0.03</v>
      </c>
      <c r="M19" s="15">
        <v>0.03</v>
      </c>
      <c r="N19" s="15">
        <v>0.01</v>
      </c>
      <c r="O19" s="15">
        <v>0.02</v>
      </c>
      <c r="P19" s="15">
        <v>0.02</v>
      </c>
      <c r="Q19" s="15">
        <v>0.04</v>
      </c>
      <c r="R19" s="15">
        <v>0.03</v>
      </c>
      <c r="S19" s="15">
        <v>0.02</v>
      </c>
      <c r="T19" s="14" t="s">
        <v>475</v>
      </c>
      <c r="U19" s="15">
        <v>0.03</v>
      </c>
      <c r="V19" s="15">
        <v>0.03</v>
      </c>
      <c r="W19" s="15">
        <v>0.01</v>
      </c>
      <c r="X19" s="15">
        <v>0.01</v>
      </c>
      <c r="Y19" s="15">
        <v>0.03</v>
      </c>
      <c r="Z19" s="15">
        <v>0.02</v>
      </c>
      <c r="AA19" s="15">
        <v>0.01</v>
      </c>
      <c r="AB19" s="15">
        <v>0.03</v>
      </c>
      <c r="AC19" s="15">
        <v>0.03</v>
      </c>
      <c r="AD19" s="15">
        <v>0.02</v>
      </c>
      <c r="AE19" s="15">
        <v>0.11</v>
      </c>
      <c r="AF19" s="15">
        <v>0.03</v>
      </c>
      <c r="AG19" s="15">
        <v>0.04</v>
      </c>
      <c r="AH19" s="15">
        <v>0.03</v>
      </c>
      <c r="AI19" s="15">
        <v>0.03</v>
      </c>
      <c r="AJ19" s="15">
        <v>0.04</v>
      </c>
      <c r="AK19" s="14" t="s">
        <v>475</v>
      </c>
      <c r="AL19" s="15">
        <v>0.02</v>
      </c>
      <c r="AM19" s="15">
        <v>0.01</v>
      </c>
      <c r="AN19" s="15">
        <v>0.03</v>
      </c>
      <c r="AO19" s="15">
        <v>0.02</v>
      </c>
      <c r="AP19" s="15">
        <v>0.04</v>
      </c>
      <c r="AQ19" s="15">
        <v>0.05</v>
      </c>
    </row>
    <row r="20" spans="1:43" x14ac:dyDescent="0.35">
      <c r="A20" s="19"/>
      <c r="B20" s="11" t="s">
        <v>485</v>
      </c>
      <c r="C20" s="12">
        <v>1220</v>
      </c>
      <c r="D20" s="12">
        <v>30</v>
      </c>
      <c r="E20" s="12">
        <v>93</v>
      </c>
      <c r="F20" s="12">
        <v>48</v>
      </c>
      <c r="G20" s="12">
        <v>45</v>
      </c>
      <c r="H20" s="12">
        <v>109</v>
      </c>
      <c r="I20" s="12">
        <v>115</v>
      </c>
      <c r="J20" s="12">
        <v>6</v>
      </c>
      <c r="K20" s="12">
        <v>91</v>
      </c>
      <c r="L20" s="12">
        <v>51</v>
      </c>
      <c r="M20" s="12">
        <v>8</v>
      </c>
      <c r="N20" s="12">
        <v>38</v>
      </c>
      <c r="O20" s="12">
        <v>26</v>
      </c>
      <c r="P20" s="12">
        <v>37</v>
      </c>
      <c r="Q20" s="12">
        <v>30</v>
      </c>
      <c r="R20" s="12">
        <v>27</v>
      </c>
      <c r="S20" s="12">
        <v>85</v>
      </c>
      <c r="T20" s="12">
        <v>62</v>
      </c>
      <c r="U20" s="12">
        <v>37</v>
      </c>
      <c r="V20" s="12">
        <v>32</v>
      </c>
      <c r="W20" s="12">
        <v>8</v>
      </c>
      <c r="X20" s="12">
        <v>38</v>
      </c>
      <c r="Y20" s="12">
        <v>69</v>
      </c>
      <c r="Z20" s="12">
        <v>54</v>
      </c>
      <c r="AA20" s="12">
        <v>86</v>
      </c>
      <c r="AB20" s="12">
        <v>70</v>
      </c>
      <c r="AC20" s="12">
        <v>21</v>
      </c>
      <c r="AD20" s="12">
        <v>33</v>
      </c>
      <c r="AE20" s="12">
        <v>43</v>
      </c>
      <c r="AF20" s="12">
        <v>14</v>
      </c>
      <c r="AG20" s="12">
        <v>12</v>
      </c>
      <c r="AH20" s="12">
        <v>14</v>
      </c>
      <c r="AI20" s="12">
        <v>4</v>
      </c>
      <c r="AJ20" s="12">
        <v>2</v>
      </c>
      <c r="AK20" s="12">
        <v>16</v>
      </c>
      <c r="AL20" s="12">
        <v>55</v>
      </c>
      <c r="AM20" s="12">
        <v>0</v>
      </c>
      <c r="AN20" s="12">
        <v>5</v>
      </c>
      <c r="AO20" s="12">
        <v>35</v>
      </c>
      <c r="AP20" s="12">
        <v>0</v>
      </c>
      <c r="AQ20" s="12">
        <v>89</v>
      </c>
    </row>
    <row r="21" spans="1:43" x14ac:dyDescent="0.35">
      <c r="A21" s="19"/>
      <c r="B21" s="13" t="s">
        <v>486</v>
      </c>
      <c r="C21" s="15">
        <v>0.05</v>
      </c>
      <c r="D21" s="15">
        <v>0.03</v>
      </c>
      <c r="E21" s="15">
        <v>0.09</v>
      </c>
      <c r="F21" s="15">
        <v>0.04</v>
      </c>
      <c r="G21" s="15">
        <v>0.04</v>
      </c>
      <c r="H21" s="15">
        <v>0.09</v>
      </c>
      <c r="I21" s="15">
        <v>0.08</v>
      </c>
      <c r="J21" s="15">
        <v>0.02</v>
      </c>
      <c r="K21" s="15">
        <v>0.09</v>
      </c>
      <c r="L21" s="15">
        <v>0.05</v>
      </c>
      <c r="M21" s="15">
        <v>0.01</v>
      </c>
      <c r="N21" s="15">
        <v>0.04</v>
      </c>
      <c r="O21" s="15">
        <v>0.03</v>
      </c>
      <c r="P21" s="15">
        <v>0.04</v>
      </c>
      <c r="Q21" s="15">
        <v>0.03</v>
      </c>
      <c r="R21" s="15">
        <v>0.05</v>
      </c>
      <c r="S21" s="15">
        <v>0.08</v>
      </c>
      <c r="T21" s="15">
        <v>0.06</v>
      </c>
      <c r="U21" s="15">
        <v>7.0000000000000007E-2</v>
      </c>
      <c r="V21" s="15">
        <v>0.03</v>
      </c>
      <c r="W21" s="15">
        <v>0.01</v>
      </c>
      <c r="X21" s="15">
        <v>0.04</v>
      </c>
      <c r="Y21" s="15">
        <v>7.0000000000000007E-2</v>
      </c>
      <c r="Z21" s="15">
        <v>0.05</v>
      </c>
      <c r="AA21" s="15">
        <v>0.08</v>
      </c>
      <c r="AB21" s="15">
        <v>7.0000000000000007E-2</v>
      </c>
      <c r="AC21" s="15">
        <v>0.02</v>
      </c>
      <c r="AD21" s="15">
        <v>0.03</v>
      </c>
      <c r="AE21" s="15">
        <v>0.04</v>
      </c>
      <c r="AF21" s="15">
        <v>0.01</v>
      </c>
      <c r="AG21" s="15">
        <v>0.01</v>
      </c>
      <c r="AH21" s="15">
        <v>0.01</v>
      </c>
      <c r="AI21" s="15">
        <v>0.01</v>
      </c>
      <c r="AJ21" s="14" t="s">
        <v>475</v>
      </c>
      <c r="AK21" s="15">
        <v>0.02</v>
      </c>
      <c r="AL21" s="15">
        <v>0.06</v>
      </c>
      <c r="AM21" s="14" t="s">
        <v>475</v>
      </c>
      <c r="AN21" s="14" t="s">
        <v>475</v>
      </c>
      <c r="AO21" s="15">
        <v>0.04</v>
      </c>
      <c r="AP21" s="14" t="s">
        <v>475</v>
      </c>
      <c r="AQ21" s="15">
        <v>0.09</v>
      </c>
    </row>
    <row r="22" spans="1:43" x14ac:dyDescent="0.35">
      <c r="A22" s="19"/>
      <c r="B22" s="11" t="s">
        <v>768</v>
      </c>
      <c r="C22" s="12">
        <v>21281</v>
      </c>
      <c r="D22" s="12">
        <v>700</v>
      </c>
      <c r="E22" s="12">
        <v>737</v>
      </c>
      <c r="F22" s="12">
        <v>817</v>
      </c>
      <c r="G22" s="12">
        <v>702</v>
      </c>
      <c r="H22" s="12">
        <v>950</v>
      </c>
      <c r="I22" s="12">
        <v>1184</v>
      </c>
      <c r="J22" s="12">
        <v>234</v>
      </c>
      <c r="K22" s="12">
        <v>545</v>
      </c>
      <c r="L22" s="12">
        <v>851</v>
      </c>
      <c r="M22" s="12">
        <v>902</v>
      </c>
      <c r="N22" s="12">
        <v>880</v>
      </c>
      <c r="O22" s="12">
        <v>897</v>
      </c>
      <c r="P22" s="12">
        <v>781</v>
      </c>
      <c r="Q22" s="12">
        <v>826</v>
      </c>
      <c r="R22" s="12">
        <v>419</v>
      </c>
      <c r="S22" s="12">
        <v>751</v>
      </c>
      <c r="T22" s="12">
        <v>781</v>
      </c>
      <c r="U22" s="12">
        <v>357</v>
      </c>
      <c r="V22" s="12">
        <v>830</v>
      </c>
      <c r="W22" s="12">
        <v>462</v>
      </c>
      <c r="X22" s="12">
        <v>826</v>
      </c>
      <c r="Y22" s="12">
        <v>716</v>
      </c>
      <c r="Z22" s="12">
        <v>804</v>
      </c>
      <c r="AA22" s="12">
        <v>763</v>
      </c>
      <c r="AB22" s="12">
        <v>750</v>
      </c>
      <c r="AC22" s="12">
        <v>791</v>
      </c>
      <c r="AD22" s="12">
        <v>853</v>
      </c>
      <c r="AE22" s="12">
        <v>514</v>
      </c>
      <c r="AF22" s="12">
        <v>867</v>
      </c>
      <c r="AG22" s="12">
        <v>802</v>
      </c>
      <c r="AH22" s="12">
        <v>870</v>
      </c>
      <c r="AI22" s="12">
        <v>443</v>
      </c>
      <c r="AJ22" s="12">
        <v>847</v>
      </c>
      <c r="AK22" s="12">
        <v>885</v>
      </c>
      <c r="AL22" s="12">
        <v>889</v>
      </c>
      <c r="AM22" s="12">
        <v>944</v>
      </c>
      <c r="AN22" s="12">
        <v>787</v>
      </c>
      <c r="AO22" s="12">
        <v>908</v>
      </c>
      <c r="AP22" s="12">
        <v>414</v>
      </c>
      <c r="AQ22" s="12">
        <v>797</v>
      </c>
    </row>
    <row r="23" spans="1:43" x14ac:dyDescent="0.35">
      <c r="A23" s="19"/>
      <c r="B23" s="13" t="s">
        <v>769</v>
      </c>
      <c r="C23" s="15">
        <v>0.8</v>
      </c>
      <c r="D23" s="15">
        <v>0.69000000000000006</v>
      </c>
      <c r="E23" s="15">
        <v>0.71</v>
      </c>
      <c r="F23" s="15">
        <v>0.75</v>
      </c>
      <c r="G23" s="15">
        <v>0.70000000000000007</v>
      </c>
      <c r="H23" s="15">
        <v>0.78</v>
      </c>
      <c r="I23" s="15">
        <v>0.78</v>
      </c>
      <c r="J23" s="15">
        <v>0.79</v>
      </c>
      <c r="K23" s="15">
        <v>0.54</v>
      </c>
      <c r="L23" s="15">
        <v>0.85</v>
      </c>
      <c r="M23" s="15">
        <v>0.89</v>
      </c>
      <c r="N23" s="15">
        <v>0.88</v>
      </c>
      <c r="O23" s="15">
        <v>0.89</v>
      </c>
      <c r="P23" s="15">
        <v>0.78</v>
      </c>
      <c r="Q23" s="15">
        <v>0.8</v>
      </c>
      <c r="R23" s="15">
        <v>0.83000000000000007</v>
      </c>
      <c r="S23" s="15">
        <v>0.75</v>
      </c>
      <c r="T23" s="15">
        <v>0.78</v>
      </c>
      <c r="U23" s="15">
        <v>0.71</v>
      </c>
      <c r="V23" s="15">
        <v>0.82000000000000006</v>
      </c>
      <c r="W23" s="15">
        <v>0.91</v>
      </c>
      <c r="X23" s="15">
        <v>0.82000000000000006</v>
      </c>
      <c r="Y23" s="15">
        <v>0.71</v>
      </c>
      <c r="Z23" s="15">
        <v>0.78</v>
      </c>
      <c r="AA23" s="15">
        <v>0.74</v>
      </c>
      <c r="AB23" s="15">
        <v>0.71</v>
      </c>
      <c r="AC23" s="15">
        <v>0.79</v>
      </c>
      <c r="AD23" s="15">
        <v>0.85</v>
      </c>
      <c r="AE23" s="15">
        <v>0.51</v>
      </c>
      <c r="AF23" s="15">
        <v>0.83000000000000007</v>
      </c>
      <c r="AG23" s="15">
        <v>0.77</v>
      </c>
      <c r="AH23" s="15">
        <v>0.86</v>
      </c>
      <c r="AI23" s="15">
        <v>0.85</v>
      </c>
      <c r="AJ23" s="15">
        <v>0.82000000000000006</v>
      </c>
      <c r="AK23" s="15">
        <v>0.88</v>
      </c>
      <c r="AL23" s="15">
        <v>0.88</v>
      </c>
      <c r="AM23" s="15">
        <v>0.91</v>
      </c>
      <c r="AN23" s="15">
        <v>0.79</v>
      </c>
      <c r="AO23" s="15">
        <v>0.9</v>
      </c>
      <c r="AP23" s="15">
        <v>0.79</v>
      </c>
      <c r="AQ23" s="15">
        <v>0.8</v>
      </c>
    </row>
    <row r="24" spans="1:43" x14ac:dyDescent="0.35">
      <c r="A24" s="19"/>
      <c r="B24" s="11" t="s">
        <v>770</v>
      </c>
      <c r="C24" s="12">
        <v>3944</v>
      </c>
      <c r="D24" s="12">
        <v>283</v>
      </c>
      <c r="E24" s="12">
        <v>200</v>
      </c>
      <c r="F24" s="12">
        <v>236</v>
      </c>
      <c r="G24" s="12">
        <v>259</v>
      </c>
      <c r="H24" s="12">
        <v>163</v>
      </c>
      <c r="I24" s="12">
        <v>217</v>
      </c>
      <c r="J24" s="12">
        <v>55</v>
      </c>
      <c r="K24" s="12">
        <v>366</v>
      </c>
      <c r="L24" s="12">
        <v>100</v>
      </c>
      <c r="M24" s="12">
        <v>101</v>
      </c>
      <c r="N24" s="12">
        <v>85</v>
      </c>
      <c r="O24" s="12">
        <v>79</v>
      </c>
      <c r="P24" s="12">
        <v>186</v>
      </c>
      <c r="Q24" s="12">
        <v>171</v>
      </c>
      <c r="R24" s="12">
        <v>59</v>
      </c>
      <c r="S24" s="12">
        <v>166</v>
      </c>
      <c r="T24" s="12">
        <v>163</v>
      </c>
      <c r="U24" s="12">
        <v>110</v>
      </c>
      <c r="V24" s="12">
        <v>152</v>
      </c>
      <c r="W24" s="12">
        <v>39</v>
      </c>
      <c r="X24" s="12">
        <v>145</v>
      </c>
      <c r="Y24" s="12">
        <v>218</v>
      </c>
      <c r="Z24" s="12">
        <v>172</v>
      </c>
      <c r="AA24" s="12">
        <v>184</v>
      </c>
      <c r="AB24" s="12">
        <v>232</v>
      </c>
      <c r="AC24" s="12">
        <v>191</v>
      </c>
      <c r="AD24" s="12">
        <v>119</v>
      </c>
      <c r="AE24" s="12">
        <v>456</v>
      </c>
      <c r="AF24" s="12">
        <v>161</v>
      </c>
      <c r="AG24" s="12">
        <v>221</v>
      </c>
      <c r="AH24" s="12">
        <v>129</v>
      </c>
      <c r="AI24" s="12">
        <v>75</v>
      </c>
      <c r="AJ24" s="12">
        <v>187</v>
      </c>
      <c r="AK24" s="12">
        <v>107</v>
      </c>
      <c r="AL24" s="12">
        <v>68</v>
      </c>
      <c r="AM24" s="12">
        <v>97</v>
      </c>
      <c r="AN24" s="12">
        <v>210</v>
      </c>
      <c r="AO24" s="12">
        <v>62</v>
      </c>
      <c r="AP24" s="12">
        <v>110</v>
      </c>
      <c r="AQ24" s="12">
        <v>116</v>
      </c>
    </row>
    <row r="25" spans="1:43" x14ac:dyDescent="0.35">
      <c r="A25" s="19"/>
      <c r="B25" s="13" t="s">
        <v>771</v>
      </c>
      <c r="C25" s="15">
        <v>0.15</v>
      </c>
      <c r="D25" s="15">
        <v>0.28000000000000003</v>
      </c>
      <c r="E25" s="15">
        <v>0.2</v>
      </c>
      <c r="F25" s="15">
        <v>0.21</v>
      </c>
      <c r="G25" s="15">
        <v>0.26</v>
      </c>
      <c r="H25" s="15">
        <v>0.13</v>
      </c>
      <c r="I25" s="15">
        <v>0.14000000000000001</v>
      </c>
      <c r="J25" s="15">
        <v>0.19</v>
      </c>
      <c r="K25" s="15">
        <v>0.37</v>
      </c>
      <c r="L25" s="15">
        <v>0.1</v>
      </c>
      <c r="M25" s="15">
        <v>0.1</v>
      </c>
      <c r="N25" s="15">
        <v>0.08</v>
      </c>
      <c r="O25" s="15">
        <v>0.08</v>
      </c>
      <c r="P25" s="15">
        <v>0.18</v>
      </c>
      <c r="Q25" s="15">
        <v>0.17</v>
      </c>
      <c r="R25" s="15">
        <v>0.12</v>
      </c>
      <c r="S25" s="15">
        <v>0.17</v>
      </c>
      <c r="T25" s="15">
        <v>0.16</v>
      </c>
      <c r="U25" s="15">
        <v>0.22</v>
      </c>
      <c r="V25" s="15">
        <v>0.15</v>
      </c>
      <c r="W25" s="15">
        <v>0.08</v>
      </c>
      <c r="X25" s="15">
        <v>0.14000000000000001</v>
      </c>
      <c r="Y25" s="15">
        <v>0.22</v>
      </c>
      <c r="Z25" s="15">
        <v>0.17</v>
      </c>
      <c r="AA25" s="15">
        <v>0.18</v>
      </c>
      <c r="AB25" s="15">
        <v>0.22</v>
      </c>
      <c r="AC25" s="15">
        <v>0.19</v>
      </c>
      <c r="AD25" s="15">
        <v>0.12</v>
      </c>
      <c r="AE25" s="15">
        <v>0.45</v>
      </c>
      <c r="AF25" s="15">
        <v>0.16</v>
      </c>
      <c r="AG25" s="15">
        <v>0.22</v>
      </c>
      <c r="AH25" s="15">
        <v>0.13</v>
      </c>
      <c r="AI25" s="15">
        <v>0.14000000000000001</v>
      </c>
      <c r="AJ25" s="15">
        <v>0.18</v>
      </c>
      <c r="AK25" s="15">
        <v>0.1</v>
      </c>
      <c r="AL25" s="15">
        <v>0.06</v>
      </c>
      <c r="AM25" s="15">
        <v>0.09</v>
      </c>
      <c r="AN25" s="15">
        <v>0.21</v>
      </c>
      <c r="AO25" s="15">
        <v>0.06</v>
      </c>
      <c r="AP25" s="15">
        <v>0.21</v>
      </c>
      <c r="AQ25" s="15">
        <v>0.11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1420</v>
      </c>
      <c r="C3" s="18"/>
      <c r="D3" s="18"/>
      <c r="E3" s="18"/>
      <c r="F3" s="18"/>
      <c r="H3" s="18" t="s">
        <v>1421</v>
      </c>
      <c r="I3" s="18"/>
      <c r="J3" s="18"/>
      <c r="K3" s="18"/>
      <c r="L3" s="18"/>
    </row>
    <row r="4" spans="1:43" ht="27" customHeight="1" x14ac:dyDescent="0.35">
      <c r="B4" s="18" t="s">
        <v>1422</v>
      </c>
      <c r="C4" s="18"/>
      <c r="D4" s="18"/>
      <c r="E4" s="18"/>
      <c r="F4" s="18"/>
      <c r="H4" s="18" t="s">
        <v>1423</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HYPERLINK("#Content!A175","&lt;&lt;Back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760</v>
      </c>
      <c r="C12" s="12">
        <v>10380</v>
      </c>
      <c r="D12" s="12">
        <v>315</v>
      </c>
      <c r="E12" s="12">
        <v>447</v>
      </c>
      <c r="F12" s="12">
        <v>298</v>
      </c>
      <c r="G12" s="12">
        <v>521</v>
      </c>
      <c r="H12" s="12">
        <v>493</v>
      </c>
      <c r="I12" s="12">
        <v>595</v>
      </c>
      <c r="J12" s="12">
        <v>102</v>
      </c>
      <c r="K12" s="12">
        <v>311</v>
      </c>
      <c r="L12" s="12">
        <v>388</v>
      </c>
      <c r="M12" s="12">
        <v>513</v>
      </c>
      <c r="N12" s="12">
        <v>478</v>
      </c>
      <c r="O12" s="12">
        <v>479</v>
      </c>
      <c r="P12" s="12">
        <v>300</v>
      </c>
      <c r="Q12" s="12">
        <v>329</v>
      </c>
      <c r="R12" s="12">
        <v>267</v>
      </c>
      <c r="S12" s="12">
        <v>375</v>
      </c>
      <c r="T12" s="12">
        <v>386</v>
      </c>
      <c r="U12" s="12">
        <v>263</v>
      </c>
      <c r="V12" s="12">
        <v>337</v>
      </c>
      <c r="W12" s="12">
        <v>272</v>
      </c>
      <c r="X12" s="12">
        <v>499</v>
      </c>
      <c r="Y12" s="12">
        <v>420</v>
      </c>
      <c r="Z12" s="12">
        <v>218</v>
      </c>
      <c r="AA12" s="12">
        <v>168</v>
      </c>
      <c r="AB12" s="12">
        <v>305</v>
      </c>
      <c r="AC12" s="12">
        <v>480</v>
      </c>
      <c r="AD12" s="12">
        <v>431</v>
      </c>
      <c r="AE12" s="12">
        <v>508</v>
      </c>
      <c r="AF12" s="12">
        <v>747</v>
      </c>
      <c r="AG12" s="12">
        <v>387</v>
      </c>
      <c r="AH12" s="12">
        <v>396</v>
      </c>
      <c r="AI12" s="12">
        <v>120</v>
      </c>
      <c r="AJ12" s="12">
        <v>435</v>
      </c>
      <c r="AK12" s="12">
        <v>365</v>
      </c>
      <c r="AL12" s="12">
        <v>631</v>
      </c>
      <c r="AM12" s="12">
        <v>436</v>
      </c>
      <c r="AN12" s="12">
        <v>307</v>
      </c>
      <c r="AO12" s="12">
        <v>569</v>
      </c>
      <c r="AP12" s="12">
        <v>297</v>
      </c>
      <c r="AQ12" s="12">
        <v>511</v>
      </c>
    </row>
    <row r="13" spans="1:43" x14ac:dyDescent="0.35">
      <c r="A13" s="19"/>
      <c r="B13" s="13" t="s">
        <v>761</v>
      </c>
      <c r="C13" s="15">
        <v>0.39</v>
      </c>
      <c r="D13" s="15">
        <v>0.31</v>
      </c>
      <c r="E13" s="15">
        <v>0.43</v>
      </c>
      <c r="F13" s="15">
        <v>0.27</v>
      </c>
      <c r="G13" s="15">
        <v>0.52</v>
      </c>
      <c r="H13" s="15">
        <v>0.4</v>
      </c>
      <c r="I13" s="15">
        <v>0.39</v>
      </c>
      <c r="J13" s="15">
        <v>0.35</v>
      </c>
      <c r="K13" s="15">
        <v>0.31</v>
      </c>
      <c r="L13" s="15">
        <v>0.39</v>
      </c>
      <c r="M13" s="15">
        <v>0.51</v>
      </c>
      <c r="N13" s="15">
        <v>0.48</v>
      </c>
      <c r="O13" s="15">
        <v>0.48</v>
      </c>
      <c r="P13" s="15">
        <v>0.3</v>
      </c>
      <c r="Q13" s="15">
        <v>0.32</v>
      </c>
      <c r="R13" s="15">
        <v>0.53</v>
      </c>
      <c r="S13" s="15">
        <v>0.38</v>
      </c>
      <c r="T13" s="15">
        <v>0.38</v>
      </c>
      <c r="U13" s="15">
        <v>0.52</v>
      </c>
      <c r="V13" s="15">
        <v>0.33</v>
      </c>
      <c r="W13" s="15">
        <v>0.54</v>
      </c>
      <c r="X13" s="15">
        <v>0.5</v>
      </c>
      <c r="Y13" s="15">
        <v>0.42</v>
      </c>
      <c r="Z13" s="15">
        <v>0.21</v>
      </c>
      <c r="AA13" s="15">
        <v>0.16</v>
      </c>
      <c r="AB13" s="15">
        <v>0.28999999999999998</v>
      </c>
      <c r="AC13" s="15">
        <v>0.48</v>
      </c>
      <c r="AD13" s="15">
        <v>0.43</v>
      </c>
      <c r="AE13" s="15">
        <v>0.5</v>
      </c>
      <c r="AF13" s="15">
        <v>0.71</v>
      </c>
      <c r="AG13" s="15">
        <v>0.37</v>
      </c>
      <c r="AH13" s="15">
        <v>0.39</v>
      </c>
      <c r="AI13" s="15">
        <v>0.23</v>
      </c>
      <c r="AJ13" s="15">
        <v>0.42</v>
      </c>
      <c r="AK13" s="15">
        <v>0.36</v>
      </c>
      <c r="AL13" s="15">
        <v>0.63</v>
      </c>
      <c r="AM13" s="15">
        <v>0.42</v>
      </c>
      <c r="AN13" s="15">
        <v>0.31</v>
      </c>
      <c r="AO13" s="15">
        <v>0.57000000000000006</v>
      </c>
      <c r="AP13" s="15">
        <v>0.57000000000000006</v>
      </c>
      <c r="AQ13" s="15">
        <v>0.51</v>
      </c>
    </row>
    <row r="14" spans="1:43" x14ac:dyDescent="0.35">
      <c r="A14" s="19"/>
      <c r="B14" s="11" t="s">
        <v>762</v>
      </c>
      <c r="C14" s="12">
        <v>11767</v>
      </c>
      <c r="D14" s="12">
        <v>538</v>
      </c>
      <c r="E14" s="12">
        <v>412</v>
      </c>
      <c r="F14" s="12">
        <v>541</v>
      </c>
      <c r="G14" s="12">
        <v>309</v>
      </c>
      <c r="H14" s="12">
        <v>480</v>
      </c>
      <c r="I14" s="12">
        <v>630</v>
      </c>
      <c r="J14" s="12">
        <v>150</v>
      </c>
      <c r="K14" s="12">
        <v>448</v>
      </c>
      <c r="L14" s="12">
        <v>491</v>
      </c>
      <c r="M14" s="12">
        <v>397</v>
      </c>
      <c r="N14" s="12">
        <v>388</v>
      </c>
      <c r="O14" s="12">
        <v>398</v>
      </c>
      <c r="P14" s="12">
        <v>549</v>
      </c>
      <c r="Q14" s="12">
        <v>528</v>
      </c>
      <c r="R14" s="12">
        <v>176</v>
      </c>
      <c r="S14" s="12">
        <v>436</v>
      </c>
      <c r="T14" s="12">
        <v>483</v>
      </c>
      <c r="U14" s="12">
        <v>196</v>
      </c>
      <c r="V14" s="12">
        <v>514</v>
      </c>
      <c r="W14" s="12">
        <v>189</v>
      </c>
      <c r="X14" s="12">
        <v>373</v>
      </c>
      <c r="Y14" s="12">
        <v>396</v>
      </c>
      <c r="Z14" s="12">
        <v>613</v>
      </c>
      <c r="AA14" s="12">
        <v>655</v>
      </c>
      <c r="AB14" s="12">
        <v>501</v>
      </c>
      <c r="AC14" s="12">
        <v>384</v>
      </c>
      <c r="AD14" s="12">
        <v>469</v>
      </c>
      <c r="AE14" s="12">
        <v>322</v>
      </c>
      <c r="AF14" s="12">
        <v>236</v>
      </c>
      <c r="AG14" s="12">
        <v>451</v>
      </c>
      <c r="AH14" s="12">
        <v>502</v>
      </c>
      <c r="AI14" s="12">
        <v>332</v>
      </c>
      <c r="AJ14" s="12">
        <v>439</v>
      </c>
      <c r="AK14" s="12">
        <v>513</v>
      </c>
      <c r="AL14" s="12">
        <v>253</v>
      </c>
      <c r="AM14" s="12">
        <v>523</v>
      </c>
      <c r="AN14" s="12">
        <v>506</v>
      </c>
      <c r="AO14" s="12">
        <v>336</v>
      </c>
      <c r="AP14" s="12">
        <v>160</v>
      </c>
      <c r="AQ14" s="12">
        <v>312</v>
      </c>
    </row>
    <row r="15" spans="1:43" x14ac:dyDescent="0.35">
      <c r="A15" s="19"/>
      <c r="B15" s="13" t="s">
        <v>763</v>
      </c>
      <c r="C15" s="15">
        <v>0.45</v>
      </c>
      <c r="D15" s="15">
        <v>0.53</v>
      </c>
      <c r="E15" s="15">
        <v>0.4</v>
      </c>
      <c r="F15" s="15">
        <v>0.49</v>
      </c>
      <c r="G15" s="15">
        <v>0.31</v>
      </c>
      <c r="H15" s="15">
        <v>0.39</v>
      </c>
      <c r="I15" s="15">
        <v>0.42</v>
      </c>
      <c r="J15" s="15">
        <v>0.51</v>
      </c>
      <c r="K15" s="15">
        <v>0.45</v>
      </c>
      <c r="L15" s="15">
        <v>0.49</v>
      </c>
      <c r="M15" s="15">
        <v>0.39</v>
      </c>
      <c r="N15" s="15">
        <v>0.39</v>
      </c>
      <c r="O15" s="15">
        <v>0.4</v>
      </c>
      <c r="P15" s="15">
        <v>0.55000000000000004</v>
      </c>
      <c r="Q15" s="15">
        <v>0.51</v>
      </c>
      <c r="R15" s="15">
        <v>0.35</v>
      </c>
      <c r="S15" s="15">
        <v>0.44</v>
      </c>
      <c r="T15" s="15">
        <v>0.48</v>
      </c>
      <c r="U15" s="15">
        <v>0.39</v>
      </c>
      <c r="V15" s="15">
        <v>0.51</v>
      </c>
      <c r="W15" s="15">
        <v>0.37</v>
      </c>
      <c r="X15" s="15">
        <v>0.37</v>
      </c>
      <c r="Y15" s="15">
        <v>0.4</v>
      </c>
      <c r="Z15" s="15">
        <v>0.59</v>
      </c>
      <c r="AA15" s="15">
        <v>0.63</v>
      </c>
      <c r="AB15" s="15">
        <v>0.48</v>
      </c>
      <c r="AC15" s="15">
        <v>0.38</v>
      </c>
      <c r="AD15" s="15">
        <v>0.47</v>
      </c>
      <c r="AE15" s="15">
        <v>0.32</v>
      </c>
      <c r="AF15" s="15">
        <v>0.23</v>
      </c>
      <c r="AG15" s="15">
        <v>0.44</v>
      </c>
      <c r="AH15" s="15">
        <v>0.5</v>
      </c>
      <c r="AI15" s="15">
        <v>0.63</v>
      </c>
      <c r="AJ15" s="15">
        <v>0.42</v>
      </c>
      <c r="AK15" s="15">
        <v>0.51</v>
      </c>
      <c r="AL15" s="15">
        <v>0.25</v>
      </c>
      <c r="AM15" s="15">
        <v>0.5</v>
      </c>
      <c r="AN15" s="15">
        <v>0.5</v>
      </c>
      <c r="AO15" s="15">
        <v>0.34</v>
      </c>
      <c r="AP15" s="15">
        <v>0.3</v>
      </c>
      <c r="AQ15" s="15">
        <v>0.31</v>
      </c>
    </row>
    <row r="16" spans="1:43" x14ac:dyDescent="0.35">
      <c r="A16" s="19"/>
      <c r="B16" s="11" t="s">
        <v>764</v>
      </c>
      <c r="C16" s="12">
        <v>2552</v>
      </c>
      <c r="D16" s="12">
        <v>121</v>
      </c>
      <c r="E16" s="12">
        <v>82</v>
      </c>
      <c r="F16" s="12">
        <v>165</v>
      </c>
      <c r="G16" s="12">
        <v>116</v>
      </c>
      <c r="H16" s="12">
        <v>119</v>
      </c>
      <c r="I16" s="12">
        <v>154</v>
      </c>
      <c r="J16" s="12">
        <v>35</v>
      </c>
      <c r="K16" s="12">
        <v>138</v>
      </c>
      <c r="L16" s="12">
        <v>64</v>
      </c>
      <c r="M16" s="12">
        <v>63</v>
      </c>
      <c r="N16" s="12">
        <v>73</v>
      </c>
      <c r="O16" s="12">
        <v>66</v>
      </c>
      <c r="P16" s="12">
        <v>112</v>
      </c>
      <c r="Q16" s="12">
        <v>111</v>
      </c>
      <c r="R16" s="12">
        <v>22</v>
      </c>
      <c r="S16" s="12">
        <v>83</v>
      </c>
      <c r="T16" s="12">
        <v>83</v>
      </c>
      <c r="U16" s="12">
        <v>24</v>
      </c>
      <c r="V16" s="12">
        <v>107</v>
      </c>
      <c r="W16" s="12">
        <v>30</v>
      </c>
      <c r="X16" s="12">
        <v>83</v>
      </c>
      <c r="Y16" s="12">
        <v>112</v>
      </c>
      <c r="Z16" s="12">
        <v>131</v>
      </c>
      <c r="AA16" s="12">
        <v>131</v>
      </c>
      <c r="AB16" s="12">
        <v>168</v>
      </c>
      <c r="AC16" s="12">
        <v>97</v>
      </c>
      <c r="AD16" s="12">
        <v>57</v>
      </c>
      <c r="AE16" s="12">
        <v>112</v>
      </c>
      <c r="AF16" s="12">
        <v>40</v>
      </c>
      <c r="AG16" s="12">
        <v>155</v>
      </c>
      <c r="AH16" s="12">
        <v>92</v>
      </c>
      <c r="AI16" s="12">
        <v>50</v>
      </c>
      <c r="AJ16" s="12">
        <v>127</v>
      </c>
      <c r="AK16" s="12">
        <v>111</v>
      </c>
      <c r="AL16" s="12">
        <v>32</v>
      </c>
      <c r="AM16" s="12">
        <v>68</v>
      </c>
      <c r="AN16" s="12">
        <v>158</v>
      </c>
      <c r="AO16" s="12">
        <v>43</v>
      </c>
      <c r="AP16" s="12">
        <v>48</v>
      </c>
      <c r="AQ16" s="12">
        <v>53</v>
      </c>
    </row>
    <row r="17" spans="1:43" x14ac:dyDescent="0.35">
      <c r="A17" s="19"/>
      <c r="B17" s="13" t="s">
        <v>765</v>
      </c>
      <c r="C17" s="15">
        <v>0.1</v>
      </c>
      <c r="D17" s="15">
        <v>0.12</v>
      </c>
      <c r="E17" s="15">
        <v>0.08</v>
      </c>
      <c r="F17" s="15">
        <v>0.15</v>
      </c>
      <c r="G17" s="15">
        <v>0.11</v>
      </c>
      <c r="H17" s="15">
        <v>0.1</v>
      </c>
      <c r="I17" s="15">
        <v>0.1</v>
      </c>
      <c r="J17" s="15">
        <v>0.12</v>
      </c>
      <c r="K17" s="15">
        <v>0.14000000000000001</v>
      </c>
      <c r="L17" s="15">
        <v>0.06</v>
      </c>
      <c r="M17" s="15">
        <v>0.06</v>
      </c>
      <c r="N17" s="15">
        <v>7.0000000000000007E-2</v>
      </c>
      <c r="O17" s="15">
        <v>7.0000000000000007E-2</v>
      </c>
      <c r="P17" s="15">
        <v>0.11</v>
      </c>
      <c r="Q17" s="15">
        <v>0.11</v>
      </c>
      <c r="R17" s="15">
        <v>0.04</v>
      </c>
      <c r="S17" s="15">
        <v>0.08</v>
      </c>
      <c r="T17" s="15">
        <v>0.08</v>
      </c>
      <c r="U17" s="15">
        <v>0.05</v>
      </c>
      <c r="V17" s="15">
        <v>0.1</v>
      </c>
      <c r="W17" s="15">
        <v>0.06</v>
      </c>
      <c r="X17" s="15">
        <v>0.08</v>
      </c>
      <c r="Y17" s="15">
        <v>0.11</v>
      </c>
      <c r="Z17" s="15">
        <v>0.13</v>
      </c>
      <c r="AA17" s="15">
        <v>0.13</v>
      </c>
      <c r="AB17" s="15">
        <v>0.16</v>
      </c>
      <c r="AC17" s="15">
        <v>0.1</v>
      </c>
      <c r="AD17" s="15">
        <v>0.06</v>
      </c>
      <c r="AE17" s="15">
        <v>0.11</v>
      </c>
      <c r="AF17" s="15">
        <v>0.04</v>
      </c>
      <c r="AG17" s="15">
        <v>0.15</v>
      </c>
      <c r="AH17" s="15">
        <v>0.09</v>
      </c>
      <c r="AI17" s="15">
        <v>0.1</v>
      </c>
      <c r="AJ17" s="15">
        <v>0.12</v>
      </c>
      <c r="AK17" s="15">
        <v>0.11</v>
      </c>
      <c r="AL17" s="15">
        <v>0.03</v>
      </c>
      <c r="AM17" s="15">
        <v>7.0000000000000007E-2</v>
      </c>
      <c r="AN17" s="15">
        <v>0.16</v>
      </c>
      <c r="AO17" s="15">
        <v>0.04</v>
      </c>
      <c r="AP17" s="15">
        <v>0.09</v>
      </c>
      <c r="AQ17" s="15">
        <v>0.05</v>
      </c>
    </row>
    <row r="18" spans="1:43" x14ac:dyDescent="0.35">
      <c r="A18" s="19"/>
      <c r="B18" s="11" t="s">
        <v>766</v>
      </c>
      <c r="C18" s="12">
        <v>611</v>
      </c>
      <c r="D18" s="12">
        <v>19</v>
      </c>
      <c r="E18" s="12">
        <v>21</v>
      </c>
      <c r="F18" s="12">
        <v>48</v>
      </c>
      <c r="G18" s="12">
        <v>16</v>
      </c>
      <c r="H18" s="12">
        <v>39</v>
      </c>
      <c r="I18" s="12">
        <v>43</v>
      </c>
      <c r="J18" s="12">
        <v>4</v>
      </c>
      <c r="K18" s="12">
        <v>29</v>
      </c>
      <c r="L18" s="12">
        <v>21</v>
      </c>
      <c r="M18" s="12">
        <v>32</v>
      </c>
      <c r="N18" s="12">
        <v>19</v>
      </c>
      <c r="O18" s="12">
        <v>16</v>
      </c>
      <c r="P18" s="12">
        <v>15</v>
      </c>
      <c r="Q18" s="12">
        <v>32</v>
      </c>
      <c r="R18" s="12">
        <v>12</v>
      </c>
      <c r="S18" s="12">
        <v>13</v>
      </c>
      <c r="T18" s="12">
        <v>5</v>
      </c>
      <c r="U18" s="12">
        <v>4</v>
      </c>
      <c r="V18" s="12">
        <v>21</v>
      </c>
      <c r="W18" s="12">
        <v>1</v>
      </c>
      <c r="X18" s="12">
        <v>11</v>
      </c>
      <c r="Y18" s="12">
        <v>24</v>
      </c>
      <c r="Z18" s="12">
        <v>29</v>
      </c>
      <c r="AA18" s="12">
        <v>10</v>
      </c>
      <c r="AB18" s="12">
        <v>25</v>
      </c>
      <c r="AC18" s="12">
        <v>27</v>
      </c>
      <c r="AD18" s="12">
        <v>24</v>
      </c>
      <c r="AE18" s="12">
        <v>27</v>
      </c>
      <c r="AF18" s="12">
        <v>12</v>
      </c>
      <c r="AG18" s="12">
        <v>34</v>
      </c>
      <c r="AH18" s="12">
        <v>12</v>
      </c>
      <c r="AI18" s="12">
        <v>16</v>
      </c>
      <c r="AJ18" s="12">
        <v>31</v>
      </c>
      <c r="AK18" s="12">
        <v>8</v>
      </c>
      <c r="AL18" s="12">
        <v>24</v>
      </c>
      <c r="AM18" s="12">
        <v>14</v>
      </c>
      <c r="AN18" s="12">
        <v>22</v>
      </c>
      <c r="AO18" s="12">
        <v>13</v>
      </c>
      <c r="AP18" s="12">
        <v>19</v>
      </c>
      <c r="AQ18" s="12">
        <v>43</v>
      </c>
    </row>
    <row r="19" spans="1:43" x14ac:dyDescent="0.35">
      <c r="A19" s="19"/>
      <c r="B19" s="13" t="s">
        <v>767</v>
      </c>
      <c r="C19" s="15">
        <v>0.02</v>
      </c>
      <c r="D19" s="15">
        <v>0.02</v>
      </c>
      <c r="E19" s="15">
        <v>0.02</v>
      </c>
      <c r="F19" s="15">
        <v>0.04</v>
      </c>
      <c r="G19" s="15">
        <v>0.02</v>
      </c>
      <c r="H19" s="15">
        <v>0.03</v>
      </c>
      <c r="I19" s="15">
        <v>0.03</v>
      </c>
      <c r="J19" s="15">
        <v>0.01</v>
      </c>
      <c r="K19" s="15">
        <v>0.03</v>
      </c>
      <c r="L19" s="15">
        <v>0.02</v>
      </c>
      <c r="M19" s="15">
        <v>0.03</v>
      </c>
      <c r="N19" s="15">
        <v>0.02</v>
      </c>
      <c r="O19" s="15">
        <v>0.01</v>
      </c>
      <c r="P19" s="15">
        <v>0.01</v>
      </c>
      <c r="Q19" s="15">
        <v>0.03</v>
      </c>
      <c r="R19" s="15">
        <v>0.02</v>
      </c>
      <c r="S19" s="15">
        <v>0.01</v>
      </c>
      <c r="T19" s="15">
        <v>0.01</v>
      </c>
      <c r="U19" s="15">
        <v>0.01</v>
      </c>
      <c r="V19" s="15">
        <v>0.02</v>
      </c>
      <c r="W19" s="14" t="s">
        <v>475</v>
      </c>
      <c r="X19" s="15">
        <v>0.01</v>
      </c>
      <c r="Y19" s="15">
        <v>0.02</v>
      </c>
      <c r="Z19" s="15">
        <v>0.03</v>
      </c>
      <c r="AA19" s="15">
        <v>0.01</v>
      </c>
      <c r="AB19" s="15">
        <v>0.02</v>
      </c>
      <c r="AC19" s="15">
        <v>0.03</v>
      </c>
      <c r="AD19" s="15">
        <v>0.02</v>
      </c>
      <c r="AE19" s="15">
        <v>0.03</v>
      </c>
      <c r="AF19" s="15">
        <v>0.01</v>
      </c>
      <c r="AG19" s="15">
        <v>0.03</v>
      </c>
      <c r="AH19" s="15">
        <v>0.01</v>
      </c>
      <c r="AI19" s="15">
        <v>0.03</v>
      </c>
      <c r="AJ19" s="15">
        <v>0.03</v>
      </c>
      <c r="AK19" s="15">
        <v>0.01</v>
      </c>
      <c r="AL19" s="15">
        <v>0.02</v>
      </c>
      <c r="AM19" s="15">
        <v>0.01</v>
      </c>
      <c r="AN19" s="15">
        <v>0.02</v>
      </c>
      <c r="AO19" s="15">
        <v>0.01</v>
      </c>
      <c r="AP19" s="15">
        <v>0.04</v>
      </c>
      <c r="AQ19" s="15">
        <v>0.04</v>
      </c>
    </row>
    <row r="20" spans="1:43" x14ac:dyDescent="0.35">
      <c r="A20" s="19"/>
      <c r="B20" s="11" t="s">
        <v>485</v>
      </c>
      <c r="C20" s="12">
        <v>1134</v>
      </c>
      <c r="D20" s="12">
        <v>20</v>
      </c>
      <c r="E20" s="12">
        <v>68</v>
      </c>
      <c r="F20" s="12">
        <v>49</v>
      </c>
      <c r="G20" s="12">
        <v>44</v>
      </c>
      <c r="H20" s="12">
        <v>90</v>
      </c>
      <c r="I20" s="12">
        <v>94</v>
      </c>
      <c r="J20" s="12">
        <v>4</v>
      </c>
      <c r="K20" s="12">
        <v>76</v>
      </c>
      <c r="L20" s="12">
        <v>39</v>
      </c>
      <c r="M20" s="12">
        <v>6</v>
      </c>
      <c r="N20" s="12">
        <v>45</v>
      </c>
      <c r="O20" s="12">
        <v>42</v>
      </c>
      <c r="P20" s="12">
        <v>28</v>
      </c>
      <c r="Q20" s="12">
        <v>27</v>
      </c>
      <c r="R20" s="12">
        <v>27</v>
      </c>
      <c r="S20" s="12">
        <v>95</v>
      </c>
      <c r="T20" s="12">
        <v>49</v>
      </c>
      <c r="U20" s="12">
        <v>17</v>
      </c>
      <c r="V20" s="12">
        <v>36</v>
      </c>
      <c r="W20" s="12">
        <v>15</v>
      </c>
      <c r="X20" s="12">
        <v>42</v>
      </c>
      <c r="Y20" s="12">
        <v>51</v>
      </c>
      <c r="Z20" s="12">
        <v>40</v>
      </c>
      <c r="AA20" s="12">
        <v>69</v>
      </c>
      <c r="AB20" s="12">
        <v>52</v>
      </c>
      <c r="AC20" s="12">
        <v>15</v>
      </c>
      <c r="AD20" s="12">
        <v>23</v>
      </c>
      <c r="AE20" s="12">
        <v>43</v>
      </c>
      <c r="AF20" s="12">
        <v>8</v>
      </c>
      <c r="AG20" s="12">
        <v>7</v>
      </c>
      <c r="AH20" s="12">
        <v>12</v>
      </c>
      <c r="AI20" s="12">
        <v>5</v>
      </c>
      <c r="AJ20" s="12">
        <v>5</v>
      </c>
      <c r="AK20" s="12">
        <v>9</v>
      </c>
      <c r="AL20" s="12">
        <v>71</v>
      </c>
      <c r="AM20" s="12">
        <v>0</v>
      </c>
      <c r="AN20" s="12">
        <v>11</v>
      </c>
      <c r="AO20" s="12">
        <v>44</v>
      </c>
      <c r="AP20" s="12">
        <v>1</v>
      </c>
      <c r="AQ20" s="12">
        <v>84</v>
      </c>
    </row>
    <row r="21" spans="1:43" x14ac:dyDescent="0.35">
      <c r="A21" s="19"/>
      <c r="B21" s="13" t="s">
        <v>486</v>
      </c>
      <c r="C21" s="15">
        <v>0.04</v>
      </c>
      <c r="D21" s="15">
        <v>0.02</v>
      </c>
      <c r="E21" s="15">
        <v>7.0000000000000007E-2</v>
      </c>
      <c r="F21" s="15">
        <v>0.05</v>
      </c>
      <c r="G21" s="15">
        <v>0.04</v>
      </c>
      <c r="H21" s="15">
        <v>0.08</v>
      </c>
      <c r="I21" s="15">
        <v>0.06</v>
      </c>
      <c r="J21" s="15">
        <v>0.01</v>
      </c>
      <c r="K21" s="15">
        <v>7.0000000000000007E-2</v>
      </c>
      <c r="L21" s="15">
        <v>0.04</v>
      </c>
      <c r="M21" s="15">
        <v>0.01</v>
      </c>
      <c r="N21" s="15">
        <v>0.04</v>
      </c>
      <c r="O21" s="15">
        <v>0.04</v>
      </c>
      <c r="P21" s="15">
        <v>0.03</v>
      </c>
      <c r="Q21" s="15">
        <v>0.03</v>
      </c>
      <c r="R21" s="15">
        <v>0.06</v>
      </c>
      <c r="S21" s="15">
        <v>0.09</v>
      </c>
      <c r="T21" s="15">
        <v>0.05</v>
      </c>
      <c r="U21" s="15">
        <v>0.03</v>
      </c>
      <c r="V21" s="15">
        <v>0.04</v>
      </c>
      <c r="W21" s="15">
        <v>0.03</v>
      </c>
      <c r="X21" s="15">
        <v>0.04</v>
      </c>
      <c r="Y21" s="15">
        <v>0.05</v>
      </c>
      <c r="Z21" s="15">
        <v>0.04</v>
      </c>
      <c r="AA21" s="15">
        <v>7.0000000000000007E-2</v>
      </c>
      <c r="AB21" s="15">
        <v>0.05</v>
      </c>
      <c r="AC21" s="15">
        <v>0.01</v>
      </c>
      <c r="AD21" s="15">
        <v>0.02</v>
      </c>
      <c r="AE21" s="15">
        <v>0.04</v>
      </c>
      <c r="AF21" s="15">
        <v>0.01</v>
      </c>
      <c r="AG21" s="15">
        <v>0.01</v>
      </c>
      <c r="AH21" s="15">
        <v>0.01</v>
      </c>
      <c r="AI21" s="15">
        <v>0.01</v>
      </c>
      <c r="AJ21" s="15">
        <v>0.01</v>
      </c>
      <c r="AK21" s="15">
        <v>0.01</v>
      </c>
      <c r="AL21" s="15">
        <v>7.0000000000000007E-2</v>
      </c>
      <c r="AM21" s="14" t="s">
        <v>475</v>
      </c>
      <c r="AN21" s="15">
        <v>0.01</v>
      </c>
      <c r="AO21" s="15">
        <v>0.04</v>
      </c>
      <c r="AP21" s="14" t="s">
        <v>475</v>
      </c>
      <c r="AQ21" s="15">
        <v>0.09</v>
      </c>
    </row>
    <row r="22" spans="1:43" x14ac:dyDescent="0.35">
      <c r="A22" s="19"/>
      <c r="B22" s="11" t="s">
        <v>768</v>
      </c>
      <c r="C22" s="12">
        <v>22147</v>
      </c>
      <c r="D22" s="12">
        <v>853</v>
      </c>
      <c r="E22" s="12">
        <v>859</v>
      </c>
      <c r="F22" s="12">
        <v>839</v>
      </c>
      <c r="G22" s="12">
        <v>830</v>
      </c>
      <c r="H22" s="12">
        <v>973</v>
      </c>
      <c r="I22" s="12">
        <v>1225</v>
      </c>
      <c r="J22" s="12">
        <v>252</v>
      </c>
      <c r="K22" s="12">
        <v>759</v>
      </c>
      <c r="L22" s="12">
        <v>879</v>
      </c>
      <c r="M22" s="12">
        <v>910</v>
      </c>
      <c r="N22" s="12">
        <v>866</v>
      </c>
      <c r="O22" s="12">
        <v>877</v>
      </c>
      <c r="P22" s="12">
        <v>849</v>
      </c>
      <c r="Q22" s="12">
        <v>857</v>
      </c>
      <c r="R22" s="12">
        <v>443</v>
      </c>
      <c r="S22" s="12">
        <v>811</v>
      </c>
      <c r="T22" s="12">
        <v>869</v>
      </c>
      <c r="U22" s="12">
        <v>459</v>
      </c>
      <c r="V22" s="12">
        <v>851</v>
      </c>
      <c r="W22" s="12">
        <v>461</v>
      </c>
      <c r="X22" s="12">
        <v>872</v>
      </c>
      <c r="Y22" s="12">
        <v>816</v>
      </c>
      <c r="Z22" s="12">
        <v>831</v>
      </c>
      <c r="AA22" s="12">
        <v>823</v>
      </c>
      <c r="AB22" s="12">
        <v>806</v>
      </c>
      <c r="AC22" s="12">
        <v>864</v>
      </c>
      <c r="AD22" s="12">
        <v>900</v>
      </c>
      <c r="AE22" s="12">
        <v>830</v>
      </c>
      <c r="AF22" s="12">
        <v>983</v>
      </c>
      <c r="AG22" s="12">
        <v>838</v>
      </c>
      <c r="AH22" s="12">
        <v>898</v>
      </c>
      <c r="AI22" s="12">
        <v>452</v>
      </c>
      <c r="AJ22" s="12">
        <v>874</v>
      </c>
      <c r="AK22" s="12">
        <v>878</v>
      </c>
      <c r="AL22" s="12">
        <v>884</v>
      </c>
      <c r="AM22" s="12">
        <v>959</v>
      </c>
      <c r="AN22" s="12">
        <v>813</v>
      </c>
      <c r="AO22" s="12">
        <v>905</v>
      </c>
      <c r="AP22" s="12">
        <v>457</v>
      </c>
      <c r="AQ22" s="12">
        <v>823</v>
      </c>
    </row>
    <row r="23" spans="1:43" x14ac:dyDescent="0.35">
      <c r="A23" s="19"/>
      <c r="B23" s="13" t="s">
        <v>769</v>
      </c>
      <c r="C23" s="15">
        <v>0.84</v>
      </c>
      <c r="D23" s="15">
        <v>0.84</v>
      </c>
      <c r="E23" s="15">
        <v>0.83000000000000007</v>
      </c>
      <c r="F23" s="15">
        <v>0.76</v>
      </c>
      <c r="G23" s="15">
        <v>0.83000000000000007</v>
      </c>
      <c r="H23" s="15">
        <v>0.79</v>
      </c>
      <c r="I23" s="15">
        <v>0.81</v>
      </c>
      <c r="J23" s="15">
        <v>0.86</v>
      </c>
      <c r="K23" s="15">
        <v>0.76</v>
      </c>
      <c r="L23" s="15">
        <v>0.88</v>
      </c>
      <c r="M23" s="15">
        <v>0.9</v>
      </c>
      <c r="N23" s="15">
        <v>0.87</v>
      </c>
      <c r="O23" s="15">
        <v>0.88</v>
      </c>
      <c r="P23" s="15">
        <v>0.85</v>
      </c>
      <c r="Q23" s="15">
        <v>0.83000000000000007</v>
      </c>
      <c r="R23" s="15">
        <v>0.88</v>
      </c>
      <c r="S23" s="15">
        <v>0.82000000000000006</v>
      </c>
      <c r="T23" s="15">
        <v>0.86</v>
      </c>
      <c r="U23" s="15">
        <v>0.91</v>
      </c>
      <c r="V23" s="15">
        <v>0.84</v>
      </c>
      <c r="W23" s="15">
        <v>0.91</v>
      </c>
      <c r="X23" s="15">
        <v>0.87</v>
      </c>
      <c r="Y23" s="15">
        <v>0.82000000000000006</v>
      </c>
      <c r="Z23" s="15">
        <v>0.8</v>
      </c>
      <c r="AA23" s="15">
        <v>0.79</v>
      </c>
      <c r="AB23" s="15">
        <v>0.77</v>
      </c>
      <c r="AC23" s="15">
        <v>0.86</v>
      </c>
      <c r="AD23" s="15">
        <v>0.9</v>
      </c>
      <c r="AE23" s="15">
        <v>0.82000000000000006</v>
      </c>
      <c r="AF23" s="15">
        <v>0.94000000000000006</v>
      </c>
      <c r="AG23" s="15">
        <v>0.81</v>
      </c>
      <c r="AH23" s="15">
        <v>0.89</v>
      </c>
      <c r="AI23" s="15">
        <v>0.86</v>
      </c>
      <c r="AJ23" s="15">
        <v>0.84</v>
      </c>
      <c r="AK23" s="15">
        <v>0.87</v>
      </c>
      <c r="AL23" s="15">
        <v>0.88</v>
      </c>
      <c r="AM23" s="15">
        <v>0.92</v>
      </c>
      <c r="AN23" s="15">
        <v>0.81</v>
      </c>
      <c r="AO23" s="15">
        <v>0.91</v>
      </c>
      <c r="AP23" s="15">
        <v>0.87</v>
      </c>
      <c r="AQ23" s="15">
        <v>0.82000000000000006</v>
      </c>
    </row>
    <row r="24" spans="1:43" x14ac:dyDescent="0.35">
      <c r="A24" s="19"/>
      <c r="B24" s="11" t="s">
        <v>770</v>
      </c>
      <c r="C24" s="12">
        <v>3163</v>
      </c>
      <c r="D24" s="12">
        <v>140</v>
      </c>
      <c r="E24" s="12">
        <v>103</v>
      </c>
      <c r="F24" s="12">
        <v>213</v>
      </c>
      <c r="G24" s="12">
        <v>132</v>
      </c>
      <c r="H24" s="12">
        <v>158</v>
      </c>
      <c r="I24" s="12">
        <v>197</v>
      </c>
      <c r="J24" s="12">
        <v>39</v>
      </c>
      <c r="K24" s="12">
        <v>167</v>
      </c>
      <c r="L24" s="12">
        <v>85</v>
      </c>
      <c r="M24" s="12">
        <v>95</v>
      </c>
      <c r="N24" s="12">
        <v>92</v>
      </c>
      <c r="O24" s="12">
        <v>82</v>
      </c>
      <c r="P24" s="12">
        <v>127</v>
      </c>
      <c r="Q24" s="12">
        <v>143</v>
      </c>
      <c r="R24" s="12">
        <v>34</v>
      </c>
      <c r="S24" s="12">
        <v>96</v>
      </c>
      <c r="T24" s="12">
        <v>88</v>
      </c>
      <c r="U24" s="12">
        <v>28</v>
      </c>
      <c r="V24" s="12">
        <v>128</v>
      </c>
      <c r="W24" s="12">
        <v>31</v>
      </c>
      <c r="X24" s="12">
        <v>94</v>
      </c>
      <c r="Y24" s="12">
        <v>136</v>
      </c>
      <c r="Z24" s="12">
        <v>160</v>
      </c>
      <c r="AA24" s="12">
        <v>141</v>
      </c>
      <c r="AB24" s="12">
        <v>193</v>
      </c>
      <c r="AC24" s="12">
        <v>124</v>
      </c>
      <c r="AD24" s="12">
        <v>81</v>
      </c>
      <c r="AE24" s="12">
        <v>139</v>
      </c>
      <c r="AF24" s="12">
        <v>52</v>
      </c>
      <c r="AG24" s="12">
        <v>189</v>
      </c>
      <c r="AH24" s="12">
        <v>104</v>
      </c>
      <c r="AI24" s="12">
        <v>66</v>
      </c>
      <c r="AJ24" s="12">
        <v>158</v>
      </c>
      <c r="AK24" s="12">
        <v>119</v>
      </c>
      <c r="AL24" s="12">
        <v>56</v>
      </c>
      <c r="AM24" s="12">
        <v>82</v>
      </c>
      <c r="AN24" s="12">
        <v>180</v>
      </c>
      <c r="AO24" s="12">
        <v>56</v>
      </c>
      <c r="AP24" s="12">
        <v>67</v>
      </c>
      <c r="AQ24" s="12">
        <v>96</v>
      </c>
    </row>
    <row r="25" spans="1:43" x14ac:dyDescent="0.35">
      <c r="A25" s="19"/>
      <c r="B25" s="13" t="s">
        <v>771</v>
      </c>
      <c r="C25" s="15">
        <v>0.12</v>
      </c>
      <c r="D25" s="15">
        <v>0.14000000000000001</v>
      </c>
      <c r="E25" s="15">
        <v>0.1</v>
      </c>
      <c r="F25" s="15">
        <v>0.19</v>
      </c>
      <c r="G25" s="15">
        <v>0.13</v>
      </c>
      <c r="H25" s="15">
        <v>0.13</v>
      </c>
      <c r="I25" s="15">
        <v>0.13</v>
      </c>
      <c r="J25" s="15">
        <v>0.13</v>
      </c>
      <c r="K25" s="15">
        <v>0.17</v>
      </c>
      <c r="L25" s="15">
        <v>0.08</v>
      </c>
      <c r="M25" s="15">
        <v>0.09</v>
      </c>
      <c r="N25" s="15">
        <v>0.09</v>
      </c>
      <c r="O25" s="15">
        <v>0.08</v>
      </c>
      <c r="P25" s="15">
        <v>0.12</v>
      </c>
      <c r="Q25" s="15">
        <v>0.14000000000000001</v>
      </c>
      <c r="R25" s="15">
        <v>0.06</v>
      </c>
      <c r="S25" s="15">
        <v>0.09</v>
      </c>
      <c r="T25" s="15">
        <v>0.09</v>
      </c>
      <c r="U25" s="15">
        <v>0.06</v>
      </c>
      <c r="V25" s="15">
        <v>0.12</v>
      </c>
      <c r="W25" s="15">
        <v>0.06</v>
      </c>
      <c r="X25" s="15">
        <v>0.09</v>
      </c>
      <c r="Y25" s="15">
        <v>0.13</v>
      </c>
      <c r="Z25" s="15">
        <v>0.16</v>
      </c>
      <c r="AA25" s="15">
        <v>0.14000000000000001</v>
      </c>
      <c r="AB25" s="15">
        <v>0.18</v>
      </c>
      <c r="AC25" s="15">
        <v>0.13</v>
      </c>
      <c r="AD25" s="15">
        <v>0.08</v>
      </c>
      <c r="AE25" s="15">
        <v>0.14000000000000001</v>
      </c>
      <c r="AF25" s="15">
        <v>0.05</v>
      </c>
      <c r="AG25" s="15">
        <v>0.18</v>
      </c>
      <c r="AH25" s="15">
        <v>0.1</v>
      </c>
      <c r="AI25" s="15">
        <v>0.13</v>
      </c>
      <c r="AJ25" s="15">
        <v>0.15</v>
      </c>
      <c r="AK25" s="15">
        <v>0.12</v>
      </c>
      <c r="AL25" s="15">
        <v>0.05</v>
      </c>
      <c r="AM25" s="15">
        <v>0.08</v>
      </c>
      <c r="AN25" s="15">
        <v>0.18</v>
      </c>
      <c r="AO25" s="15">
        <v>0.05</v>
      </c>
      <c r="AP25" s="15">
        <v>0.13</v>
      </c>
      <c r="AQ25" s="15">
        <v>0.09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347</v>
      </c>
      <c r="C3" s="18"/>
      <c r="D3" s="18"/>
      <c r="E3" s="18"/>
      <c r="F3" s="18"/>
      <c r="H3" s="18" t="s">
        <v>348</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HYPERLINK("#Content!A176","&lt;&lt;Back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19"/>
      <c r="B12" s="11" t="s">
        <v>1424</v>
      </c>
      <c r="C12" s="12">
        <v>12365</v>
      </c>
      <c r="D12" s="12">
        <v>442</v>
      </c>
      <c r="E12" s="12">
        <v>447</v>
      </c>
      <c r="F12" s="12">
        <v>399</v>
      </c>
      <c r="G12" s="12">
        <v>272</v>
      </c>
      <c r="H12" s="12">
        <v>477</v>
      </c>
      <c r="I12" s="12">
        <v>589</v>
      </c>
      <c r="J12" s="12">
        <v>111</v>
      </c>
      <c r="K12" s="12">
        <v>432</v>
      </c>
      <c r="L12" s="12">
        <v>554</v>
      </c>
      <c r="M12" s="12">
        <v>524</v>
      </c>
      <c r="N12" s="12">
        <v>579</v>
      </c>
      <c r="O12" s="12">
        <v>386</v>
      </c>
      <c r="P12" s="12">
        <v>656</v>
      </c>
      <c r="Q12" s="12">
        <v>520</v>
      </c>
      <c r="R12" s="12">
        <v>333</v>
      </c>
      <c r="S12" s="12">
        <v>498</v>
      </c>
      <c r="T12" s="12">
        <v>454</v>
      </c>
      <c r="U12" s="12">
        <v>243</v>
      </c>
      <c r="V12" s="12">
        <v>599</v>
      </c>
      <c r="W12" s="12">
        <v>340</v>
      </c>
      <c r="X12" s="12">
        <v>451</v>
      </c>
      <c r="Y12" s="12">
        <v>421</v>
      </c>
      <c r="Z12" s="12">
        <v>610</v>
      </c>
      <c r="AA12" s="12">
        <v>549</v>
      </c>
      <c r="AB12" s="12">
        <v>589</v>
      </c>
      <c r="AC12" s="12">
        <v>331</v>
      </c>
      <c r="AD12" s="12">
        <v>436</v>
      </c>
      <c r="AE12" s="12">
        <v>467</v>
      </c>
      <c r="AF12" s="12">
        <v>324</v>
      </c>
    </row>
    <row r="13" spans="1:32" ht="31.5" x14ac:dyDescent="0.35">
      <c r="A13" s="19"/>
      <c r="B13" s="13" t="s">
        <v>1425</v>
      </c>
      <c r="C13" s="15">
        <v>0.47</v>
      </c>
      <c r="D13" s="15">
        <v>0.44</v>
      </c>
      <c r="E13" s="15">
        <v>0.44</v>
      </c>
      <c r="F13" s="15">
        <v>0.36</v>
      </c>
      <c r="G13" s="15">
        <v>0.27</v>
      </c>
      <c r="H13" s="15">
        <v>0.39</v>
      </c>
      <c r="I13" s="15">
        <v>0.39</v>
      </c>
      <c r="J13" s="15">
        <v>0.38</v>
      </c>
      <c r="K13" s="15">
        <v>0.43</v>
      </c>
      <c r="L13" s="15">
        <v>0.55000000000000004</v>
      </c>
      <c r="M13" s="15">
        <v>0.52</v>
      </c>
      <c r="N13" s="15">
        <v>0.57999999999999996</v>
      </c>
      <c r="O13" s="15">
        <v>0.38</v>
      </c>
      <c r="P13" s="15">
        <v>0.65</v>
      </c>
      <c r="Q13" s="15">
        <v>0.51</v>
      </c>
      <c r="R13" s="15">
        <v>0.66</v>
      </c>
      <c r="S13" s="15">
        <v>0.5</v>
      </c>
      <c r="T13" s="15">
        <v>0.45</v>
      </c>
      <c r="U13" s="15">
        <v>0.48</v>
      </c>
      <c r="V13" s="15">
        <v>0.59</v>
      </c>
      <c r="W13" s="15">
        <v>0.67</v>
      </c>
      <c r="X13" s="15">
        <v>0.45</v>
      </c>
      <c r="Y13" s="15">
        <v>0.42</v>
      </c>
      <c r="Z13" s="15">
        <v>0.59</v>
      </c>
      <c r="AA13" s="15">
        <v>0.53</v>
      </c>
      <c r="AB13" s="15">
        <v>0.56000000000000005</v>
      </c>
      <c r="AC13" s="15">
        <v>0.33</v>
      </c>
      <c r="AD13" s="15">
        <v>0.43</v>
      </c>
      <c r="AE13" s="15">
        <v>0.46</v>
      </c>
      <c r="AF13" s="15">
        <v>0.31</v>
      </c>
    </row>
    <row r="14" spans="1:32" ht="41.5" x14ac:dyDescent="0.35">
      <c r="A14" s="19"/>
      <c r="B14" s="11" t="s">
        <v>1426</v>
      </c>
      <c r="C14" s="12">
        <v>11115</v>
      </c>
      <c r="D14" s="12">
        <v>515</v>
      </c>
      <c r="E14" s="12">
        <v>405</v>
      </c>
      <c r="F14" s="12">
        <v>580</v>
      </c>
      <c r="G14" s="12">
        <v>613</v>
      </c>
      <c r="H14" s="12">
        <v>609</v>
      </c>
      <c r="I14" s="12">
        <v>768</v>
      </c>
      <c r="J14" s="12">
        <v>159</v>
      </c>
      <c r="K14" s="12">
        <v>419</v>
      </c>
      <c r="L14" s="12">
        <v>311</v>
      </c>
      <c r="M14" s="12">
        <v>401</v>
      </c>
      <c r="N14" s="12">
        <v>284</v>
      </c>
      <c r="O14" s="12">
        <v>428</v>
      </c>
      <c r="P14" s="12">
        <v>328</v>
      </c>
      <c r="Q14" s="12">
        <v>426</v>
      </c>
      <c r="R14" s="12">
        <v>125</v>
      </c>
      <c r="S14" s="12">
        <v>388</v>
      </c>
      <c r="T14" s="12">
        <v>388</v>
      </c>
      <c r="U14" s="12">
        <v>213</v>
      </c>
      <c r="V14" s="12">
        <v>355</v>
      </c>
      <c r="W14" s="12">
        <v>154</v>
      </c>
      <c r="X14" s="12">
        <v>436</v>
      </c>
      <c r="Y14" s="12">
        <v>475</v>
      </c>
      <c r="Z14" s="12">
        <v>365</v>
      </c>
      <c r="AA14" s="12">
        <v>311</v>
      </c>
      <c r="AB14" s="12">
        <v>400</v>
      </c>
      <c r="AC14" s="12">
        <v>611</v>
      </c>
      <c r="AD14" s="12">
        <v>488</v>
      </c>
      <c r="AE14" s="12">
        <v>423</v>
      </c>
      <c r="AF14" s="12">
        <v>591</v>
      </c>
    </row>
    <row r="15" spans="1:32" ht="21.5" x14ac:dyDescent="0.35">
      <c r="A15" s="19"/>
      <c r="B15" s="13" t="s">
        <v>1427</v>
      </c>
      <c r="C15" s="15">
        <v>0.42</v>
      </c>
      <c r="D15" s="15">
        <v>0.51</v>
      </c>
      <c r="E15" s="15">
        <v>0.39</v>
      </c>
      <c r="F15" s="15">
        <v>0.53</v>
      </c>
      <c r="G15" s="15">
        <v>0.61</v>
      </c>
      <c r="H15" s="15">
        <v>0.5</v>
      </c>
      <c r="I15" s="15">
        <v>0.51</v>
      </c>
      <c r="J15" s="15">
        <v>0.54</v>
      </c>
      <c r="K15" s="15">
        <v>0.42</v>
      </c>
      <c r="L15" s="15">
        <v>0.31</v>
      </c>
      <c r="M15" s="15">
        <v>0.4</v>
      </c>
      <c r="N15" s="15">
        <v>0.28000000000000003</v>
      </c>
      <c r="O15" s="15">
        <v>0.43</v>
      </c>
      <c r="P15" s="15">
        <v>0.33</v>
      </c>
      <c r="Q15" s="15">
        <v>0.41</v>
      </c>
      <c r="R15" s="15">
        <v>0.25</v>
      </c>
      <c r="S15" s="15">
        <v>0.39</v>
      </c>
      <c r="T15" s="15">
        <v>0.39</v>
      </c>
      <c r="U15" s="15">
        <v>0.42</v>
      </c>
      <c r="V15" s="15">
        <v>0.35</v>
      </c>
      <c r="W15" s="15">
        <v>0.3</v>
      </c>
      <c r="X15" s="15">
        <v>0.43</v>
      </c>
      <c r="Y15" s="15">
        <v>0.47</v>
      </c>
      <c r="Z15" s="15">
        <v>0.35</v>
      </c>
      <c r="AA15" s="15">
        <v>0.3</v>
      </c>
      <c r="AB15" s="15">
        <v>0.38</v>
      </c>
      <c r="AC15" s="15">
        <v>0.61</v>
      </c>
      <c r="AD15" s="15">
        <v>0.49</v>
      </c>
      <c r="AE15" s="15">
        <v>0.42</v>
      </c>
      <c r="AF15" s="15">
        <v>0.57000000000000006</v>
      </c>
    </row>
    <row r="16" spans="1:32" x14ac:dyDescent="0.35">
      <c r="A16" s="19"/>
      <c r="B16" s="11" t="s">
        <v>485</v>
      </c>
      <c r="C16" s="12">
        <v>2966</v>
      </c>
      <c r="D16" s="12">
        <v>56</v>
      </c>
      <c r="E16" s="12">
        <v>179</v>
      </c>
      <c r="F16" s="12">
        <v>123</v>
      </c>
      <c r="G16" s="12">
        <v>121</v>
      </c>
      <c r="H16" s="12">
        <v>135</v>
      </c>
      <c r="I16" s="12">
        <v>159</v>
      </c>
      <c r="J16" s="12">
        <v>24</v>
      </c>
      <c r="K16" s="12">
        <v>151</v>
      </c>
      <c r="L16" s="12">
        <v>137</v>
      </c>
      <c r="M16" s="12">
        <v>84</v>
      </c>
      <c r="N16" s="12">
        <v>140</v>
      </c>
      <c r="O16" s="12">
        <v>186</v>
      </c>
      <c r="P16" s="12">
        <v>20</v>
      </c>
      <c r="Q16" s="12">
        <v>80</v>
      </c>
      <c r="R16" s="12">
        <v>46</v>
      </c>
      <c r="S16" s="12">
        <v>116</v>
      </c>
      <c r="T16" s="12">
        <v>163</v>
      </c>
      <c r="U16" s="12">
        <v>48</v>
      </c>
      <c r="V16" s="12">
        <v>62</v>
      </c>
      <c r="W16" s="12">
        <v>15</v>
      </c>
      <c r="X16" s="12">
        <v>122</v>
      </c>
      <c r="Y16" s="12">
        <v>107</v>
      </c>
      <c r="Z16" s="12">
        <v>57</v>
      </c>
      <c r="AA16" s="12">
        <v>173</v>
      </c>
      <c r="AB16" s="12">
        <v>62</v>
      </c>
      <c r="AC16" s="12">
        <v>62</v>
      </c>
      <c r="AD16" s="12">
        <v>82</v>
      </c>
      <c r="AE16" s="12">
        <v>121</v>
      </c>
      <c r="AF16" s="12">
        <v>128</v>
      </c>
    </row>
    <row r="17" spans="1:32" x14ac:dyDescent="0.35">
      <c r="A17" s="19"/>
      <c r="B17" s="13" t="s">
        <v>486</v>
      </c>
      <c r="C17" s="15">
        <v>0.11</v>
      </c>
      <c r="D17" s="15">
        <v>0.05</v>
      </c>
      <c r="E17" s="15">
        <v>0.17</v>
      </c>
      <c r="F17" s="15">
        <v>0.11</v>
      </c>
      <c r="G17" s="15">
        <v>0.12</v>
      </c>
      <c r="H17" s="15">
        <v>0.11</v>
      </c>
      <c r="I17" s="15">
        <v>0.1</v>
      </c>
      <c r="J17" s="15">
        <v>0.08</v>
      </c>
      <c r="K17" s="15">
        <v>0.15</v>
      </c>
      <c r="L17" s="15">
        <v>0.14000000000000001</v>
      </c>
      <c r="M17" s="15">
        <v>0.08</v>
      </c>
      <c r="N17" s="15">
        <v>0.14000000000000001</v>
      </c>
      <c r="O17" s="15">
        <v>0.19</v>
      </c>
      <c r="P17" s="15">
        <v>0.02</v>
      </c>
      <c r="Q17" s="15">
        <v>0.08</v>
      </c>
      <c r="R17" s="15">
        <v>0.09</v>
      </c>
      <c r="S17" s="15">
        <v>0.11</v>
      </c>
      <c r="T17" s="15">
        <v>0.16</v>
      </c>
      <c r="U17" s="15">
        <v>0.1</v>
      </c>
      <c r="V17" s="15">
        <v>0.06</v>
      </c>
      <c r="W17" s="15">
        <v>0.03</v>
      </c>
      <c r="X17" s="15">
        <v>0.12</v>
      </c>
      <c r="Y17" s="15">
        <v>0.11</v>
      </c>
      <c r="Z17" s="15">
        <v>0.06</v>
      </c>
      <c r="AA17" s="15">
        <v>0.17</v>
      </c>
      <c r="AB17" s="15">
        <v>0.06</v>
      </c>
      <c r="AC17" s="15">
        <v>0.06</v>
      </c>
      <c r="AD17" s="15">
        <v>0.08</v>
      </c>
      <c r="AE17" s="15">
        <v>0.12</v>
      </c>
      <c r="AF17" s="15">
        <v>0.12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349</v>
      </c>
      <c r="C3" s="18"/>
      <c r="D3" s="18"/>
      <c r="E3" s="18"/>
      <c r="F3" s="18"/>
      <c r="H3" s="18" t="s">
        <v>350</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HYPERLINK("#Content!A177","&lt;&lt;Back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1428</v>
      </c>
      <c r="C12" s="12">
        <v>912</v>
      </c>
      <c r="D12" s="12">
        <v>42</v>
      </c>
      <c r="E12" s="12">
        <v>46</v>
      </c>
      <c r="F12" s="12">
        <v>32</v>
      </c>
      <c r="G12" s="12">
        <v>18</v>
      </c>
      <c r="H12" s="12">
        <v>20</v>
      </c>
      <c r="I12" s="12">
        <v>22</v>
      </c>
      <c r="J12" s="12">
        <v>2</v>
      </c>
      <c r="K12" s="12">
        <v>11</v>
      </c>
      <c r="L12" s="12">
        <v>28</v>
      </c>
      <c r="M12" s="12">
        <v>41</v>
      </c>
      <c r="N12" s="12">
        <v>37</v>
      </c>
      <c r="O12" s="12">
        <v>41</v>
      </c>
      <c r="P12" s="12">
        <v>38</v>
      </c>
      <c r="Q12" s="12">
        <v>68</v>
      </c>
      <c r="R12" s="12">
        <v>14</v>
      </c>
      <c r="S12" s="12">
        <v>5</v>
      </c>
      <c r="T12" s="12">
        <v>16</v>
      </c>
      <c r="U12" s="12">
        <v>4</v>
      </c>
      <c r="V12" s="12">
        <v>44</v>
      </c>
      <c r="W12" s="12">
        <v>19</v>
      </c>
      <c r="X12" s="12">
        <v>17</v>
      </c>
      <c r="Y12" s="12">
        <v>39</v>
      </c>
      <c r="Z12" s="12">
        <v>29</v>
      </c>
      <c r="AA12" s="12">
        <v>42</v>
      </c>
      <c r="AB12" s="12">
        <v>43</v>
      </c>
      <c r="AC12" s="12">
        <v>19</v>
      </c>
      <c r="AD12" s="12">
        <v>33</v>
      </c>
      <c r="AE12" s="12">
        <v>7</v>
      </c>
      <c r="AF12" s="12">
        <v>6</v>
      </c>
    </row>
    <row r="13" spans="1:32" ht="21.5" x14ac:dyDescent="0.35">
      <c r="A13" s="19"/>
      <c r="B13" s="13" t="s">
        <v>1429</v>
      </c>
      <c r="C13" s="15">
        <v>0.04</v>
      </c>
      <c r="D13" s="15">
        <v>0.04</v>
      </c>
      <c r="E13" s="15">
        <v>0.04</v>
      </c>
      <c r="F13" s="15">
        <v>0.03</v>
      </c>
      <c r="G13" s="15">
        <v>0.02</v>
      </c>
      <c r="H13" s="15">
        <v>0.02</v>
      </c>
      <c r="I13" s="15">
        <v>0.01</v>
      </c>
      <c r="J13" s="15">
        <v>0.01</v>
      </c>
      <c r="K13" s="15">
        <v>0.01</v>
      </c>
      <c r="L13" s="15">
        <v>0.03</v>
      </c>
      <c r="M13" s="15">
        <v>0.04</v>
      </c>
      <c r="N13" s="15">
        <v>0.04</v>
      </c>
      <c r="O13" s="15">
        <v>0.04</v>
      </c>
      <c r="P13" s="15">
        <v>0.04</v>
      </c>
      <c r="Q13" s="15">
        <v>7.0000000000000007E-2</v>
      </c>
      <c r="R13" s="15">
        <v>0.03</v>
      </c>
      <c r="S13" s="15">
        <v>0.01</v>
      </c>
      <c r="T13" s="15">
        <v>0.02</v>
      </c>
      <c r="U13" s="15">
        <v>0.01</v>
      </c>
      <c r="V13" s="15">
        <v>0.04</v>
      </c>
      <c r="W13" s="15">
        <v>0.04</v>
      </c>
      <c r="X13" s="15">
        <v>0.02</v>
      </c>
      <c r="Y13" s="15">
        <v>0.04</v>
      </c>
      <c r="Z13" s="15">
        <v>0.03</v>
      </c>
      <c r="AA13" s="15">
        <v>0.04</v>
      </c>
      <c r="AB13" s="15">
        <v>0.04</v>
      </c>
      <c r="AC13" s="15">
        <v>0.02</v>
      </c>
      <c r="AD13" s="15">
        <v>0.03</v>
      </c>
      <c r="AE13" s="15">
        <v>0.01</v>
      </c>
      <c r="AF13" s="15">
        <v>0.01</v>
      </c>
    </row>
    <row r="14" spans="1:32" ht="21.5" x14ac:dyDescent="0.35">
      <c r="A14" s="19"/>
      <c r="B14" s="11" t="s">
        <v>1430</v>
      </c>
      <c r="C14" s="12">
        <v>758</v>
      </c>
      <c r="D14" s="12">
        <v>30</v>
      </c>
      <c r="E14" s="12">
        <v>22</v>
      </c>
      <c r="F14" s="12">
        <v>28</v>
      </c>
      <c r="G14" s="12">
        <v>12</v>
      </c>
      <c r="H14" s="12">
        <v>17</v>
      </c>
      <c r="I14" s="12">
        <v>18</v>
      </c>
      <c r="J14" s="12">
        <v>1</v>
      </c>
      <c r="K14" s="12">
        <v>26</v>
      </c>
      <c r="L14" s="12">
        <v>44</v>
      </c>
      <c r="M14" s="12">
        <v>20</v>
      </c>
      <c r="N14" s="12">
        <v>40</v>
      </c>
      <c r="O14" s="12">
        <v>35</v>
      </c>
      <c r="P14" s="12">
        <v>56</v>
      </c>
      <c r="Q14" s="12">
        <v>43</v>
      </c>
      <c r="R14" s="12">
        <v>23</v>
      </c>
      <c r="S14" s="12">
        <v>25</v>
      </c>
      <c r="T14" s="12">
        <v>35</v>
      </c>
      <c r="U14" s="12">
        <v>16</v>
      </c>
      <c r="V14" s="12">
        <v>35</v>
      </c>
      <c r="W14" s="12">
        <v>30</v>
      </c>
      <c r="X14" s="12">
        <v>20</v>
      </c>
      <c r="Y14" s="12">
        <v>32</v>
      </c>
      <c r="Z14" s="12">
        <v>24</v>
      </c>
      <c r="AA14" s="12">
        <v>27</v>
      </c>
      <c r="AB14" s="12">
        <v>49</v>
      </c>
      <c r="AC14" s="12">
        <v>19</v>
      </c>
      <c r="AD14" s="12">
        <v>31</v>
      </c>
      <c r="AE14" s="12">
        <v>7</v>
      </c>
      <c r="AF14" s="12">
        <v>4</v>
      </c>
    </row>
    <row r="15" spans="1:32" ht="21.5" x14ac:dyDescent="0.35">
      <c r="A15" s="19"/>
      <c r="B15" s="13" t="s">
        <v>1431</v>
      </c>
      <c r="C15" s="15">
        <v>0.03</v>
      </c>
      <c r="D15" s="15">
        <v>0.03</v>
      </c>
      <c r="E15" s="15">
        <v>0.02</v>
      </c>
      <c r="F15" s="15">
        <v>0.03</v>
      </c>
      <c r="G15" s="15">
        <v>0.01</v>
      </c>
      <c r="H15" s="15">
        <v>0.01</v>
      </c>
      <c r="I15" s="15">
        <v>0.01</v>
      </c>
      <c r="J15" s="14" t="s">
        <v>475</v>
      </c>
      <c r="K15" s="15">
        <v>0.03</v>
      </c>
      <c r="L15" s="15">
        <v>0.04</v>
      </c>
      <c r="M15" s="15">
        <v>0.02</v>
      </c>
      <c r="N15" s="15">
        <v>0.04</v>
      </c>
      <c r="O15" s="15">
        <v>0.03</v>
      </c>
      <c r="P15" s="15">
        <v>0.06</v>
      </c>
      <c r="Q15" s="15">
        <v>0.04</v>
      </c>
      <c r="R15" s="15">
        <v>0.05</v>
      </c>
      <c r="S15" s="15">
        <v>0.03</v>
      </c>
      <c r="T15" s="15">
        <v>0.03</v>
      </c>
      <c r="U15" s="15">
        <v>0.03</v>
      </c>
      <c r="V15" s="15">
        <v>0.04</v>
      </c>
      <c r="W15" s="15">
        <v>0.06</v>
      </c>
      <c r="X15" s="15">
        <v>0.02</v>
      </c>
      <c r="Y15" s="15">
        <v>0.03</v>
      </c>
      <c r="Z15" s="15">
        <v>0.02</v>
      </c>
      <c r="AA15" s="15">
        <v>0.03</v>
      </c>
      <c r="AB15" s="15">
        <v>0.05</v>
      </c>
      <c r="AC15" s="15">
        <v>0.02</v>
      </c>
      <c r="AD15" s="15">
        <v>0.03</v>
      </c>
      <c r="AE15" s="15">
        <v>0.01</v>
      </c>
      <c r="AF15" s="14" t="s">
        <v>475</v>
      </c>
    </row>
    <row r="16" spans="1:32" ht="31.5" x14ac:dyDescent="0.35">
      <c r="A16" s="19"/>
      <c r="B16" s="11" t="s">
        <v>1432</v>
      </c>
      <c r="C16" s="12">
        <v>1414</v>
      </c>
      <c r="D16" s="12">
        <v>38</v>
      </c>
      <c r="E16" s="12">
        <v>52</v>
      </c>
      <c r="F16" s="12">
        <v>79</v>
      </c>
      <c r="G16" s="12">
        <v>20</v>
      </c>
      <c r="H16" s="12">
        <v>61</v>
      </c>
      <c r="I16" s="12">
        <v>78</v>
      </c>
      <c r="J16" s="12">
        <v>17</v>
      </c>
      <c r="K16" s="12">
        <v>95</v>
      </c>
      <c r="L16" s="12">
        <v>71</v>
      </c>
      <c r="M16" s="12">
        <v>63</v>
      </c>
      <c r="N16" s="12">
        <v>77</v>
      </c>
      <c r="O16" s="12">
        <v>40</v>
      </c>
      <c r="P16" s="12">
        <v>49</v>
      </c>
      <c r="Q16" s="12">
        <v>42</v>
      </c>
      <c r="R16" s="12">
        <v>19</v>
      </c>
      <c r="S16" s="12">
        <v>32</v>
      </c>
      <c r="T16" s="12">
        <v>69</v>
      </c>
      <c r="U16" s="12">
        <v>30</v>
      </c>
      <c r="V16" s="12">
        <v>45</v>
      </c>
      <c r="W16" s="12">
        <v>21</v>
      </c>
      <c r="X16" s="12">
        <v>30</v>
      </c>
      <c r="Y16" s="12">
        <v>53</v>
      </c>
      <c r="Z16" s="12">
        <v>77</v>
      </c>
      <c r="AA16" s="12">
        <v>32</v>
      </c>
      <c r="AB16" s="12">
        <v>85</v>
      </c>
      <c r="AC16" s="12">
        <v>64</v>
      </c>
      <c r="AD16" s="12">
        <v>74</v>
      </c>
      <c r="AE16" s="12">
        <v>32</v>
      </c>
      <c r="AF16" s="12">
        <v>69</v>
      </c>
    </row>
    <row r="17" spans="1:32" ht="21.5" x14ac:dyDescent="0.35">
      <c r="A17" s="19"/>
      <c r="B17" s="13" t="s">
        <v>1433</v>
      </c>
      <c r="C17" s="15">
        <v>0.05</v>
      </c>
      <c r="D17" s="15">
        <v>0.04</v>
      </c>
      <c r="E17" s="15">
        <v>0.05</v>
      </c>
      <c r="F17" s="15">
        <v>7.0000000000000007E-2</v>
      </c>
      <c r="G17" s="15">
        <v>0.02</v>
      </c>
      <c r="H17" s="15">
        <v>0.05</v>
      </c>
      <c r="I17" s="15">
        <v>0.05</v>
      </c>
      <c r="J17" s="15">
        <v>0.06</v>
      </c>
      <c r="K17" s="15">
        <v>0.09</v>
      </c>
      <c r="L17" s="15">
        <v>7.0000000000000007E-2</v>
      </c>
      <c r="M17" s="15">
        <v>0.06</v>
      </c>
      <c r="N17" s="15">
        <v>7.0000000000000007E-2</v>
      </c>
      <c r="O17" s="15">
        <v>0.04</v>
      </c>
      <c r="P17" s="15">
        <v>0.05</v>
      </c>
      <c r="Q17" s="15">
        <v>0.04</v>
      </c>
      <c r="R17" s="15">
        <v>0.04</v>
      </c>
      <c r="S17" s="15">
        <v>0.03</v>
      </c>
      <c r="T17" s="15">
        <v>7.0000000000000007E-2</v>
      </c>
      <c r="U17" s="15">
        <v>0.06</v>
      </c>
      <c r="V17" s="15">
        <v>0.05</v>
      </c>
      <c r="W17" s="15">
        <v>0.04</v>
      </c>
      <c r="X17" s="15">
        <v>0.03</v>
      </c>
      <c r="Y17" s="15">
        <v>0.05</v>
      </c>
      <c r="Z17" s="15">
        <v>0.08</v>
      </c>
      <c r="AA17" s="15">
        <v>0.03</v>
      </c>
      <c r="AB17" s="15">
        <v>0.08</v>
      </c>
      <c r="AC17" s="15">
        <v>0.06</v>
      </c>
      <c r="AD17" s="15">
        <v>7.0000000000000007E-2</v>
      </c>
      <c r="AE17" s="15">
        <v>0.03</v>
      </c>
      <c r="AF17" s="15">
        <v>7.0000000000000007E-2</v>
      </c>
    </row>
    <row r="18" spans="1:32" x14ac:dyDescent="0.35">
      <c r="A18" s="19"/>
      <c r="B18" s="11" t="s">
        <v>1434</v>
      </c>
      <c r="C18" s="12">
        <v>481</v>
      </c>
      <c r="D18" s="12">
        <v>29</v>
      </c>
      <c r="E18" s="12">
        <v>30</v>
      </c>
      <c r="F18" s="12">
        <v>19</v>
      </c>
      <c r="G18" s="12">
        <v>16</v>
      </c>
      <c r="H18" s="12">
        <v>9</v>
      </c>
      <c r="I18" s="12">
        <v>14</v>
      </c>
      <c r="J18" s="12">
        <v>5</v>
      </c>
      <c r="K18" s="12">
        <v>16</v>
      </c>
      <c r="L18" s="12">
        <v>25</v>
      </c>
      <c r="M18" s="12">
        <v>14</v>
      </c>
      <c r="N18" s="12">
        <v>11</v>
      </c>
      <c r="O18" s="12">
        <v>30</v>
      </c>
      <c r="P18" s="12">
        <v>31</v>
      </c>
      <c r="Q18" s="12">
        <v>17</v>
      </c>
      <c r="R18" s="12">
        <v>6</v>
      </c>
      <c r="S18" s="12">
        <v>11</v>
      </c>
      <c r="T18" s="12">
        <v>28</v>
      </c>
      <c r="U18" s="12">
        <v>6</v>
      </c>
      <c r="V18" s="12">
        <v>64</v>
      </c>
      <c r="W18" s="12">
        <v>5</v>
      </c>
      <c r="X18" s="12">
        <v>6</v>
      </c>
      <c r="Y18" s="12">
        <v>18</v>
      </c>
      <c r="Z18" s="12">
        <v>17</v>
      </c>
      <c r="AA18" s="12">
        <v>26</v>
      </c>
      <c r="AB18" s="12">
        <v>25</v>
      </c>
      <c r="AC18" s="12">
        <v>25</v>
      </c>
      <c r="AD18" s="12">
        <v>33</v>
      </c>
      <c r="AE18" s="12">
        <v>12</v>
      </c>
      <c r="AF18" s="12">
        <v>5</v>
      </c>
    </row>
    <row r="19" spans="1:32" x14ac:dyDescent="0.35">
      <c r="A19" s="19"/>
      <c r="B19" s="13" t="s">
        <v>1435</v>
      </c>
      <c r="C19" s="15">
        <v>0.02</v>
      </c>
      <c r="D19" s="15">
        <v>0.03</v>
      </c>
      <c r="E19" s="15">
        <v>0.03</v>
      </c>
      <c r="F19" s="15">
        <v>0.02</v>
      </c>
      <c r="G19" s="15">
        <v>0.02</v>
      </c>
      <c r="H19" s="15">
        <v>0.01</v>
      </c>
      <c r="I19" s="15">
        <v>0.01</v>
      </c>
      <c r="J19" s="15">
        <v>0.02</v>
      </c>
      <c r="K19" s="15">
        <v>0.02</v>
      </c>
      <c r="L19" s="15">
        <v>0.03</v>
      </c>
      <c r="M19" s="15">
        <v>0.01</v>
      </c>
      <c r="N19" s="15">
        <v>0.01</v>
      </c>
      <c r="O19" s="15">
        <v>0.03</v>
      </c>
      <c r="P19" s="15">
        <v>0.03</v>
      </c>
      <c r="Q19" s="15">
        <v>0.02</v>
      </c>
      <c r="R19" s="15">
        <v>0.01</v>
      </c>
      <c r="S19" s="15">
        <v>0.01</v>
      </c>
      <c r="T19" s="15">
        <v>0.03</v>
      </c>
      <c r="U19" s="15">
        <v>0.01</v>
      </c>
      <c r="V19" s="15">
        <v>0.06</v>
      </c>
      <c r="W19" s="15">
        <v>0.01</v>
      </c>
      <c r="X19" s="15">
        <v>0.01</v>
      </c>
      <c r="Y19" s="15">
        <v>0.02</v>
      </c>
      <c r="Z19" s="15">
        <v>0.02</v>
      </c>
      <c r="AA19" s="15">
        <v>0.02</v>
      </c>
      <c r="AB19" s="15">
        <v>0.02</v>
      </c>
      <c r="AC19" s="15">
        <v>0.03</v>
      </c>
      <c r="AD19" s="15">
        <v>0.03</v>
      </c>
      <c r="AE19" s="15">
        <v>0.01</v>
      </c>
      <c r="AF19" s="14" t="s">
        <v>475</v>
      </c>
    </row>
    <row r="20" spans="1:32" ht="21.5" x14ac:dyDescent="0.35">
      <c r="A20" s="19"/>
      <c r="B20" s="11" t="s">
        <v>1436</v>
      </c>
      <c r="C20" s="12">
        <v>508</v>
      </c>
      <c r="D20" s="12">
        <v>28</v>
      </c>
      <c r="E20" s="12">
        <v>27</v>
      </c>
      <c r="F20" s="12">
        <v>37</v>
      </c>
      <c r="G20" s="12">
        <v>11</v>
      </c>
      <c r="H20" s="12">
        <v>10</v>
      </c>
      <c r="I20" s="12">
        <v>14</v>
      </c>
      <c r="J20" s="12">
        <v>4</v>
      </c>
      <c r="K20" s="12">
        <v>22</v>
      </c>
      <c r="L20" s="12">
        <v>16</v>
      </c>
      <c r="M20" s="12">
        <v>34</v>
      </c>
      <c r="N20" s="12">
        <v>17</v>
      </c>
      <c r="O20" s="12">
        <v>12</v>
      </c>
      <c r="P20" s="12">
        <v>36</v>
      </c>
      <c r="Q20" s="12">
        <v>34</v>
      </c>
      <c r="R20" s="12">
        <v>7</v>
      </c>
      <c r="S20" s="12">
        <v>13</v>
      </c>
      <c r="T20" s="12">
        <v>10</v>
      </c>
      <c r="U20" s="12">
        <v>8</v>
      </c>
      <c r="V20" s="12">
        <v>27</v>
      </c>
      <c r="W20" s="12">
        <v>16</v>
      </c>
      <c r="X20" s="12">
        <v>11</v>
      </c>
      <c r="Y20" s="12">
        <v>24</v>
      </c>
      <c r="Z20" s="12">
        <v>30</v>
      </c>
      <c r="AA20" s="12">
        <v>17</v>
      </c>
      <c r="AB20" s="12">
        <v>30</v>
      </c>
      <c r="AC20" s="12">
        <v>21</v>
      </c>
      <c r="AD20" s="12">
        <v>20</v>
      </c>
      <c r="AE20" s="12">
        <v>3</v>
      </c>
      <c r="AF20" s="12">
        <v>2</v>
      </c>
    </row>
    <row r="21" spans="1:32" x14ac:dyDescent="0.35">
      <c r="A21" s="19"/>
      <c r="B21" s="13" t="s">
        <v>1437</v>
      </c>
      <c r="C21" s="15">
        <v>0.02</v>
      </c>
      <c r="D21" s="15">
        <v>0.03</v>
      </c>
      <c r="E21" s="15">
        <v>0.03</v>
      </c>
      <c r="F21" s="15">
        <v>0.03</v>
      </c>
      <c r="G21" s="15">
        <v>0.01</v>
      </c>
      <c r="H21" s="15">
        <v>0.01</v>
      </c>
      <c r="I21" s="15">
        <v>0.01</v>
      </c>
      <c r="J21" s="15">
        <v>0.01</v>
      </c>
      <c r="K21" s="15">
        <v>0.02</v>
      </c>
      <c r="L21" s="15">
        <v>0.02</v>
      </c>
      <c r="M21" s="15">
        <v>0.03</v>
      </c>
      <c r="N21" s="15">
        <v>0.02</v>
      </c>
      <c r="O21" s="15">
        <v>0.01</v>
      </c>
      <c r="P21" s="15">
        <v>0.03</v>
      </c>
      <c r="Q21" s="15">
        <v>0.03</v>
      </c>
      <c r="R21" s="15">
        <v>0.01</v>
      </c>
      <c r="S21" s="15">
        <v>0.01</v>
      </c>
      <c r="T21" s="15">
        <v>0.01</v>
      </c>
      <c r="U21" s="15">
        <v>0.02</v>
      </c>
      <c r="V21" s="15">
        <v>0.03</v>
      </c>
      <c r="W21" s="15">
        <v>0.03</v>
      </c>
      <c r="X21" s="15">
        <v>0.01</v>
      </c>
      <c r="Y21" s="15">
        <v>0.02</v>
      </c>
      <c r="Z21" s="15">
        <v>0.03</v>
      </c>
      <c r="AA21" s="15">
        <v>0.02</v>
      </c>
      <c r="AB21" s="15">
        <v>0.03</v>
      </c>
      <c r="AC21" s="15">
        <v>0.02</v>
      </c>
      <c r="AD21" s="15">
        <v>0.02</v>
      </c>
      <c r="AE21" s="14" t="s">
        <v>475</v>
      </c>
      <c r="AF21" s="14" t="s">
        <v>475</v>
      </c>
    </row>
    <row r="22" spans="1:32" ht="31.5" x14ac:dyDescent="0.35">
      <c r="A22" s="19"/>
      <c r="B22" s="11" t="s">
        <v>1438</v>
      </c>
      <c r="C22" s="12">
        <v>1620</v>
      </c>
      <c r="D22" s="12">
        <v>60</v>
      </c>
      <c r="E22" s="12">
        <v>57</v>
      </c>
      <c r="F22" s="12">
        <v>99</v>
      </c>
      <c r="G22" s="12">
        <v>66</v>
      </c>
      <c r="H22" s="12">
        <v>46</v>
      </c>
      <c r="I22" s="12">
        <v>69</v>
      </c>
      <c r="J22" s="12">
        <v>23</v>
      </c>
      <c r="K22" s="12">
        <v>96</v>
      </c>
      <c r="L22" s="12">
        <v>79</v>
      </c>
      <c r="M22" s="12">
        <v>61</v>
      </c>
      <c r="N22" s="12">
        <v>69</v>
      </c>
      <c r="O22" s="12">
        <v>54</v>
      </c>
      <c r="P22" s="12">
        <v>62</v>
      </c>
      <c r="Q22" s="12">
        <v>67</v>
      </c>
      <c r="R22" s="12">
        <v>19</v>
      </c>
      <c r="S22" s="12">
        <v>71</v>
      </c>
      <c r="T22" s="12">
        <v>38</v>
      </c>
      <c r="U22" s="12">
        <v>27</v>
      </c>
      <c r="V22" s="12">
        <v>64</v>
      </c>
      <c r="W22" s="12">
        <v>43</v>
      </c>
      <c r="X22" s="12">
        <v>81</v>
      </c>
      <c r="Y22" s="12">
        <v>55</v>
      </c>
      <c r="Z22" s="12">
        <v>91</v>
      </c>
      <c r="AA22" s="12">
        <v>48</v>
      </c>
      <c r="AB22" s="12">
        <v>61</v>
      </c>
      <c r="AC22" s="12">
        <v>42</v>
      </c>
      <c r="AD22" s="12">
        <v>75</v>
      </c>
      <c r="AE22" s="12">
        <v>69</v>
      </c>
      <c r="AF22" s="12">
        <v>39</v>
      </c>
    </row>
    <row r="23" spans="1:32" ht="21.5" x14ac:dyDescent="0.35">
      <c r="A23" s="19"/>
      <c r="B23" s="13" t="s">
        <v>1439</v>
      </c>
      <c r="C23" s="15">
        <v>0.06</v>
      </c>
      <c r="D23" s="15">
        <v>0.06</v>
      </c>
      <c r="E23" s="15">
        <v>0.05</v>
      </c>
      <c r="F23" s="15">
        <v>0.09</v>
      </c>
      <c r="G23" s="15">
        <v>7.0000000000000007E-2</v>
      </c>
      <c r="H23" s="15">
        <v>0.04</v>
      </c>
      <c r="I23" s="15">
        <v>0.05</v>
      </c>
      <c r="J23" s="15">
        <v>0.08</v>
      </c>
      <c r="K23" s="15">
        <v>0.1</v>
      </c>
      <c r="L23" s="15">
        <v>0.08</v>
      </c>
      <c r="M23" s="15">
        <v>0.06</v>
      </c>
      <c r="N23" s="15">
        <v>7.0000000000000007E-2</v>
      </c>
      <c r="O23" s="15">
        <v>0.05</v>
      </c>
      <c r="P23" s="15">
        <v>0.06</v>
      </c>
      <c r="Q23" s="15">
        <v>7.0000000000000007E-2</v>
      </c>
      <c r="R23" s="15">
        <v>0.04</v>
      </c>
      <c r="S23" s="15">
        <v>7.0000000000000007E-2</v>
      </c>
      <c r="T23" s="15">
        <v>0.04</v>
      </c>
      <c r="U23" s="15">
        <v>0.05</v>
      </c>
      <c r="V23" s="15">
        <v>0.06</v>
      </c>
      <c r="W23" s="15">
        <v>0.09</v>
      </c>
      <c r="X23" s="15">
        <v>0.08</v>
      </c>
      <c r="Y23" s="15">
        <v>0.06</v>
      </c>
      <c r="Z23" s="15">
        <v>0.09</v>
      </c>
      <c r="AA23" s="15">
        <v>0.05</v>
      </c>
      <c r="AB23" s="15">
        <v>0.06</v>
      </c>
      <c r="AC23" s="15">
        <v>0.04</v>
      </c>
      <c r="AD23" s="15">
        <v>0.08</v>
      </c>
      <c r="AE23" s="15">
        <v>7.0000000000000007E-2</v>
      </c>
      <c r="AF23" s="15">
        <v>0.04</v>
      </c>
    </row>
    <row r="24" spans="1:32" ht="21.5" x14ac:dyDescent="0.35">
      <c r="A24" s="19"/>
      <c r="B24" s="11" t="s">
        <v>1440</v>
      </c>
      <c r="C24" s="12">
        <v>2813</v>
      </c>
      <c r="D24" s="12">
        <v>90</v>
      </c>
      <c r="E24" s="12">
        <v>54</v>
      </c>
      <c r="F24" s="12">
        <v>85</v>
      </c>
      <c r="G24" s="12">
        <v>316</v>
      </c>
      <c r="H24" s="12">
        <v>218</v>
      </c>
      <c r="I24" s="12">
        <v>253</v>
      </c>
      <c r="J24" s="12">
        <v>35</v>
      </c>
      <c r="K24" s="12">
        <v>37</v>
      </c>
      <c r="L24" s="12">
        <v>111</v>
      </c>
      <c r="M24" s="12">
        <v>44</v>
      </c>
      <c r="N24" s="12">
        <v>41</v>
      </c>
      <c r="O24" s="12">
        <v>116</v>
      </c>
      <c r="P24" s="12">
        <v>46</v>
      </c>
      <c r="Q24" s="12">
        <v>45</v>
      </c>
      <c r="R24" s="12">
        <v>28</v>
      </c>
      <c r="S24" s="12">
        <v>39</v>
      </c>
      <c r="T24" s="12">
        <v>73</v>
      </c>
      <c r="U24" s="12">
        <v>65</v>
      </c>
      <c r="V24" s="12">
        <v>65</v>
      </c>
      <c r="W24" s="12">
        <v>27</v>
      </c>
      <c r="X24" s="12">
        <v>245</v>
      </c>
      <c r="Y24" s="12">
        <v>119</v>
      </c>
      <c r="Z24" s="12">
        <v>76</v>
      </c>
      <c r="AA24" s="12">
        <v>44</v>
      </c>
      <c r="AB24" s="12">
        <v>82</v>
      </c>
      <c r="AC24" s="12">
        <v>78</v>
      </c>
      <c r="AD24" s="12">
        <v>54</v>
      </c>
      <c r="AE24" s="12">
        <v>157</v>
      </c>
      <c r="AF24" s="12">
        <v>373</v>
      </c>
    </row>
    <row r="25" spans="1:32" ht="21.5" x14ac:dyDescent="0.35">
      <c r="A25" s="19"/>
      <c r="B25" s="13" t="s">
        <v>1441</v>
      </c>
      <c r="C25" s="15">
        <v>0.11</v>
      </c>
      <c r="D25" s="15">
        <v>0.09</v>
      </c>
      <c r="E25" s="15">
        <v>0.05</v>
      </c>
      <c r="F25" s="15">
        <v>0.08</v>
      </c>
      <c r="G25" s="15">
        <v>0.31</v>
      </c>
      <c r="H25" s="15">
        <v>0.18</v>
      </c>
      <c r="I25" s="15">
        <v>0.17</v>
      </c>
      <c r="J25" s="15">
        <v>0.12</v>
      </c>
      <c r="K25" s="15">
        <v>0.04</v>
      </c>
      <c r="L25" s="15">
        <v>0.11</v>
      </c>
      <c r="M25" s="15">
        <v>0.04</v>
      </c>
      <c r="N25" s="15">
        <v>0.04</v>
      </c>
      <c r="O25" s="15">
        <v>0.12</v>
      </c>
      <c r="P25" s="15">
        <v>0.05</v>
      </c>
      <c r="Q25" s="15">
        <v>0.04</v>
      </c>
      <c r="R25" s="15">
        <v>0.05</v>
      </c>
      <c r="S25" s="15">
        <v>0.04</v>
      </c>
      <c r="T25" s="15">
        <v>7.0000000000000007E-2</v>
      </c>
      <c r="U25" s="15">
        <v>0.13</v>
      </c>
      <c r="V25" s="15">
        <v>0.06</v>
      </c>
      <c r="W25" s="15">
        <v>0.06</v>
      </c>
      <c r="X25" s="15">
        <v>0.24</v>
      </c>
      <c r="Y25" s="15">
        <v>0.12</v>
      </c>
      <c r="Z25" s="15">
        <v>7.0000000000000007E-2</v>
      </c>
      <c r="AA25" s="15">
        <v>0.04</v>
      </c>
      <c r="AB25" s="15">
        <v>0.08</v>
      </c>
      <c r="AC25" s="15">
        <v>0.08</v>
      </c>
      <c r="AD25" s="15">
        <v>0.05</v>
      </c>
      <c r="AE25" s="15">
        <v>0.16</v>
      </c>
      <c r="AF25" s="15">
        <v>0.36</v>
      </c>
    </row>
    <row r="26" spans="1:32" ht="21.5" x14ac:dyDescent="0.35">
      <c r="A26" s="19"/>
      <c r="B26" s="11" t="s">
        <v>1442</v>
      </c>
      <c r="C26" s="12">
        <v>955</v>
      </c>
      <c r="D26" s="12">
        <v>50</v>
      </c>
      <c r="E26" s="12">
        <v>52</v>
      </c>
      <c r="F26" s="12">
        <v>72</v>
      </c>
      <c r="G26" s="12">
        <v>55</v>
      </c>
      <c r="H26" s="12">
        <v>20</v>
      </c>
      <c r="I26" s="12">
        <v>24</v>
      </c>
      <c r="J26" s="12">
        <v>4</v>
      </c>
      <c r="K26" s="12">
        <v>43</v>
      </c>
      <c r="L26" s="12">
        <v>42</v>
      </c>
      <c r="M26" s="12">
        <v>28</v>
      </c>
      <c r="N26" s="12">
        <v>24</v>
      </c>
      <c r="O26" s="12">
        <v>15</v>
      </c>
      <c r="P26" s="12">
        <v>52</v>
      </c>
      <c r="Q26" s="12">
        <v>46</v>
      </c>
      <c r="R26" s="12">
        <v>24</v>
      </c>
      <c r="S26" s="12">
        <v>45</v>
      </c>
      <c r="T26" s="12">
        <v>26</v>
      </c>
      <c r="U26" s="12">
        <v>22</v>
      </c>
      <c r="V26" s="12">
        <v>44</v>
      </c>
      <c r="W26" s="12">
        <v>52</v>
      </c>
      <c r="X26" s="12">
        <v>60</v>
      </c>
      <c r="Y26" s="12">
        <v>71</v>
      </c>
      <c r="Z26" s="12">
        <v>44</v>
      </c>
      <c r="AA26" s="12">
        <v>25</v>
      </c>
      <c r="AB26" s="12">
        <v>52</v>
      </c>
      <c r="AC26" s="12">
        <v>45</v>
      </c>
      <c r="AD26" s="12">
        <v>42</v>
      </c>
      <c r="AE26" s="12">
        <v>119</v>
      </c>
      <c r="AF26" s="12">
        <v>115</v>
      </c>
    </row>
    <row r="27" spans="1:32" x14ac:dyDescent="0.35">
      <c r="A27" s="19"/>
      <c r="B27" s="13" t="s">
        <v>1443</v>
      </c>
      <c r="C27" s="15">
        <v>0.04</v>
      </c>
      <c r="D27" s="15">
        <v>0.05</v>
      </c>
      <c r="E27" s="15">
        <v>0.05</v>
      </c>
      <c r="F27" s="15">
        <v>7.0000000000000007E-2</v>
      </c>
      <c r="G27" s="15">
        <v>0.05</v>
      </c>
      <c r="H27" s="15">
        <v>0.01</v>
      </c>
      <c r="I27" s="15">
        <v>0.02</v>
      </c>
      <c r="J27" s="15">
        <v>0.01</v>
      </c>
      <c r="K27" s="15">
        <v>0.04</v>
      </c>
      <c r="L27" s="15">
        <v>0.04</v>
      </c>
      <c r="M27" s="15">
        <v>0.03</v>
      </c>
      <c r="N27" s="15">
        <v>0.02</v>
      </c>
      <c r="O27" s="15">
        <v>0.02</v>
      </c>
      <c r="P27" s="15">
        <v>0.05</v>
      </c>
      <c r="Q27" s="15">
        <v>0.05</v>
      </c>
      <c r="R27" s="15">
        <v>0.05</v>
      </c>
      <c r="S27" s="15">
        <v>0.05</v>
      </c>
      <c r="T27" s="15">
        <v>0.03</v>
      </c>
      <c r="U27" s="15">
        <v>0.04</v>
      </c>
      <c r="V27" s="15">
        <v>0.04</v>
      </c>
      <c r="W27" s="15">
        <v>0.1</v>
      </c>
      <c r="X27" s="15">
        <v>0.06</v>
      </c>
      <c r="Y27" s="15">
        <v>7.0000000000000007E-2</v>
      </c>
      <c r="Z27" s="15">
        <v>0.04</v>
      </c>
      <c r="AA27" s="15">
        <v>0.02</v>
      </c>
      <c r="AB27" s="15">
        <v>0.05</v>
      </c>
      <c r="AC27" s="15">
        <v>0.04</v>
      </c>
      <c r="AD27" s="15">
        <v>0.04</v>
      </c>
      <c r="AE27" s="15">
        <v>0.12</v>
      </c>
      <c r="AF27" s="15">
        <v>0.11</v>
      </c>
    </row>
    <row r="28" spans="1:32" ht="31.5" x14ac:dyDescent="0.35">
      <c r="A28" s="19"/>
      <c r="B28" s="11" t="s">
        <v>1444</v>
      </c>
      <c r="C28" s="12">
        <v>1635</v>
      </c>
      <c r="D28" s="12">
        <v>83</v>
      </c>
      <c r="E28" s="12">
        <v>47</v>
      </c>
      <c r="F28" s="12">
        <v>62</v>
      </c>
      <c r="G28" s="12">
        <v>30</v>
      </c>
      <c r="H28" s="12">
        <v>81</v>
      </c>
      <c r="I28" s="12">
        <v>103</v>
      </c>
      <c r="J28" s="12">
        <v>21</v>
      </c>
      <c r="K28" s="12">
        <v>68</v>
      </c>
      <c r="L28" s="12">
        <v>46</v>
      </c>
      <c r="M28" s="12">
        <v>66</v>
      </c>
      <c r="N28" s="12">
        <v>37</v>
      </c>
      <c r="O28" s="12">
        <v>80</v>
      </c>
      <c r="P28" s="12">
        <v>47</v>
      </c>
      <c r="Q28" s="12">
        <v>57</v>
      </c>
      <c r="R28" s="12">
        <v>26</v>
      </c>
      <c r="S28" s="12">
        <v>59</v>
      </c>
      <c r="T28" s="12">
        <v>37</v>
      </c>
      <c r="U28" s="12">
        <v>33</v>
      </c>
      <c r="V28" s="12">
        <v>77</v>
      </c>
      <c r="W28" s="12">
        <v>27</v>
      </c>
      <c r="X28" s="12">
        <v>55</v>
      </c>
      <c r="Y28" s="12">
        <v>84</v>
      </c>
      <c r="Z28" s="12">
        <v>47</v>
      </c>
      <c r="AA28" s="12">
        <v>72</v>
      </c>
      <c r="AB28" s="12">
        <v>85</v>
      </c>
      <c r="AC28" s="12">
        <v>67</v>
      </c>
      <c r="AD28" s="12">
        <v>115</v>
      </c>
      <c r="AE28" s="12">
        <v>42</v>
      </c>
      <c r="AF28" s="12">
        <v>65</v>
      </c>
    </row>
    <row r="29" spans="1:32" ht="31.5" x14ac:dyDescent="0.35">
      <c r="A29" s="19"/>
      <c r="B29" s="13" t="s">
        <v>1445</v>
      </c>
      <c r="C29" s="15">
        <v>0.06</v>
      </c>
      <c r="D29" s="15">
        <v>0.08</v>
      </c>
      <c r="E29" s="15">
        <v>0.05</v>
      </c>
      <c r="F29" s="15">
        <v>0.06</v>
      </c>
      <c r="G29" s="15">
        <v>0.03</v>
      </c>
      <c r="H29" s="15">
        <v>7.0000000000000007E-2</v>
      </c>
      <c r="I29" s="15">
        <v>7.0000000000000007E-2</v>
      </c>
      <c r="J29" s="15">
        <v>7.0000000000000007E-2</v>
      </c>
      <c r="K29" s="15">
        <v>7.0000000000000007E-2</v>
      </c>
      <c r="L29" s="15">
        <v>0.05</v>
      </c>
      <c r="M29" s="15">
        <v>7.0000000000000007E-2</v>
      </c>
      <c r="N29" s="15">
        <v>0.04</v>
      </c>
      <c r="O29" s="15">
        <v>0.08</v>
      </c>
      <c r="P29" s="15">
        <v>0.05</v>
      </c>
      <c r="Q29" s="15">
        <v>0.06</v>
      </c>
      <c r="R29" s="15">
        <v>0.05</v>
      </c>
      <c r="S29" s="15">
        <v>0.06</v>
      </c>
      <c r="T29" s="15">
        <v>0.04</v>
      </c>
      <c r="U29" s="15">
        <v>7.0000000000000007E-2</v>
      </c>
      <c r="V29" s="15">
        <v>0.08</v>
      </c>
      <c r="W29" s="15">
        <v>0.06</v>
      </c>
      <c r="X29" s="15">
        <v>0.05</v>
      </c>
      <c r="Y29" s="15">
        <v>0.08</v>
      </c>
      <c r="Z29" s="15">
        <v>0.05</v>
      </c>
      <c r="AA29" s="15">
        <v>7.0000000000000007E-2</v>
      </c>
      <c r="AB29" s="15">
        <v>0.08</v>
      </c>
      <c r="AC29" s="15">
        <v>7.0000000000000007E-2</v>
      </c>
      <c r="AD29" s="15">
        <v>0.11</v>
      </c>
      <c r="AE29" s="15">
        <v>0.04</v>
      </c>
      <c r="AF29" s="15">
        <v>0.06</v>
      </c>
    </row>
    <row r="30" spans="1:32" ht="41.5" x14ac:dyDescent="0.35">
      <c r="A30" s="19"/>
      <c r="B30" s="11" t="s">
        <v>1446</v>
      </c>
      <c r="C30" s="12">
        <v>1037</v>
      </c>
      <c r="D30" s="12">
        <v>42</v>
      </c>
      <c r="E30" s="12">
        <v>30</v>
      </c>
      <c r="F30" s="12">
        <v>56</v>
      </c>
      <c r="G30" s="12">
        <v>36</v>
      </c>
      <c r="H30" s="12">
        <v>31</v>
      </c>
      <c r="I30" s="12">
        <v>53</v>
      </c>
      <c r="J30" s="12">
        <v>22</v>
      </c>
      <c r="K30" s="12">
        <v>54</v>
      </c>
      <c r="L30" s="12">
        <v>23</v>
      </c>
      <c r="M30" s="12">
        <v>23</v>
      </c>
      <c r="N30" s="12">
        <v>28</v>
      </c>
      <c r="O30" s="12">
        <v>26</v>
      </c>
      <c r="P30" s="12">
        <v>67</v>
      </c>
      <c r="Q30" s="12">
        <v>50</v>
      </c>
      <c r="R30" s="12">
        <v>8</v>
      </c>
      <c r="S30" s="12">
        <v>28</v>
      </c>
      <c r="T30" s="12">
        <v>21</v>
      </c>
      <c r="U30" s="12">
        <v>19</v>
      </c>
      <c r="V30" s="12">
        <v>52</v>
      </c>
      <c r="W30" s="12">
        <v>16</v>
      </c>
      <c r="X30" s="12">
        <v>53</v>
      </c>
      <c r="Y30" s="12">
        <v>65</v>
      </c>
      <c r="Z30" s="12">
        <v>50</v>
      </c>
      <c r="AA30" s="12">
        <v>58</v>
      </c>
      <c r="AB30" s="12">
        <v>60</v>
      </c>
      <c r="AC30" s="12">
        <v>33</v>
      </c>
      <c r="AD30" s="12">
        <v>67</v>
      </c>
      <c r="AE30" s="12">
        <v>17</v>
      </c>
      <c r="AF30" s="12">
        <v>35</v>
      </c>
    </row>
    <row r="31" spans="1:32" ht="31.5" x14ac:dyDescent="0.35">
      <c r="A31" s="19"/>
      <c r="B31" s="13" t="s">
        <v>1447</v>
      </c>
      <c r="C31" s="15">
        <v>0.04</v>
      </c>
      <c r="D31" s="15">
        <v>0.04</v>
      </c>
      <c r="E31" s="15">
        <v>0.03</v>
      </c>
      <c r="F31" s="15">
        <v>0.05</v>
      </c>
      <c r="G31" s="15">
        <v>0.04</v>
      </c>
      <c r="H31" s="15">
        <v>0.02</v>
      </c>
      <c r="I31" s="15">
        <v>0.04</v>
      </c>
      <c r="J31" s="15">
        <v>0.08</v>
      </c>
      <c r="K31" s="15">
        <v>0.05</v>
      </c>
      <c r="L31" s="15">
        <v>0.02</v>
      </c>
      <c r="M31" s="15">
        <v>0.02</v>
      </c>
      <c r="N31" s="15">
        <v>0.03</v>
      </c>
      <c r="O31" s="15">
        <v>0.03</v>
      </c>
      <c r="P31" s="15">
        <v>7.0000000000000007E-2</v>
      </c>
      <c r="Q31" s="15">
        <v>0.05</v>
      </c>
      <c r="R31" s="15">
        <v>0.02</v>
      </c>
      <c r="S31" s="15">
        <v>0.03</v>
      </c>
      <c r="T31" s="15">
        <v>0.02</v>
      </c>
      <c r="U31" s="15">
        <v>0.04</v>
      </c>
      <c r="V31" s="15">
        <v>0.05</v>
      </c>
      <c r="W31" s="15">
        <v>0.03</v>
      </c>
      <c r="X31" s="15">
        <v>0.05</v>
      </c>
      <c r="Y31" s="15">
        <v>7.0000000000000007E-2</v>
      </c>
      <c r="Z31" s="15">
        <v>0.05</v>
      </c>
      <c r="AA31" s="15">
        <v>0.06</v>
      </c>
      <c r="AB31" s="15">
        <v>0.06</v>
      </c>
      <c r="AC31" s="15">
        <v>0.03</v>
      </c>
      <c r="AD31" s="15">
        <v>7.0000000000000007E-2</v>
      </c>
      <c r="AE31" s="15">
        <v>0.02</v>
      </c>
      <c r="AF31" s="15">
        <v>0.03</v>
      </c>
    </row>
    <row r="32" spans="1:32" x14ac:dyDescent="0.35">
      <c r="A32" s="19"/>
      <c r="B32" s="11" t="s">
        <v>607</v>
      </c>
      <c r="C32" s="12">
        <v>4210</v>
      </c>
      <c r="D32" s="12">
        <v>176</v>
      </c>
      <c r="E32" s="12">
        <v>154</v>
      </c>
      <c r="F32" s="12">
        <v>185</v>
      </c>
      <c r="G32" s="12">
        <v>157</v>
      </c>
      <c r="H32" s="12">
        <v>143</v>
      </c>
      <c r="I32" s="12">
        <v>188</v>
      </c>
      <c r="J32" s="12">
        <v>45</v>
      </c>
      <c r="K32" s="12">
        <v>246</v>
      </c>
      <c r="L32" s="12">
        <v>132</v>
      </c>
      <c r="M32" s="12">
        <v>198</v>
      </c>
      <c r="N32" s="12">
        <v>160</v>
      </c>
      <c r="O32" s="12">
        <v>186</v>
      </c>
      <c r="P32" s="12">
        <v>141</v>
      </c>
      <c r="Q32" s="12">
        <v>145</v>
      </c>
      <c r="R32" s="12">
        <v>76</v>
      </c>
      <c r="S32" s="12">
        <v>321</v>
      </c>
      <c r="T32" s="12">
        <v>352</v>
      </c>
      <c r="U32" s="12">
        <v>100</v>
      </c>
      <c r="V32" s="12">
        <v>140</v>
      </c>
      <c r="W32" s="12">
        <v>70</v>
      </c>
      <c r="X32" s="12">
        <v>175</v>
      </c>
      <c r="Y32" s="12">
        <v>104</v>
      </c>
      <c r="Z32" s="12">
        <v>235</v>
      </c>
      <c r="AA32" s="12">
        <v>93</v>
      </c>
      <c r="AB32" s="12">
        <v>147</v>
      </c>
      <c r="AC32" s="12">
        <v>170</v>
      </c>
      <c r="AD32" s="12">
        <v>133</v>
      </c>
      <c r="AE32" s="12">
        <v>207</v>
      </c>
      <c r="AF32" s="12">
        <v>151</v>
      </c>
    </row>
    <row r="33" spans="1:32" x14ac:dyDescent="0.35">
      <c r="A33" s="19"/>
      <c r="B33" s="13" t="s">
        <v>608</v>
      </c>
      <c r="C33" s="15">
        <v>0.16</v>
      </c>
      <c r="D33" s="15">
        <v>0.17</v>
      </c>
      <c r="E33" s="15">
        <v>0.15</v>
      </c>
      <c r="F33" s="15">
        <v>0.17</v>
      </c>
      <c r="G33" s="15">
        <v>0.16</v>
      </c>
      <c r="H33" s="15">
        <v>0.12</v>
      </c>
      <c r="I33" s="15">
        <v>0.12</v>
      </c>
      <c r="J33" s="15">
        <v>0.15</v>
      </c>
      <c r="K33" s="15">
        <v>0.25</v>
      </c>
      <c r="L33" s="15">
        <v>0.13</v>
      </c>
      <c r="M33" s="15">
        <v>0.2</v>
      </c>
      <c r="N33" s="15">
        <v>0.16</v>
      </c>
      <c r="O33" s="15">
        <v>0.19</v>
      </c>
      <c r="P33" s="15">
        <v>0.14000000000000001</v>
      </c>
      <c r="Q33" s="15">
        <v>0.14000000000000001</v>
      </c>
      <c r="R33" s="15">
        <v>0.15</v>
      </c>
      <c r="S33" s="15">
        <v>0.32</v>
      </c>
      <c r="T33" s="15">
        <v>0.35</v>
      </c>
      <c r="U33" s="15">
        <v>0.2</v>
      </c>
      <c r="V33" s="15">
        <v>0.14000000000000001</v>
      </c>
      <c r="W33" s="15">
        <v>0.14000000000000001</v>
      </c>
      <c r="X33" s="15">
        <v>0.17</v>
      </c>
      <c r="Y33" s="15">
        <v>0.1</v>
      </c>
      <c r="Z33" s="15">
        <v>0.23</v>
      </c>
      <c r="AA33" s="15">
        <v>0.09</v>
      </c>
      <c r="AB33" s="15">
        <v>0.14000000000000001</v>
      </c>
      <c r="AC33" s="15">
        <v>0.17</v>
      </c>
      <c r="AD33" s="15">
        <v>0.13</v>
      </c>
      <c r="AE33" s="15">
        <v>0.2</v>
      </c>
      <c r="AF33" s="15">
        <v>0.15</v>
      </c>
    </row>
    <row r="34" spans="1:32" x14ac:dyDescent="0.35">
      <c r="A34" s="19"/>
      <c r="B34" s="11" t="s">
        <v>1448</v>
      </c>
      <c r="C34" s="12">
        <v>1772</v>
      </c>
      <c r="D34" s="12">
        <v>78</v>
      </c>
      <c r="E34" s="12">
        <v>86</v>
      </c>
      <c r="F34" s="12">
        <v>114</v>
      </c>
      <c r="G34" s="12">
        <v>12</v>
      </c>
      <c r="H34" s="12">
        <v>69</v>
      </c>
      <c r="I34" s="12">
        <v>99</v>
      </c>
      <c r="J34" s="12">
        <v>29</v>
      </c>
      <c r="K34" s="12">
        <v>56</v>
      </c>
      <c r="L34" s="12">
        <v>135</v>
      </c>
      <c r="M34" s="12">
        <v>120</v>
      </c>
      <c r="N34" s="12">
        <v>63</v>
      </c>
      <c r="O34" s="12">
        <v>41</v>
      </c>
      <c r="P34" s="12">
        <v>99</v>
      </c>
      <c r="Q34" s="12">
        <v>95</v>
      </c>
      <c r="R34" s="12">
        <v>95</v>
      </c>
      <c r="S34" s="12">
        <v>45</v>
      </c>
      <c r="T34" s="12">
        <v>54</v>
      </c>
      <c r="U34" s="12">
        <v>43</v>
      </c>
      <c r="V34" s="12">
        <v>133</v>
      </c>
      <c r="W34" s="12">
        <v>22</v>
      </c>
      <c r="X34" s="12">
        <v>64</v>
      </c>
      <c r="Y34" s="12">
        <v>39</v>
      </c>
      <c r="Z34" s="12">
        <v>69</v>
      </c>
      <c r="AA34" s="12">
        <v>44</v>
      </c>
      <c r="AB34" s="12">
        <v>67</v>
      </c>
      <c r="AC34" s="12">
        <v>69</v>
      </c>
      <c r="AD34" s="12">
        <v>95</v>
      </c>
      <c r="AE34" s="12">
        <v>30</v>
      </c>
      <c r="AF34" s="12">
        <v>3</v>
      </c>
    </row>
    <row r="35" spans="1:32" x14ac:dyDescent="0.35">
      <c r="A35" s="19"/>
      <c r="B35" s="13" t="s">
        <v>1449</v>
      </c>
      <c r="C35" s="15">
        <v>7.0000000000000007E-2</v>
      </c>
      <c r="D35" s="15">
        <v>0.08</v>
      </c>
      <c r="E35" s="15">
        <v>0.08</v>
      </c>
      <c r="F35" s="15">
        <v>0.1</v>
      </c>
      <c r="G35" s="15">
        <v>0.01</v>
      </c>
      <c r="H35" s="15">
        <v>0.06</v>
      </c>
      <c r="I35" s="15">
        <v>0.06</v>
      </c>
      <c r="J35" s="15">
        <v>0.1</v>
      </c>
      <c r="K35" s="15">
        <v>0.06</v>
      </c>
      <c r="L35" s="15">
        <v>0.13</v>
      </c>
      <c r="M35" s="15">
        <v>0.12</v>
      </c>
      <c r="N35" s="15">
        <v>0.06</v>
      </c>
      <c r="O35" s="15">
        <v>0.04</v>
      </c>
      <c r="P35" s="15">
        <v>0.1</v>
      </c>
      <c r="Q35" s="15">
        <v>0.09</v>
      </c>
      <c r="R35" s="15">
        <v>0.19</v>
      </c>
      <c r="S35" s="15">
        <v>0.04</v>
      </c>
      <c r="T35" s="15">
        <v>0.05</v>
      </c>
      <c r="U35" s="15">
        <v>0.09</v>
      </c>
      <c r="V35" s="15">
        <v>0.13</v>
      </c>
      <c r="W35" s="15">
        <v>0.04</v>
      </c>
      <c r="X35" s="15">
        <v>0.06</v>
      </c>
      <c r="Y35" s="15">
        <v>0.04</v>
      </c>
      <c r="Z35" s="15">
        <v>7.0000000000000007E-2</v>
      </c>
      <c r="AA35" s="15">
        <v>0.04</v>
      </c>
      <c r="AB35" s="15">
        <v>0.06</v>
      </c>
      <c r="AC35" s="15">
        <v>7.0000000000000007E-2</v>
      </c>
      <c r="AD35" s="15">
        <v>0.1</v>
      </c>
      <c r="AE35" s="15">
        <v>0.03</v>
      </c>
      <c r="AF35" s="14" t="s">
        <v>475</v>
      </c>
    </row>
    <row r="36" spans="1:32" ht="21.5" x14ac:dyDescent="0.35">
      <c r="A36" s="19"/>
      <c r="B36" s="11" t="s">
        <v>1450</v>
      </c>
      <c r="C36" s="12">
        <v>1630</v>
      </c>
      <c r="D36" s="12">
        <v>76</v>
      </c>
      <c r="E36" s="12">
        <v>63</v>
      </c>
      <c r="F36" s="12">
        <v>42</v>
      </c>
      <c r="G36" s="12">
        <v>37</v>
      </c>
      <c r="H36" s="12">
        <v>45</v>
      </c>
      <c r="I36" s="12">
        <v>55</v>
      </c>
      <c r="J36" s="12">
        <v>9</v>
      </c>
      <c r="K36" s="12">
        <v>34</v>
      </c>
      <c r="L36" s="12">
        <v>79</v>
      </c>
      <c r="M36" s="12">
        <v>38</v>
      </c>
      <c r="N36" s="12">
        <v>77</v>
      </c>
      <c r="O36" s="12">
        <v>74</v>
      </c>
      <c r="P36" s="12">
        <v>100</v>
      </c>
      <c r="Q36" s="12">
        <v>75</v>
      </c>
      <c r="R36" s="12">
        <v>23</v>
      </c>
      <c r="S36" s="12">
        <v>24</v>
      </c>
      <c r="T36" s="12">
        <v>70</v>
      </c>
      <c r="U36" s="12">
        <v>27</v>
      </c>
      <c r="V36" s="12">
        <v>79</v>
      </c>
      <c r="W36" s="12">
        <v>47</v>
      </c>
      <c r="X36" s="12">
        <v>50</v>
      </c>
      <c r="Y36" s="12">
        <v>65</v>
      </c>
      <c r="Z36" s="12">
        <v>61</v>
      </c>
      <c r="AA36" s="12">
        <v>75</v>
      </c>
      <c r="AB36" s="12">
        <v>90</v>
      </c>
      <c r="AC36" s="12">
        <v>77</v>
      </c>
      <c r="AD36" s="12">
        <v>57</v>
      </c>
      <c r="AE36" s="12">
        <v>86</v>
      </c>
      <c r="AF36" s="12">
        <v>36</v>
      </c>
    </row>
    <row r="37" spans="1:32" ht="21.5" x14ac:dyDescent="0.35">
      <c r="A37" s="19"/>
      <c r="B37" s="13" t="s">
        <v>1451</v>
      </c>
      <c r="C37" s="15">
        <v>0.06</v>
      </c>
      <c r="D37" s="15">
        <v>0.08</v>
      </c>
      <c r="E37" s="15">
        <v>0.06</v>
      </c>
      <c r="F37" s="15">
        <v>0.04</v>
      </c>
      <c r="G37" s="15">
        <v>0.04</v>
      </c>
      <c r="H37" s="15">
        <v>0.04</v>
      </c>
      <c r="I37" s="15">
        <v>0.04</v>
      </c>
      <c r="J37" s="15">
        <v>0.03</v>
      </c>
      <c r="K37" s="15">
        <v>0.03</v>
      </c>
      <c r="L37" s="15">
        <v>0.08</v>
      </c>
      <c r="M37" s="15">
        <v>0.04</v>
      </c>
      <c r="N37" s="15">
        <v>0.08</v>
      </c>
      <c r="O37" s="15">
        <v>7.0000000000000007E-2</v>
      </c>
      <c r="P37" s="15">
        <v>0.1</v>
      </c>
      <c r="Q37" s="15">
        <v>7.0000000000000007E-2</v>
      </c>
      <c r="R37" s="15">
        <v>0.04</v>
      </c>
      <c r="S37" s="15">
        <v>0.02</v>
      </c>
      <c r="T37" s="15">
        <v>7.0000000000000007E-2</v>
      </c>
      <c r="U37" s="15">
        <v>0.05</v>
      </c>
      <c r="V37" s="15">
        <v>0.08</v>
      </c>
      <c r="W37" s="15">
        <v>0.09</v>
      </c>
      <c r="X37" s="15">
        <v>0.05</v>
      </c>
      <c r="Y37" s="15">
        <v>7.0000000000000007E-2</v>
      </c>
      <c r="Z37" s="15">
        <v>0.06</v>
      </c>
      <c r="AA37" s="15">
        <v>7.0000000000000007E-2</v>
      </c>
      <c r="AB37" s="15">
        <v>0.08</v>
      </c>
      <c r="AC37" s="15">
        <v>0.08</v>
      </c>
      <c r="AD37" s="15">
        <v>0.06</v>
      </c>
      <c r="AE37" s="15">
        <v>0.08</v>
      </c>
      <c r="AF37" s="15">
        <v>0.03</v>
      </c>
    </row>
    <row r="38" spans="1:32" ht="31.5" x14ac:dyDescent="0.35">
      <c r="A38" s="19"/>
      <c r="B38" s="11" t="s">
        <v>1452</v>
      </c>
      <c r="C38" s="12">
        <v>3767</v>
      </c>
      <c r="D38" s="12">
        <v>115</v>
      </c>
      <c r="E38" s="12">
        <v>142</v>
      </c>
      <c r="F38" s="12">
        <v>61</v>
      </c>
      <c r="G38" s="12">
        <v>136</v>
      </c>
      <c r="H38" s="12">
        <v>337</v>
      </c>
      <c r="I38" s="12">
        <v>401</v>
      </c>
      <c r="J38" s="12">
        <v>63</v>
      </c>
      <c r="K38" s="12">
        <v>62</v>
      </c>
      <c r="L38" s="12">
        <v>79</v>
      </c>
      <c r="M38" s="12">
        <v>168</v>
      </c>
      <c r="N38" s="12">
        <v>204</v>
      </c>
      <c r="O38" s="12">
        <v>91</v>
      </c>
      <c r="P38" s="12">
        <v>113</v>
      </c>
      <c r="Q38" s="12">
        <v>116</v>
      </c>
      <c r="R38" s="12">
        <v>61</v>
      </c>
      <c r="S38" s="12">
        <v>78</v>
      </c>
      <c r="T38" s="12">
        <v>72</v>
      </c>
      <c r="U38" s="12">
        <v>70</v>
      </c>
      <c r="V38" s="12">
        <v>55</v>
      </c>
      <c r="W38" s="12">
        <v>86</v>
      </c>
      <c r="X38" s="12">
        <v>76</v>
      </c>
      <c r="Y38" s="12">
        <v>122</v>
      </c>
      <c r="Z38" s="12">
        <v>87</v>
      </c>
      <c r="AA38" s="12">
        <v>196</v>
      </c>
      <c r="AB38" s="12">
        <v>67</v>
      </c>
      <c r="AC38" s="12">
        <v>146</v>
      </c>
      <c r="AD38" s="12">
        <v>97</v>
      </c>
      <c r="AE38" s="12">
        <v>139</v>
      </c>
      <c r="AF38" s="12">
        <v>102</v>
      </c>
    </row>
    <row r="39" spans="1:32" ht="21.5" x14ac:dyDescent="0.35">
      <c r="A39" s="19"/>
      <c r="B39" s="13" t="s">
        <v>1453</v>
      </c>
      <c r="C39" s="15">
        <v>0.14000000000000001</v>
      </c>
      <c r="D39" s="15">
        <v>0.11</v>
      </c>
      <c r="E39" s="15">
        <v>0.14000000000000001</v>
      </c>
      <c r="F39" s="15">
        <v>0.05</v>
      </c>
      <c r="G39" s="15">
        <v>0.13</v>
      </c>
      <c r="H39" s="15">
        <v>0.27</v>
      </c>
      <c r="I39" s="15">
        <v>0.26</v>
      </c>
      <c r="J39" s="15">
        <v>0.22</v>
      </c>
      <c r="K39" s="15">
        <v>0.06</v>
      </c>
      <c r="L39" s="15">
        <v>0.08</v>
      </c>
      <c r="M39" s="15">
        <v>0.17</v>
      </c>
      <c r="N39" s="15">
        <v>0.2</v>
      </c>
      <c r="O39" s="15">
        <v>0.09</v>
      </c>
      <c r="P39" s="15">
        <v>0.11</v>
      </c>
      <c r="Q39" s="15">
        <v>0.11</v>
      </c>
      <c r="R39" s="15">
        <v>0.12</v>
      </c>
      <c r="S39" s="15">
        <v>0.08</v>
      </c>
      <c r="T39" s="15">
        <v>7.0000000000000007E-2</v>
      </c>
      <c r="U39" s="15">
        <v>0.14000000000000001</v>
      </c>
      <c r="V39" s="15">
        <v>0.05</v>
      </c>
      <c r="W39" s="15">
        <v>0.17</v>
      </c>
      <c r="X39" s="15">
        <v>0.08</v>
      </c>
      <c r="Y39" s="15">
        <v>0.12</v>
      </c>
      <c r="Z39" s="15">
        <v>0.08</v>
      </c>
      <c r="AA39" s="15">
        <v>0.19</v>
      </c>
      <c r="AB39" s="15">
        <v>0.06</v>
      </c>
      <c r="AC39" s="15">
        <v>0.15</v>
      </c>
      <c r="AD39" s="15">
        <v>0.1</v>
      </c>
      <c r="AE39" s="15">
        <v>0.14000000000000001</v>
      </c>
      <c r="AF39" s="15">
        <v>0.1</v>
      </c>
    </row>
    <row r="40" spans="1:32" ht="21.5" x14ac:dyDescent="0.35">
      <c r="A40" s="19"/>
      <c r="B40" s="11" t="s">
        <v>1454</v>
      </c>
      <c r="C40" s="12">
        <v>558</v>
      </c>
      <c r="D40" s="12">
        <v>25</v>
      </c>
      <c r="E40" s="12">
        <v>18</v>
      </c>
      <c r="F40" s="12">
        <v>22</v>
      </c>
      <c r="G40" s="12">
        <v>13</v>
      </c>
      <c r="H40" s="12">
        <v>13</v>
      </c>
      <c r="I40" s="12">
        <v>15</v>
      </c>
      <c r="J40" s="12">
        <v>2</v>
      </c>
      <c r="K40" s="12">
        <v>17</v>
      </c>
      <c r="L40" s="12">
        <v>6</v>
      </c>
      <c r="M40" s="12">
        <v>35</v>
      </c>
      <c r="N40" s="12">
        <v>14</v>
      </c>
      <c r="O40" s="12">
        <v>12</v>
      </c>
      <c r="P40" s="12">
        <v>24</v>
      </c>
      <c r="Q40" s="12">
        <v>23</v>
      </c>
      <c r="R40" s="12">
        <v>10</v>
      </c>
      <c r="S40" s="12">
        <v>31</v>
      </c>
      <c r="T40" s="12">
        <v>17</v>
      </c>
      <c r="U40" s="12">
        <v>7</v>
      </c>
      <c r="V40" s="12">
        <v>34</v>
      </c>
      <c r="W40" s="12">
        <v>6</v>
      </c>
      <c r="X40" s="12">
        <v>6</v>
      </c>
      <c r="Y40" s="12">
        <v>23</v>
      </c>
      <c r="Z40" s="12">
        <v>66</v>
      </c>
      <c r="AA40" s="12">
        <v>30</v>
      </c>
      <c r="AB40" s="12">
        <v>49</v>
      </c>
      <c r="AC40" s="12">
        <v>22</v>
      </c>
      <c r="AD40" s="12">
        <v>30</v>
      </c>
      <c r="AE40" s="12">
        <v>5</v>
      </c>
      <c r="AF40" s="12">
        <v>5</v>
      </c>
    </row>
    <row r="41" spans="1:32" ht="21.5" x14ac:dyDescent="0.35">
      <c r="A41" s="19"/>
      <c r="B41" s="13" t="s">
        <v>1455</v>
      </c>
      <c r="C41" s="15">
        <v>0.02</v>
      </c>
      <c r="D41" s="15">
        <v>0.03</v>
      </c>
      <c r="E41" s="15">
        <v>0.02</v>
      </c>
      <c r="F41" s="15">
        <v>0.02</v>
      </c>
      <c r="G41" s="15">
        <v>0.01</v>
      </c>
      <c r="H41" s="15">
        <v>0.01</v>
      </c>
      <c r="I41" s="15">
        <v>0.01</v>
      </c>
      <c r="J41" s="15">
        <v>0.01</v>
      </c>
      <c r="K41" s="15">
        <v>0.02</v>
      </c>
      <c r="L41" s="15">
        <v>0.01</v>
      </c>
      <c r="M41" s="15">
        <v>0.04</v>
      </c>
      <c r="N41" s="15">
        <v>0.01</v>
      </c>
      <c r="O41" s="15">
        <v>0.01</v>
      </c>
      <c r="P41" s="15">
        <v>0.02</v>
      </c>
      <c r="Q41" s="15">
        <v>0.02</v>
      </c>
      <c r="R41" s="15">
        <v>0.02</v>
      </c>
      <c r="S41" s="15">
        <v>0.03</v>
      </c>
      <c r="T41" s="15">
        <v>0.02</v>
      </c>
      <c r="U41" s="15">
        <v>0.01</v>
      </c>
      <c r="V41" s="15">
        <v>0.03</v>
      </c>
      <c r="W41" s="15">
        <v>0.01</v>
      </c>
      <c r="X41" s="15">
        <v>0.01</v>
      </c>
      <c r="Y41" s="15">
        <v>0.02</v>
      </c>
      <c r="Z41" s="15">
        <v>0.06</v>
      </c>
      <c r="AA41" s="15">
        <v>0.03</v>
      </c>
      <c r="AB41" s="15">
        <v>0.05</v>
      </c>
      <c r="AC41" s="15">
        <v>0.02</v>
      </c>
      <c r="AD41" s="15">
        <v>0.03</v>
      </c>
      <c r="AE41" s="14" t="s">
        <v>475</v>
      </c>
      <c r="AF41" s="15">
        <v>0.01</v>
      </c>
    </row>
    <row r="42" spans="1:32" x14ac:dyDescent="0.35">
      <c r="A42" s="19"/>
      <c r="B42" s="11" t="s">
        <v>611</v>
      </c>
      <c r="C42" s="12">
        <v>108</v>
      </c>
      <c r="D42" s="12">
        <v>3</v>
      </c>
      <c r="E42" s="12">
        <v>6</v>
      </c>
      <c r="F42" s="12">
        <v>2</v>
      </c>
      <c r="G42" s="12">
        <v>1</v>
      </c>
      <c r="H42" s="12">
        <v>4</v>
      </c>
      <c r="I42" s="12">
        <v>4</v>
      </c>
      <c r="J42" s="12">
        <v>0</v>
      </c>
      <c r="K42" s="12">
        <v>15</v>
      </c>
      <c r="L42" s="12">
        <v>1</v>
      </c>
      <c r="M42" s="12">
        <v>4</v>
      </c>
      <c r="N42" s="12">
        <v>8</v>
      </c>
      <c r="O42" s="12">
        <v>6</v>
      </c>
      <c r="P42" s="12">
        <v>1</v>
      </c>
      <c r="Q42" s="12">
        <v>5</v>
      </c>
      <c r="R42" s="12">
        <v>1</v>
      </c>
      <c r="S42" s="12">
        <v>2</v>
      </c>
      <c r="T42" s="12">
        <v>2</v>
      </c>
      <c r="U42" s="12">
        <v>2</v>
      </c>
      <c r="V42" s="12">
        <v>0</v>
      </c>
      <c r="W42" s="12">
        <v>1</v>
      </c>
      <c r="X42" s="12">
        <v>2</v>
      </c>
      <c r="Y42" s="12">
        <v>3</v>
      </c>
      <c r="Z42" s="12">
        <v>3</v>
      </c>
      <c r="AA42" s="12">
        <v>8</v>
      </c>
      <c r="AB42" s="12">
        <v>1</v>
      </c>
      <c r="AC42" s="12">
        <v>13</v>
      </c>
      <c r="AD42" s="12">
        <v>6</v>
      </c>
      <c r="AE42" s="12">
        <v>2</v>
      </c>
      <c r="AF42" s="12">
        <v>0</v>
      </c>
    </row>
    <row r="43" spans="1:32" x14ac:dyDescent="0.35">
      <c r="A43" s="19"/>
      <c r="B43" s="13" t="s">
        <v>612</v>
      </c>
      <c r="C43" s="14" t="s">
        <v>475</v>
      </c>
      <c r="D43" s="14" t="s">
        <v>475</v>
      </c>
      <c r="E43" s="15">
        <v>0.01</v>
      </c>
      <c r="F43" s="14" t="s">
        <v>475</v>
      </c>
      <c r="G43" s="14" t="s">
        <v>475</v>
      </c>
      <c r="H43" s="14" t="s">
        <v>475</v>
      </c>
      <c r="I43" s="14" t="s">
        <v>475</v>
      </c>
      <c r="J43" s="14" t="s">
        <v>475</v>
      </c>
      <c r="K43" s="15">
        <v>0.01</v>
      </c>
      <c r="L43" s="14" t="s">
        <v>475</v>
      </c>
      <c r="M43" s="14" t="s">
        <v>475</v>
      </c>
      <c r="N43" s="15">
        <v>0.01</v>
      </c>
      <c r="O43" s="15">
        <v>0.01</v>
      </c>
      <c r="P43" s="14" t="s">
        <v>475</v>
      </c>
      <c r="Q43" s="14" t="s">
        <v>475</v>
      </c>
      <c r="R43" s="14" t="s">
        <v>475</v>
      </c>
      <c r="S43" s="14" t="s">
        <v>475</v>
      </c>
      <c r="T43" s="14" t="s">
        <v>475</v>
      </c>
      <c r="U43" s="14" t="s">
        <v>475</v>
      </c>
      <c r="V43" s="14" t="s">
        <v>475</v>
      </c>
      <c r="W43" s="14" t="s">
        <v>475</v>
      </c>
      <c r="X43" s="14" t="s">
        <v>475</v>
      </c>
      <c r="Y43" s="14" t="s">
        <v>475</v>
      </c>
      <c r="Z43" s="14" t="s">
        <v>475</v>
      </c>
      <c r="AA43" s="15">
        <v>0.01</v>
      </c>
      <c r="AB43" s="14" t="s">
        <v>475</v>
      </c>
      <c r="AC43" s="15">
        <v>0.01</v>
      </c>
      <c r="AD43" s="15">
        <v>0.01</v>
      </c>
      <c r="AE43" s="14" t="s">
        <v>475</v>
      </c>
      <c r="AF43" s="14" t="s">
        <v>475</v>
      </c>
    </row>
    <row r="44" spans="1:32" x14ac:dyDescent="0.35">
      <c r="A44" s="19"/>
      <c r="B44" s="11" t="s">
        <v>613</v>
      </c>
      <c r="C44" s="12">
        <v>98</v>
      </c>
      <c r="D44" s="12">
        <v>3</v>
      </c>
      <c r="E44" s="12">
        <v>12</v>
      </c>
      <c r="F44" s="12">
        <v>4</v>
      </c>
      <c r="G44" s="12">
        <v>2</v>
      </c>
      <c r="H44" s="12">
        <v>0</v>
      </c>
      <c r="I44" s="12">
        <v>1</v>
      </c>
      <c r="J44" s="12">
        <v>1</v>
      </c>
      <c r="K44" s="12">
        <v>5</v>
      </c>
      <c r="L44" s="12">
        <v>1</v>
      </c>
      <c r="M44" s="12">
        <v>1</v>
      </c>
      <c r="N44" s="12">
        <v>11</v>
      </c>
      <c r="O44" s="12">
        <v>4</v>
      </c>
      <c r="P44" s="12">
        <v>2</v>
      </c>
      <c r="Q44" s="12">
        <v>9</v>
      </c>
      <c r="R44" s="12">
        <v>4</v>
      </c>
      <c r="S44" s="12">
        <v>0</v>
      </c>
      <c r="T44" s="12">
        <v>1</v>
      </c>
      <c r="U44" s="12">
        <v>2</v>
      </c>
      <c r="V44" s="12">
        <v>0</v>
      </c>
      <c r="W44" s="12">
        <v>0</v>
      </c>
      <c r="X44" s="12">
        <v>0</v>
      </c>
      <c r="Y44" s="12">
        <v>4</v>
      </c>
      <c r="Z44" s="12">
        <v>1</v>
      </c>
      <c r="AA44" s="12">
        <v>0</v>
      </c>
      <c r="AB44" s="12">
        <v>0</v>
      </c>
      <c r="AC44" s="12">
        <v>3</v>
      </c>
      <c r="AD44" s="12">
        <v>1</v>
      </c>
      <c r="AE44" s="12">
        <v>1</v>
      </c>
      <c r="AF44" s="12">
        <v>0</v>
      </c>
    </row>
    <row r="45" spans="1:32" x14ac:dyDescent="0.35">
      <c r="A45" s="19"/>
      <c r="B45" s="13" t="s">
        <v>614</v>
      </c>
      <c r="C45" s="14" t="s">
        <v>475</v>
      </c>
      <c r="D45" s="14" t="s">
        <v>475</v>
      </c>
      <c r="E45" s="15">
        <v>0.01</v>
      </c>
      <c r="F45" s="14" t="s">
        <v>475</v>
      </c>
      <c r="G45" s="14" t="s">
        <v>475</v>
      </c>
      <c r="H45" s="14" t="s">
        <v>475</v>
      </c>
      <c r="I45" s="14" t="s">
        <v>475</v>
      </c>
      <c r="J45" s="14" t="s">
        <v>475</v>
      </c>
      <c r="K45" s="14" t="s">
        <v>475</v>
      </c>
      <c r="L45" s="14" t="s">
        <v>475</v>
      </c>
      <c r="M45" s="14" t="s">
        <v>475</v>
      </c>
      <c r="N45" s="15">
        <v>0.01</v>
      </c>
      <c r="O45" s="14" t="s">
        <v>475</v>
      </c>
      <c r="P45" s="14" t="s">
        <v>475</v>
      </c>
      <c r="Q45" s="15">
        <v>0.01</v>
      </c>
      <c r="R45" s="15">
        <v>0.01</v>
      </c>
      <c r="S45" s="14" t="s">
        <v>475</v>
      </c>
      <c r="T45" s="14" t="s">
        <v>475</v>
      </c>
      <c r="U45" s="14" t="s">
        <v>475</v>
      </c>
      <c r="V45" s="14" t="s">
        <v>475</v>
      </c>
      <c r="W45" s="14" t="s">
        <v>475</v>
      </c>
      <c r="X45" s="14" t="s">
        <v>475</v>
      </c>
      <c r="Y45" s="14" t="s">
        <v>475</v>
      </c>
      <c r="Z45" s="14" t="s">
        <v>475</v>
      </c>
      <c r="AA45" s="14" t="s">
        <v>475</v>
      </c>
      <c r="AB45" s="14" t="s">
        <v>475</v>
      </c>
      <c r="AC45" s="14" t="s">
        <v>475</v>
      </c>
      <c r="AD45" s="14" t="s">
        <v>475</v>
      </c>
      <c r="AE45" s="14" t="s">
        <v>475</v>
      </c>
      <c r="AF45" s="14" t="s">
        <v>475</v>
      </c>
    </row>
    <row r="46" spans="1:32" x14ac:dyDescent="0.35">
      <c r="A46" s="19"/>
      <c r="B46" s="11" t="s">
        <v>485</v>
      </c>
      <c r="C46" s="12">
        <v>2171</v>
      </c>
      <c r="D46" s="12">
        <v>43</v>
      </c>
      <c r="E46" s="12">
        <v>133</v>
      </c>
      <c r="F46" s="12">
        <v>102</v>
      </c>
      <c r="G46" s="12">
        <v>67</v>
      </c>
      <c r="H46" s="12">
        <v>96</v>
      </c>
      <c r="I46" s="12">
        <v>106</v>
      </c>
      <c r="J46" s="12">
        <v>10</v>
      </c>
      <c r="K46" s="12">
        <v>99</v>
      </c>
      <c r="L46" s="12">
        <v>84</v>
      </c>
      <c r="M46" s="12">
        <v>51</v>
      </c>
      <c r="N46" s="12">
        <v>87</v>
      </c>
      <c r="O46" s="12">
        <v>138</v>
      </c>
      <c r="P46" s="12">
        <v>39</v>
      </c>
      <c r="Q46" s="12">
        <v>91</v>
      </c>
      <c r="R46" s="12">
        <v>60</v>
      </c>
      <c r="S46" s="12">
        <v>171</v>
      </c>
      <c r="T46" s="12">
        <v>83</v>
      </c>
      <c r="U46" s="12">
        <v>25</v>
      </c>
      <c r="V46" s="12">
        <v>56</v>
      </c>
      <c r="W46" s="12">
        <v>17</v>
      </c>
      <c r="X46" s="12">
        <v>59</v>
      </c>
      <c r="Y46" s="12">
        <v>86</v>
      </c>
      <c r="Z46" s="12">
        <v>25</v>
      </c>
      <c r="AA46" s="12">
        <v>196</v>
      </c>
      <c r="AB46" s="12">
        <v>59</v>
      </c>
      <c r="AC46" s="12">
        <v>91</v>
      </c>
      <c r="AD46" s="12">
        <v>40</v>
      </c>
      <c r="AE46" s="12">
        <v>77</v>
      </c>
      <c r="AF46" s="12">
        <v>33</v>
      </c>
    </row>
    <row r="47" spans="1:32" x14ac:dyDescent="0.35">
      <c r="A47" s="19"/>
      <c r="B47" s="13" t="s">
        <v>486</v>
      </c>
      <c r="C47" s="15">
        <v>0.08</v>
      </c>
      <c r="D47" s="15">
        <v>0.04</v>
      </c>
      <c r="E47" s="15">
        <v>0.13</v>
      </c>
      <c r="F47" s="15">
        <v>0.09</v>
      </c>
      <c r="G47" s="15">
        <v>7.0000000000000007E-2</v>
      </c>
      <c r="H47" s="15">
        <v>0.08</v>
      </c>
      <c r="I47" s="15">
        <v>7.0000000000000007E-2</v>
      </c>
      <c r="J47" s="15">
        <v>0.03</v>
      </c>
      <c r="K47" s="15">
        <v>0.1</v>
      </c>
      <c r="L47" s="15">
        <v>0.08</v>
      </c>
      <c r="M47" s="15">
        <v>0.05</v>
      </c>
      <c r="N47" s="15">
        <v>0.09</v>
      </c>
      <c r="O47" s="15">
        <v>0.14000000000000001</v>
      </c>
      <c r="P47" s="15">
        <v>0.04</v>
      </c>
      <c r="Q47" s="15">
        <v>0.09</v>
      </c>
      <c r="R47" s="15">
        <v>0.12</v>
      </c>
      <c r="S47" s="15">
        <v>0.17</v>
      </c>
      <c r="T47" s="15">
        <v>0.08</v>
      </c>
      <c r="U47" s="15">
        <v>0.05</v>
      </c>
      <c r="V47" s="15">
        <v>0.06</v>
      </c>
      <c r="W47" s="15">
        <v>0.03</v>
      </c>
      <c r="X47" s="15">
        <v>0.06</v>
      </c>
      <c r="Y47" s="15">
        <v>0.09</v>
      </c>
      <c r="Z47" s="15">
        <v>0.02</v>
      </c>
      <c r="AA47" s="15">
        <v>0.19</v>
      </c>
      <c r="AB47" s="15">
        <v>0.06</v>
      </c>
      <c r="AC47" s="15">
        <v>0.09</v>
      </c>
      <c r="AD47" s="15">
        <v>0.04</v>
      </c>
      <c r="AE47" s="15">
        <v>0.08</v>
      </c>
      <c r="AF47" s="15">
        <v>0.03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47"/>
  <sheetViews>
    <sheetView workbookViewId="0">
      <pane xSplit="3" ySplit="9" topLeftCell="D28"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351</v>
      </c>
      <c r="C3" s="18"/>
      <c r="D3" s="18"/>
      <c r="E3" s="18"/>
      <c r="F3" s="18"/>
      <c r="H3" s="18" t="s">
        <v>352</v>
      </c>
      <c r="I3" s="18"/>
      <c r="J3" s="18"/>
      <c r="K3" s="18"/>
      <c r="L3" s="18"/>
    </row>
    <row r="4" spans="1:32" ht="27" customHeight="1" x14ac:dyDescent="0.35">
      <c r="B4" s="18"/>
      <c r="C4" s="18"/>
      <c r="D4" s="18"/>
      <c r="E4" s="18"/>
      <c r="F4" s="18"/>
      <c r="H4" s="18"/>
      <c r="I4" s="18"/>
      <c r="J4" s="18"/>
      <c r="K4" s="18"/>
      <c r="L4" s="18"/>
    </row>
    <row r="5" spans="1:32" ht="24" customHeight="1" x14ac:dyDescent="0.35">
      <c r="B5" s="18" t="s">
        <v>1456</v>
      </c>
      <c r="C5" s="18"/>
      <c r="D5" s="18"/>
      <c r="E5" s="18"/>
      <c r="F5" s="18"/>
      <c r="H5" s="18" t="s">
        <v>1457</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HYPERLINK("#Content!A178","&lt;&lt;Back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24176</v>
      </c>
      <c r="D10" s="10">
        <v>967</v>
      </c>
      <c r="E10" s="10">
        <v>885</v>
      </c>
      <c r="F10" s="10">
        <v>996</v>
      </c>
      <c r="G10" s="10">
        <v>937</v>
      </c>
      <c r="H10" s="10">
        <v>1125</v>
      </c>
      <c r="I10" s="10">
        <v>1409</v>
      </c>
      <c r="J10" s="10">
        <v>284</v>
      </c>
      <c r="K10" s="10">
        <v>898</v>
      </c>
      <c r="L10" s="10">
        <v>917</v>
      </c>
      <c r="M10" s="10">
        <v>958</v>
      </c>
      <c r="N10" s="10">
        <v>905</v>
      </c>
      <c r="O10" s="10">
        <v>859</v>
      </c>
      <c r="P10" s="10">
        <v>962</v>
      </c>
      <c r="Q10" s="10">
        <v>927</v>
      </c>
      <c r="R10" s="10">
        <v>441</v>
      </c>
      <c r="S10" s="10">
        <v>831</v>
      </c>
      <c r="T10" s="10">
        <v>923</v>
      </c>
      <c r="U10" s="10">
        <v>477</v>
      </c>
      <c r="V10" s="10">
        <v>959</v>
      </c>
      <c r="W10" s="10">
        <v>491</v>
      </c>
      <c r="X10" s="10">
        <v>950</v>
      </c>
      <c r="Y10" s="10">
        <v>913</v>
      </c>
      <c r="Z10" s="10">
        <v>1005</v>
      </c>
      <c r="AA10" s="10">
        <v>837</v>
      </c>
      <c r="AB10" s="10">
        <v>992</v>
      </c>
      <c r="AC10" s="10">
        <v>909</v>
      </c>
      <c r="AD10" s="10">
        <v>963</v>
      </c>
      <c r="AE10" s="10">
        <v>934</v>
      </c>
      <c r="AF10" s="10">
        <v>1010</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1428</v>
      </c>
      <c r="C12" s="12">
        <v>2934</v>
      </c>
      <c r="D12" s="12">
        <v>149</v>
      </c>
      <c r="E12" s="12">
        <v>105</v>
      </c>
      <c r="F12" s="12">
        <v>111</v>
      </c>
      <c r="G12" s="12">
        <v>118</v>
      </c>
      <c r="H12" s="12">
        <v>85</v>
      </c>
      <c r="I12" s="12">
        <v>111</v>
      </c>
      <c r="J12" s="12">
        <v>26</v>
      </c>
      <c r="K12" s="12">
        <v>73</v>
      </c>
      <c r="L12" s="12">
        <v>118</v>
      </c>
      <c r="M12" s="12">
        <v>119</v>
      </c>
      <c r="N12" s="12">
        <v>97</v>
      </c>
      <c r="O12" s="12">
        <v>125</v>
      </c>
      <c r="P12" s="12">
        <v>142</v>
      </c>
      <c r="Q12" s="12">
        <v>160</v>
      </c>
      <c r="R12" s="12">
        <v>64</v>
      </c>
      <c r="S12" s="12">
        <v>59</v>
      </c>
      <c r="T12" s="12">
        <v>75</v>
      </c>
      <c r="U12" s="12">
        <v>45</v>
      </c>
      <c r="V12" s="12">
        <v>130</v>
      </c>
      <c r="W12" s="12">
        <v>70</v>
      </c>
      <c r="X12" s="12">
        <v>131</v>
      </c>
      <c r="Y12" s="12">
        <v>135</v>
      </c>
      <c r="Z12" s="12">
        <v>105</v>
      </c>
      <c r="AA12" s="12">
        <v>82</v>
      </c>
      <c r="AB12" s="12">
        <v>116</v>
      </c>
      <c r="AC12" s="12">
        <v>82</v>
      </c>
      <c r="AD12" s="12">
        <v>118</v>
      </c>
      <c r="AE12" s="12">
        <v>114</v>
      </c>
      <c r="AF12" s="12">
        <v>104</v>
      </c>
    </row>
    <row r="13" spans="1:32" ht="21.5" x14ac:dyDescent="0.35">
      <c r="A13" s="19"/>
      <c r="B13" s="13" t="s">
        <v>1429</v>
      </c>
      <c r="C13" s="15">
        <v>0.13</v>
      </c>
      <c r="D13" s="15">
        <v>0.16</v>
      </c>
      <c r="E13" s="15">
        <v>0.13</v>
      </c>
      <c r="F13" s="15">
        <v>0.12</v>
      </c>
      <c r="G13" s="15">
        <v>0.13</v>
      </c>
      <c r="H13" s="15">
        <v>0.08</v>
      </c>
      <c r="I13" s="15">
        <v>0.08</v>
      </c>
      <c r="J13" s="15">
        <v>0.09</v>
      </c>
      <c r="K13" s="15">
        <v>0.08</v>
      </c>
      <c r="L13" s="15">
        <v>0.13</v>
      </c>
      <c r="M13" s="15">
        <v>0.13</v>
      </c>
      <c r="N13" s="15">
        <v>0.11</v>
      </c>
      <c r="O13" s="15">
        <v>0.15</v>
      </c>
      <c r="P13" s="15">
        <v>0.15</v>
      </c>
      <c r="Q13" s="15">
        <v>0.19</v>
      </c>
      <c r="R13" s="15">
        <v>0.15</v>
      </c>
      <c r="S13" s="15">
        <v>7.0000000000000007E-2</v>
      </c>
      <c r="T13" s="15">
        <v>0.08</v>
      </c>
      <c r="U13" s="15">
        <v>0.1</v>
      </c>
      <c r="V13" s="15">
        <v>0.14000000000000001</v>
      </c>
      <c r="W13" s="15">
        <v>0.15</v>
      </c>
      <c r="X13" s="15">
        <v>0.14000000000000001</v>
      </c>
      <c r="Y13" s="15">
        <v>0.15</v>
      </c>
      <c r="Z13" s="15">
        <v>0.11</v>
      </c>
      <c r="AA13" s="15">
        <v>0.1</v>
      </c>
      <c r="AB13" s="15">
        <v>0.12</v>
      </c>
      <c r="AC13" s="15">
        <v>0.09</v>
      </c>
      <c r="AD13" s="15">
        <v>0.13</v>
      </c>
      <c r="AE13" s="15">
        <v>0.12</v>
      </c>
      <c r="AF13" s="15">
        <v>0.1</v>
      </c>
    </row>
    <row r="14" spans="1:32" ht="21.5" x14ac:dyDescent="0.35">
      <c r="A14" s="19"/>
      <c r="B14" s="11" t="s">
        <v>1430</v>
      </c>
      <c r="C14" s="12">
        <v>2322</v>
      </c>
      <c r="D14" s="12">
        <v>109</v>
      </c>
      <c r="E14" s="12">
        <v>92</v>
      </c>
      <c r="F14" s="12">
        <v>90</v>
      </c>
      <c r="G14" s="12">
        <v>95</v>
      </c>
      <c r="H14" s="12">
        <v>48</v>
      </c>
      <c r="I14" s="12">
        <v>57</v>
      </c>
      <c r="J14" s="12">
        <v>9</v>
      </c>
      <c r="K14" s="12">
        <v>77</v>
      </c>
      <c r="L14" s="12">
        <v>138</v>
      </c>
      <c r="M14" s="12">
        <v>84</v>
      </c>
      <c r="N14" s="12">
        <v>107</v>
      </c>
      <c r="O14" s="12">
        <v>107</v>
      </c>
      <c r="P14" s="12">
        <v>142</v>
      </c>
      <c r="Q14" s="12">
        <v>113</v>
      </c>
      <c r="R14" s="12">
        <v>72</v>
      </c>
      <c r="S14" s="12">
        <v>96</v>
      </c>
      <c r="T14" s="12">
        <v>102</v>
      </c>
      <c r="U14" s="12">
        <v>44</v>
      </c>
      <c r="V14" s="12">
        <v>110</v>
      </c>
      <c r="W14" s="12">
        <v>101</v>
      </c>
      <c r="X14" s="12">
        <v>81</v>
      </c>
      <c r="Y14" s="12">
        <v>90</v>
      </c>
      <c r="Z14" s="12">
        <v>76</v>
      </c>
      <c r="AA14" s="12">
        <v>117</v>
      </c>
      <c r="AB14" s="12">
        <v>127</v>
      </c>
      <c r="AC14" s="12">
        <v>71</v>
      </c>
      <c r="AD14" s="12">
        <v>84</v>
      </c>
      <c r="AE14" s="12">
        <v>41</v>
      </c>
      <c r="AF14" s="12">
        <v>63</v>
      </c>
    </row>
    <row r="15" spans="1:32" ht="21.5" x14ac:dyDescent="0.35">
      <c r="A15" s="19"/>
      <c r="B15" s="13" t="s">
        <v>1431</v>
      </c>
      <c r="C15" s="15">
        <v>0.1</v>
      </c>
      <c r="D15" s="15">
        <v>0.12</v>
      </c>
      <c r="E15" s="15">
        <v>0.11</v>
      </c>
      <c r="F15" s="15">
        <v>0.09</v>
      </c>
      <c r="G15" s="15">
        <v>0.1</v>
      </c>
      <c r="H15" s="15">
        <v>0.04</v>
      </c>
      <c r="I15" s="15">
        <v>0.04</v>
      </c>
      <c r="J15" s="15">
        <v>0.03</v>
      </c>
      <c r="K15" s="15">
        <v>0.09</v>
      </c>
      <c r="L15" s="15">
        <v>0.16</v>
      </c>
      <c r="M15" s="15">
        <v>0.09</v>
      </c>
      <c r="N15" s="15">
        <v>0.12</v>
      </c>
      <c r="O15" s="15">
        <v>0.13</v>
      </c>
      <c r="P15" s="15">
        <v>0.16</v>
      </c>
      <c r="Q15" s="15">
        <v>0.13</v>
      </c>
      <c r="R15" s="15">
        <v>0.17</v>
      </c>
      <c r="S15" s="15">
        <v>0.12</v>
      </c>
      <c r="T15" s="15">
        <v>0.12</v>
      </c>
      <c r="U15" s="15">
        <v>0.1</v>
      </c>
      <c r="V15" s="15">
        <v>0.12</v>
      </c>
      <c r="W15" s="15">
        <v>0.22</v>
      </c>
      <c r="X15" s="15">
        <v>0.09</v>
      </c>
      <c r="Y15" s="15">
        <v>0.1</v>
      </c>
      <c r="Z15" s="15">
        <v>0.08</v>
      </c>
      <c r="AA15" s="15">
        <v>0.14000000000000001</v>
      </c>
      <c r="AB15" s="15">
        <v>0.14000000000000001</v>
      </c>
      <c r="AC15" s="15">
        <v>0.08</v>
      </c>
      <c r="AD15" s="15">
        <v>0.09</v>
      </c>
      <c r="AE15" s="15">
        <v>0.04</v>
      </c>
      <c r="AF15" s="15">
        <v>0.06</v>
      </c>
    </row>
    <row r="16" spans="1:32" ht="31.5" x14ac:dyDescent="0.35">
      <c r="A16" s="19"/>
      <c r="B16" s="11" t="s">
        <v>1432</v>
      </c>
      <c r="C16" s="12">
        <v>3876</v>
      </c>
      <c r="D16" s="12">
        <v>136</v>
      </c>
      <c r="E16" s="12">
        <v>136</v>
      </c>
      <c r="F16" s="12">
        <v>205</v>
      </c>
      <c r="G16" s="12">
        <v>164</v>
      </c>
      <c r="H16" s="12">
        <v>162</v>
      </c>
      <c r="I16" s="12">
        <v>212</v>
      </c>
      <c r="J16" s="12">
        <v>50</v>
      </c>
      <c r="K16" s="12">
        <v>164</v>
      </c>
      <c r="L16" s="12">
        <v>165</v>
      </c>
      <c r="M16" s="12">
        <v>174</v>
      </c>
      <c r="N16" s="12">
        <v>135</v>
      </c>
      <c r="O16" s="12">
        <v>136</v>
      </c>
      <c r="P16" s="12">
        <v>170</v>
      </c>
      <c r="Q16" s="12">
        <v>166</v>
      </c>
      <c r="R16" s="12">
        <v>43</v>
      </c>
      <c r="S16" s="12">
        <v>107</v>
      </c>
      <c r="T16" s="12">
        <v>157</v>
      </c>
      <c r="U16" s="12">
        <v>98</v>
      </c>
      <c r="V16" s="12">
        <v>158</v>
      </c>
      <c r="W16" s="12">
        <v>66</v>
      </c>
      <c r="X16" s="12">
        <v>145</v>
      </c>
      <c r="Y16" s="12">
        <v>172</v>
      </c>
      <c r="Z16" s="12">
        <v>129</v>
      </c>
      <c r="AA16" s="12">
        <v>115</v>
      </c>
      <c r="AB16" s="12">
        <v>153</v>
      </c>
      <c r="AC16" s="12">
        <v>161</v>
      </c>
      <c r="AD16" s="12">
        <v>162</v>
      </c>
      <c r="AE16" s="12">
        <v>204</v>
      </c>
      <c r="AF16" s="12">
        <v>230</v>
      </c>
    </row>
    <row r="17" spans="1:32" ht="21.5" x14ac:dyDescent="0.35">
      <c r="A17" s="19"/>
      <c r="B17" s="13" t="s">
        <v>1433</v>
      </c>
      <c r="C17" s="15">
        <v>0.17</v>
      </c>
      <c r="D17" s="15">
        <v>0.15</v>
      </c>
      <c r="E17" s="15">
        <v>0.16</v>
      </c>
      <c r="F17" s="15">
        <v>0.22</v>
      </c>
      <c r="G17" s="15">
        <v>0.18</v>
      </c>
      <c r="H17" s="15">
        <v>0.15</v>
      </c>
      <c r="I17" s="15">
        <v>0.16</v>
      </c>
      <c r="J17" s="15">
        <v>0.19</v>
      </c>
      <c r="K17" s="15">
        <v>0.2</v>
      </c>
      <c r="L17" s="15">
        <v>0.2</v>
      </c>
      <c r="M17" s="15">
        <v>0.19</v>
      </c>
      <c r="N17" s="15">
        <v>0.16</v>
      </c>
      <c r="O17" s="15">
        <v>0.17</v>
      </c>
      <c r="P17" s="15">
        <v>0.19</v>
      </c>
      <c r="Q17" s="15">
        <v>0.19</v>
      </c>
      <c r="R17" s="15">
        <v>0.1</v>
      </c>
      <c r="S17" s="15">
        <v>0.13</v>
      </c>
      <c r="T17" s="15">
        <v>0.18</v>
      </c>
      <c r="U17" s="15">
        <v>0.22</v>
      </c>
      <c r="V17" s="15">
        <v>0.17</v>
      </c>
      <c r="W17" s="15">
        <v>0.14000000000000001</v>
      </c>
      <c r="X17" s="15">
        <v>0.16</v>
      </c>
      <c r="Y17" s="15">
        <v>0.2</v>
      </c>
      <c r="Z17" s="15">
        <v>0.14000000000000001</v>
      </c>
      <c r="AA17" s="15">
        <v>0.14000000000000001</v>
      </c>
      <c r="AB17" s="15">
        <v>0.17</v>
      </c>
      <c r="AC17" s="15">
        <v>0.19</v>
      </c>
      <c r="AD17" s="15">
        <v>0.18</v>
      </c>
      <c r="AE17" s="15">
        <v>0.23</v>
      </c>
      <c r="AF17" s="15">
        <v>0.24</v>
      </c>
    </row>
    <row r="18" spans="1:32" x14ac:dyDescent="0.35">
      <c r="A18" s="19"/>
      <c r="B18" s="11" t="s">
        <v>1434</v>
      </c>
      <c r="C18" s="12">
        <v>1550</v>
      </c>
      <c r="D18" s="12">
        <v>76</v>
      </c>
      <c r="E18" s="12">
        <v>73</v>
      </c>
      <c r="F18" s="12">
        <v>61</v>
      </c>
      <c r="G18" s="12">
        <v>66</v>
      </c>
      <c r="H18" s="12">
        <v>54</v>
      </c>
      <c r="I18" s="12">
        <v>74</v>
      </c>
      <c r="J18" s="12">
        <v>20</v>
      </c>
      <c r="K18" s="12">
        <v>35</v>
      </c>
      <c r="L18" s="12">
        <v>56</v>
      </c>
      <c r="M18" s="12">
        <v>56</v>
      </c>
      <c r="N18" s="12">
        <v>65</v>
      </c>
      <c r="O18" s="12">
        <v>70</v>
      </c>
      <c r="P18" s="12">
        <v>89</v>
      </c>
      <c r="Q18" s="12">
        <v>54</v>
      </c>
      <c r="R18" s="12">
        <v>30</v>
      </c>
      <c r="S18" s="12">
        <v>26</v>
      </c>
      <c r="T18" s="12">
        <v>38</v>
      </c>
      <c r="U18" s="12">
        <v>29</v>
      </c>
      <c r="V18" s="12">
        <v>91</v>
      </c>
      <c r="W18" s="12">
        <v>24</v>
      </c>
      <c r="X18" s="12">
        <v>35</v>
      </c>
      <c r="Y18" s="12">
        <v>91</v>
      </c>
      <c r="Z18" s="12">
        <v>41</v>
      </c>
      <c r="AA18" s="12">
        <v>63</v>
      </c>
      <c r="AB18" s="12">
        <v>81</v>
      </c>
      <c r="AC18" s="12">
        <v>53</v>
      </c>
      <c r="AD18" s="12">
        <v>58</v>
      </c>
      <c r="AE18" s="12">
        <v>73</v>
      </c>
      <c r="AF18" s="12">
        <v>61</v>
      </c>
    </row>
    <row r="19" spans="1:32" x14ac:dyDescent="0.35">
      <c r="A19" s="19"/>
      <c r="B19" s="13" t="s">
        <v>1435</v>
      </c>
      <c r="C19" s="15">
        <v>7.0000000000000007E-2</v>
      </c>
      <c r="D19" s="15">
        <v>0.08</v>
      </c>
      <c r="E19" s="15">
        <v>0.09</v>
      </c>
      <c r="F19" s="15">
        <v>0.06</v>
      </c>
      <c r="G19" s="15">
        <v>7.0000000000000007E-2</v>
      </c>
      <c r="H19" s="15">
        <v>0.05</v>
      </c>
      <c r="I19" s="15">
        <v>0.05</v>
      </c>
      <c r="J19" s="15">
        <v>7.0000000000000007E-2</v>
      </c>
      <c r="K19" s="15">
        <v>0.04</v>
      </c>
      <c r="L19" s="15">
        <v>0.06</v>
      </c>
      <c r="M19" s="15">
        <v>0.06</v>
      </c>
      <c r="N19" s="15">
        <v>7.0000000000000007E-2</v>
      </c>
      <c r="O19" s="15">
        <v>0.08</v>
      </c>
      <c r="P19" s="15">
        <v>0.1</v>
      </c>
      <c r="Q19" s="15">
        <v>0.06</v>
      </c>
      <c r="R19" s="15">
        <v>7.0000000000000007E-2</v>
      </c>
      <c r="S19" s="15">
        <v>0.03</v>
      </c>
      <c r="T19" s="15">
        <v>0.04</v>
      </c>
      <c r="U19" s="15">
        <v>0.06</v>
      </c>
      <c r="V19" s="15">
        <v>0.1</v>
      </c>
      <c r="W19" s="15">
        <v>0.05</v>
      </c>
      <c r="X19" s="15">
        <v>0.04</v>
      </c>
      <c r="Y19" s="15">
        <v>0.1</v>
      </c>
      <c r="Z19" s="15">
        <v>0.04</v>
      </c>
      <c r="AA19" s="15">
        <v>0.08</v>
      </c>
      <c r="AB19" s="15">
        <v>0.08</v>
      </c>
      <c r="AC19" s="15">
        <v>0.06</v>
      </c>
      <c r="AD19" s="15">
        <v>0.06</v>
      </c>
      <c r="AE19" s="15">
        <v>0.08</v>
      </c>
      <c r="AF19" s="15">
        <v>0.06</v>
      </c>
    </row>
    <row r="20" spans="1:32" ht="21.5" x14ac:dyDescent="0.35">
      <c r="A20" s="19"/>
      <c r="B20" s="11" t="s">
        <v>1436</v>
      </c>
      <c r="C20" s="12">
        <v>2054</v>
      </c>
      <c r="D20" s="12">
        <v>89</v>
      </c>
      <c r="E20" s="12">
        <v>101</v>
      </c>
      <c r="F20" s="12">
        <v>108</v>
      </c>
      <c r="G20" s="12">
        <v>78</v>
      </c>
      <c r="H20" s="12">
        <v>80</v>
      </c>
      <c r="I20" s="12">
        <v>107</v>
      </c>
      <c r="J20" s="12">
        <v>27</v>
      </c>
      <c r="K20" s="12">
        <v>64</v>
      </c>
      <c r="L20" s="12">
        <v>63</v>
      </c>
      <c r="M20" s="12">
        <v>182</v>
      </c>
      <c r="N20" s="12">
        <v>72</v>
      </c>
      <c r="O20" s="12">
        <v>47</v>
      </c>
      <c r="P20" s="12">
        <v>115</v>
      </c>
      <c r="Q20" s="12">
        <v>109</v>
      </c>
      <c r="R20" s="12">
        <v>19</v>
      </c>
      <c r="S20" s="12">
        <v>66</v>
      </c>
      <c r="T20" s="12">
        <v>52</v>
      </c>
      <c r="U20" s="12">
        <v>29</v>
      </c>
      <c r="V20" s="12">
        <v>77</v>
      </c>
      <c r="W20" s="12">
        <v>57</v>
      </c>
      <c r="X20" s="12">
        <v>88</v>
      </c>
      <c r="Y20" s="12">
        <v>85</v>
      </c>
      <c r="Z20" s="12">
        <v>57</v>
      </c>
      <c r="AA20" s="12">
        <v>123</v>
      </c>
      <c r="AB20" s="12">
        <v>98</v>
      </c>
      <c r="AC20" s="12">
        <v>65</v>
      </c>
      <c r="AD20" s="12">
        <v>87</v>
      </c>
      <c r="AE20" s="12">
        <v>69</v>
      </c>
      <c r="AF20" s="12">
        <v>48</v>
      </c>
    </row>
    <row r="21" spans="1:32" x14ac:dyDescent="0.35">
      <c r="A21" s="19"/>
      <c r="B21" s="13" t="s">
        <v>1437</v>
      </c>
      <c r="C21" s="15">
        <v>0.09</v>
      </c>
      <c r="D21" s="15">
        <v>0.09</v>
      </c>
      <c r="E21" s="15">
        <v>0.12</v>
      </c>
      <c r="F21" s="15">
        <v>0.11</v>
      </c>
      <c r="G21" s="15">
        <v>0.08</v>
      </c>
      <c r="H21" s="15">
        <v>7.0000000000000007E-2</v>
      </c>
      <c r="I21" s="15">
        <v>0.08</v>
      </c>
      <c r="J21" s="15">
        <v>0.1</v>
      </c>
      <c r="K21" s="15">
        <v>7.0000000000000007E-2</v>
      </c>
      <c r="L21" s="15">
        <v>7.0000000000000007E-2</v>
      </c>
      <c r="M21" s="15">
        <v>0.2</v>
      </c>
      <c r="N21" s="15">
        <v>0.08</v>
      </c>
      <c r="O21" s="15">
        <v>0.05</v>
      </c>
      <c r="P21" s="15">
        <v>0.12</v>
      </c>
      <c r="Q21" s="15">
        <v>0.12</v>
      </c>
      <c r="R21" s="15">
        <v>0.04</v>
      </c>
      <c r="S21" s="15">
        <v>0.08</v>
      </c>
      <c r="T21" s="15">
        <v>0.06</v>
      </c>
      <c r="U21" s="15">
        <v>0.06</v>
      </c>
      <c r="V21" s="15">
        <v>0.08</v>
      </c>
      <c r="W21" s="15">
        <v>0.12</v>
      </c>
      <c r="X21" s="15">
        <v>0.09</v>
      </c>
      <c r="Y21" s="15">
        <v>0.1</v>
      </c>
      <c r="Z21" s="15">
        <v>0.06</v>
      </c>
      <c r="AA21" s="15">
        <v>0.15</v>
      </c>
      <c r="AB21" s="15">
        <v>0.1</v>
      </c>
      <c r="AC21" s="15">
        <v>7.0000000000000007E-2</v>
      </c>
      <c r="AD21" s="15">
        <v>0.09</v>
      </c>
      <c r="AE21" s="15">
        <v>7.0000000000000007E-2</v>
      </c>
      <c r="AF21" s="15">
        <v>0.05</v>
      </c>
    </row>
    <row r="22" spans="1:32" ht="31.5" x14ac:dyDescent="0.35">
      <c r="A22" s="19"/>
      <c r="B22" s="11" t="s">
        <v>1438</v>
      </c>
      <c r="C22" s="12">
        <v>4660</v>
      </c>
      <c r="D22" s="12">
        <v>156</v>
      </c>
      <c r="E22" s="12">
        <v>159</v>
      </c>
      <c r="F22" s="12">
        <v>192</v>
      </c>
      <c r="G22" s="12">
        <v>260</v>
      </c>
      <c r="H22" s="12">
        <v>241</v>
      </c>
      <c r="I22" s="12">
        <v>315</v>
      </c>
      <c r="J22" s="12">
        <v>74</v>
      </c>
      <c r="K22" s="12">
        <v>206</v>
      </c>
      <c r="L22" s="12">
        <v>212</v>
      </c>
      <c r="M22" s="12">
        <v>244</v>
      </c>
      <c r="N22" s="12">
        <v>157</v>
      </c>
      <c r="O22" s="12">
        <v>134</v>
      </c>
      <c r="P22" s="12">
        <v>173</v>
      </c>
      <c r="Q22" s="12">
        <v>170</v>
      </c>
      <c r="R22" s="12">
        <v>64</v>
      </c>
      <c r="S22" s="12">
        <v>124</v>
      </c>
      <c r="T22" s="12">
        <v>113</v>
      </c>
      <c r="U22" s="12">
        <v>65</v>
      </c>
      <c r="V22" s="12">
        <v>161</v>
      </c>
      <c r="W22" s="12">
        <v>56</v>
      </c>
      <c r="X22" s="12">
        <v>256</v>
      </c>
      <c r="Y22" s="12">
        <v>207</v>
      </c>
      <c r="Z22" s="12">
        <v>165</v>
      </c>
      <c r="AA22" s="12">
        <v>191</v>
      </c>
      <c r="AB22" s="12">
        <v>162</v>
      </c>
      <c r="AC22" s="12">
        <v>153</v>
      </c>
      <c r="AD22" s="12">
        <v>187</v>
      </c>
      <c r="AE22" s="12">
        <v>216</v>
      </c>
      <c r="AF22" s="12">
        <v>237</v>
      </c>
    </row>
    <row r="23" spans="1:32" ht="21.5" x14ac:dyDescent="0.35">
      <c r="A23" s="19"/>
      <c r="B23" s="13" t="s">
        <v>1439</v>
      </c>
      <c r="C23" s="15">
        <v>0.21</v>
      </c>
      <c r="D23" s="15">
        <v>0.17</v>
      </c>
      <c r="E23" s="15">
        <v>0.19</v>
      </c>
      <c r="F23" s="15">
        <v>0.21</v>
      </c>
      <c r="G23" s="15">
        <v>0.3</v>
      </c>
      <c r="H23" s="15">
        <v>0.22</v>
      </c>
      <c r="I23" s="15">
        <v>0.23</v>
      </c>
      <c r="J23" s="15">
        <v>0.28000000000000003</v>
      </c>
      <c r="K23" s="15">
        <v>0.26</v>
      </c>
      <c r="L23" s="15">
        <v>0.25</v>
      </c>
      <c r="M23" s="15">
        <v>0.27</v>
      </c>
      <c r="N23" s="15">
        <v>0.19</v>
      </c>
      <c r="O23" s="15">
        <v>0.17</v>
      </c>
      <c r="P23" s="15">
        <v>0.19</v>
      </c>
      <c r="Q23" s="15">
        <v>0.2</v>
      </c>
      <c r="R23" s="15">
        <v>0.15</v>
      </c>
      <c r="S23" s="15">
        <v>0.16</v>
      </c>
      <c r="T23" s="15">
        <v>0.13</v>
      </c>
      <c r="U23" s="15">
        <v>0.14000000000000001</v>
      </c>
      <c r="V23" s="15">
        <v>0.18</v>
      </c>
      <c r="W23" s="15">
        <v>0.13</v>
      </c>
      <c r="X23" s="15">
        <v>0.28999999999999998</v>
      </c>
      <c r="Y23" s="15">
        <v>0.24</v>
      </c>
      <c r="Z23" s="15">
        <v>0.18</v>
      </c>
      <c r="AA23" s="15">
        <v>0.24</v>
      </c>
      <c r="AB23" s="15">
        <v>0.17</v>
      </c>
      <c r="AC23" s="15">
        <v>0.18</v>
      </c>
      <c r="AD23" s="15">
        <v>0.21</v>
      </c>
      <c r="AE23" s="15">
        <v>0.25</v>
      </c>
      <c r="AF23" s="15">
        <v>0.24</v>
      </c>
    </row>
    <row r="24" spans="1:32" ht="21.5" x14ac:dyDescent="0.35">
      <c r="A24" s="19"/>
      <c r="B24" s="11" t="s">
        <v>1440</v>
      </c>
      <c r="C24" s="12">
        <v>3515</v>
      </c>
      <c r="D24" s="12">
        <v>135</v>
      </c>
      <c r="E24" s="12">
        <v>130</v>
      </c>
      <c r="F24" s="12">
        <v>147</v>
      </c>
      <c r="G24" s="12">
        <v>214</v>
      </c>
      <c r="H24" s="12">
        <v>178</v>
      </c>
      <c r="I24" s="12">
        <v>220</v>
      </c>
      <c r="J24" s="12">
        <v>42</v>
      </c>
      <c r="K24" s="12">
        <v>101</v>
      </c>
      <c r="L24" s="12">
        <v>174</v>
      </c>
      <c r="M24" s="12">
        <v>118</v>
      </c>
      <c r="N24" s="12">
        <v>89</v>
      </c>
      <c r="O24" s="12">
        <v>148</v>
      </c>
      <c r="P24" s="12">
        <v>153</v>
      </c>
      <c r="Q24" s="12">
        <v>89</v>
      </c>
      <c r="R24" s="12">
        <v>67</v>
      </c>
      <c r="S24" s="12">
        <v>122</v>
      </c>
      <c r="T24" s="12">
        <v>161</v>
      </c>
      <c r="U24" s="12">
        <v>52</v>
      </c>
      <c r="V24" s="12">
        <v>186</v>
      </c>
      <c r="W24" s="12">
        <v>44</v>
      </c>
      <c r="X24" s="12">
        <v>141</v>
      </c>
      <c r="Y24" s="12">
        <v>180</v>
      </c>
      <c r="Z24" s="12">
        <v>129</v>
      </c>
      <c r="AA24" s="12">
        <v>137</v>
      </c>
      <c r="AB24" s="12">
        <v>158</v>
      </c>
      <c r="AC24" s="12">
        <v>155</v>
      </c>
      <c r="AD24" s="12">
        <v>99</v>
      </c>
      <c r="AE24" s="12">
        <v>185</v>
      </c>
      <c r="AF24" s="12">
        <v>257</v>
      </c>
    </row>
    <row r="25" spans="1:32" ht="21.5" x14ac:dyDescent="0.35">
      <c r="A25" s="19"/>
      <c r="B25" s="13" t="s">
        <v>1441</v>
      </c>
      <c r="C25" s="15">
        <v>0.16</v>
      </c>
      <c r="D25" s="15">
        <v>0.15</v>
      </c>
      <c r="E25" s="15">
        <v>0.16</v>
      </c>
      <c r="F25" s="15">
        <v>0.16</v>
      </c>
      <c r="G25" s="15">
        <v>0.34</v>
      </c>
      <c r="H25" s="15">
        <v>0.2</v>
      </c>
      <c r="I25" s="15">
        <v>0.19</v>
      </c>
      <c r="J25" s="15">
        <v>0.17</v>
      </c>
      <c r="K25" s="15">
        <v>0.12</v>
      </c>
      <c r="L25" s="15">
        <v>0.22</v>
      </c>
      <c r="M25" s="15">
        <v>0.13</v>
      </c>
      <c r="N25" s="15">
        <v>0.1</v>
      </c>
      <c r="O25" s="15">
        <v>0.2</v>
      </c>
      <c r="P25" s="15">
        <v>0.17</v>
      </c>
      <c r="Q25" s="15">
        <v>0.1</v>
      </c>
      <c r="R25" s="15">
        <v>0.16</v>
      </c>
      <c r="S25" s="15">
        <v>0.15</v>
      </c>
      <c r="T25" s="15">
        <v>0.19</v>
      </c>
      <c r="U25" s="15">
        <v>0.13</v>
      </c>
      <c r="V25" s="15">
        <v>0.21</v>
      </c>
      <c r="W25" s="15">
        <v>0.1</v>
      </c>
      <c r="X25" s="15">
        <v>0.2</v>
      </c>
      <c r="Y25" s="15">
        <v>0.23</v>
      </c>
      <c r="Z25" s="15">
        <v>0.14000000000000001</v>
      </c>
      <c r="AA25" s="15">
        <v>0.17</v>
      </c>
      <c r="AB25" s="15">
        <v>0.17</v>
      </c>
      <c r="AC25" s="15">
        <v>0.19</v>
      </c>
      <c r="AD25" s="15">
        <v>0.11</v>
      </c>
      <c r="AE25" s="15">
        <v>0.24</v>
      </c>
      <c r="AF25" s="15">
        <v>0.4</v>
      </c>
    </row>
    <row r="26" spans="1:32" ht="21.5" x14ac:dyDescent="0.35">
      <c r="A26" s="19"/>
      <c r="B26" s="11" t="s">
        <v>1442</v>
      </c>
      <c r="C26" s="12">
        <v>2573</v>
      </c>
      <c r="D26" s="12">
        <v>123</v>
      </c>
      <c r="E26" s="12">
        <v>96</v>
      </c>
      <c r="F26" s="12">
        <v>140</v>
      </c>
      <c r="G26" s="12">
        <v>219</v>
      </c>
      <c r="H26" s="12">
        <v>110</v>
      </c>
      <c r="I26" s="12">
        <v>139</v>
      </c>
      <c r="J26" s="12">
        <v>29</v>
      </c>
      <c r="K26" s="12">
        <v>110</v>
      </c>
      <c r="L26" s="12">
        <v>126</v>
      </c>
      <c r="M26" s="12">
        <v>118</v>
      </c>
      <c r="N26" s="12">
        <v>55</v>
      </c>
      <c r="O26" s="12">
        <v>69</v>
      </c>
      <c r="P26" s="12">
        <v>102</v>
      </c>
      <c r="Q26" s="12">
        <v>85</v>
      </c>
      <c r="R26" s="12">
        <v>42</v>
      </c>
      <c r="S26" s="12">
        <v>76</v>
      </c>
      <c r="T26" s="12">
        <v>87</v>
      </c>
      <c r="U26" s="12">
        <v>57</v>
      </c>
      <c r="V26" s="12">
        <v>97</v>
      </c>
      <c r="W26" s="12">
        <v>87</v>
      </c>
      <c r="X26" s="12">
        <v>157</v>
      </c>
      <c r="Y26" s="12">
        <v>157</v>
      </c>
      <c r="Z26" s="12">
        <v>106</v>
      </c>
      <c r="AA26" s="12">
        <v>38</v>
      </c>
      <c r="AB26" s="12">
        <v>123</v>
      </c>
      <c r="AC26" s="12">
        <v>74</v>
      </c>
      <c r="AD26" s="12">
        <v>130</v>
      </c>
      <c r="AE26" s="12">
        <v>212</v>
      </c>
      <c r="AF26" s="12">
        <v>255</v>
      </c>
    </row>
    <row r="27" spans="1:32" x14ac:dyDescent="0.35">
      <c r="A27" s="19"/>
      <c r="B27" s="13" t="s">
        <v>1443</v>
      </c>
      <c r="C27" s="15">
        <v>0.11</v>
      </c>
      <c r="D27" s="15">
        <v>0.13</v>
      </c>
      <c r="E27" s="15">
        <v>0.12</v>
      </c>
      <c r="F27" s="15">
        <v>0.15</v>
      </c>
      <c r="G27" s="15">
        <v>0.25</v>
      </c>
      <c r="H27" s="15">
        <v>0.1</v>
      </c>
      <c r="I27" s="15">
        <v>0.1</v>
      </c>
      <c r="J27" s="15">
        <v>0.1</v>
      </c>
      <c r="K27" s="15">
        <v>0.13</v>
      </c>
      <c r="L27" s="15">
        <v>0.14000000000000001</v>
      </c>
      <c r="M27" s="15">
        <v>0.13</v>
      </c>
      <c r="N27" s="15">
        <v>0.06</v>
      </c>
      <c r="O27" s="15">
        <v>0.08</v>
      </c>
      <c r="P27" s="15">
        <v>0.11</v>
      </c>
      <c r="Q27" s="15">
        <v>0.1</v>
      </c>
      <c r="R27" s="15">
        <v>0.1</v>
      </c>
      <c r="S27" s="15">
        <v>0.1</v>
      </c>
      <c r="T27" s="15">
        <v>0.1</v>
      </c>
      <c r="U27" s="15">
        <v>0.13</v>
      </c>
      <c r="V27" s="15">
        <v>0.11</v>
      </c>
      <c r="W27" s="15">
        <v>0.2</v>
      </c>
      <c r="X27" s="15">
        <v>0.18</v>
      </c>
      <c r="Y27" s="15">
        <v>0.19</v>
      </c>
      <c r="Z27" s="15">
        <v>0.11</v>
      </c>
      <c r="AA27" s="15">
        <v>0.05</v>
      </c>
      <c r="AB27" s="15">
        <v>0.13</v>
      </c>
      <c r="AC27" s="15">
        <v>0.09</v>
      </c>
      <c r="AD27" s="15">
        <v>0.14000000000000001</v>
      </c>
      <c r="AE27" s="15">
        <v>0.26</v>
      </c>
      <c r="AF27" s="15">
        <v>0.28000000000000003</v>
      </c>
    </row>
    <row r="28" spans="1:32" ht="31.5" x14ac:dyDescent="0.35">
      <c r="A28" s="19"/>
      <c r="B28" s="11" t="s">
        <v>1444</v>
      </c>
      <c r="C28" s="12">
        <v>3464</v>
      </c>
      <c r="D28" s="12">
        <v>152</v>
      </c>
      <c r="E28" s="12">
        <v>132</v>
      </c>
      <c r="F28" s="12">
        <v>140</v>
      </c>
      <c r="G28" s="12">
        <v>141</v>
      </c>
      <c r="H28" s="12">
        <v>158</v>
      </c>
      <c r="I28" s="12">
        <v>227</v>
      </c>
      <c r="J28" s="12">
        <v>69</v>
      </c>
      <c r="K28" s="12">
        <v>132</v>
      </c>
      <c r="L28" s="12">
        <v>121</v>
      </c>
      <c r="M28" s="12">
        <v>181</v>
      </c>
      <c r="N28" s="12">
        <v>126</v>
      </c>
      <c r="O28" s="12">
        <v>125</v>
      </c>
      <c r="P28" s="12">
        <v>154</v>
      </c>
      <c r="Q28" s="12">
        <v>101</v>
      </c>
      <c r="R28" s="12">
        <v>62</v>
      </c>
      <c r="S28" s="12">
        <v>114</v>
      </c>
      <c r="T28" s="12">
        <v>117</v>
      </c>
      <c r="U28" s="12">
        <v>60</v>
      </c>
      <c r="V28" s="12">
        <v>128</v>
      </c>
      <c r="W28" s="12">
        <v>41</v>
      </c>
      <c r="X28" s="12">
        <v>111</v>
      </c>
      <c r="Y28" s="12">
        <v>200</v>
      </c>
      <c r="Z28" s="12">
        <v>105</v>
      </c>
      <c r="AA28" s="12">
        <v>172</v>
      </c>
      <c r="AB28" s="12">
        <v>158</v>
      </c>
      <c r="AC28" s="12">
        <v>103</v>
      </c>
      <c r="AD28" s="12">
        <v>185</v>
      </c>
      <c r="AE28" s="12">
        <v>107</v>
      </c>
      <c r="AF28" s="12">
        <v>183</v>
      </c>
    </row>
    <row r="29" spans="1:32" ht="31.5" x14ac:dyDescent="0.35">
      <c r="A29" s="19"/>
      <c r="B29" s="13" t="s">
        <v>1445</v>
      </c>
      <c r="C29" s="15">
        <v>0.15</v>
      </c>
      <c r="D29" s="15">
        <v>0.17</v>
      </c>
      <c r="E29" s="15">
        <v>0.16</v>
      </c>
      <c r="F29" s="15">
        <v>0.15</v>
      </c>
      <c r="G29" s="15">
        <v>0.16</v>
      </c>
      <c r="H29" s="15">
        <v>0.15</v>
      </c>
      <c r="I29" s="15">
        <v>0.17</v>
      </c>
      <c r="J29" s="15">
        <v>0.26</v>
      </c>
      <c r="K29" s="15">
        <v>0.16</v>
      </c>
      <c r="L29" s="15">
        <v>0.14000000000000001</v>
      </c>
      <c r="M29" s="15">
        <v>0.2</v>
      </c>
      <c r="N29" s="15">
        <v>0.15</v>
      </c>
      <c r="O29" s="15">
        <v>0.16</v>
      </c>
      <c r="P29" s="15">
        <v>0.17</v>
      </c>
      <c r="Q29" s="15">
        <v>0.12</v>
      </c>
      <c r="R29" s="15">
        <v>0.15</v>
      </c>
      <c r="S29" s="15">
        <v>0.15</v>
      </c>
      <c r="T29" s="15">
        <v>0.13</v>
      </c>
      <c r="U29" s="15">
        <v>0.14000000000000001</v>
      </c>
      <c r="V29" s="15">
        <v>0.14000000000000001</v>
      </c>
      <c r="W29" s="15">
        <v>0.09</v>
      </c>
      <c r="X29" s="15">
        <v>0.12</v>
      </c>
      <c r="Y29" s="15">
        <v>0.24</v>
      </c>
      <c r="Z29" s="15">
        <v>0.11</v>
      </c>
      <c r="AA29" s="15">
        <v>0.22</v>
      </c>
      <c r="AB29" s="15">
        <v>0.17</v>
      </c>
      <c r="AC29" s="15">
        <v>0.12</v>
      </c>
      <c r="AD29" s="15">
        <v>0.22</v>
      </c>
      <c r="AE29" s="15">
        <v>0.12</v>
      </c>
      <c r="AF29" s="15">
        <v>0.19</v>
      </c>
    </row>
    <row r="30" spans="1:32" ht="41.5" x14ac:dyDescent="0.35">
      <c r="A30" s="19"/>
      <c r="B30" s="11" t="s">
        <v>1446</v>
      </c>
      <c r="C30" s="12">
        <v>3158</v>
      </c>
      <c r="D30" s="12">
        <v>154</v>
      </c>
      <c r="E30" s="12">
        <v>99</v>
      </c>
      <c r="F30" s="12">
        <v>131</v>
      </c>
      <c r="G30" s="12">
        <v>165</v>
      </c>
      <c r="H30" s="12">
        <v>149</v>
      </c>
      <c r="I30" s="12">
        <v>212</v>
      </c>
      <c r="J30" s="12">
        <v>64</v>
      </c>
      <c r="K30" s="12">
        <v>113</v>
      </c>
      <c r="L30" s="12">
        <v>140</v>
      </c>
      <c r="M30" s="12">
        <v>150</v>
      </c>
      <c r="N30" s="12">
        <v>100</v>
      </c>
      <c r="O30" s="12">
        <v>93</v>
      </c>
      <c r="P30" s="12">
        <v>184</v>
      </c>
      <c r="Q30" s="12">
        <v>121</v>
      </c>
      <c r="R30" s="12">
        <v>55</v>
      </c>
      <c r="S30" s="12">
        <v>102</v>
      </c>
      <c r="T30" s="12">
        <v>95</v>
      </c>
      <c r="U30" s="12">
        <v>36</v>
      </c>
      <c r="V30" s="12">
        <v>147</v>
      </c>
      <c r="W30" s="12">
        <v>48</v>
      </c>
      <c r="X30" s="12">
        <v>96</v>
      </c>
      <c r="Y30" s="12">
        <v>193</v>
      </c>
      <c r="Z30" s="12">
        <v>98</v>
      </c>
      <c r="AA30" s="12">
        <v>188</v>
      </c>
      <c r="AB30" s="12">
        <v>118</v>
      </c>
      <c r="AC30" s="12">
        <v>80</v>
      </c>
      <c r="AD30" s="12">
        <v>190</v>
      </c>
      <c r="AE30" s="12">
        <v>55</v>
      </c>
      <c r="AF30" s="12">
        <v>132</v>
      </c>
    </row>
    <row r="31" spans="1:32" ht="31.5" x14ac:dyDescent="0.35">
      <c r="A31" s="19"/>
      <c r="B31" s="13" t="s">
        <v>1447</v>
      </c>
      <c r="C31" s="15">
        <v>0.14000000000000001</v>
      </c>
      <c r="D31" s="15">
        <v>0.17</v>
      </c>
      <c r="E31" s="15">
        <v>0.12</v>
      </c>
      <c r="F31" s="15">
        <v>0.14000000000000001</v>
      </c>
      <c r="G31" s="15">
        <v>0.18</v>
      </c>
      <c r="H31" s="15">
        <v>0.14000000000000001</v>
      </c>
      <c r="I31" s="15">
        <v>0.16</v>
      </c>
      <c r="J31" s="15">
        <v>0.24</v>
      </c>
      <c r="K31" s="15">
        <v>0.13</v>
      </c>
      <c r="L31" s="15">
        <v>0.16</v>
      </c>
      <c r="M31" s="15">
        <v>0.16</v>
      </c>
      <c r="N31" s="15">
        <v>0.11</v>
      </c>
      <c r="O31" s="15">
        <v>0.11</v>
      </c>
      <c r="P31" s="15">
        <v>0.21</v>
      </c>
      <c r="Q31" s="15">
        <v>0.14000000000000001</v>
      </c>
      <c r="R31" s="15">
        <v>0.13</v>
      </c>
      <c r="S31" s="15">
        <v>0.13</v>
      </c>
      <c r="T31" s="15">
        <v>0.11</v>
      </c>
      <c r="U31" s="15">
        <v>0.08</v>
      </c>
      <c r="V31" s="15">
        <v>0.16</v>
      </c>
      <c r="W31" s="15">
        <v>0.1</v>
      </c>
      <c r="X31" s="15">
        <v>0.11</v>
      </c>
      <c r="Y31" s="15">
        <v>0.23</v>
      </c>
      <c r="Z31" s="15">
        <v>0.1</v>
      </c>
      <c r="AA31" s="15">
        <v>0.24</v>
      </c>
      <c r="AB31" s="15">
        <v>0.13</v>
      </c>
      <c r="AC31" s="15">
        <v>0.09</v>
      </c>
      <c r="AD31" s="15">
        <v>0.21</v>
      </c>
      <c r="AE31" s="15">
        <v>0.06</v>
      </c>
      <c r="AF31" s="15">
        <v>0.14000000000000001</v>
      </c>
    </row>
    <row r="32" spans="1:32" x14ac:dyDescent="0.35">
      <c r="A32" s="19"/>
      <c r="B32" s="11" t="s">
        <v>607</v>
      </c>
      <c r="C32" s="12">
        <v>5433</v>
      </c>
      <c r="D32" s="12">
        <v>258</v>
      </c>
      <c r="E32" s="12">
        <v>189</v>
      </c>
      <c r="F32" s="12">
        <v>240</v>
      </c>
      <c r="G32" s="12">
        <v>293</v>
      </c>
      <c r="H32" s="12">
        <v>268</v>
      </c>
      <c r="I32" s="12">
        <v>340</v>
      </c>
      <c r="J32" s="12">
        <v>72</v>
      </c>
      <c r="K32" s="12">
        <v>233</v>
      </c>
      <c r="L32" s="12">
        <v>220</v>
      </c>
      <c r="M32" s="12">
        <v>215</v>
      </c>
      <c r="N32" s="12">
        <v>173</v>
      </c>
      <c r="O32" s="12">
        <v>210</v>
      </c>
      <c r="P32" s="12">
        <v>210</v>
      </c>
      <c r="Q32" s="12">
        <v>173</v>
      </c>
      <c r="R32" s="12">
        <v>122</v>
      </c>
      <c r="S32" s="12">
        <v>220</v>
      </c>
      <c r="T32" s="12">
        <v>257</v>
      </c>
      <c r="U32" s="12">
        <v>133</v>
      </c>
      <c r="V32" s="12">
        <v>190</v>
      </c>
      <c r="W32" s="12">
        <v>118</v>
      </c>
      <c r="X32" s="12">
        <v>286</v>
      </c>
      <c r="Y32" s="12">
        <v>184</v>
      </c>
      <c r="Z32" s="12">
        <v>199</v>
      </c>
      <c r="AA32" s="12">
        <v>112</v>
      </c>
      <c r="AB32" s="12">
        <v>204</v>
      </c>
      <c r="AC32" s="12">
        <v>185</v>
      </c>
      <c r="AD32" s="12">
        <v>174</v>
      </c>
      <c r="AE32" s="12">
        <v>251</v>
      </c>
      <c r="AF32" s="12">
        <v>331</v>
      </c>
    </row>
    <row r="33" spans="1:32" x14ac:dyDescent="0.35">
      <c r="A33" s="19"/>
      <c r="B33" s="13" t="s">
        <v>608</v>
      </c>
      <c r="C33" s="15">
        <v>0.27</v>
      </c>
      <c r="D33" s="15">
        <v>0.33</v>
      </c>
      <c r="E33" s="15">
        <v>0.26</v>
      </c>
      <c r="F33" s="15">
        <v>0.3</v>
      </c>
      <c r="G33" s="15">
        <v>0.38</v>
      </c>
      <c r="H33" s="15">
        <v>0.27</v>
      </c>
      <c r="I33" s="15">
        <v>0.28000000000000003</v>
      </c>
      <c r="J33" s="15">
        <v>0.3</v>
      </c>
      <c r="K33" s="15">
        <v>0.36</v>
      </c>
      <c r="L33" s="15">
        <v>0.28000000000000003</v>
      </c>
      <c r="M33" s="15">
        <v>0.28000000000000003</v>
      </c>
      <c r="N33" s="15">
        <v>0.23</v>
      </c>
      <c r="O33" s="15">
        <v>0.31</v>
      </c>
      <c r="P33" s="15">
        <v>0.26</v>
      </c>
      <c r="Q33" s="15">
        <v>0.22</v>
      </c>
      <c r="R33" s="15">
        <v>0.33</v>
      </c>
      <c r="S33" s="15">
        <v>0.43</v>
      </c>
      <c r="T33" s="15">
        <v>0.45</v>
      </c>
      <c r="U33" s="15">
        <v>0.35</v>
      </c>
      <c r="V33" s="15">
        <v>0.23</v>
      </c>
      <c r="W33" s="15">
        <v>0.28000000000000003</v>
      </c>
      <c r="X33" s="15">
        <v>0.37</v>
      </c>
      <c r="Y33" s="15">
        <v>0.23</v>
      </c>
      <c r="Z33" s="15">
        <v>0.26</v>
      </c>
      <c r="AA33" s="15">
        <v>0.15</v>
      </c>
      <c r="AB33" s="15">
        <v>0.24</v>
      </c>
      <c r="AC33" s="15">
        <v>0.25</v>
      </c>
      <c r="AD33" s="15">
        <v>0.21</v>
      </c>
      <c r="AE33" s="15">
        <v>0.35</v>
      </c>
      <c r="AF33" s="15">
        <v>0.39</v>
      </c>
    </row>
    <row r="34" spans="1:32" x14ac:dyDescent="0.35">
      <c r="A34" s="19"/>
      <c r="B34" s="11" t="s">
        <v>1448</v>
      </c>
      <c r="C34" s="12">
        <v>4651</v>
      </c>
      <c r="D34" s="12">
        <v>194</v>
      </c>
      <c r="E34" s="12">
        <v>182</v>
      </c>
      <c r="F34" s="12">
        <v>223</v>
      </c>
      <c r="G34" s="12">
        <v>127</v>
      </c>
      <c r="H34" s="12">
        <v>189</v>
      </c>
      <c r="I34" s="12">
        <v>258</v>
      </c>
      <c r="J34" s="12">
        <v>69</v>
      </c>
      <c r="K34" s="12">
        <v>165</v>
      </c>
      <c r="L34" s="12">
        <v>204</v>
      </c>
      <c r="M34" s="12">
        <v>309</v>
      </c>
      <c r="N34" s="12">
        <v>164</v>
      </c>
      <c r="O34" s="12">
        <v>155</v>
      </c>
      <c r="P34" s="12">
        <v>198</v>
      </c>
      <c r="Q34" s="12">
        <v>200</v>
      </c>
      <c r="R34" s="12">
        <v>142</v>
      </c>
      <c r="S34" s="12">
        <v>183</v>
      </c>
      <c r="T34" s="12">
        <v>216</v>
      </c>
      <c r="U34" s="12">
        <v>124</v>
      </c>
      <c r="V34" s="12">
        <v>205</v>
      </c>
      <c r="W34" s="12">
        <v>84</v>
      </c>
      <c r="X34" s="12">
        <v>243</v>
      </c>
      <c r="Y34" s="12">
        <v>166</v>
      </c>
      <c r="Z34" s="12">
        <v>174</v>
      </c>
      <c r="AA34" s="12">
        <v>124</v>
      </c>
      <c r="AB34" s="12">
        <v>150</v>
      </c>
      <c r="AC34" s="12">
        <v>169</v>
      </c>
      <c r="AD34" s="12">
        <v>218</v>
      </c>
      <c r="AE34" s="12">
        <v>136</v>
      </c>
      <c r="AF34" s="12">
        <v>136</v>
      </c>
    </row>
    <row r="35" spans="1:32" x14ac:dyDescent="0.35">
      <c r="A35" s="19"/>
      <c r="B35" s="13" t="s">
        <v>1449</v>
      </c>
      <c r="C35" s="15">
        <v>0.21</v>
      </c>
      <c r="D35" s="15">
        <v>0.22</v>
      </c>
      <c r="E35" s="15">
        <v>0.23</v>
      </c>
      <c r="F35" s="15">
        <v>0.25</v>
      </c>
      <c r="G35" s="15">
        <v>0.14000000000000001</v>
      </c>
      <c r="H35" s="15">
        <v>0.18</v>
      </c>
      <c r="I35" s="15">
        <v>0.2</v>
      </c>
      <c r="J35" s="15">
        <v>0.27</v>
      </c>
      <c r="K35" s="15">
        <v>0.2</v>
      </c>
      <c r="L35" s="15">
        <v>0.26</v>
      </c>
      <c r="M35" s="15">
        <v>0.37</v>
      </c>
      <c r="N35" s="15">
        <v>0.19</v>
      </c>
      <c r="O35" s="15">
        <v>0.19</v>
      </c>
      <c r="P35" s="15">
        <v>0.23</v>
      </c>
      <c r="Q35" s="15">
        <v>0.24</v>
      </c>
      <c r="R35" s="15">
        <v>0.41</v>
      </c>
      <c r="S35" s="15">
        <v>0.23</v>
      </c>
      <c r="T35" s="15">
        <v>0.25</v>
      </c>
      <c r="U35" s="15">
        <v>0.28999999999999998</v>
      </c>
      <c r="V35" s="15">
        <v>0.25</v>
      </c>
      <c r="W35" s="15">
        <v>0.18</v>
      </c>
      <c r="X35" s="15">
        <v>0.27</v>
      </c>
      <c r="Y35" s="15">
        <v>0.19</v>
      </c>
      <c r="Z35" s="15">
        <v>0.19</v>
      </c>
      <c r="AA35" s="15">
        <v>0.16</v>
      </c>
      <c r="AB35" s="15">
        <v>0.16</v>
      </c>
      <c r="AC35" s="15">
        <v>0.2</v>
      </c>
      <c r="AD35" s="15">
        <v>0.25</v>
      </c>
      <c r="AE35" s="15">
        <v>0.15</v>
      </c>
      <c r="AF35" s="15">
        <v>0.14000000000000001</v>
      </c>
    </row>
    <row r="36" spans="1:32" ht="21.5" x14ac:dyDescent="0.35">
      <c r="A36" s="19"/>
      <c r="B36" s="11" t="s">
        <v>1450</v>
      </c>
      <c r="C36" s="12">
        <v>3147</v>
      </c>
      <c r="D36" s="12">
        <v>133</v>
      </c>
      <c r="E36" s="12">
        <v>117</v>
      </c>
      <c r="F36" s="12">
        <v>131</v>
      </c>
      <c r="G36" s="12">
        <v>88</v>
      </c>
      <c r="H36" s="12">
        <v>132</v>
      </c>
      <c r="I36" s="12">
        <v>157</v>
      </c>
      <c r="J36" s="12">
        <v>25</v>
      </c>
      <c r="K36" s="12">
        <v>94</v>
      </c>
      <c r="L36" s="12">
        <v>147</v>
      </c>
      <c r="M36" s="12">
        <v>104</v>
      </c>
      <c r="N36" s="12">
        <v>117</v>
      </c>
      <c r="O36" s="12">
        <v>97</v>
      </c>
      <c r="P36" s="12">
        <v>149</v>
      </c>
      <c r="Q36" s="12">
        <v>153</v>
      </c>
      <c r="R36" s="12">
        <v>77</v>
      </c>
      <c r="S36" s="12">
        <v>74</v>
      </c>
      <c r="T36" s="12">
        <v>169</v>
      </c>
      <c r="U36" s="12">
        <v>59</v>
      </c>
      <c r="V36" s="12">
        <v>171</v>
      </c>
      <c r="W36" s="12">
        <v>124</v>
      </c>
      <c r="X36" s="12">
        <v>124</v>
      </c>
      <c r="Y36" s="12">
        <v>207</v>
      </c>
      <c r="Z36" s="12">
        <v>114</v>
      </c>
      <c r="AA36" s="12">
        <v>116</v>
      </c>
      <c r="AB36" s="12">
        <v>127</v>
      </c>
      <c r="AC36" s="12">
        <v>109</v>
      </c>
      <c r="AD36" s="12">
        <v>137</v>
      </c>
      <c r="AE36" s="12">
        <v>133</v>
      </c>
      <c r="AF36" s="12">
        <v>97</v>
      </c>
    </row>
    <row r="37" spans="1:32" ht="21.5" x14ac:dyDescent="0.35">
      <c r="A37" s="19"/>
      <c r="B37" s="13" t="s">
        <v>1451</v>
      </c>
      <c r="C37" s="15">
        <v>0.14000000000000001</v>
      </c>
      <c r="D37" s="15">
        <v>0.15</v>
      </c>
      <c r="E37" s="15">
        <v>0.14000000000000001</v>
      </c>
      <c r="F37" s="15">
        <v>0.14000000000000001</v>
      </c>
      <c r="G37" s="15">
        <v>0.1</v>
      </c>
      <c r="H37" s="15">
        <v>0.12</v>
      </c>
      <c r="I37" s="15">
        <v>0.12</v>
      </c>
      <c r="J37" s="15">
        <v>0.09</v>
      </c>
      <c r="K37" s="15">
        <v>0.11</v>
      </c>
      <c r="L37" s="15">
        <v>0.18</v>
      </c>
      <c r="M37" s="15">
        <v>0.11</v>
      </c>
      <c r="N37" s="15">
        <v>0.14000000000000001</v>
      </c>
      <c r="O37" s="15">
        <v>0.12</v>
      </c>
      <c r="P37" s="15">
        <v>0.17</v>
      </c>
      <c r="Q37" s="15">
        <v>0.18</v>
      </c>
      <c r="R37" s="15">
        <v>0.18</v>
      </c>
      <c r="S37" s="15">
        <v>0.09</v>
      </c>
      <c r="T37" s="15">
        <v>0.2</v>
      </c>
      <c r="U37" s="15">
        <v>0.13</v>
      </c>
      <c r="V37" s="15">
        <v>0.19</v>
      </c>
      <c r="W37" s="15">
        <v>0.28000000000000003</v>
      </c>
      <c r="X37" s="15">
        <v>0.14000000000000001</v>
      </c>
      <c r="Y37" s="15">
        <v>0.24</v>
      </c>
      <c r="Z37" s="15">
        <v>0.12</v>
      </c>
      <c r="AA37" s="15">
        <v>0.15</v>
      </c>
      <c r="AB37" s="15">
        <v>0.14000000000000001</v>
      </c>
      <c r="AC37" s="15">
        <v>0.13</v>
      </c>
      <c r="AD37" s="15">
        <v>0.15</v>
      </c>
      <c r="AE37" s="15">
        <v>0.16</v>
      </c>
      <c r="AF37" s="15">
        <v>0.1</v>
      </c>
    </row>
    <row r="38" spans="1:32" ht="31.5" x14ac:dyDescent="0.35">
      <c r="A38" s="19"/>
      <c r="B38" s="11" t="s">
        <v>1452</v>
      </c>
      <c r="C38" s="12">
        <v>4373</v>
      </c>
      <c r="D38" s="12">
        <v>138</v>
      </c>
      <c r="E38" s="12">
        <v>176</v>
      </c>
      <c r="F38" s="12">
        <v>133</v>
      </c>
      <c r="G38" s="12">
        <v>181</v>
      </c>
      <c r="H38" s="12">
        <v>295</v>
      </c>
      <c r="I38" s="12">
        <v>368</v>
      </c>
      <c r="J38" s="12">
        <v>73</v>
      </c>
      <c r="K38" s="12">
        <v>135</v>
      </c>
      <c r="L38" s="12">
        <v>127</v>
      </c>
      <c r="M38" s="12">
        <v>236</v>
      </c>
      <c r="N38" s="12">
        <v>179</v>
      </c>
      <c r="O38" s="12">
        <v>115</v>
      </c>
      <c r="P38" s="12">
        <v>145</v>
      </c>
      <c r="Q38" s="12">
        <v>169</v>
      </c>
      <c r="R38" s="12">
        <v>66</v>
      </c>
      <c r="S38" s="12">
        <v>95</v>
      </c>
      <c r="T38" s="12">
        <v>121</v>
      </c>
      <c r="U38" s="12">
        <v>95</v>
      </c>
      <c r="V38" s="12">
        <v>106</v>
      </c>
      <c r="W38" s="12">
        <v>86</v>
      </c>
      <c r="X38" s="12">
        <v>127</v>
      </c>
      <c r="Y38" s="12">
        <v>213</v>
      </c>
      <c r="Z38" s="12">
        <v>116</v>
      </c>
      <c r="AA38" s="12">
        <v>113</v>
      </c>
      <c r="AB38" s="12">
        <v>149</v>
      </c>
      <c r="AC38" s="12">
        <v>145</v>
      </c>
      <c r="AD38" s="12">
        <v>158</v>
      </c>
      <c r="AE38" s="12">
        <v>199</v>
      </c>
      <c r="AF38" s="12">
        <v>231</v>
      </c>
    </row>
    <row r="39" spans="1:32" ht="21.5" x14ac:dyDescent="0.35">
      <c r="A39" s="19"/>
      <c r="B39" s="13" t="s">
        <v>1453</v>
      </c>
      <c r="C39" s="15">
        <v>0.21</v>
      </c>
      <c r="D39" s="15">
        <v>0.16</v>
      </c>
      <c r="E39" s="15">
        <v>0.24</v>
      </c>
      <c r="F39" s="15">
        <v>0.14000000000000001</v>
      </c>
      <c r="G39" s="15">
        <v>0.23</v>
      </c>
      <c r="H39" s="15">
        <v>0.37</v>
      </c>
      <c r="I39" s="15">
        <v>0.36</v>
      </c>
      <c r="J39" s="15">
        <v>0.33</v>
      </c>
      <c r="K39" s="15">
        <v>0.16</v>
      </c>
      <c r="L39" s="15">
        <v>0.15</v>
      </c>
      <c r="M39" s="15">
        <v>0.3</v>
      </c>
      <c r="N39" s="15">
        <v>0.25</v>
      </c>
      <c r="O39" s="15">
        <v>0.15</v>
      </c>
      <c r="P39" s="15">
        <v>0.17</v>
      </c>
      <c r="Q39" s="15">
        <v>0.21</v>
      </c>
      <c r="R39" s="15">
        <v>0.17</v>
      </c>
      <c r="S39" s="15">
        <v>0.13</v>
      </c>
      <c r="T39" s="15">
        <v>0.14000000000000001</v>
      </c>
      <c r="U39" s="15">
        <v>0.23</v>
      </c>
      <c r="V39" s="15">
        <v>0.12</v>
      </c>
      <c r="W39" s="15">
        <v>0.21</v>
      </c>
      <c r="X39" s="15">
        <v>0.15</v>
      </c>
      <c r="Y39" s="15">
        <v>0.27</v>
      </c>
      <c r="Z39" s="15">
        <v>0.13</v>
      </c>
      <c r="AA39" s="15">
        <v>0.18</v>
      </c>
      <c r="AB39" s="15">
        <v>0.16</v>
      </c>
      <c r="AC39" s="15">
        <v>0.19</v>
      </c>
      <c r="AD39" s="15">
        <v>0.18</v>
      </c>
      <c r="AE39" s="15">
        <v>0.25</v>
      </c>
      <c r="AF39" s="15">
        <v>0.25</v>
      </c>
    </row>
    <row r="40" spans="1:32" ht="21.5" x14ac:dyDescent="0.35">
      <c r="A40" s="19"/>
      <c r="B40" s="11" t="s">
        <v>1454</v>
      </c>
      <c r="C40" s="12">
        <v>1937</v>
      </c>
      <c r="D40" s="12">
        <v>64</v>
      </c>
      <c r="E40" s="12">
        <v>87</v>
      </c>
      <c r="F40" s="12">
        <v>71</v>
      </c>
      <c r="G40" s="12">
        <v>80</v>
      </c>
      <c r="H40" s="12">
        <v>36</v>
      </c>
      <c r="I40" s="12">
        <v>47</v>
      </c>
      <c r="J40" s="12">
        <v>11</v>
      </c>
      <c r="K40" s="12">
        <v>60</v>
      </c>
      <c r="L40" s="12">
        <v>37</v>
      </c>
      <c r="M40" s="12">
        <v>128</v>
      </c>
      <c r="N40" s="12">
        <v>47</v>
      </c>
      <c r="O40" s="12">
        <v>47</v>
      </c>
      <c r="P40" s="12">
        <v>81</v>
      </c>
      <c r="Q40" s="12">
        <v>118</v>
      </c>
      <c r="R40" s="12">
        <v>26</v>
      </c>
      <c r="S40" s="12">
        <v>111</v>
      </c>
      <c r="T40" s="12">
        <v>108</v>
      </c>
      <c r="U40" s="12">
        <v>29</v>
      </c>
      <c r="V40" s="12">
        <v>119</v>
      </c>
      <c r="W40" s="12">
        <v>17</v>
      </c>
      <c r="X40" s="12">
        <v>43</v>
      </c>
      <c r="Y40" s="12">
        <v>65</v>
      </c>
      <c r="Z40" s="12">
        <v>158</v>
      </c>
      <c r="AA40" s="12">
        <v>79</v>
      </c>
      <c r="AB40" s="12">
        <v>123</v>
      </c>
      <c r="AC40" s="12">
        <v>56</v>
      </c>
      <c r="AD40" s="12">
        <v>89</v>
      </c>
      <c r="AE40" s="12">
        <v>56</v>
      </c>
      <c r="AF40" s="12">
        <v>96</v>
      </c>
    </row>
    <row r="41" spans="1:32" ht="21.5" x14ac:dyDescent="0.35">
      <c r="A41" s="19"/>
      <c r="B41" s="13" t="s">
        <v>1455</v>
      </c>
      <c r="C41" s="15">
        <v>0.08</v>
      </c>
      <c r="D41" s="15">
        <v>7.0000000000000007E-2</v>
      </c>
      <c r="E41" s="15">
        <v>0.1</v>
      </c>
      <c r="F41" s="15">
        <v>7.0000000000000007E-2</v>
      </c>
      <c r="G41" s="15">
        <v>0.09</v>
      </c>
      <c r="H41" s="15">
        <v>0.03</v>
      </c>
      <c r="I41" s="15">
        <v>0.03</v>
      </c>
      <c r="J41" s="15">
        <v>0.04</v>
      </c>
      <c r="K41" s="15">
        <v>7.0000000000000007E-2</v>
      </c>
      <c r="L41" s="15">
        <v>0.04</v>
      </c>
      <c r="M41" s="15">
        <v>0.14000000000000001</v>
      </c>
      <c r="N41" s="15">
        <v>0.05</v>
      </c>
      <c r="O41" s="15">
        <v>0.05</v>
      </c>
      <c r="P41" s="15">
        <v>0.09</v>
      </c>
      <c r="Q41" s="15">
        <v>0.13</v>
      </c>
      <c r="R41" s="15">
        <v>0.06</v>
      </c>
      <c r="S41" s="15">
        <v>0.14000000000000001</v>
      </c>
      <c r="T41" s="15">
        <v>0.12</v>
      </c>
      <c r="U41" s="15">
        <v>0.06</v>
      </c>
      <c r="V41" s="15">
        <v>0.13</v>
      </c>
      <c r="W41" s="15">
        <v>0.04</v>
      </c>
      <c r="X41" s="15">
        <v>0.05</v>
      </c>
      <c r="Y41" s="15">
        <v>7.0000000000000007E-2</v>
      </c>
      <c r="Z41" s="15">
        <v>0.17</v>
      </c>
      <c r="AA41" s="15">
        <v>0.1</v>
      </c>
      <c r="AB41" s="15">
        <v>0.13</v>
      </c>
      <c r="AC41" s="15">
        <v>0.06</v>
      </c>
      <c r="AD41" s="15">
        <v>0.1</v>
      </c>
      <c r="AE41" s="15">
        <v>0.06</v>
      </c>
      <c r="AF41" s="15">
        <v>0.1</v>
      </c>
    </row>
    <row r="42" spans="1:32" x14ac:dyDescent="0.35">
      <c r="A42" s="19"/>
      <c r="B42" s="11" t="s">
        <v>611</v>
      </c>
      <c r="C42" s="12">
        <v>146</v>
      </c>
      <c r="D42" s="12">
        <v>2</v>
      </c>
      <c r="E42" s="12">
        <v>2</v>
      </c>
      <c r="F42" s="12">
        <v>0</v>
      </c>
      <c r="G42" s="12">
        <v>2</v>
      </c>
      <c r="H42" s="12">
        <v>15</v>
      </c>
      <c r="I42" s="12">
        <v>15</v>
      </c>
      <c r="J42" s="12">
        <v>0</v>
      </c>
      <c r="K42" s="12">
        <v>9</v>
      </c>
      <c r="L42" s="12">
        <v>0</v>
      </c>
      <c r="M42" s="12">
        <v>5</v>
      </c>
      <c r="N42" s="12">
        <v>11</v>
      </c>
      <c r="O42" s="12">
        <v>6</v>
      </c>
      <c r="P42" s="12">
        <v>1</v>
      </c>
      <c r="Q42" s="12">
        <v>5</v>
      </c>
      <c r="R42" s="12">
        <v>0</v>
      </c>
      <c r="S42" s="12">
        <v>4</v>
      </c>
      <c r="T42" s="12">
        <v>6</v>
      </c>
      <c r="U42" s="12">
        <v>4</v>
      </c>
      <c r="V42" s="12">
        <v>0</v>
      </c>
      <c r="W42" s="12">
        <v>5</v>
      </c>
      <c r="X42" s="12">
        <v>2</v>
      </c>
      <c r="Y42" s="12">
        <v>6</v>
      </c>
      <c r="Z42" s="12">
        <v>0</v>
      </c>
      <c r="AA42" s="12">
        <v>4</v>
      </c>
      <c r="AB42" s="12">
        <v>1</v>
      </c>
      <c r="AC42" s="12">
        <v>12</v>
      </c>
      <c r="AD42" s="12">
        <v>10</v>
      </c>
      <c r="AE42" s="12">
        <v>2</v>
      </c>
      <c r="AF42" s="12">
        <v>0</v>
      </c>
    </row>
    <row r="43" spans="1:32" x14ac:dyDescent="0.35">
      <c r="A43" s="19"/>
      <c r="B43" s="13" t="s">
        <v>612</v>
      </c>
      <c r="C43" s="15">
        <v>0.01</v>
      </c>
      <c r="D43" s="14" t="s">
        <v>475</v>
      </c>
      <c r="E43" s="14" t="s">
        <v>475</v>
      </c>
      <c r="F43" s="14" t="s">
        <v>475</v>
      </c>
      <c r="G43" s="14" t="s">
        <v>475</v>
      </c>
      <c r="H43" s="15">
        <v>0.01</v>
      </c>
      <c r="I43" s="15">
        <v>0.01</v>
      </c>
      <c r="J43" s="14" t="s">
        <v>475</v>
      </c>
      <c r="K43" s="15">
        <v>0.01</v>
      </c>
      <c r="L43" s="14" t="s">
        <v>475</v>
      </c>
      <c r="M43" s="15">
        <v>0.01</v>
      </c>
      <c r="N43" s="15">
        <v>0.01</v>
      </c>
      <c r="O43" s="15">
        <v>0.01</v>
      </c>
      <c r="P43" s="14" t="s">
        <v>475</v>
      </c>
      <c r="Q43" s="15">
        <v>0.01</v>
      </c>
      <c r="R43" s="14" t="s">
        <v>475</v>
      </c>
      <c r="S43" s="14" t="s">
        <v>475</v>
      </c>
      <c r="T43" s="15">
        <v>0.01</v>
      </c>
      <c r="U43" s="15">
        <v>0.01</v>
      </c>
      <c r="V43" s="14" t="s">
        <v>475</v>
      </c>
      <c r="W43" s="15">
        <v>0.01</v>
      </c>
      <c r="X43" s="14" t="s">
        <v>475</v>
      </c>
      <c r="Y43" s="15">
        <v>0.01</v>
      </c>
      <c r="Z43" s="14" t="s">
        <v>475</v>
      </c>
      <c r="AA43" s="14" t="s">
        <v>475</v>
      </c>
      <c r="AB43" s="14" t="s">
        <v>475</v>
      </c>
      <c r="AC43" s="15">
        <v>0.01</v>
      </c>
      <c r="AD43" s="15">
        <v>0.01</v>
      </c>
      <c r="AE43" s="14" t="s">
        <v>475</v>
      </c>
      <c r="AF43" s="14" t="s">
        <v>475</v>
      </c>
    </row>
    <row r="44" spans="1:32" x14ac:dyDescent="0.35">
      <c r="A44" s="19"/>
      <c r="B44" s="11" t="s">
        <v>613</v>
      </c>
      <c r="C44" s="12">
        <v>226</v>
      </c>
      <c r="D44" s="12">
        <v>0</v>
      </c>
      <c r="E44" s="12">
        <v>6</v>
      </c>
      <c r="F44" s="12">
        <v>0</v>
      </c>
      <c r="G44" s="12">
        <v>10</v>
      </c>
      <c r="H44" s="12">
        <v>7</v>
      </c>
      <c r="I44" s="12">
        <v>7</v>
      </c>
      <c r="J44" s="12">
        <v>1</v>
      </c>
      <c r="K44" s="12">
        <v>2</v>
      </c>
      <c r="L44" s="12">
        <v>3</v>
      </c>
      <c r="M44" s="12">
        <v>2</v>
      </c>
      <c r="N44" s="12">
        <v>31</v>
      </c>
      <c r="O44" s="12">
        <v>13</v>
      </c>
      <c r="P44" s="12">
        <v>0</v>
      </c>
      <c r="Q44" s="12">
        <v>11</v>
      </c>
      <c r="R44" s="12">
        <v>5</v>
      </c>
      <c r="S44" s="12">
        <v>5</v>
      </c>
      <c r="T44" s="12">
        <v>2</v>
      </c>
      <c r="U44" s="12">
        <v>7</v>
      </c>
      <c r="V44" s="12">
        <v>0</v>
      </c>
      <c r="W44" s="12">
        <v>12</v>
      </c>
      <c r="X44" s="12">
        <v>5</v>
      </c>
      <c r="Y44" s="12">
        <v>3</v>
      </c>
      <c r="Z44" s="12">
        <v>0</v>
      </c>
      <c r="AA44" s="12">
        <v>1</v>
      </c>
      <c r="AB44" s="12">
        <v>0</v>
      </c>
      <c r="AC44" s="12">
        <v>8</v>
      </c>
      <c r="AD44" s="12">
        <v>1</v>
      </c>
      <c r="AE44" s="12">
        <v>9</v>
      </c>
      <c r="AF44" s="12">
        <v>4</v>
      </c>
    </row>
    <row r="45" spans="1:32" x14ac:dyDescent="0.35">
      <c r="A45" s="19"/>
      <c r="B45" s="13" t="s">
        <v>614</v>
      </c>
      <c r="C45" s="15">
        <v>0.01</v>
      </c>
      <c r="D45" s="14" t="s">
        <v>475</v>
      </c>
      <c r="E45" s="15">
        <v>0.01</v>
      </c>
      <c r="F45" s="14" t="s">
        <v>475</v>
      </c>
      <c r="G45" s="15">
        <v>0.01</v>
      </c>
      <c r="H45" s="15">
        <v>0.01</v>
      </c>
      <c r="I45" s="15">
        <v>0.01</v>
      </c>
      <c r="J45" s="14" t="s">
        <v>475</v>
      </c>
      <c r="K45" s="14" t="s">
        <v>475</v>
      </c>
      <c r="L45" s="14" t="s">
        <v>475</v>
      </c>
      <c r="M45" s="14" t="s">
        <v>475</v>
      </c>
      <c r="N45" s="15">
        <v>0.03</v>
      </c>
      <c r="O45" s="15">
        <v>0.02</v>
      </c>
      <c r="P45" s="14" t="s">
        <v>475</v>
      </c>
      <c r="Q45" s="15">
        <v>0.01</v>
      </c>
      <c r="R45" s="15">
        <v>0.01</v>
      </c>
      <c r="S45" s="15">
        <v>0.01</v>
      </c>
      <c r="T45" s="14" t="s">
        <v>475</v>
      </c>
      <c r="U45" s="15">
        <v>0.02</v>
      </c>
      <c r="V45" s="14" t="s">
        <v>475</v>
      </c>
      <c r="W45" s="15">
        <v>0.02</v>
      </c>
      <c r="X45" s="14" t="s">
        <v>475</v>
      </c>
      <c r="Y45" s="14" t="s">
        <v>475</v>
      </c>
      <c r="Z45" s="14" t="s">
        <v>475</v>
      </c>
      <c r="AA45" s="14" t="s">
        <v>475</v>
      </c>
      <c r="AB45" s="14" t="s">
        <v>475</v>
      </c>
      <c r="AC45" s="15">
        <v>0.01</v>
      </c>
      <c r="AD45" s="14" t="s">
        <v>475</v>
      </c>
      <c r="AE45" s="15">
        <v>0.01</v>
      </c>
      <c r="AF45" s="14" t="s">
        <v>475</v>
      </c>
    </row>
    <row r="46" spans="1:32" x14ac:dyDescent="0.35">
      <c r="A46" s="19"/>
      <c r="B46" s="11" t="s">
        <v>485</v>
      </c>
      <c r="C46" s="12">
        <v>858</v>
      </c>
      <c r="D46" s="12">
        <v>13</v>
      </c>
      <c r="E46" s="12">
        <v>30</v>
      </c>
      <c r="F46" s="12">
        <v>6</v>
      </c>
      <c r="G46" s="12">
        <v>17</v>
      </c>
      <c r="H46" s="12">
        <v>85</v>
      </c>
      <c r="I46" s="12">
        <v>89</v>
      </c>
      <c r="J46" s="12">
        <v>5</v>
      </c>
      <c r="K46" s="12">
        <v>39</v>
      </c>
      <c r="L46" s="12">
        <v>13</v>
      </c>
      <c r="M46" s="12">
        <v>5</v>
      </c>
      <c r="N46" s="12">
        <v>41</v>
      </c>
      <c r="O46" s="12">
        <v>56</v>
      </c>
      <c r="P46" s="12">
        <v>3</v>
      </c>
      <c r="Q46" s="12">
        <v>18</v>
      </c>
      <c r="R46" s="12">
        <v>4</v>
      </c>
      <c r="S46" s="12">
        <v>46</v>
      </c>
      <c r="T46" s="12">
        <v>26</v>
      </c>
      <c r="U46" s="12">
        <v>15</v>
      </c>
      <c r="V46" s="12">
        <v>4</v>
      </c>
      <c r="W46" s="12">
        <v>11</v>
      </c>
      <c r="X46" s="12">
        <v>16</v>
      </c>
      <c r="Y46" s="12">
        <v>16</v>
      </c>
      <c r="Z46" s="12">
        <v>11</v>
      </c>
      <c r="AA46" s="12">
        <v>31</v>
      </c>
      <c r="AB46" s="12">
        <v>9</v>
      </c>
      <c r="AC46" s="12">
        <v>30</v>
      </c>
      <c r="AD46" s="12">
        <v>3</v>
      </c>
      <c r="AE46" s="12">
        <v>59</v>
      </c>
      <c r="AF46" s="12">
        <v>20</v>
      </c>
    </row>
    <row r="47" spans="1:32" x14ac:dyDescent="0.35">
      <c r="A47" s="19"/>
      <c r="B47" s="13" t="s">
        <v>486</v>
      </c>
      <c r="C47" s="15">
        <v>0.04</v>
      </c>
      <c r="D47" s="15">
        <v>0.01</v>
      </c>
      <c r="E47" s="15">
        <v>0.03</v>
      </c>
      <c r="F47" s="15">
        <v>0.01</v>
      </c>
      <c r="G47" s="15">
        <v>0.02</v>
      </c>
      <c r="H47" s="15">
        <v>0.08</v>
      </c>
      <c r="I47" s="15">
        <v>0.06</v>
      </c>
      <c r="J47" s="15">
        <v>0.02</v>
      </c>
      <c r="K47" s="15">
        <v>0.04</v>
      </c>
      <c r="L47" s="15">
        <v>0.01</v>
      </c>
      <c r="M47" s="14" t="s">
        <v>475</v>
      </c>
      <c r="N47" s="15">
        <v>0.05</v>
      </c>
      <c r="O47" s="15">
        <v>7.0000000000000007E-2</v>
      </c>
      <c r="P47" s="14" t="s">
        <v>475</v>
      </c>
      <c r="Q47" s="15">
        <v>0.02</v>
      </c>
      <c r="R47" s="15">
        <v>0.01</v>
      </c>
      <c r="S47" s="15">
        <v>0.06</v>
      </c>
      <c r="T47" s="15">
        <v>0.03</v>
      </c>
      <c r="U47" s="15">
        <v>0.03</v>
      </c>
      <c r="V47" s="14" t="s">
        <v>475</v>
      </c>
      <c r="W47" s="15">
        <v>0.02</v>
      </c>
      <c r="X47" s="15">
        <v>0.02</v>
      </c>
      <c r="Y47" s="15">
        <v>0.02</v>
      </c>
      <c r="Z47" s="15">
        <v>0.01</v>
      </c>
      <c r="AA47" s="15">
        <v>0.04</v>
      </c>
      <c r="AB47" s="15">
        <v>0.01</v>
      </c>
      <c r="AC47" s="15">
        <v>0.03</v>
      </c>
      <c r="AD47" s="14" t="s">
        <v>475</v>
      </c>
      <c r="AE47" s="15">
        <v>0.06</v>
      </c>
      <c r="AF47" s="15">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353</v>
      </c>
      <c r="C3" s="18"/>
      <c r="D3" s="18"/>
      <c r="E3" s="18"/>
      <c r="F3" s="18"/>
      <c r="H3" s="18" t="s">
        <v>354</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HYPERLINK("#Content!A179","&lt;&lt;Back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1428</v>
      </c>
      <c r="C12" s="12">
        <v>3846</v>
      </c>
      <c r="D12" s="12">
        <v>191</v>
      </c>
      <c r="E12" s="12">
        <v>151</v>
      </c>
      <c r="F12" s="12">
        <v>144</v>
      </c>
      <c r="G12" s="12">
        <v>135</v>
      </c>
      <c r="H12" s="12">
        <v>106</v>
      </c>
      <c r="I12" s="12">
        <v>133</v>
      </c>
      <c r="J12" s="12">
        <v>28</v>
      </c>
      <c r="K12" s="12">
        <v>84</v>
      </c>
      <c r="L12" s="12">
        <v>146</v>
      </c>
      <c r="M12" s="12">
        <v>160</v>
      </c>
      <c r="N12" s="12">
        <v>134</v>
      </c>
      <c r="O12" s="12">
        <v>166</v>
      </c>
      <c r="P12" s="12">
        <v>180</v>
      </c>
      <c r="Q12" s="12">
        <v>228</v>
      </c>
      <c r="R12" s="12">
        <v>78</v>
      </c>
      <c r="S12" s="12">
        <v>64</v>
      </c>
      <c r="T12" s="12">
        <v>91</v>
      </c>
      <c r="U12" s="12">
        <v>49</v>
      </c>
      <c r="V12" s="12">
        <v>174</v>
      </c>
      <c r="W12" s="12">
        <v>90</v>
      </c>
      <c r="X12" s="12">
        <v>148</v>
      </c>
      <c r="Y12" s="12">
        <v>174</v>
      </c>
      <c r="Z12" s="12">
        <v>135</v>
      </c>
      <c r="AA12" s="12">
        <v>124</v>
      </c>
      <c r="AB12" s="12">
        <v>159</v>
      </c>
      <c r="AC12" s="12">
        <v>102</v>
      </c>
      <c r="AD12" s="12">
        <v>151</v>
      </c>
      <c r="AE12" s="12">
        <v>121</v>
      </c>
      <c r="AF12" s="12">
        <v>110</v>
      </c>
    </row>
    <row r="13" spans="1:32" ht="21.5" x14ac:dyDescent="0.35">
      <c r="A13" s="19"/>
      <c r="B13" s="13" t="s">
        <v>1429</v>
      </c>
      <c r="C13" s="15">
        <v>0.15</v>
      </c>
      <c r="D13" s="15">
        <v>0.19</v>
      </c>
      <c r="E13" s="15">
        <v>0.15</v>
      </c>
      <c r="F13" s="15">
        <v>0.13</v>
      </c>
      <c r="G13" s="15">
        <v>0.13</v>
      </c>
      <c r="H13" s="15">
        <v>0.09</v>
      </c>
      <c r="I13" s="15">
        <v>0.09</v>
      </c>
      <c r="J13" s="15">
        <v>0.09</v>
      </c>
      <c r="K13" s="15">
        <v>0.08</v>
      </c>
      <c r="L13" s="15">
        <v>0.15</v>
      </c>
      <c r="M13" s="15">
        <v>0.16</v>
      </c>
      <c r="N13" s="15">
        <v>0.13</v>
      </c>
      <c r="O13" s="15">
        <v>0.17</v>
      </c>
      <c r="P13" s="15">
        <v>0.18</v>
      </c>
      <c r="Q13" s="15">
        <v>0.22</v>
      </c>
      <c r="R13" s="15">
        <v>0.16</v>
      </c>
      <c r="S13" s="15">
        <v>0.06</v>
      </c>
      <c r="T13" s="15">
        <v>0.09</v>
      </c>
      <c r="U13" s="15">
        <v>0.1</v>
      </c>
      <c r="V13" s="15">
        <v>0.17</v>
      </c>
      <c r="W13" s="15">
        <v>0.18</v>
      </c>
      <c r="X13" s="15">
        <v>0.15</v>
      </c>
      <c r="Y13" s="15">
        <v>0.17</v>
      </c>
      <c r="Z13" s="15">
        <v>0.13</v>
      </c>
      <c r="AA13" s="15">
        <v>0.12</v>
      </c>
      <c r="AB13" s="15">
        <v>0.15</v>
      </c>
      <c r="AC13" s="15">
        <v>0.1</v>
      </c>
      <c r="AD13" s="15">
        <v>0.15</v>
      </c>
      <c r="AE13" s="15">
        <v>0.12</v>
      </c>
      <c r="AF13" s="15">
        <v>0.11</v>
      </c>
    </row>
    <row r="14" spans="1:32" ht="21.5" x14ac:dyDescent="0.35">
      <c r="A14" s="19"/>
      <c r="B14" s="11" t="s">
        <v>1430</v>
      </c>
      <c r="C14" s="12">
        <v>3080</v>
      </c>
      <c r="D14" s="12">
        <v>139</v>
      </c>
      <c r="E14" s="12">
        <v>114</v>
      </c>
      <c r="F14" s="12">
        <v>119</v>
      </c>
      <c r="G14" s="12">
        <v>107</v>
      </c>
      <c r="H14" s="12">
        <v>65</v>
      </c>
      <c r="I14" s="12">
        <v>75</v>
      </c>
      <c r="J14" s="12">
        <v>10</v>
      </c>
      <c r="K14" s="12">
        <v>103</v>
      </c>
      <c r="L14" s="12">
        <v>183</v>
      </c>
      <c r="M14" s="12">
        <v>104</v>
      </c>
      <c r="N14" s="12">
        <v>147</v>
      </c>
      <c r="O14" s="12">
        <v>142</v>
      </c>
      <c r="P14" s="12">
        <v>198</v>
      </c>
      <c r="Q14" s="12">
        <v>156</v>
      </c>
      <c r="R14" s="12">
        <v>95</v>
      </c>
      <c r="S14" s="12">
        <v>121</v>
      </c>
      <c r="T14" s="12">
        <v>138</v>
      </c>
      <c r="U14" s="12">
        <v>60</v>
      </c>
      <c r="V14" s="12">
        <v>145</v>
      </c>
      <c r="W14" s="12">
        <v>131</v>
      </c>
      <c r="X14" s="12">
        <v>101</v>
      </c>
      <c r="Y14" s="12">
        <v>122</v>
      </c>
      <c r="Z14" s="12">
        <v>100</v>
      </c>
      <c r="AA14" s="12">
        <v>144</v>
      </c>
      <c r="AB14" s="12">
        <v>176</v>
      </c>
      <c r="AC14" s="12">
        <v>91</v>
      </c>
      <c r="AD14" s="12">
        <v>115</v>
      </c>
      <c r="AE14" s="12">
        <v>47</v>
      </c>
      <c r="AF14" s="12">
        <v>67</v>
      </c>
    </row>
    <row r="15" spans="1:32" ht="21.5" x14ac:dyDescent="0.35">
      <c r="A15" s="19"/>
      <c r="B15" s="13" t="s">
        <v>1431</v>
      </c>
      <c r="C15" s="15">
        <v>0.12</v>
      </c>
      <c r="D15" s="15">
        <v>0.14000000000000001</v>
      </c>
      <c r="E15" s="15">
        <v>0.11</v>
      </c>
      <c r="F15" s="15">
        <v>0.11</v>
      </c>
      <c r="G15" s="15">
        <v>0.11</v>
      </c>
      <c r="H15" s="15">
        <v>0.05</v>
      </c>
      <c r="I15" s="15">
        <v>0.05</v>
      </c>
      <c r="J15" s="15">
        <v>0.03</v>
      </c>
      <c r="K15" s="15">
        <v>0.1</v>
      </c>
      <c r="L15" s="15">
        <v>0.18</v>
      </c>
      <c r="M15" s="15">
        <v>0.1</v>
      </c>
      <c r="N15" s="15">
        <v>0.15</v>
      </c>
      <c r="O15" s="15">
        <v>0.14000000000000001</v>
      </c>
      <c r="P15" s="15">
        <v>0.2</v>
      </c>
      <c r="Q15" s="15">
        <v>0.15</v>
      </c>
      <c r="R15" s="15">
        <v>0.19</v>
      </c>
      <c r="S15" s="15">
        <v>0.12</v>
      </c>
      <c r="T15" s="15">
        <v>0.14000000000000001</v>
      </c>
      <c r="U15" s="15">
        <v>0.12</v>
      </c>
      <c r="V15" s="15">
        <v>0.14000000000000001</v>
      </c>
      <c r="W15" s="15">
        <v>0.26</v>
      </c>
      <c r="X15" s="15">
        <v>0.1</v>
      </c>
      <c r="Y15" s="15">
        <v>0.12</v>
      </c>
      <c r="Z15" s="15">
        <v>0.1</v>
      </c>
      <c r="AA15" s="15">
        <v>0.14000000000000001</v>
      </c>
      <c r="AB15" s="15">
        <v>0.17</v>
      </c>
      <c r="AC15" s="15">
        <v>0.09</v>
      </c>
      <c r="AD15" s="15">
        <v>0.11</v>
      </c>
      <c r="AE15" s="15">
        <v>0.05</v>
      </c>
      <c r="AF15" s="15">
        <v>0.06</v>
      </c>
    </row>
    <row r="16" spans="1:32" ht="31.5" x14ac:dyDescent="0.35">
      <c r="A16" s="19"/>
      <c r="B16" s="11" t="s">
        <v>1432</v>
      </c>
      <c r="C16" s="12">
        <v>5290</v>
      </c>
      <c r="D16" s="12">
        <v>174</v>
      </c>
      <c r="E16" s="12">
        <v>187</v>
      </c>
      <c r="F16" s="12">
        <v>284</v>
      </c>
      <c r="G16" s="12">
        <v>185</v>
      </c>
      <c r="H16" s="12">
        <v>223</v>
      </c>
      <c r="I16" s="12">
        <v>290</v>
      </c>
      <c r="J16" s="12">
        <v>67</v>
      </c>
      <c r="K16" s="12">
        <v>258</v>
      </c>
      <c r="L16" s="12">
        <v>236</v>
      </c>
      <c r="M16" s="12">
        <v>237</v>
      </c>
      <c r="N16" s="12">
        <v>211</v>
      </c>
      <c r="O16" s="12">
        <v>176</v>
      </c>
      <c r="P16" s="12">
        <v>219</v>
      </c>
      <c r="Q16" s="12">
        <v>208</v>
      </c>
      <c r="R16" s="12">
        <v>62</v>
      </c>
      <c r="S16" s="12">
        <v>139</v>
      </c>
      <c r="T16" s="12">
        <v>226</v>
      </c>
      <c r="U16" s="12">
        <v>128</v>
      </c>
      <c r="V16" s="12">
        <v>203</v>
      </c>
      <c r="W16" s="12">
        <v>87</v>
      </c>
      <c r="X16" s="12">
        <v>175</v>
      </c>
      <c r="Y16" s="12">
        <v>225</v>
      </c>
      <c r="Z16" s="12">
        <v>207</v>
      </c>
      <c r="AA16" s="12">
        <v>148</v>
      </c>
      <c r="AB16" s="12">
        <v>238</v>
      </c>
      <c r="AC16" s="12">
        <v>225</v>
      </c>
      <c r="AD16" s="12">
        <v>236</v>
      </c>
      <c r="AE16" s="12">
        <v>236</v>
      </c>
      <c r="AF16" s="12">
        <v>299</v>
      </c>
    </row>
    <row r="17" spans="1:32" ht="21.5" x14ac:dyDescent="0.35">
      <c r="A17" s="19"/>
      <c r="B17" s="13" t="s">
        <v>1433</v>
      </c>
      <c r="C17" s="15">
        <v>0.2</v>
      </c>
      <c r="D17" s="15">
        <v>0.17</v>
      </c>
      <c r="E17" s="15">
        <v>0.18</v>
      </c>
      <c r="F17" s="15">
        <v>0.26</v>
      </c>
      <c r="G17" s="15">
        <v>0.18</v>
      </c>
      <c r="H17" s="15">
        <v>0.18</v>
      </c>
      <c r="I17" s="15">
        <v>0.19</v>
      </c>
      <c r="J17" s="15">
        <v>0.23</v>
      </c>
      <c r="K17" s="15">
        <v>0.26</v>
      </c>
      <c r="L17" s="15">
        <v>0.24</v>
      </c>
      <c r="M17" s="15">
        <v>0.23</v>
      </c>
      <c r="N17" s="15">
        <v>0.21</v>
      </c>
      <c r="O17" s="15">
        <v>0.18</v>
      </c>
      <c r="P17" s="15">
        <v>0.22</v>
      </c>
      <c r="Q17" s="15">
        <v>0.2</v>
      </c>
      <c r="R17" s="15">
        <v>0.12</v>
      </c>
      <c r="S17" s="15">
        <v>0.14000000000000001</v>
      </c>
      <c r="T17" s="15">
        <v>0.22</v>
      </c>
      <c r="U17" s="15">
        <v>0.25</v>
      </c>
      <c r="V17" s="15">
        <v>0.2</v>
      </c>
      <c r="W17" s="15">
        <v>0.17</v>
      </c>
      <c r="X17" s="15">
        <v>0.17</v>
      </c>
      <c r="Y17" s="15">
        <v>0.22</v>
      </c>
      <c r="Z17" s="15">
        <v>0.2</v>
      </c>
      <c r="AA17" s="15">
        <v>0.14000000000000001</v>
      </c>
      <c r="AB17" s="15">
        <v>0.23</v>
      </c>
      <c r="AC17" s="15">
        <v>0.22</v>
      </c>
      <c r="AD17" s="15">
        <v>0.23</v>
      </c>
      <c r="AE17" s="15">
        <v>0.23</v>
      </c>
      <c r="AF17" s="15">
        <v>0.28999999999999998</v>
      </c>
    </row>
    <row r="18" spans="1:32" x14ac:dyDescent="0.35">
      <c r="A18" s="19"/>
      <c r="B18" s="11" t="s">
        <v>1434</v>
      </c>
      <c r="C18" s="12">
        <v>2031</v>
      </c>
      <c r="D18" s="12">
        <v>105</v>
      </c>
      <c r="E18" s="12">
        <v>103</v>
      </c>
      <c r="F18" s="12">
        <v>80</v>
      </c>
      <c r="G18" s="12">
        <v>82</v>
      </c>
      <c r="H18" s="12">
        <v>63</v>
      </c>
      <c r="I18" s="12">
        <v>88</v>
      </c>
      <c r="J18" s="12">
        <v>26</v>
      </c>
      <c r="K18" s="12">
        <v>50</v>
      </c>
      <c r="L18" s="12">
        <v>82</v>
      </c>
      <c r="M18" s="12">
        <v>70</v>
      </c>
      <c r="N18" s="12">
        <v>76</v>
      </c>
      <c r="O18" s="12">
        <v>100</v>
      </c>
      <c r="P18" s="12">
        <v>119</v>
      </c>
      <c r="Q18" s="12">
        <v>71</v>
      </c>
      <c r="R18" s="12">
        <v>36</v>
      </c>
      <c r="S18" s="12">
        <v>37</v>
      </c>
      <c r="T18" s="12">
        <v>66</v>
      </c>
      <c r="U18" s="12">
        <v>35</v>
      </c>
      <c r="V18" s="12">
        <v>154</v>
      </c>
      <c r="W18" s="12">
        <v>29</v>
      </c>
      <c r="X18" s="12">
        <v>41</v>
      </c>
      <c r="Y18" s="12">
        <v>109</v>
      </c>
      <c r="Z18" s="12">
        <v>58</v>
      </c>
      <c r="AA18" s="12">
        <v>89</v>
      </c>
      <c r="AB18" s="12">
        <v>107</v>
      </c>
      <c r="AC18" s="12">
        <v>78</v>
      </c>
      <c r="AD18" s="12">
        <v>90</v>
      </c>
      <c r="AE18" s="12">
        <v>86</v>
      </c>
      <c r="AF18" s="12">
        <v>65</v>
      </c>
    </row>
    <row r="19" spans="1:32" x14ac:dyDescent="0.35">
      <c r="A19" s="19"/>
      <c r="B19" s="13" t="s">
        <v>1435</v>
      </c>
      <c r="C19" s="15">
        <v>0.08</v>
      </c>
      <c r="D19" s="15">
        <v>0.1</v>
      </c>
      <c r="E19" s="15">
        <v>0.1</v>
      </c>
      <c r="F19" s="15">
        <v>7.0000000000000007E-2</v>
      </c>
      <c r="G19" s="15">
        <v>0.08</v>
      </c>
      <c r="H19" s="15">
        <v>0.05</v>
      </c>
      <c r="I19" s="15">
        <v>0.06</v>
      </c>
      <c r="J19" s="15">
        <v>0.09</v>
      </c>
      <c r="K19" s="15">
        <v>0.05</v>
      </c>
      <c r="L19" s="15">
        <v>0.08</v>
      </c>
      <c r="M19" s="15">
        <v>7.0000000000000007E-2</v>
      </c>
      <c r="N19" s="15">
        <v>0.08</v>
      </c>
      <c r="O19" s="15">
        <v>0.1</v>
      </c>
      <c r="P19" s="15">
        <v>0.12</v>
      </c>
      <c r="Q19" s="15">
        <v>7.0000000000000007E-2</v>
      </c>
      <c r="R19" s="15">
        <v>7.0000000000000007E-2</v>
      </c>
      <c r="S19" s="15">
        <v>0.04</v>
      </c>
      <c r="T19" s="15">
        <v>7.0000000000000007E-2</v>
      </c>
      <c r="U19" s="15">
        <v>7.0000000000000007E-2</v>
      </c>
      <c r="V19" s="15">
        <v>0.15</v>
      </c>
      <c r="W19" s="15">
        <v>0.06</v>
      </c>
      <c r="X19" s="15">
        <v>0.04</v>
      </c>
      <c r="Y19" s="15">
        <v>0.11</v>
      </c>
      <c r="Z19" s="15">
        <v>0.06</v>
      </c>
      <c r="AA19" s="15">
        <v>0.09</v>
      </c>
      <c r="AB19" s="15">
        <v>0.1</v>
      </c>
      <c r="AC19" s="15">
        <v>0.08</v>
      </c>
      <c r="AD19" s="15">
        <v>0.09</v>
      </c>
      <c r="AE19" s="15">
        <v>0.08</v>
      </c>
      <c r="AF19" s="15">
        <v>0.06</v>
      </c>
    </row>
    <row r="20" spans="1:32" ht="21.5" x14ac:dyDescent="0.35">
      <c r="A20" s="19"/>
      <c r="B20" s="11" t="s">
        <v>1436</v>
      </c>
      <c r="C20" s="12">
        <v>2562</v>
      </c>
      <c r="D20" s="12">
        <v>117</v>
      </c>
      <c r="E20" s="12">
        <v>127</v>
      </c>
      <c r="F20" s="12">
        <v>145</v>
      </c>
      <c r="G20" s="12">
        <v>88</v>
      </c>
      <c r="H20" s="12">
        <v>90</v>
      </c>
      <c r="I20" s="12">
        <v>121</v>
      </c>
      <c r="J20" s="12">
        <v>31</v>
      </c>
      <c r="K20" s="12">
        <v>86</v>
      </c>
      <c r="L20" s="12">
        <v>80</v>
      </c>
      <c r="M20" s="12">
        <v>217</v>
      </c>
      <c r="N20" s="12">
        <v>89</v>
      </c>
      <c r="O20" s="12">
        <v>58</v>
      </c>
      <c r="P20" s="12">
        <v>151</v>
      </c>
      <c r="Q20" s="12">
        <v>142</v>
      </c>
      <c r="R20" s="12">
        <v>26</v>
      </c>
      <c r="S20" s="12">
        <v>79</v>
      </c>
      <c r="T20" s="12">
        <v>62</v>
      </c>
      <c r="U20" s="12">
        <v>37</v>
      </c>
      <c r="V20" s="12">
        <v>105</v>
      </c>
      <c r="W20" s="12">
        <v>73</v>
      </c>
      <c r="X20" s="12">
        <v>99</v>
      </c>
      <c r="Y20" s="12">
        <v>108</v>
      </c>
      <c r="Z20" s="12">
        <v>87</v>
      </c>
      <c r="AA20" s="12">
        <v>140</v>
      </c>
      <c r="AB20" s="12">
        <v>128</v>
      </c>
      <c r="AC20" s="12">
        <v>85</v>
      </c>
      <c r="AD20" s="12">
        <v>107</v>
      </c>
      <c r="AE20" s="12">
        <v>72</v>
      </c>
      <c r="AF20" s="12">
        <v>50</v>
      </c>
    </row>
    <row r="21" spans="1:32" x14ac:dyDescent="0.35">
      <c r="A21" s="19"/>
      <c r="B21" s="13" t="s">
        <v>1437</v>
      </c>
      <c r="C21" s="15">
        <v>0.1</v>
      </c>
      <c r="D21" s="15">
        <v>0.12</v>
      </c>
      <c r="E21" s="15">
        <v>0.12</v>
      </c>
      <c r="F21" s="15">
        <v>0.13</v>
      </c>
      <c r="G21" s="15">
        <v>0.09</v>
      </c>
      <c r="H21" s="15">
        <v>7.0000000000000007E-2</v>
      </c>
      <c r="I21" s="15">
        <v>0.08</v>
      </c>
      <c r="J21" s="15">
        <v>0.11</v>
      </c>
      <c r="K21" s="15">
        <v>0.09</v>
      </c>
      <c r="L21" s="15">
        <v>0.08</v>
      </c>
      <c r="M21" s="15">
        <v>0.21</v>
      </c>
      <c r="N21" s="15">
        <v>0.09</v>
      </c>
      <c r="O21" s="15">
        <v>0.06</v>
      </c>
      <c r="P21" s="15">
        <v>0.15</v>
      </c>
      <c r="Q21" s="15">
        <v>0.14000000000000001</v>
      </c>
      <c r="R21" s="15">
        <v>0.05</v>
      </c>
      <c r="S21" s="15">
        <v>0.08</v>
      </c>
      <c r="T21" s="15">
        <v>0.06</v>
      </c>
      <c r="U21" s="15">
        <v>7.0000000000000007E-2</v>
      </c>
      <c r="V21" s="15">
        <v>0.1</v>
      </c>
      <c r="W21" s="15">
        <v>0.14000000000000001</v>
      </c>
      <c r="X21" s="15">
        <v>0.1</v>
      </c>
      <c r="Y21" s="15">
        <v>0.11</v>
      </c>
      <c r="Z21" s="15">
        <v>0.08</v>
      </c>
      <c r="AA21" s="15">
        <v>0.14000000000000001</v>
      </c>
      <c r="AB21" s="15">
        <v>0.12</v>
      </c>
      <c r="AC21" s="15">
        <v>0.08</v>
      </c>
      <c r="AD21" s="15">
        <v>0.11</v>
      </c>
      <c r="AE21" s="15">
        <v>7.0000000000000007E-2</v>
      </c>
      <c r="AF21" s="15">
        <v>0.05</v>
      </c>
    </row>
    <row r="22" spans="1:32" ht="31.5" x14ac:dyDescent="0.35">
      <c r="A22" s="19"/>
      <c r="B22" s="11" t="s">
        <v>1438</v>
      </c>
      <c r="C22" s="12">
        <v>6280</v>
      </c>
      <c r="D22" s="12">
        <v>216</v>
      </c>
      <c r="E22" s="12">
        <v>216</v>
      </c>
      <c r="F22" s="12">
        <v>292</v>
      </c>
      <c r="G22" s="12">
        <v>326</v>
      </c>
      <c r="H22" s="12">
        <v>287</v>
      </c>
      <c r="I22" s="12">
        <v>384</v>
      </c>
      <c r="J22" s="12">
        <v>97</v>
      </c>
      <c r="K22" s="12">
        <v>302</v>
      </c>
      <c r="L22" s="12">
        <v>291</v>
      </c>
      <c r="M22" s="12">
        <v>304</v>
      </c>
      <c r="N22" s="12">
        <v>226</v>
      </c>
      <c r="O22" s="12">
        <v>188</v>
      </c>
      <c r="P22" s="12">
        <v>235</v>
      </c>
      <c r="Q22" s="12">
        <v>236</v>
      </c>
      <c r="R22" s="12">
        <v>84</v>
      </c>
      <c r="S22" s="12">
        <v>195</v>
      </c>
      <c r="T22" s="12">
        <v>151</v>
      </c>
      <c r="U22" s="12">
        <v>91</v>
      </c>
      <c r="V22" s="12">
        <v>225</v>
      </c>
      <c r="W22" s="12">
        <v>99</v>
      </c>
      <c r="X22" s="12">
        <v>337</v>
      </c>
      <c r="Y22" s="12">
        <v>262</v>
      </c>
      <c r="Z22" s="12">
        <v>255</v>
      </c>
      <c r="AA22" s="12">
        <v>239</v>
      </c>
      <c r="AB22" s="12">
        <v>223</v>
      </c>
      <c r="AC22" s="12">
        <v>195</v>
      </c>
      <c r="AD22" s="12">
        <v>262</v>
      </c>
      <c r="AE22" s="12">
        <v>285</v>
      </c>
      <c r="AF22" s="12">
        <v>276</v>
      </c>
    </row>
    <row r="23" spans="1:32" ht="21.5" x14ac:dyDescent="0.35">
      <c r="A23" s="19"/>
      <c r="B23" s="13" t="s">
        <v>1439</v>
      </c>
      <c r="C23" s="15">
        <v>0.24</v>
      </c>
      <c r="D23" s="15">
        <v>0.21</v>
      </c>
      <c r="E23" s="15">
        <v>0.21</v>
      </c>
      <c r="F23" s="15">
        <v>0.26</v>
      </c>
      <c r="G23" s="15">
        <v>0.32</v>
      </c>
      <c r="H23" s="15">
        <v>0.23</v>
      </c>
      <c r="I23" s="15">
        <v>0.25</v>
      </c>
      <c r="J23" s="15">
        <v>0.33</v>
      </c>
      <c r="K23" s="15">
        <v>0.3</v>
      </c>
      <c r="L23" s="15">
        <v>0.28999999999999998</v>
      </c>
      <c r="M23" s="15">
        <v>0.3</v>
      </c>
      <c r="N23" s="15">
        <v>0.23</v>
      </c>
      <c r="O23" s="15">
        <v>0.19</v>
      </c>
      <c r="P23" s="15">
        <v>0.23</v>
      </c>
      <c r="Q23" s="15">
        <v>0.23</v>
      </c>
      <c r="R23" s="15">
        <v>0.17</v>
      </c>
      <c r="S23" s="15">
        <v>0.19</v>
      </c>
      <c r="T23" s="15">
        <v>0.15</v>
      </c>
      <c r="U23" s="15">
        <v>0.18</v>
      </c>
      <c r="V23" s="15">
        <v>0.22</v>
      </c>
      <c r="W23" s="15">
        <v>0.2</v>
      </c>
      <c r="X23" s="15">
        <v>0.33</v>
      </c>
      <c r="Y23" s="15">
        <v>0.26</v>
      </c>
      <c r="Z23" s="15">
        <v>0.25</v>
      </c>
      <c r="AA23" s="15">
        <v>0.23</v>
      </c>
      <c r="AB23" s="15">
        <v>0.21</v>
      </c>
      <c r="AC23" s="15">
        <v>0.19</v>
      </c>
      <c r="AD23" s="15">
        <v>0.26</v>
      </c>
      <c r="AE23" s="15">
        <v>0.28000000000000003</v>
      </c>
      <c r="AF23" s="15">
        <v>0.26</v>
      </c>
    </row>
    <row r="24" spans="1:32" ht="21.5" x14ac:dyDescent="0.35">
      <c r="A24" s="19"/>
      <c r="B24" s="11" t="s">
        <v>1440</v>
      </c>
      <c r="C24" s="12">
        <v>6328</v>
      </c>
      <c r="D24" s="12">
        <v>225</v>
      </c>
      <c r="E24" s="12">
        <v>184</v>
      </c>
      <c r="F24" s="12">
        <v>232</v>
      </c>
      <c r="G24" s="12">
        <v>530</v>
      </c>
      <c r="H24" s="12">
        <v>396</v>
      </c>
      <c r="I24" s="12">
        <v>473</v>
      </c>
      <c r="J24" s="12">
        <v>77</v>
      </c>
      <c r="K24" s="12">
        <v>139</v>
      </c>
      <c r="L24" s="12">
        <v>285</v>
      </c>
      <c r="M24" s="12">
        <v>162</v>
      </c>
      <c r="N24" s="12">
        <v>130</v>
      </c>
      <c r="O24" s="12">
        <v>265</v>
      </c>
      <c r="P24" s="12">
        <v>199</v>
      </c>
      <c r="Q24" s="12">
        <v>134</v>
      </c>
      <c r="R24" s="12">
        <v>95</v>
      </c>
      <c r="S24" s="12">
        <v>161</v>
      </c>
      <c r="T24" s="12">
        <v>235</v>
      </c>
      <c r="U24" s="12">
        <v>116</v>
      </c>
      <c r="V24" s="12">
        <v>251</v>
      </c>
      <c r="W24" s="12">
        <v>71</v>
      </c>
      <c r="X24" s="12">
        <v>386</v>
      </c>
      <c r="Y24" s="12">
        <v>299</v>
      </c>
      <c r="Z24" s="12">
        <v>205</v>
      </c>
      <c r="AA24" s="12">
        <v>181</v>
      </c>
      <c r="AB24" s="12">
        <v>240</v>
      </c>
      <c r="AC24" s="12">
        <v>233</v>
      </c>
      <c r="AD24" s="12">
        <v>153</v>
      </c>
      <c r="AE24" s="12">
        <v>342</v>
      </c>
      <c r="AF24" s="12">
        <v>630</v>
      </c>
    </row>
    <row r="25" spans="1:32" ht="21.5" x14ac:dyDescent="0.35">
      <c r="A25" s="19"/>
      <c r="B25" s="13" t="s">
        <v>1441</v>
      </c>
      <c r="C25" s="15">
        <v>0.24</v>
      </c>
      <c r="D25" s="15">
        <v>0.22</v>
      </c>
      <c r="E25" s="15">
        <v>0.18</v>
      </c>
      <c r="F25" s="15">
        <v>0.21</v>
      </c>
      <c r="G25" s="15">
        <v>0.53</v>
      </c>
      <c r="H25" s="15">
        <v>0.32</v>
      </c>
      <c r="I25" s="15">
        <v>0.31</v>
      </c>
      <c r="J25" s="15">
        <v>0.26</v>
      </c>
      <c r="K25" s="15">
        <v>0.14000000000000001</v>
      </c>
      <c r="L25" s="15">
        <v>0.28000000000000003</v>
      </c>
      <c r="M25" s="15">
        <v>0.16</v>
      </c>
      <c r="N25" s="15">
        <v>0.13</v>
      </c>
      <c r="O25" s="15">
        <v>0.26</v>
      </c>
      <c r="P25" s="15">
        <v>0.2</v>
      </c>
      <c r="Q25" s="15">
        <v>0.13</v>
      </c>
      <c r="R25" s="15">
        <v>0.19</v>
      </c>
      <c r="S25" s="15">
        <v>0.16</v>
      </c>
      <c r="T25" s="15">
        <v>0.23</v>
      </c>
      <c r="U25" s="15">
        <v>0.23</v>
      </c>
      <c r="V25" s="15">
        <v>0.25</v>
      </c>
      <c r="W25" s="15">
        <v>0.14000000000000001</v>
      </c>
      <c r="X25" s="15">
        <v>0.38</v>
      </c>
      <c r="Y25" s="15">
        <v>0.3</v>
      </c>
      <c r="Z25" s="15">
        <v>0.2</v>
      </c>
      <c r="AA25" s="15">
        <v>0.18</v>
      </c>
      <c r="AB25" s="15">
        <v>0.23</v>
      </c>
      <c r="AC25" s="15">
        <v>0.23</v>
      </c>
      <c r="AD25" s="15">
        <v>0.15</v>
      </c>
      <c r="AE25" s="15">
        <v>0.34</v>
      </c>
      <c r="AF25" s="15">
        <v>0.6</v>
      </c>
    </row>
    <row r="26" spans="1:32" ht="21.5" x14ac:dyDescent="0.35">
      <c r="A26" s="19"/>
      <c r="B26" s="11" t="s">
        <v>1442</v>
      </c>
      <c r="C26" s="12">
        <v>3529</v>
      </c>
      <c r="D26" s="12">
        <v>173</v>
      </c>
      <c r="E26" s="12">
        <v>149</v>
      </c>
      <c r="F26" s="12">
        <v>212</v>
      </c>
      <c r="G26" s="12">
        <v>274</v>
      </c>
      <c r="H26" s="12">
        <v>130</v>
      </c>
      <c r="I26" s="12">
        <v>163</v>
      </c>
      <c r="J26" s="12">
        <v>33</v>
      </c>
      <c r="K26" s="12">
        <v>152</v>
      </c>
      <c r="L26" s="12">
        <v>167</v>
      </c>
      <c r="M26" s="12">
        <v>147</v>
      </c>
      <c r="N26" s="12">
        <v>79</v>
      </c>
      <c r="O26" s="12">
        <v>85</v>
      </c>
      <c r="P26" s="12">
        <v>154</v>
      </c>
      <c r="Q26" s="12">
        <v>131</v>
      </c>
      <c r="R26" s="12">
        <v>66</v>
      </c>
      <c r="S26" s="12">
        <v>121</v>
      </c>
      <c r="T26" s="12">
        <v>113</v>
      </c>
      <c r="U26" s="12">
        <v>79</v>
      </c>
      <c r="V26" s="12">
        <v>141</v>
      </c>
      <c r="W26" s="12">
        <v>139</v>
      </c>
      <c r="X26" s="12">
        <v>217</v>
      </c>
      <c r="Y26" s="12">
        <v>228</v>
      </c>
      <c r="Z26" s="12">
        <v>151</v>
      </c>
      <c r="AA26" s="12">
        <v>63</v>
      </c>
      <c r="AB26" s="12">
        <v>175</v>
      </c>
      <c r="AC26" s="12">
        <v>119</v>
      </c>
      <c r="AD26" s="12">
        <v>171</v>
      </c>
      <c r="AE26" s="12">
        <v>331</v>
      </c>
      <c r="AF26" s="12">
        <v>370</v>
      </c>
    </row>
    <row r="27" spans="1:32" x14ac:dyDescent="0.35">
      <c r="A27" s="19"/>
      <c r="B27" s="13" t="s">
        <v>1443</v>
      </c>
      <c r="C27" s="15">
        <v>0.13</v>
      </c>
      <c r="D27" s="15">
        <v>0.17</v>
      </c>
      <c r="E27" s="15">
        <v>0.14000000000000001</v>
      </c>
      <c r="F27" s="15">
        <v>0.19</v>
      </c>
      <c r="G27" s="15">
        <v>0.27</v>
      </c>
      <c r="H27" s="15">
        <v>0.11</v>
      </c>
      <c r="I27" s="15">
        <v>0.11</v>
      </c>
      <c r="J27" s="15">
        <v>0.11</v>
      </c>
      <c r="K27" s="15">
        <v>0.15</v>
      </c>
      <c r="L27" s="15">
        <v>0.17</v>
      </c>
      <c r="M27" s="15">
        <v>0.15</v>
      </c>
      <c r="N27" s="15">
        <v>0.08</v>
      </c>
      <c r="O27" s="15">
        <v>0.08</v>
      </c>
      <c r="P27" s="15">
        <v>0.15</v>
      </c>
      <c r="Q27" s="15">
        <v>0.13</v>
      </c>
      <c r="R27" s="15">
        <v>0.13</v>
      </c>
      <c r="S27" s="15">
        <v>0.12</v>
      </c>
      <c r="T27" s="15">
        <v>0.11</v>
      </c>
      <c r="U27" s="15">
        <v>0.16</v>
      </c>
      <c r="V27" s="15">
        <v>0.14000000000000001</v>
      </c>
      <c r="W27" s="15">
        <v>0.27</v>
      </c>
      <c r="X27" s="15">
        <v>0.22</v>
      </c>
      <c r="Y27" s="15">
        <v>0.23</v>
      </c>
      <c r="Z27" s="15">
        <v>0.15</v>
      </c>
      <c r="AA27" s="15">
        <v>0.06</v>
      </c>
      <c r="AB27" s="15">
        <v>0.17</v>
      </c>
      <c r="AC27" s="15">
        <v>0.12</v>
      </c>
      <c r="AD27" s="15">
        <v>0.17</v>
      </c>
      <c r="AE27" s="15">
        <v>0.33</v>
      </c>
      <c r="AF27" s="15">
        <v>0.35</v>
      </c>
    </row>
    <row r="28" spans="1:32" ht="31.5" x14ac:dyDescent="0.35">
      <c r="A28" s="19"/>
      <c r="B28" s="11" t="s">
        <v>1444</v>
      </c>
      <c r="C28" s="12">
        <v>5098</v>
      </c>
      <c r="D28" s="12">
        <v>234</v>
      </c>
      <c r="E28" s="12">
        <v>179</v>
      </c>
      <c r="F28" s="12">
        <v>203</v>
      </c>
      <c r="G28" s="12">
        <v>171</v>
      </c>
      <c r="H28" s="12">
        <v>239</v>
      </c>
      <c r="I28" s="12">
        <v>330</v>
      </c>
      <c r="J28" s="12">
        <v>91</v>
      </c>
      <c r="K28" s="12">
        <v>199</v>
      </c>
      <c r="L28" s="12">
        <v>167</v>
      </c>
      <c r="M28" s="12">
        <v>247</v>
      </c>
      <c r="N28" s="12">
        <v>163</v>
      </c>
      <c r="O28" s="12">
        <v>205</v>
      </c>
      <c r="P28" s="12">
        <v>202</v>
      </c>
      <c r="Q28" s="12">
        <v>158</v>
      </c>
      <c r="R28" s="12">
        <v>89</v>
      </c>
      <c r="S28" s="12">
        <v>173</v>
      </c>
      <c r="T28" s="12">
        <v>154</v>
      </c>
      <c r="U28" s="12">
        <v>94</v>
      </c>
      <c r="V28" s="12">
        <v>205</v>
      </c>
      <c r="W28" s="12">
        <v>68</v>
      </c>
      <c r="X28" s="12">
        <v>166</v>
      </c>
      <c r="Y28" s="12">
        <v>283</v>
      </c>
      <c r="Z28" s="12">
        <v>151</v>
      </c>
      <c r="AA28" s="12">
        <v>244</v>
      </c>
      <c r="AB28" s="12">
        <v>243</v>
      </c>
      <c r="AC28" s="12">
        <v>170</v>
      </c>
      <c r="AD28" s="12">
        <v>300</v>
      </c>
      <c r="AE28" s="12">
        <v>150</v>
      </c>
      <c r="AF28" s="12">
        <v>248</v>
      </c>
    </row>
    <row r="29" spans="1:32" ht="31.5" x14ac:dyDescent="0.35">
      <c r="A29" s="19"/>
      <c r="B29" s="13" t="s">
        <v>1445</v>
      </c>
      <c r="C29" s="15">
        <v>0.19</v>
      </c>
      <c r="D29" s="15">
        <v>0.23</v>
      </c>
      <c r="E29" s="15">
        <v>0.17</v>
      </c>
      <c r="F29" s="15">
        <v>0.18</v>
      </c>
      <c r="G29" s="15">
        <v>0.17</v>
      </c>
      <c r="H29" s="15">
        <v>0.2</v>
      </c>
      <c r="I29" s="15">
        <v>0.22</v>
      </c>
      <c r="J29" s="15">
        <v>0.31</v>
      </c>
      <c r="K29" s="15">
        <v>0.2</v>
      </c>
      <c r="L29" s="15">
        <v>0.17</v>
      </c>
      <c r="M29" s="15">
        <v>0.24</v>
      </c>
      <c r="N29" s="15">
        <v>0.16</v>
      </c>
      <c r="O29" s="15">
        <v>0.21</v>
      </c>
      <c r="P29" s="15">
        <v>0.2</v>
      </c>
      <c r="Q29" s="15">
        <v>0.15</v>
      </c>
      <c r="R29" s="15">
        <v>0.18</v>
      </c>
      <c r="S29" s="15">
        <v>0.17</v>
      </c>
      <c r="T29" s="15">
        <v>0.15</v>
      </c>
      <c r="U29" s="15">
        <v>0.19</v>
      </c>
      <c r="V29" s="15">
        <v>0.2</v>
      </c>
      <c r="W29" s="15">
        <v>0.13</v>
      </c>
      <c r="X29" s="15">
        <v>0.16</v>
      </c>
      <c r="Y29" s="15">
        <v>0.28000000000000003</v>
      </c>
      <c r="Z29" s="15">
        <v>0.15</v>
      </c>
      <c r="AA29" s="15">
        <v>0.24</v>
      </c>
      <c r="AB29" s="15">
        <v>0.23</v>
      </c>
      <c r="AC29" s="15">
        <v>0.17</v>
      </c>
      <c r="AD29" s="15">
        <v>0.3</v>
      </c>
      <c r="AE29" s="15">
        <v>0.15</v>
      </c>
      <c r="AF29" s="15">
        <v>0.24</v>
      </c>
    </row>
    <row r="30" spans="1:32" ht="41.5" x14ac:dyDescent="0.35">
      <c r="A30" s="19"/>
      <c r="B30" s="11" t="s">
        <v>1446</v>
      </c>
      <c r="C30" s="12">
        <v>4195</v>
      </c>
      <c r="D30" s="12">
        <v>196</v>
      </c>
      <c r="E30" s="12">
        <v>129</v>
      </c>
      <c r="F30" s="12">
        <v>187</v>
      </c>
      <c r="G30" s="12">
        <v>200</v>
      </c>
      <c r="H30" s="12">
        <v>180</v>
      </c>
      <c r="I30" s="12">
        <v>266</v>
      </c>
      <c r="J30" s="12">
        <v>86</v>
      </c>
      <c r="K30" s="12">
        <v>168</v>
      </c>
      <c r="L30" s="12">
        <v>163</v>
      </c>
      <c r="M30" s="12">
        <v>174</v>
      </c>
      <c r="N30" s="12">
        <v>128</v>
      </c>
      <c r="O30" s="12">
        <v>119</v>
      </c>
      <c r="P30" s="12">
        <v>251</v>
      </c>
      <c r="Q30" s="12">
        <v>170</v>
      </c>
      <c r="R30" s="12">
        <v>64</v>
      </c>
      <c r="S30" s="12">
        <v>130</v>
      </c>
      <c r="T30" s="12">
        <v>116</v>
      </c>
      <c r="U30" s="12">
        <v>55</v>
      </c>
      <c r="V30" s="12">
        <v>199</v>
      </c>
      <c r="W30" s="12">
        <v>65</v>
      </c>
      <c r="X30" s="12">
        <v>149</v>
      </c>
      <c r="Y30" s="12">
        <v>257</v>
      </c>
      <c r="Z30" s="12">
        <v>148</v>
      </c>
      <c r="AA30" s="12">
        <v>246</v>
      </c>
      <c r="AB30" s="12">
        <v>179</v>
      </c>
      <c r="AC30" s="12">
        <v>112</v>
      </c>
      <c r="AD30" s="12">
        <v>257</v>
      </c>
      <c r="AE30" s="12">
        <v>72</v>
      </c>
      <c r="AF30" s="12">
        <v>167</v>
      </c>
    </row>
    <row r="31" spans="1:32" ht="31.5" x14ac:dyDescent="0.35">
      <c r="A31" s="19"/>
      <c r="B31" s="13" t="s">
        <v>1447</v>
      </c>
      <c r="C31" s="15">
        <v>0.16</v>
      </c>
      <c r="D31" s="15">
        <v>0.19</v>
      </c>
      <c r="E31" s="15">
        <v>0.13</v>
      </c>
      <c r="F31" s="15">
        <v>0.17</v>
      </c>
      <c r="G31" s="15">
        <v>0.2</v>
      </c>
      <c r="H31" s="15">
        <v>0.15</v>
      </c>
      <c r="I31" s="15">
        <v>0.18</v>
      </c>
      <c r="J31" s="15">
        <v>0.28999999999999998</v>
      </c>
      <c r="K31" s="15">
        <v>0.17</v>
      </c>
      <c r="L31" s="15">
        <v>0.16</v>
      </c>
      <c r="M31" s="15">
        <v>0.17</v>
      </c>
      <c r="N31" s="15">
        <v>0.13</v>
      </c>
      <c r="O31" s="15">
        <v>0.12</v>
      </c>
      <c r="P31" s="15">
        <v>0.25</v>
      </c>
      <c r="Q31" s="15">
        <v>0.17</v>
      </c>
      <c r="R31" s="15">
        <v>0.13</v>
      </c>
      <c r="S31" s="15">
        <v>0.13</v>
      </c>
      <c r="T31" s="15">
        <v>0.12</v>
      </c>
      <c r="U31" s="15">
        <v>0.11</v>
      </c>
      <c r="V31" s="15">
        <v>0.2</v>
      </c>
      <c r="W31" s="15">
        <v>0.13</v>
      </c>
      <c r="X31" s="15">
        <v>0.15</v>
      </c>
      <c r="Y31" s="15">
        <v>0.26</v>
      </c>
      <c r="Z31" s="15">
        <v>0.14000000000000001</v>
      </c>
      <c r="AA31" s="15">
        <v>0.24</v>
      </c>
      <c r="AB31" s="15">
        <v>0.17</v>
      </c>
      <c r="AC31" s="15">
        <v>0.11</v>
      </c>
      <c r="AD31" s="15">
        <v>0.26</v>
      </c>
      <c r="AE31" s="15">
        <v>7.0000000000000007E-2</v>
      </c>
      <c r="AF31" s="15">
        <v>0.16</v>
      </c>
    </row>
    <row r="32" spans="1:32" x14ac:dyDescent="0.35">
      <c r="A32" s="19"/>
      <c r="B32" s="11" t="s">
        <v>607</v>
      </c>
      <c r="C32" s="12">
        <v>9643</v>
      </c>
      <c r="D32" s="12">
        <v>435</v>
      </c>
      <c r="E32" s="12">
        <v>343</v>
      </c>
      <c r="F32" s="12">
        <v>426</v>
      </c>
      <c r="G32" s="12">
        <v>451</v>
      </c>
      <c r="H32" s="12">
        <v>411</v>
      </c>
      <c r="I32" s="12">
        <v>528</v>
      </c>
      <c r="J32" s="12">
        <v>117</v>
      </c>
      <c r="K32" s="12">
        <v>479</v>
      </c>
      <c r="L32" s="12">
        <v>352</v>
      </c>
      <c r="M32" s="12">
        <v>412</v>
      </c>
      <c r="N32" s="12">
        <v>332</v>
      </c>
      <c r="O32" s="12">
        <v>396</v>
      </c>
      <c r="P32" s="12">
        <v>351</v>
      </c>
      <c r="Q32" s="12">
        <v>319</v>
      </c>
      <c r="R32" s="12">
        <v>198</v>
      </c>
      <c r="S32" s="12">
        <v>541</v>
      </c>
      <c r="T32" s="12">
        <v>609</v>
      </c>
      <c r="U32" s="12">
        <v>233</v>
      </c>
      <c r="V32" s="12">
        <v>330</v>
      </c>
      <c r="W32" s="12">
        <v>188</v>
      </c>
      <c r="X32" s="12">
        <v>461</v>
      </c>
      <c r="Y32" s="12">
        <v>289</v>
      </c>
      <c r="Z32" s="12">
        <v>435</v>
      </c>
      <c r="AA32" s="12">
        <v>205</v>
      </c>
      <c r="AB32" s="12">
        <v>350</v>
      </c>
      <c r="AC32" s="12">
        <v>355</v>
      </c>
      <c r="AD32" s="12">
        <v>308</v>
      </c>
      <c r="AE32" s="12">
        <v>458</v>
      </c>
      <c r="AF32" s="12">
        <v>483</v>
      </c>
    </row>
    <row r="33" spans="1:32" x14ac:dyDescent="0.35">
      <c r="A33" s="19"/>
      <c r="B33" s="13" t="s">
        <v>608</v>
      </c>
      <c r="C33" s="15">
        <v>0.36</v>
      </c>
      <c r="D33" s="15">
        <v>0.43</v>
      </c>
      <c r="E33" s="15">
        <v>0.33</v>
      </c>
      <c r="F33" s="15">
        <v>0.39</v>
      </c>
      <c r="G33" s="15">
        <v>0.45</v>
      </c>
      <c r="H33" s="15">
        <v>0.34</v>
      </c>
      <c r="I33" s="15">
        <v>0.35</v>
      </c>
      <c r="J33" s="15">
        <v>0.4</v>
      </c>
      <c r="K33" s="15">
        <v>0.48</v>
      </c>
      <c r="L33" s="15">
        <v>0.35</v>
      </c>
      <c r="M33" s="15">
        <v>0.41</v>
      </c>
      <c r="N33" s="15">
        <v>0.33</v>
      </c>
      <c r="O33" s="15">
        <v>0.4</v>
      </c>
      <c r="P33" s="15">
        <v>0.35</v>
      </c>
      <c r="Q33" s="15">
        <v>0.31</v>
      </c>
      <c r="R33" s="15">
        <v>0.39</v>
      </c>
      <c r="S33" s="15">
        <v>0.54</v>
      </c>
      <c r="T33" s="15">
        <v>0.61</v>
      </c>
      <c r="U33" s="15">
        <v>0.46</v>
      </c>
      <c r="V33" s="15">
        <v>0.33</v>
      </c>
      <c r="W33" s="15">
        <v>0.37</v>
      </c>
      <c r="X33" s="15">
        <v>0.46</v>
      </c>
      <c r="Y33" s="15">
        <v>0.28999999999999998</v>
      </c>
      <c r="Z33" s="15">
        <v>0.42</v>
      </c>
      <c r="AA33" s="15">
        <v>0.2</v>
      </c>
      <c r="AB33" s="15">
        <v>0.33</v>
      </c>
      <c r="AC33" s="15">
        <v>0.35</v>
      </c>
      <c r="AD33" s="15">
        <v>0.31</v>
      </c>
      <c r="AE33" s="15">
        <v>0.45</v>
      </c>
      <c r="AF33" s="15">
        <v>0.46</v>
      </c>
    </row>
    <row r="34" spans="1:32" x14ac:dyDescent="0.35">
      <c r="A34" s="19"/>
      <c r="B34" s="11" t="s">
        <v>1448</v>
      </c>
      <c r="C34" s="12">
        <v>6423</v>
      </c>
      <c r="D34" s="12">
        <v>273</v>
      </c>
      <c r="E34" s="12">
        <v>269</v>
      </c>
      <c r="F34" s="12">
        <v>337</v>
      </c>
      <c r="G34" s="12">
        <v>139</v>
      </c>
      <c r="H34" s="12">
        <v>259</v>
      </c>
      <c r="I34" s="12">
        <v>357</v>
      </c>
      <c r="J34" s="12">
        <v>98</v>
      </c>
      <c r="K34" s="12">
        <v>221</v>
      </c>
      <c r="L34" s="12">
        <v>339</v>
      </c>
      <c r="M34" s="12">
        <v>429</v>
      </c>
      <c r="N34" s="12">
        <v>226</v>
      </c>
      <c r="O34" s="12">
        <v>196</v>
      </c>
      <c r="P34" s="12">
        <v>297</v>
      </c>
      <c r="Q34" s="12">
        <v>294</v>
      </c>
      <c r="R34" s="12">
        <v>237</v>
      </c>
      <c r="S34" s="12">
        <v>228</v>
      </c>
      <c r="T34" s="12">
        <v>270</v>
      </c>
      <c r="U34" s="12">
        <v>167</v>
      </c>
      <c r="V34" s="12">
        <v>337</v>
      </c>
      <c r="W34" s="12">
        <v>106</v>
      </c>
      <c r="X34" s="12">
        <v>307</v>
      </c>
      <c r="Y34" s="12">
        <v>204</v>
      </c>
      <c r="Z34" s="12">
        <v>243</v>
      </c>
      <c r="AA34" s="12">
        <v>168</v>
      </c>
      <c r="AB34" s="12">
        <v>217</v>
      </c>
      <c r="AC34" s="12">
        <v>238</v>
      </c>
      <c r="AD34" s="12">
        <v>313</v>
      </c>
      <c r="AE34" s="12">
        <v>166</v>
      </c>
      <c r="AF34" s="12">
        <v>139</v>
      </c>
    </row>
    <row r="35" spans="1:32" x14ac:dyDescent="0.35">
      <c r="A35" s="19"/>
      <c r="B35" s="13" t="s">
        <v>1449</v>
      </c>
      <c r="C35" s="15">
        <v>0.24</v>
      </c>
      <c r="D35" s="15">
        <v>0.27</v>
      </c>
      <c r="E35" s="15">
        <v>0.26</v>
      </c>
      <c r="F35" s="15">
        <v>0.31</v>
      </c>
      <c r="G35" s="15">
        <v>0.14000000000000001</v>
      </c>
      <c r="H35" s="15">
        <v>0.21</v>
      </c>
      <c r="I35" s="15">
        <v>0.24</v>
      </c>
      <c r="J35" s="15">
        <v>0.33</v>
      </c>
      <c r="K35" s="15">
        <v>0.22</v>
      </c>
      <c r="L35" s="15">
        <v>0.34</v>
      </c>
      <c r="M35" s="15">
        <v>0.42</v>
      </c>
      <c r="N35" s="15">
        <v>0.23</v>
      </c>
      <c r="O35" s="15">
        <v>0.2</v>
      </c>
      <c r="P35" s="15">
        <v>0.3</v>
      </c>
      <c r="Q35" s="15">
        <v>0.28999999999999998</v>
      </c>
      <c r="R35" s="15">
        <v>0.47</v>
      </c>
      <c r="S35" s="15">
        <v>0.23</v>
      </c>
      <c r="T35" s="15">
        <v>0.27</v>
      </c>
      <c r="U35" s="15">
        <v>0.33</v>
      </c>
      <c r="V35" s="15">
        <v>0.33</v>
      </c>
      <c r="W35" s="15">
        <v>0.21</v>
      </c>
      <c r="X35" s="15">
        <v>0.3</v>
      </c>
      <c r="Y35" s="15">
        <v>0.2</v>
      </c>
      <c r="Z35" s="15">
        <v>0.24</v>
      </c>
      <c r="AA35" s="15">
        <v>0.16</v>
      </c>
      <c r="AB35" s="15">
        <v>0.21</v>
      </c>
      <c r="AC35" s="15">
        <v>0.24</v>
      </c>
      <c r="AD35" s="15">
        <v>0.31</v>
      </c>
      <c r="AE35" s="15">
        <v>0.16</v>
      </c>
      <c r="AF35" s="15">
        <v>0.13</v>
      </c>
    </row>
    <row r="36" spans="1:32" ht="21.5" x14ac:dyDescent="0.35">
      <c r="A36" s="19"/>
      <c r="B36" s="11" t="s">
        <v>1450</v>
      </c>
      <c r="C36" s="12">
        <v>4777</v>
      </c>
      <c r="D36" s="12">
        <v>209</v>
      </c>
      <c r="E36" s="12">
        <v>180</v>
      </c>
      <c r="F36" s="12">
        <v>173</v>
      </c>
      <c r="G36" s="12">
        <v>126</v>
      </c>
      <c r="H36" s="12">
        <v>178</v>
      </c>
      <c r="I36" s="12">
        <v>212</v>
      </c>
      <c r="J36" s="12">
        <v>34</v>
      </c>
      <c r="K36" s="12">
        <v>129</v>
      </c>
      <c r="L36" s="12">
        <v>226</v>
      </c>
      <c r="M36" s="12">
        <v>141</v>
      </c>
      <c r="N36" s="12">
        <v>194</v>
      </c>
      <c r="O36" s="12">
        <v>171</v>
      </c>
      <c r="P36" s="12">
        <v>249</v>
      </c>
      <c r="Q36" s="12">
        <v>228</v>
      </c>
      <c r="R36" s="12">
        <v>100</v>
      </c>
      <c r="S36" s="12">
        <v>99</v>
      </c>
      <c r="T36" s="12">
        <v>239</v>
      </c>
      <c r="U36" s="12">
        <v>86</v>
      </c>
      <c r="V36" s="12">
        <v>250</v>
      </c>
      <c r="W36" s="12">
        <v>171</v>
      </c>
      <c r="X36" s="12">
        <v>174</v>
      </c>
      <c r="Y36" s="12">
        <v>272</v>
      </c>
      <c r="Z36" s="12">
        <v>175</v>
      </c>
      <c r="AA36" s="12">
        <v>191</v>
      </c>
      <c r="AB36" s="12">
        <v>217</v>
      </c>
      <c r="AC36" s="12">
        <v>186</v>
      </c>
      <c r="AD36" s="12">
        <v>194</v>
      </c>
      <c r="AE36" s="12">
        <v>219</v>
      </c>
      <c r="AF36" s="12">
        <v>134</v>
      </c>
    </row>
    <row r="37" spans="1:32" ht="21.5" x14ac:dyDescent="0.35">
      <c r="A37" s="19"/>
      <c r="B37" s="13" t="s">
        <v>1451</v>
      </c>
      <c r="C37" s="15">
        <v>0.18</v>
      </c>
      <c r="D37" s="15">
        <v>0.21</v>
      </c>
      <c r="E37" s="15">
        <v>0.18</v>
      </c>
      <c r="F37" s="15">
        <v>0.16</v>
      </c>
      <c r="G37" s="15">
        <v>0.12</v>
      </c>
      <c r="H37" s="15">
        <v>0.15</v>
      </c>
      <c r="I37" s="15">
        <v>0.14000000000000001</v>
      </c>
      <c r="J37" s="15">
        <v>0.12</v>
      </c>
      <c r="K37" s="15">
        <v>0.13</v>
      </c>
      <c r="L37" s="15">
        <v>0.23</v>
      </c>
      <c r="M37" s="15">
        <v>0.14000000000000001</v>
      </c>
      <c r="N37" s="15">
        <v>0.19</v>
      </c>
      <c r="O37" s="15">
        <v>0.17</v>
      </c>
      <c r="P37" s="15">
        <v>0.25</v>
      </c>
      <c r="Q37" s="15">
        <v>0.22</v>
      </c>
      <c r="R37" s="15">
        <v>0.2</v>
      </c>
      <c r="S37" s="15">
        <v>0.1</v>
      </c>
      <c r="T37" s="15">
        <v>0.24</v>
      </c>
      <c r="U37" s="15">
        <v>0.17</v>
      </c>
      <c r="V37" s="15">
        <v>0.25</v>
      </c>
      <c r="W37" s="15">
        <v>0.34</v>
      </c>
      <c r="X37" s="15">
        <v>0.17</v>
      </c>
      <c r="Y37" s="15">
        <v>0.27</v>
      </c>
      <c r="Z37" s="15">
        <v>0.17</v>
      </c>
      <c r="AA37" s="15">
        <v>0.18</v>
      </c>
      <c r="AB37" s="15">
        <v>0.21</v>
      </c>
      <c r="AC37" s="15">
        <v>0.19</v>
      </c>
      <c r="AD37" s="15">
        <v>0.19</v>
      </c>
      <c r="AE37" s="15">
        <v>0.22</v>
      </c>
      <c r="AF37" s="15">
        <v>0.13</v>
      </c>
    </row>
    <row r="38" spans="1:32" ht="31.5" x14ac:dyDescent="0.35">
      <c r="A38" s="19"/>
      <c r="B38" s="11" t="s">
        <v>1452</v>
      </c>
      <c r="C38" s="12">
        <v>8139</v>
      </c>
      <c r="D38" s="12">
        <v>253</v>
      </c>
      <c r="E38" s="12">
        <v>318</v>
      </c>
      <c r="F38" s="12">
        <v>194</v>
      </c>
      <c r="G38" s="12">
        <v>316</v>
      </c>
      <c r="H38" s="12">
        <v>633</v>
      </c>
      <c r="I38" s="12">
        <v>769</v>
      </c>
      <c r="J38" s="12">
        <v>136</v>
      </c>
      <c r="K38" s="12">
        <v>197</v>
      </c>
      <c r="L38" s="12">
        <v>207</v>
      </c>
      <c r="M38" s="12">
        <v>404</v>
      </c>
      <c r="N38" s="12">
        <v>382</v>
      </c>
      <c r="O38" s="12">
        <v>206</v>
      </c>
      <c r="P38" s="12">
        <v>258</v>
      </c>
      <c r="Q38" s="12">
        <v>286</v>
      </c>
      <c r="R38" s="12">
        <v>127</v>
      </c>
      <c r="S38" s="12">
        <v>173</v>
      </c>
      <c r="T38" s="12">
        <v>194</v>
      </c>
      <c r="U38" s="12">
        <v>164</v>
      </c>
      <c r="V38" s="12">
        <v>161</v>
      </c>
      <c r="W38" s="12">
        <v>172</v>
      </c>
      <c r="X38" s="12">
        <v>203</v>
      </c>
      <c r="Y38" s="12">
        <v>334</v>
      </c>
      <c r="Z38" s="12">
        <v>203</v>
      </c>
      <c r="AA38" s="12">
        <v>309</v>
      </c>
      <c r="AB38" s="12">
        <v>216</v>
      </c>
      <c r="AC38" s="12">
        <v>291</v>
      </c>
      <c r="AD38" s="12">
        <v>255</v>
      </c>
      <c r="AE38" s="12">
        <v>338</v>
      </c>
      <c r="AF38" s="12">
        <v>333</v>
      </c>
    </row>
    <row r="39" spans="1:32" ht="21.5" x14ac:dyDescent="0.35">
      <c r="A39" s="19"/>
      <c r="B39" s="13" t="s">
        <v>1453</v>
      </c>
      <c r="C39" s="15">
        <v>0.31</v>
      </c>
      <c r="D39" s="15">
        <v>0.25</v>
      </c>
      <c r="E39" s="15">
        <v>0.31</v>
      </c>
      <c r="F39" s="15">
        <v>0.18</v>
      </c>
      <c r="G39" s="15">
        <v>0.31</v>
      </c>
      <c r="H39" s="15">
        <v>0.52</v>
      </c>
      <c r="I39" s="15">
        <v>0.51</v>
      </c>
      <c r="J39" s="15">
        <v>0.46</v>
      </c>
      <c r="K39" s="15">
        <v>0.2</v>
      </c>
      <c r="L39" s="15">
        <v>0.21</v>
      </c>
      <c r="M39" s="15">
        <v>0.4</v>
      </c>
      <c r="N39" s="15">
        <v>0.38</v>
      </c>
      <c r="O39" s="15">
        <v>0.21</v>
      </c>
      <c r="P39" s="15">
        <v>0.26</v>
      </c>
      <c r="Q39" s="15">
        <v>0.28000000000000003</v>
      </c>
      <c r="R39" s="15">
        <v>0.25</v>
      </c>
      <c r="S39" s="15">
        <v>0.17</v>
      </c>
      <c r="T39" s="15">
        <v>0.19</v>
      </c>
      <c r="U39" s="15">
        <v>0.33</v>
      </c>
      <c r="V39" s="15">
        <v>0.16</v>
      </c>
      <c r="W39" s="15">
        <v>0.34</v>
      </c>
      <c r="X39" s="15">
        <v>0.2</v>
      </c>
      <c r="Y39" s="15">
        <v>0.33</v>
      </c>
      <c r="Z39" s="15">
        <v>0.2</v>
      </c>
      <c r="AA39" s="15">
        <v>0.3</v>
      </c>
      <c r="AB39" s="15">
        <v>0.21</v>
      </c>
      <c r="AC39" s="15">
        <v>0.28999999999999998</v>
      </c>
      <c r="AD39" s="15">
        <v>0.25</v>
      </c>
      <c r="AE39" s="15">
        <v>0.33</v>
      </c>
      <c r="AF39" s="15">
        <v>0.32</v>
      </c>
    </row>
    <row r="40" spans="1:32" ht="21.5" x14ac:dyDescent="0.35">
      <c r="A40" s="19"/>
      <c r="B40" s="11" t="s">
        <v>1454</v>
      </c>
      <c r="C40" s="12">
        <v>2494</v>
      </c>
      <c r="D40" s="12">
        <v>89</v>
      </c>
      <c r="E40" s="12">
        <v>105</v>
      </c>
      <c r="F40" s="12">
        <v>94</v>
      </c>
      <c r="G40" s="12">
        <v>93</v>
      </c>
      <c r="H40" s="12">
        <v>49</v>
      </c>
      <c r="I40" s="12">
        <v>62</v>
      </c>
      <c r="J40" s="12">
        <v>13</v>
      </c>
      <c r="K40" s="12">
        <v>77</v>
      </c>
      <c r="L40" s="12">
        <v>43</v>
      </c>
      <c r="M40" s="12">
        <v>163</v>
      </c>
      <c r="N40" s="12">
        <v>61</v>
      </c>
      <c r="O40" s="12">
        <v>58</v>
      </c>
      <c r="P40" s="12">
        <v>105</v>
      </c>
      <c r="Q40" s="12">
        <v>141</v>
      </c>
      <c r="R40" s="12">
        <v>36</v>
      </c>
      <c r="S40" s="12">
        <v>141</v>
      </c>
      <c r="T40" s="12">
        <v>125</v>
      </c>
      <c r="U40" s="12">
        <v>36</v>
      </c>
      <c r="V40" s="12">
        <v>154</v>
      </c>
      <c r="W40" s="12">
        <v>24</v>
      </c>
      <c r="X40" s="12">
        <v>49</v>
      </c>
      <c r="Y40" s="12">
        <v>88</v>
      </c>
      <c r="Z40" s="12">
        <v>224</v>
      </c>
      <c r="AA40" s="12">
        <v>109</v>
      </c>
      <c r="AB40" s="12">
        <v>172</v>
      </c>
      <c r="AC40" s="12">
        <v>78</v>
      </c>
      <c r="AD40" s="12">
        <v>120</v>
      </c>
      <c r="AE40" s="12">
        <v>61</v>
      </c>
      <c r="AF40" s="12">
        <v>101</v>
      </c>
    </row>
    <row r="41" spans="1:32" ht="21.5" x14ac:dyDescent="0.35">
      <c r="A41" s="19"/>
      <c r="B41" s="13" t="s">
        <v>1455</v>
      </c>
      <c r="C41" s="15">
        <v>0.09</v>
      </c>
      <c r="D41" s="15">
        <v>0.09</v>
      </c>
      <c r="E41" s="15">
        <v>0.1</v>
      </c>
      <c r="F41" s="15">
        <v>0.08</v>
      </c>
      <c r="G41" s="15">
        <v>0.09</v>
      </c>
      <c r="H41" s="15">
        <v>0.04</v>
      </c>
      <c r="I41" s="15">
        <v>0.04</v>
      </c>
      <c r="J41" s="15">
        <v>0.04</v>
      </c>
      <c r="K41" s="15">
        <v>0.08</v>
      </c>
      <c r="L41" s="15">
        <v>0.04</v>
      </c>
      <c r="M41" s="15">
        <v>0.16</v>
      </c>
      <c r="N41" s="15">
        <v>0.06</v>
      </c>
      <c r="O41" s="15">
        <v>0.06</v>
      </c>
      <c r="P41" s="15">
        <v>0.1</v>
      </c>
      <c r="Q41" s="15">
        <v>0.14000000000000001</v>
      </c>
      <c r="R41" s="15">
        <v>7.0000000000000007E-2</v>
      </c>
      <c r="S41" s="15">
        <v>0.14000000000000001</v>
      </c>
      <c r="T41" s="15">
        <v>0.12</v>
      </c>
      <c r="U41" s="15">
        <v>7.0000000000000007E-2</v>
      </c>
      <c r="V41" s="15">
        <v>0.15</v>
      </c>
      <c r="W41" s="15">
        <v>0.05</v>
      </c>
      <c r="X41" s="15">
        <v>0.05</v>
      </c>
      <c r="Y41" s="15">
        <v>0.09</v>
      </c>
      <c r="Z41" s="15">
        <v>0.22</v>
      </c>
      <c r="AA41" s="15">
        <v>0.11</v>
      </c>
      <c r="AB41" s="15">
        <v>0.16</v>
      </c>
      <c r="AC41" s="15">
        <v>0.08</v>
      </c>
      <c r="AD41" s="15">
        <v>0.12</v>
      </c>
      <c r="AE41" s="15">
        <v>0.06</v>
      </c>
      <c r="AF41" s="15">
        <v>0.1</v>
      </c>
    </row>
    <row r="42" spans="1:32" x14ac:dyDescent="0.35">
      <c r="A42" s="19"/>
      <c r="B42" s="11" t="s">
        <v>611</v>
      </c>
      <c r="C42" s="12">
        <v>215</v>
      </c>
      <c r="D42" s="12">
        <v>3</v>
      </c>
      <c r="E42" s="12">
        <v>6</v>
      </c>
      <c r="F42" s="12">
        <v>2</v>
      </c>
      <c r="G42" s="12">
        <v>2</v>
      </c>
      <c r="H42" s="12">
        <v>16</v>
      </c>
      <c r="I42" s="12">
        <v>16</v>
      </c>
      <c r="J42" s="12">
        <v>0</v>
      </c>
      <c r="K42" s="12">
        <v>19</v>
      </c>
      <c r="L42" s="12">
        <v>1</v>
      </c>
      <c r="M42" s="12">
        <v>9</v>
      </c>
      <c r="N42" s="12">
        <v>17</v>
      </c>
      <c r="O42" s="12">
        <v>11</v>
      </c>
      <c r="P42" s="12">
        <v>1</v>
      </c>
      <c r="Q42" s="12">
        <v>7</v>
      </c>
      <c r="R42" s="12">
        <v>1</v>
      </c>
      <c r="S42" s="12">
        <v>6</v>
      </c>
      <c r="T42" s="12">
        <v>6</v>
      </c>
      <c r="U42" s="12">
        <v>5</v>
      </c>
      <c r="V42" s="12">
        <v>0</v>
      </c>
      <c r="W42" s="12">
        <v>5</v>
      </c>
      <c r="X42" s="12">
        <v>5</v>
      </c>
      <c r="Y42" s="12">
        <v>9</v>
      </c>
      <c r="Z42" s="12">
        <v>3</v>
      </c>
      <c r="AA42" s="12">
        <v>9</v>
      </c>
      <c r="AB42" s="12">
        <v>2</v>
      </c>
      <c r="AC42" s="12">
        <v>15</v>
      </c>
      <c r="AD42" s="12">
        <v>10</v>
      </c>
      <c r="AE42" s="12">
        <v>3</v>
      </c>
      <c r="AF42" s="12">
        <v>0</v>
      </c>
    </row>
    <row r="43" spans="1:32" x14ac:dyDescent="0.35">
      <c r="A43" s="19"/>
      <c r="B43" s="13" t="s">
        <v>612</v>
      </c>
      <c r="C43" s="15">
        <v>0.01</v>
      </c>
      <c r="D43" s="14" t="s">
        <v>475</v>
      </c>
      <c r="E43" s="15">
        <v>0.01</v>
      </c>
      <c r="F43" s="14" t="s">
        <v>475</v>
      </c>
      <c r="G43" s="14" t="s">
        <v>475</v>
      </c>
      <c r="H43" s="15">
        <v>0.01</v>
      </c>
      <c r="I43" s="15">
        <v>0.01</v>
      </c>
      <c r="J43" s="14" t="s">
        <v>475</v>
      </c>
      <c r="K43" s="15">
        <v>0.02</v>
      </c>
      <c r="L43" s="14" t="s">
        <v>475</v>
      </c>
      <c r="M43" s="15">
        <v>0.01</v>
      </c>
      <c r="N43" s="15">
        <v>0.02</v>
      </c>
      <c r="O43" s="15">
        <v>0.01</v>
      </c>
      <c r="P43" s="14" t="s">
        <v>475</v>
      </c>
      <c r="Q43" s="15">
        <v>0.01</v>
      </c>
      <c r="R43" s="14" t="s">
        <v>475</v>
      </c>
      <c r="S43" s="15">
        <v>0.01</v>
      </c>
      <c r="T43" s="15">
        <v>0.01</v>
      </c>
      <c r="U43" s="15">
        <v>0.01</v>
      </c>
      <c r="V43" s="14" t="s">
        <v>475</v>
      </c>
      <c r="W43" s="15">
        <v>0.01</v>
      </c>
      <c r="X43" s="14" t="s">
        <v>475</v>
      </c>
      <c r="Y43" s="15">
        <v>0.01</v>
      </c>
      <c r="Z43" s="14" t="s">
        <v>475</v>
      </c>
      <c r="AA43" s="15">
        <v>0.01</v>
      </c>
      <c r="AB43" s="14" t="s">
        <v>475</v>
      </c>
      <c r="AC43" s="15">
        <v>0.02</v>
      </c>
      <c r="AD43" s="15">
        <v>0.01</v>
      </c>
      <c r="AE43" s="14" t="s">
        <v>475</v>
      </c>
      <c r="AF43" s="14" t="s">
        <v>475</v>
      </c>
    </row>
    <row r="44" spans="1:32" x14ac:dyDescent="0.35">
      <c r="A44" s="19"/>
      <c r="B44" s="11" t="s">
        <v>613</v>
      </c>
      <c r="C44" s="12">
        <v>98</v>
      </c>
      <c r="D44" s="12">
        <v>3</v>
      </c>
      <c r="E44" s="12">
        <v>12</v>
      </c>
      <c r="F44" s="12">
        <v>4</v>
      </c>
      <c r="G44" s="12">
        <v>2</v>
      </c>
      <c r="H44" s="12">
        <v>0</v>
      </c>
      <c r="I44" s="12">
        <v>1</v>
      </c>
      <c r="J44" s="12">
        <v>1</v>
      </c>
      <c r="K44" s="12">
        <v>5</v>
      </c>
      <c r="L44" s="12">
        <v>1</v>
      </c>
      <c r="M44" s="12">
        <v>1</v>
      </c>
      <c r="N44" s="12">
        <v>11</v>
      </c>
      <c r="O44" s="12">
        <v>4</v>
      </c>
      <c r="P44" s="12">
        <v>2</v>
      </c>
      <c r="Q44" s="12">
        <v>9</v>
      </c>
      <c r="R44" s="12">
        <v>4</v>
      </c>
      <c r="S44" s="12">
        <v>0</v>
      </c>
      <c r="T44" s="12">
        <v>1</v>
      </c>
      <c r="U44" s="12">
        <v>2</v>
      </c>
      <c r="V44" s="12">
        <v>0</v>
      </c>
      <c r="W44" s="12">
        <v>0</v>
      </c>
      <c r="X44" s="12">
        <v>0</v>
      </c>
      <c r="Y44" s="12">
        <v>4</v>
      </c>
      <c r="Z44" s="12">
        <v>1</v>
      </c>
      <c r="AA44" s="12">
        <v>0</v>
      </c>
      <c r="AB44" s="12">
        <v>0</v>
      </c>
      <c r="AC44" s="12">
        <v>3</v>
      </c>
      <c r="AD44" s="12">
        <v>1</v>
      </c>
      <c r="AE44" s="12">
        <v>1</v>
      </c>
      <c r="AF44" s="12">
        <v>0</v>
      </c>
    </row>
    <row r="45" spans="1:32" x14ac:dyDescent="0.35">
      <c r="A45" s="19"/>
      <c r="B45" s="13" t="s">
        <v>614</v>
      </c>
      <c r="C45" s="14" t="s">
        <v>475</v>
      </c>
      <c r="D45" s="14" t="s">
        <v>475</v>
      </c>
      <c r="E45" s="15">
        <v>0.01</v>
      </c>
      <c r="F45" s="14" t="s">
        <v>475</v>
      </c>
      <c r="G45" s="14" t="s">
        <v>475</v>
      </c>
      <c r="H45" s="14" t="s">
        <v>475</v>
      </c>
      <c r="I45" s="14" t="s">
        <v>475</v>
      </c>
      <c r="J45" s="14" t="s">
        <v>475</v>
      </c>
      <c r="K45" s="14" t="s">
        <v>475</v>
      </c>
      <c r="L45" s="14" t="s">
        <v>475</v>
      </c>
      <c r="M45" s="14" t="s">
        <v>475</v>
      </c>
      <c r="N45" s="15">
        <v>0.01</v>
      </c>
      <c r="O45" s="14" t="s">
        <v>475</v>
      </c>
      <c r="P45" s="14" t="s">
        <v>475</v>
      </c>
      <c r="Q45" s="15">
        <v>0.01</v>
      </c>
      <c r="R45" s="15">
        <v>0.01</v>
      </c>
      <c r="S45" s="14" t="s">
        <v>475</v>
      </c>
      <c r="T45" s="14" t="s">
        <v>475</v>
      </c>
      <c r="U45" s="14" t="s">
        <v>475</v>
      </c>
      <c r="V45" s="14" t="s">
        <v>475</v>
      </c>
      <c r="W45" s="14" t="s">
        <v>475</v>
      </c>
      <c r="X45" s="14" t="s">
        <v>475</v>
      </c>
      <c r="Y45" s="14" t="s">
        <v>475</v>
      </c>
      <c r="Z45" s="14" t="s">
        <v>475</v>
      </c>
      <c r="AA45" s="14" t="s">
        <v>475</v>
      </c>
      <c r="AB45" s="14" t="s">
        <v>475</v>
      </c>
      <c r="AC45" s="14" t="s">
        <v>475</v>
      </c>
      <c r="AD45" s="14" t="s">
        <v>475</v>
      </c>
      <c r="AE45" s="14" t="s">
        <v>475</v>
      </c>
      <c r="AF45" s="14" t="s">
        <v>475</v>
      </c>
    </row>
    <row r="46" spans="1:32" x14ac:dyDescent="0.35">
      <c r="A46" s="19"/>
      <c r="B46" s="11" t="s">
        <v>485</v>
      </c>
      <c r="C46" s="12">
        <v>2171</v>
      </c>
      <c r="D46" s="12">
        <v>43</v>
      </c>
      <c r="E46" s="12">
        <v>133</v>
      </c>
      <c r="F46" s="12">
        <v>102</v>
      </c>
      <c r="G46" s="12">
        <v>67</v>
      </c>
      <c r="H46" s="12">
        <v>96</v>
      </c>
      <c r="I46" s="12">
        <v>106</v>
      </c>
      <c r="J46" s="12">
        <v>10</v>
      </c>
      <c r="K46" s="12">
        <v>99</v>
      </c>
      <c r="L46" s="12">
        <v>84</v>
      </c>
      <c r="M46" s="12">
        <v>51</v>
      </c>
      <c r="N46" s="12">
        <v>87</v>
      </c>
      <c r="O46" s="12">
        <v>138</v>
      </c>
      <c r="P46" s="12">
        <v>39</v>
      </c>
      <c r="Q46" s="12">
        <v>91</v>
      </c>
      <c r="R46" s="12">
        <v>60</v>
      </c>
      <c r="S46" s="12">
        <v>171</v>
      </c>
      <c r="T46" s="12">
        <v>83</v>
      </c>
      <c r="U46" s="12">
        <v>25</v>
      </c>
      <c r="V46" s="12">
        <v>56</v>
      </c>
      <c r="W46" s="12">
        <v>17</v>
      </c>
      <c r="X46" s="12">
        <v>59</v>
      </c>
      <c r="Y46" s="12">
        <v>86</v>
      </c>
      <c r="Z46" s="12">
        <v>25</v>
      </c>
      <c r="AA46" s="12">
        <v>196</v>
      </c>
      <c r="AB46" s="12">
        <v>59</v>
      </c>
      <c r="AC46" s="12">
        <v>91</v>
      </c>
      <c r="AD46" s="12">
        <v>40</v>
      </c>
      <c r="AE46" s="12">
        <v>77</v>
      </c>
      <c r="AF46" s="12">
        <v>33</v>
      </c>
    </row>
    <row r="47" spans="1:32" x14ac:dyDescent="0.35">
      <c r="A47" s="19"/>
      <c r="B47" s="13" t="s">
        <v>486</v>
      </c>
      <c r="C47" s="15">
        <v>0.08</v>
      </c>
      <c r="D47" s="15">
        <v>0.04</v>
      </c>
      <c r="E47" s="15">
        <v>0.13</v>
      </c>
      <c r="F47" s="15">
        <v>0.09</v>
      </c>
      <c r="G47" s="15">
        <v>7.0000000000000007E-2</v>
      </c>
      <c r="H47" s="15">
        <v>0.08</v>
      </c>
      <c r="I47" s="15">
        <v>7.0000000000000007E-2</v>
      </c>
      <c r="J47" s="15">
        <v>0.03</v>
      </c>
      <c r="K47" s="15">
        <v>0.1</v>
      </c>
      <c r="L47" s="15">
        <v>0.08</v>
      </c>
      <c r="M47" s="15">
        <v>0.05</v>
      </c>
      <c r="N47" s="15">
        <v>0.09</v>
      </c>
      <c r="O47" s="15">
        <v>0.14000000000000001</v>
      </c>
      <c r="P47" s="15">
        <v>0.04</v>
      </c>
      <c r="Q47" s="15">
        <v>0.09</v>
      </c>
      <c r="R47" s="15">
        <v>0.12</v>
      </c>
      <c r="S47" s="15">
        <v>0.17</v>
      </c>
      <c r="T47" s="15">
        <v>0.08</v>
      </c>
      <c r="U47" s="15">
        <v>0.05</v>
      </c>
      <c r="V47" s="15">
        <v>0.05</v>
      </c>
      <c r="W47" s="15">
        <v>0.03</v>
      </c>
      <c r="X47" s="15">
        <v>0.06</v>
      </c>
      <c r="Y47" s="15">
        <v>0.09</v>
      </c>
      <c r="Z47" s="15">
        <v>0.02</v>
      </c>
      <c r="AA47" s="15">
        <v>0.19</v>
      </c>
      <c r="AB47" s="15">
        <v>0.06</v>
      </c>
      <c r="AC47" s="15">
        <v>0.09</v>
      </c>
      <c r="AD47" s="15">
        <v>0.04</v>
      </c>
      <c r="AE47" s="15">
        <v>0.08</v>
      </c>
      <c r="AF47" s="15">
        <v>0.03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24" customHeight="1" x14ac:dyDescent="0.35">
      <c r="B3" s="18" t="s">
        <v>355</v>
      </c>
      <c r="C3" s="18"/>
      <c r="D3" s="18"/>
      <c r="E3" s="18"/>
      <c r="F3" s="18"/>
      <c r="H3" s="18" t="s">
        <v>356</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HYPERLINK("#Content!A180","&lt;&lt;Back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1428</v>
      </c>
      <c r="C12" s="12">
        <v>1475</v>
      </c>
      <c r="D12" s="12">
        <v>52</v>
      </c>
      <c r="E12" s="12">
        <v>28</v>
      </c>
      <c r="F12" s="12">
        <v>55</v>
      </c>
      <c r="G12" s="12">
        <v>68</v>
      </c>
      <c r="H12" s="12">
        <v>65</v>
      </c>
      <c r="I12" s="12">
        <v>81</v>
      </c>
      <c r="J12" s="12">
        <v>16</v>
      </c>
      <c r="K12" s="12">
        <v>45</v>
      </c>
      <c r="L12" s="12">
        <v>27</v>
      </c>
      <c r="M12" s="12">
        <v>51</v>
      </c>
      <c r="N12" s="12">
        <v>69</v>
      </c>
      <c r="O12" s="12">
        <v>51</v>
      </c>
      <c r="P12" s="12">
        <v>30</v>
      </c>
      <c r="Q12" s="12">
        <v>97</v>
      </c>
      <c r="R12" s="12">
        <v>20</v>
      </c>
      <c r="S12" s="12">
        <v>34</v>
      </c>
      <c r="T12" s="12">
        <v>33</v>
      </c>
      <c r="U12" s="12">
        <v>34</v>
      </c>
      <c r="V12" s="12">
        <v>32</v>
      </c>
      <c r="W12" s="12">
        <v>27</v>
      </c>
      <c r="X12" s="12">
        <v>62</v>
      </c>
      <c r="Y12" s="12">
        <v>40</v>
      </c>
      <c r="Z12" s="12">
        <v>30</v>
      </c>
      <c r="AA12" s="12">
        <v>24</v>
      </c>
      <c r="AB12" s="12">
        <v>31</v>
      </c>
      <c r="AC12" s="12">
        <v>68</v>
      </c>
      <c r="AD12" s="12">
        <v>39</v>
      </c>
      <c r="AE12" s="12">
        <v>65</v>
      </c>
      <c r="AF12" s="12">
        <v>87</v>
      </c>
    </row>
    <row r="13" spans="1:32" ht="21.5" x14ac:dyDescent="0.35">
      <c r="A13" s="19"/>
      <c r="B13" s="13" t="s">
        <v>1429</v>
      </c>
      <c r="C13" s="15">
        <v>0.06</v>
      </c>
      <c r="D13" s="15">
        <v>0.05</v>
      </c>
      <c r="E13" s="15">
        <v>0.03</v>
      </c>
      <c r="F13" s="15">
        <v>0.05</v>
      </c>
      <c r="G13" s="15">
        <v>7.0000000000000007E-2</v>
      </c>
      <c r="H13" s="15">
        <v>0.05</v>
      </c>
      <c r="I13" s="15">
        <v>0.05</v>
      </c>
      <c r="J13" s="15">
        <v>0.05</v>
      </c>
      <c r="K13" s="15">
        <v>0.05</v>
      </c>
      <c r="L13" s="15">
        <v>0.03</v>
      </c>
      <c r="M13" s="15">
        <v>0.05</v>
      </c>
      <c r="N13" s="15">
        <v>7.0000000000000007E-2</v>
      </c>
      <c r="O13" s="15">
        <v>0.05</v>
      </c>
      <c r="P13" s="15">
        <v>0.03</v>
      </c>
      <c r="Q13" s="15">
        <v>0.09</v>
      </c>
      <c r="R13" s="15">
        <v>0.04</v>
      </c>
      <c r="S13" s="15">
        <v>0.03</v>
      </c>
      <c r="T13" s="15">
        <v>0.03</v>
      </c>
      <c r="U13" s="15">
        <v>7.0000000000000007E-2</v>
      </c>
      <c r="V13" s="15">
        <v>0.03</v>
      </c>
      <c r="W13" s="15">
        <v>0.05</v>
      </c>
      <c r="X13" s="15">
        <v>0.06</v>
      </c>
      <c r="Y13" s="15">
        <v>0.04</v>
      </c>
      <c r="Z13" s="15">
        <v>0.03</v>
      </c>
      <c r="AA13" s="15">
        <v>0.02</v>
      </c>
      <c r="AB13" s="15">
        <v>0.03</v>
      </c>
      <c r="AC13" s="15">
        <v>7.0000000000000007E-2</v>
      </c>
      <c r="AD13" s="15">
        <v>0.04</v>
      </c>
      <c r="AE13" s="15">
        <v>0.06</v>
      </c>
      <c r="AF13" s="15">
        <v>0.08</v>
      </c>
    </row>
    <row r="14" spans="1:32" ht="31.5" x14ac:dyDescent="0.35">
      <c r="A14" s="19"/>
      <c r="B14" s="11" t="s">
        <v>1458</v>
      </c>
      <c r="C14" s="12">
        <v>2799</v>
      </c>
      <c r="D14" s="12">
        <v>103</v>
      </c>
      <c r="E14" s="12">
        <v>117</v>
      </c>
      <c r="F14" s="12">
        <v>75</v>
      </c>
      <c r="G14" s="12">
        <v>72</v>
      </c>
      <c r="H14" s="12">
        <v>146</v>
      </c>
      <c r="I14" s="12">
        <v>173</v>
      </c>
      <c r="J14" s="12">
        <v>27</v>
      </c>
      <c r="K14" s="12">
        <v>146</v>
      </c>
      <c r="L14" s="12">
        <v>85</v>
      </c>
      <c r="M14" s="12">
        <v>139</v>
      </c>
      <c r="N14" s="12">
        <v>133</v>
      </c>
      <c r="O14" s="12">
        <v>156</v>
      </c>
      <c r="P14" s="12">
        <v>111</v>
      </c>
      <c r="Q14" s="12">
        <v>100</v>
      </c>
      <c r="R14" s="12">
        <v>71</v>
      </c>
      <c r="S14" s="12">
        <v>126</v>
      </c>
      <c r="T14" s="12">
        <v>133</v>
      </c>
      <c r="U14" s="12">
        <v>59</v>
      </c>
      <c r="V14" s="12">
        <v>63</v>
      </c>
      <c r="W14" s="12">
        <v>79</v>
      </c>
      <c r="X14" s="12">
        <v>88</v>
      </c>
      <c r="Y14" s="12">
        <v>81</v>
      </c>
      <c r="Z14" s="12">
        <v>43</v>
      </c>
      <c r="AA14" s="12">
        <v>81</v>
      </c>
      <c r="AB14" s="12">
        <v>96</v>
      </c>
      <c r="AC14" s="12">
        <v>107</v>
      </c>
      <c r="AD14" s="12">
        <v>104</v>
      </c>
      <c r="AE14" s="12">
        <v>50</v>
      </c>
      <c r="AF14" s="12">
        <v>56</v>
      </c>
    </row>
    <row r="15" spans="1:32" ht="21.5" x14ac:dyDescent="0.35">
      <c r="A15" s="19"/>
      <c r="B15" s="13" t="s">
        <v>1459</v>
      </c>
      <c r="C15" s="15">
        <v>0.11</v>
      </c>
      <c r="D15" s="15">
        <v>0.1</v>
      </c>
      <c r="E15" s="15">
        <v>0.11</v>
      </c>
      <c r="F15" s="15">
        <v>7.0000000000000007E-2</v>
      </c>
      <c r="G15" s="15">
        <v>7.0000000000000007E-2</v>
      </c>
      <c r="H15" s="15">
        <v>0.12</v>
      </c>
      <c r="I15" s="15">
        <v>0.11</v>
      </c>
      <c r="J15" s="15">
        <v>0.09</v>
      </c>
      <c r="K15" s="15">
        <v>0.15</v>
      </c>
      <c r="L15" s="15">
        <v>0.09</v>
      </c>
      <c r="M15" s="15">
        <v>0.14000000000000001</v>
      </c>
      <c r="N15" s="15">
        <v>0.13</v>
      </c>
      <c r="O15" s="15">
        <v>0.16</v>
      </c>
      <c r="P15" s="15">
        <v>0.11</v>
      </c>
      <c r="Q15" s="15">
        <v>0.1</v>
      </c>
      <c r="R15" s="15">
        <v>0.14000000000000001</v>
      </c>
      <c r="S15" s="15">
        <v>0.13</v>
      </c>
      <c r="T15" s="15">
        <v>0.13</v>
      </c>
      <c r="U15" s="15">
        <v>0.12</v>
      </c>
      <c r="V15" s="15">
        <v>0.06</v>
      </c>
      <c r="W15" s="15">
        <v>0.16</v>
      </c>
      <c r="X15" s="15">
        <v>0.09</v>
      </c>
      <c r="Y15" s="15">
        <v>0.08</v>
      </c>
      <c r="Z15" s="15">
        <v>0.04</v>
      </c>
      <c r="AA15" s="15">
        <v>0.08</v>
      </c>
      <c r="AB15" s="15">
        <v>0.09</v>
      </c>
      <c r="AC15" s="15">
        <v>0.11</v>
      </c>
      <c r="AD15" s="15">
        <v>0.1</v>
      </c>
      <c r="AE15" s="15">
        <v>0.05</v>
      </c>
      <c r="AF15" s="15">
        <v>0.05</v>
      </c>
    </row>
    <row r="16" spans="1:32" ht="31.5" x14ac:dyDescent="0.35">
      <c r="A16" s="19"/>
      <c r="B16" s="11" t="s">
        <v>1432</v>
      </c>
      <c r="C16" s="12">
        <v>950</v>
      </c>
      <c r="D16" s="12">
        <v>26</v>
      </c>
      <c r="E16" s="12">
        <v>47</v>
      </c>
      <c r="F16" s="12">
        <v>78</v>
      </c>
      <c r="G16" s="12">
        <v>30</v>
      </c>
      <c r="H16" s="12">
        <v>59</v>
      </c>
      <c r="I16" s="12">
        <v>85</v>
      </c>
      <c r="J16" s="12">
        <v>25</v>
      </c>
      <c r="K16" s="12">
        <v>29</v>
      </c>
      <c r="L16" s="12">
        <v>34</v>
      </c>
      <c r="M16" s="12">
        <v>19</v>
      </c>
      <c r="N16" s="12">
        <v>8</v>
      </c>
      <c r="O16" s="12">
        <v>21</v>
      </c>
      <c r="P16" s="12">
        <v>38</v>
      </c>
      <c r="Q16" s="12">
        <v>42</v>
      </c>
      <c r="R16" s="12">
        <v>8</v>
      </c>
      <c r="S16" s="12">
        <v>24</v>
      </c>
      <c r="T16" s="12">
        <v>38</v>
      </c>
      <c r="U16" s="12">
        <v>11</v>
      </c>
      <c r="V16" s="12">
        <v>40</v>
      </c>
      <c r="W16" s="12">
        <v>26</v>
      </c>
      <c r="X16" s="12">
        <v>26</v>
      </c>
      <c r="Y16" s="12">
        <v>25</v>
      </c>
      <c r="Z16" s="12">
        <v>49</v>
      </c>
      <c r="AA16" s="12">
        <v>19</v>
      </c>
      <c r="AB16" s="12">
        <v>49</v>
      </c>
      <c r="AC16" s="12">
        <v>41</v>
      </c>
      <c r="AD16" s="12">
        <v>60</v>
      </c>
      <c r="AE16" s="12">
        <v>24</v>
      </c>
      <c r="AF16" s="12">
        <v>44</v>
      </c>
    </row>
    <row r="17" spans="1:32" ht="21.5" x14ac:dyDescent="0.35">
      <c r="A17" s="19"/>
      <c r="B17" s="13" t="s">
        <v>1433</v>
      </c>
      <c r="C17" s="15">
        <v>0.04</v>
      </c>
      <c r="D17" s="15">
        <v>0.03</v>
      </c>
      <c r="E17" s="15">
        <v>0.05</v>
      </c>
      <c r="F17" s="15">
        <v>7.0000000000000007E-2</v>
      </c>
      <c r="G17" s="15">
        <v>0.03</v>
      </c>
      <c r="H17" s="15">
        <v>0.05</v>
      </c>
      <c r="I17" s="15">
        <v>0.06</v>
      </c>
      <c r="J17" s="15">
        <v>0.09</v>
      </c>
      <c r="K17" s="15">
        <v>0.03</v>
      </c>
      <c r="L17" s="15">
        <v>0.03</v>
      </c>
      <c r="M17" s="15">
        <v>0.02</v>
      </c>
      <c r="N17" s="15">
        <v>0.01</v>
      </c>
      <c r="O17" s="15">
        <v>0.02</v>
      </c>
      <c r="P17" s="15">
        <v>0.04</v>
      </c>
      <c r="Q17" s="15">
        <v>0.04</v>
      </c>
      <c r="R17" s="15">
        <v>0.02</v>
      </c>
      <c r="S17" s="15">
        <v>0.02</v>
      </c>
      <c r="T17" s="15">
        <v>0.04</v>
      </c>
      <c r="U17" s="15">
        <v>0.02</v>
      </c>
      <c r="V17" s="15">
        <v>0.04</v>
      </c>
      <c r="W17" s="15">
        <v>0.05</v>
      </c>
      <c r="X17" s="15">
        <v>0.03</v>
      </c>
      <c r="Y17" s="15">
        <v>0.03</v>
      </c>
      <c r="Z17" s="15">
        <v>0.05</v>
      </c>
      <c r="AA17" s="15">
        <v>0.02</v>
      </c>
      <c r="AB17" s="15">
        <v>0.05</v>
      </c>
      <c r="AC17" s="15">
        <v>0.04</v>
      </c>
      <c r="AD17" s="15">
        <v>0.06</v>
      </c>
      <c r="AE17" s="15">
        <v>0.02</v>
      </c>
      <c r="AF17" s="15">
        <v>0.04</v>
      </c>
    </row>
    <row r="18" spans="1:32" x14ac:dyDescent="0.35">
      <c r="A18" s="19"/>
      <c r="B18" s="11" t="s">
        <v>1434</v>
      </c>
      <c r="C18" s="12">
        <v>1019</v>
      </c>
      <c r="D18" s="12">
        <v>51</v>
      </c>
      <c r="E18" s="12">
        <v>51</v>
      </c>
      <c r="F18" s="12">
        <v>53</v>
      </c>
      <c r="G18" s="12">
        <v>29</v>
      </c>
      <c r="H18" s="12">
        <v>49</v>
      </c>
      <c r="I18" s="12">
        <v>74</v>
      </c>
      <c r="J18" s="12">
        <v>25</v>
      </c>
      <c r="K18" s="12">
        <v>35</v>
      </c>
      <c r="L18" s="12">
        <v>24</v>
      </c>
      <c r="M18" s="12">
        <v>46</v>
      </c>
      <c r="N18" s="12">
        <v>27</v>
      </c>
      <c r="O18" s="12">
        <v>54</v>
      </c>
      <c r="P18" s="12">
        <v>49</v>
      </c>
      <c r="Q18" s="12">
        <v>27</v>
      </c>
      <c r="R18" s="12">
        <v>13</v>
      </c>
      <c r="S18" s="12">
        <v>32</v>
      </c>
      <c r="T18" s="12">
        <v>22</v>
      </c>
      <c r="U18" s="12">
        <v>16</v>
      </c>
      <c r="V18" s="12">
        <v>66</v>
      </c>
      <c r="W18" s="12">
        <v>15</v>
      </c>
      <c r="X18" s="12">
        <v>11</v>
      </c>
      <c r="Y18" s="12">
        <v>50</v>
      </c>
      <c r="Z18" s="12">
        <v>22</v>
      </c>
      <c r="AA18" s="12">
        <v>24</v>
      </c>
      <c r="AB18" s="12">
        <v>40</v>
      </c>
      <c r="AC18" s="12">
        <v>73</v>
      </c>
      <c r="AD18" s="12">
        <v>35</v>
      </c>
      <c r="AE18" s="12">
        <v>48</v>
      </c>
      <c r="AF18" s="12">
        <v>48</v>
      </c>
    </row>
    <row r="19" spans="1:32" x14ac:dyDescent="0.35">
      <c r="A19" s="19"/>
      <c r="B19" s="13" t="s">
        <v>1435</v>
      </c>
      <c r="C19" s="15">
        <v>0.04</v>
      </c>
      <c r="D19" s="15">
        <v>0.05</v>
      </c>
      <c r="E19" s="15">
        <v>0.05</v>
      </c>
      <c r="F19" s="15">
        <v>0.05</v>
      </c>
      <c r="G19" s="15">
        <v>0.03</v>
      </c>
      <c r="H19" s="15">
        <v>0.04</v>
      </c>
      <c r="I19" s="15">
        <v>0.05</v>
      </c>
      <c r="J19" s="15">
        <v>0.09</v>
      </c>
      <c r="K19" s="15">
        <v>0.04</v>
      </c>
      <c r="L19" s="15">
        <v>0.02</v>
      </c>
      <c r="M19" s="15">
        <v>0.05</v>
      </c>
      <c r="N19" s="15">
        <v>0.03</v>
      </c>
      <c r="O19" s="15">
        <v>0.05</v>
      </c>
      <c r="P19" s="15">
        <v>0.05</v>
      </c>
      <c r="Q19" s="15">
        <v>0.03</v>
      </c>
      <c r="R19" s="15">
        <v>0.03</v>
      </c>
      <c r="S19" s="15">
        <v>0.03</v>
      </c>
      <c r="T19" s="15">
        <v>0.02</v>
      </c>
      <c r="U19" s="15">
        <v>0.03</v>
      </c>
      <c r="V19" s="15">
        <v>7.0000000000000007E-2</v>
      </c>
      <c r="W19" s="15">
        <v>0.03</v>
      </c>
      <c r="X19" s="15">
        <v>0.01</v>
      </c>
      <c r="Y19" s="15">
        <v>0.05</v>
      </c>
      <c r="Z19" s="15">
        <v>0.02</v>
      </c>
      <c r="AA19" s="15">
        <v>0.02</v>
      </c>
      <c r="AB19" s="15">
        <v>0.04</v>
      </c>
      <c r="AC19" s="15">
        <v>7.0000000000000007E-2</v>
      </c>
      <c r="AD19" s="15">
        <v>0.04</v>
      </c>
      <c r="AE19" s="15">
        <v>0.05</v>
      </c>
      <c r="AF19" s="15">
        <v>0.05</v>
      </c>
    </row>
    <row r="20" spans="1:32" ht="21.5" x14ac:dyDescent="0.35">
      <c r="A20" s="19"/>
      <c r="B20" s="11" t="s">
        <v>1436</v>
      </c>
      <c r="C20" s="12">
        <v>463</v>
      </c>
      <c r="D20" s="12">
        <v>15</v>
      </c>
      <c r="E20" s="12">
        <v>19</v>
      </c>
      <c r="F20" s="12">
        <v>18</v>
      </c>
      <c r="G20" s="12">
        <v>18</v>
      </c>
      <c r="H20" s="12">
        <v>37</v>
      </c>
      <c r="I20" s="12">
        <v>42</v>
      </c>
      <c r="J20" s="12">
        <v>5</v>
      </c>
      <c r="K20" s="12">
        <v>24</v>
      </c>
      <c r="L20" s="12">
        <v>10</v>
      </c>
      <c r="M20" s="12">
        <v>10</v>
      </c>
      <c r="N20" s="12">
        <v>9</v>
      </c>
      <c r="O20" s="12">
        <v>5</v>
      </c>
      <c r="P20" s="12">
        <v>18</v>
      </c>
      <c r="Q20" s="12">
        <v>19</v>
      </c>
      <c r="R20" s="12">
        <v>2</v>
      </c>
      <c r="S20" s="12">
        <v>11</v>
      </c>
      <c r="T20" s="12">
        <v>9</v>
      </c>
      <c r="U20" s="12">
        <v>4</v>
      </c>
      <c r="V20" s="12">
        <v>20</v>
      </c>
      <c r="W20" s="12">
        <v>16</v>
      </c>
      <c r="X20" s="12">
        <v>26</v>
      </c>
      <c r="Y20" s="12">
        <v>16</v>
      </c>
      <c r="Z20" s="12">
        <v>28</v>
      </c>
      <c r="AA20" s="12">
        <v>11</v>
      </c>
      <c r="AB20" s="12">
        <v>30</v>
      </c>
      <c r="AC20" s="12">
        <v>15</v>
      </c>
      <c r="AD20" s="12">
        <v>29</v>
      </c>
      <c r="AE20" s="12">
        <v>10</v>
      </c>
      <c r="AF20" s="12">
        <v>8</v>
      </c>
    </row>
    <row r="21" spans="1:32" x14ac:dyDescent="0.35">
      <c r="A21" s="19"/>
      <c r="B21" s="13" t="s">
        <v>1437</v>
      </c>
      <c r="C21" s="15">
        <v>0.02</v>
      </c>
      <c r="D21" s="15">
        <v>0.01</v>
      </c>
      <c r="E21" s="15">
        <v>0.02</v>
      </c>
      <c r="F21" s="15">
        <v>0.02</v>
      </c>
      <c r="G21" s="15">
        <v>0.02</v>
      </c>
      <c r="H21" s="15">
        <v>0.03</v>
      </c>
      <c r="I21" s="15">
        <v>0.03</v>
      </c>
      <c r="J21" s="15">
        <v>0.02</v>
      </c>
      <c r="K21" s="15">
        <v>0.02</v>
      </c>
      <c r="L21" s="15">
        <v>0.01</v>
      </c>
      <c r="M21" s="15">
        <v>0.01</v>
      </c>
      <c r="N21" s="15">
        <v>0.01</v>
      </c>
      <c r="O21" s="15">
        <v>0.01</v>
      </c>
      <c r="P21" s="15">
        <v>0.02</v>
      </c>
      <c r="Q21" s="15">
        <v>0.02</v>
      </c>
      <c r="R21" s="14" t="s">
        <v>475</v>
      </c>
      <c r="S21" s="15">
        <v>0.01</v>
      </c>
      <c r="T21" s="15">
        <v>0.01</v>
      </c>
      <c r="U21" s="15">
        <v>0.01</v>
      </c>
      <c r="V21" s="15">
        <v>0.02</v>
      </c>
      <c r="W21" s="15">
        <v>0.03</v>
      </c>
      <c r="X21" s="15">
        <v>0.03</v>
      </c>
      <c r="Y21" s="15">
        <v>0.02</v>
      </c>
      <c r="Z21" s="15">
        <v>0.03</v>
      </c>
      <c r="AA21" s="15">
        <v>0.01</v>
      </c>
      <c r="AB21" s="15">
        <v>0.03</v>
      </c>
      <c r="AC21" s="15">
        <v>0.01</v>
      </c>
      <c r="AD21" s="15">
        <v>0.03</v>
      </c>
      <c r="AE21" s="15">
        <v>0.01</v>
      </c>
      <c r="AF21" s="15">
        <v>0.01</v>
      </c>
    </row>
    <row r="22" spans="1:32" ht="31.5" x14ac:dyDescent="0.35">
      <c r="A22" s="19"/>
      <c r="B22" s="11" t="s">
        <v>1438</v>
      </c>
      <c r="C22" s="12">
        <v>2313</v>
      </c>
      <c r="D22" s="12">
        <v>104</v>
      </c>
      <c r="E22" s="12">
        <v>44</v>
      </c>
      <c r="F22" s="12">
        <v>36</v>
      </c>
      <c r="G22" s="12">
        <v>243</v>
      </c>
      <c r="H22" s="12">
        <v>136</v>
      </c>
      <c r="I22" s="12">
        <v>165</v>
      </c>
      <c r="J22" s="12">
        <v>29</v>
      </c>
      <c r="K22" s="12">
        <v>30</v>
      </c>
      <c r="L22" s="12">
        <v>80</v>
      </c>
      <c r="M22" s="12">
        <v>43</v>
      </c>
      <c r="N22" s="12">
        <v>35</v>
      </c>
      <c r="O22" s="12">
        <v>93</v>
      </c>
      <c r="P22" s="12">
        <v>54</v>
      </c>
      <c r="Q22" s="12">
        <v>95</v>
      </c>
      <c r="R22" s="12">
        <v>20</v>
      </c>
      <c r="S22" s="12">
        <v>14</v>
      </c>
      <c r="T22" s="12">
        <v>20</v>
      </c>
      <c r="U22" s="12">
        <v>37</v>
      </c>
      <c r="V22" s="12">
        <v>85</v>
      </c>
      <c r="W22" s="12">
        <v>69</v>
      </c>
      <c r="X22" s="12">
        <v>189</v>
      </c>
      <c r="Y22" s="12">
        <v>102</v>
      </c>
      <c r="Z22" s="12">
        <v>41</v>
      </c>
      <c r="AA22" s="12">
        <v>48</v>
      </c>
      <c r="AB22" s="12">
        <v>65</v>
      </c>
      <c r="AC22" s="12">
        <v>42</v>
      </c>
      <c r="AD22" s="12">
        <v>54</v>
      </c>
      <c r="AE22" s="12">
        <v>128</v>
      </c>
      <c r="AF22" s="12">
        <v>284</v>
      </c>
    </row>
    <row r="23" spans="1:32" ht="21.5" x14ac:dyDescent="0.35">
      <c r="A23" s="19"/>
      <c r="B23" s="13" t="s">
        <v>1439</v>
      </c>
      <c r="C23" s="15">
        <v>0.09</v>
      </c>
      <c r="D23" s="15">
        <v>0.1</v>
      </c>
      <c r="E23" s="15">
        <v>0.04</v>
      </c>
      <c r="F23" s="15">
        <v>0.03</v>
      </c>
      <c r="G23" s="15">
        <v>0.24</v>
      </c>
      <c r="H23" s="15">
        <v>0.11</v>
      </c>
      <c r="I23" s="15">
        <v>0.11</v>
      </c>
      <c r="J23" s="15">
        <v>0.1</v>
      </c>
      <c r="K23" s="15">
        <v>0.03</v>
      </c>
      <c r="L23" s="15">
        <v>0.08</v>
      </c>
      <c r="M23" s="15">
        <v>0.04</v>
      </c>
      <c r="N23" s="15">
        <v>0.03</v>
      </c>
      <c r="O23" s="15">
        <v>0.09</v>
      </c>
      <c r="P23" s="15">
        <v>0.05</v>
      </c>
      <c r="Q23" s="15">
        <v>0.09</v>
      </c>
      <c r="R23" s="15">
        <v>0.04</v>
      </c>
      <c r="S23" s="15">
        <v>0.02</v>
      </c>
      <c r="T23" s="15">
        <v>0.02</v>
      </c>
      <c r="U23" s="15">
        <v>7.0000000000000007E-2</v>
      </c>
      <c r="V23" s="15">
        <v>0.08</v>
      </c>
      <c r="W23" s="15">
        <v>0.14000000000000001</v>
      </c>
      <c r="X23" s="15">
        <v>0.19</v>
      </c>
      <c r="Y23" s="15">
        <v>0.1</v>
      </c>
      <c r="Z23" s="15">
        <v>0.04</v>
      </c>
      <c r="AA23" s="15">
        <v>0.05</v>
      </c>
      <c r="AB23" s="15">
        <v>0.06</v>
      </c>
      <c r="AC23" s="15">
        <v>0.04</v>
      </c>
      <c r="AD23" s="15">
        <v>0.05</v>
      </c>
      <c r="AE23" s="15">
        <v>0.13</v>
      </c>
      <c r="AF23" s="15">
        <v>0.27</v>
      </c>
    </row>
    <row r="24" spans="1:32" ht="21.5" x14ac:dyDescent="0.35">
      <c r="A24" s="19"/>
      <c r="B24" s="11" t="s">
        <v>1440</v>
      </c>
      <c r="C24" s="12">
        <v>1668</v>
      </c>
      <c r="D24" s="12">
        <v>61</v>
      </c>
      <c r="E24" s="12">
        <v>141</v>
      </c>
      <c r="F24" s="12">
        <v>96</v>
      </c>
      <c r="G24" s="12">
        <v>25</v>
      </c>
      <c r="H24" s="12">
        <v>39</v>
      </c>
      <c r="I24" s="12">
        <v>48</v>
      </c>
      <c r="J24" s="12">
        <v>9</v>
      </c>
      <c r="K24" s="12">
        <v>109</v>
      </c>
      <c r="L24" s="12">
        <v>57</v>
      </c>
      <c r="M24" s="12">
        <v>125</v>
      </c>
      <c r="N24" s="12">
        <v>57</v>
      </c>
      <c r="O24" s="12">
        <v>61</v>
      </c>
      <c r="P24" s="12">
        <v>115</v>
      </c>
      <c r="Q24" s="12">
        <v>51</v>
      </c>
      <c r="R24" s="12">
        <v>30</v>
      </c>
      <c r="S24" s="12">
        <v>112</v>
      </c>
      <c r="T24" s="12">
        <v>51</v>
      </c>
      <c r="U24" s="12">
        <v>28</v>
      </c>
      <c r="V24" s="12">
        <v>72</v>
      </c>
      <c r="W24" s="12">
        <v>11</v>
      </c>
      <c r="X24" s="12">
        <v>26</v>
      </c>
      <c r="Y24" s="12">
        <v>91</v>
      </c>
      <c r="Z24" s="12">
        <v>84</v>
      </c>
      <c r="AA24" s="12">
        <v>64</v>
      </c>
      <c r="AB24" s="12">
        <v>150</v>
      </c>
      <c r="AC24" s="12">
        <v>153</v>
      </c>
      <c r="AD24" s="12">
        <v>126</v>
      </c>
      <c r="AE24" s="12">
        <v>112</v>
      </c>
      <c r="AF24" s="12">
        <v>64</v>
      </c>
    </row>
    <row r="25" spans="1:32" ht="21.5" x14ac:dyDescent="0.35">
      <c r="A25" s="19"/>
      <c r="B25" s="13" t="s">
        <v>1441</v>
      </c>
      <c r="C25" s="15">
        <v>0.06</v>
      </c>
      <c r="D25" s="15">
        <v>0.06</v>
      </c>
      <c r="E25" s="15">
        <v>0.14000000000000001</v>
      </c>
      <c r="F25" s="15">
        <v>0.09</v>
      </c>
      <c r="G25" s="15">
        <v>0.02</v>
      </c>
      <c r="H25" s="15">
        <v>0.03</v>
      </c>
      <c r="I25" s="15">
        <v>0.03</v>
      </c>
      <c r="J25" s="15">
        <v>0.03</v>
      </c>
      <c r="K25" s="15">
        <v>0.11</v>
      </c>
      <c r="L25" s="15">
        <v>0.06</v>
      </c>
      <c r="M25" s="15">
        <v>0.12</v>
      </c>
      <c r="N25" s="15">
        <v>0.06</v>
      </c>
      <c r="O25" s="15">
        <v>0.06</v>
      </c>
      <c r="P25" s="15">
        <v>0.12</v>
      </c>
      <c r="Q25" s="15">
        <v>0.05</v>
      </c>
      <c r="R25" s="15">
        <v>0.06</v>
      </c>
      <c r="S25" s="15">
        <v>0.11</v>
      </c>
      <c r="T25" s="15">
        <v>0.05</v>
      </c>
      <c r="U25" s="15">
        <v>0.06</v>
      </c>
      <c r="V25" s="15">
        <v>7.0000000000000007E-2</v>
      </c>
      <c r="W25" s="15">
        <v>0.02</v>
      </c>
      <c r="X25" s="15">
        <v>0.02</v>
      </c>
      <c r="Y25" s="15">
        <v>0.09</v>
      </c>
      <c r="Z25" s="15">
        <v>0.08</v>
      </c>
      <c r="AA25" s="15">
        <v>0.06</v>
      </c>
      <c r="AB25" s="15">
        <v>0.14000000000000001</v>
      </c>
      <c r="AC25" s="15">
        <v>0.15</v>
      </c>
      <c r="AD25" s="15">
        <v>0.12</v>
      </c>
      <c r="AE25" s="15">
        <v>0.11</v>
      </c>
      <c r="AF25" s="15">
        <v>0.06</v>
      </c>
    </row>
    <row r="26" spans="1:32" ht="21.5" x14ac:dyDescent="0.35">
      <c r="A26" s="19"/>
      <c r="B26" s="11" t="s">
        <v>1442</v>
      </c>
      <c r="C26" s="12">
        <v>1249</v>
      </c>
      <c r="D26" s="12">
        <v>36</v>
      </c>
      <c r="E26" s="12">
        <v>98</v>
      </c>
      <c r="F26" s="12">
        <v>65</v>
      </c>
      <c r="G26" s="12">
        <v>22</v>
      </c>
      <c r="H26" s="12">
        <v>50</v>
      </c>
      <c r="I26" s="12">
        <v>76</v>
      </c>
      <c r="J26" s="12">
        <v>26</v>
      </c>
      <c r="K26" s="12">
        <v>51</v>
      </c>
      <c r="L26" s="12">
        <v>48</v>
      </c>
      <c r="M26" s="12">
        <v>24</v>
      </c>
      <c r="N26" s="12">
        <v>15</v>
      </c>
      <c r="O26" s="12">
        <v>36</v>
      </c>
      <c r="P26" s="12">
        <v>74</v>
      </c>
      <c r="Q26" s="12">
        <v>42</v>
      </c>
      <c r="R26" s="12">
        <v>1</v>
      </c>
      <c r="S26" s="12">
        <v>54</v>
      </c>
      <c r="T26" s="12">
        <v>54</v>
      </c>
      <c r="U26" s="12">
        <v>15</v>
      </c>
      <c r="V26" s="12">
        <v>62</v>
      </c>
      <c r="W26" s="12">
        <v>36</v>
      </c>
      <c r="X26" s="12">
        <v>31</v>
      </c>
      <c r="Y26" s="12">
        <v>175</v>
      </c>
      <c r="Z26" s="12">
        <v>78</v>
      </c>
      <c r="AA26" s="12">
        <v>12</v>
      </c>
      <c r="AB26" s="12">
        <v>79</v>
      </c>
      <c r="AC26" s="12">
        <v>40</v>
      </c>
      <c r="AD26" s="12">
        <v>109</v>
      </c>
      <c r="AE26" s="12">
        <v>53</v>
      </c>
      <c r="AF26" s="12">
        <v>45</v>
      </c>
    </row>
    <row r="27" spans="1:32" x14ac:dyDescent="0.35">
      <c r="A27" s="19"/>
      <c r="B27" s="13" t="s">
        <v>1443</v>
      </c>
      <c r="C27" s="15">
        <v>0.05</v>
      </c>
      <c r="D27" s="15">
        <v>0.04</v>
      </c>
      <c r="E27" s="15">
        <v>0.09</v>
      </c>
      <c r="F27" s="15">
        <v>0.06</v>
      </c>
      <c r="G27" s="15">
        <v>0.02</v>
      </c>
      <c r="H27" s="15">
        <v>0.04</v>
      </c>
      <c r="I27" s="15">
        <v>0.05</v>
      </c>
      <c r="J27" s="15">
        <v>0.09</v>
      </c>
      <c r="K27" s="15">
        <v>0.05</v>
      </c>
      <c r="L27" s="15">
        <v>0.05</v>
      </c>
      <c r="M27" s="15">
        <v>0.02</v>
      </c>
      <c r="N27" s="15">
        <v>0.01</v>
      </c>
      <c r="O27" s="15">
        <v>0.04</v>
      </c>
      <c r="P27" s="15">
        <v>7.0000000000000007E-2</v>
      </c>
      <c r="Q27" s="15">
        <v>0.04</v>
      </c>
      <c r="R27" s="14" t="s">
        <v>475</v>
      </c>
      <c r="S27" s="15">
        <v>0.06</v>
      </c>
      <c r="T27" s="15">
        <v>0.05</v>
      </c>
      <c r="U27" s="15">
        <v>0.03</v>
      </c>
      <c r="V27" s="15">
        <v>0.06</v>
      </c>
      <c r="W27" s="15">
        <v>7.0000000000000007E-2</v>
      </c>
      <c r="X27" s="15">
        <v>0.03</v>
      </c>
      <c r="Y27" s="15">
        <v>0.17</v>
      </c>
      <c r="Z27" s="15">
        <v>0.08</v>
      </c>
      <c r="AA27" s="15">
        <v>0.01</v>
      </c>
      <c r="AB27" s="15">
        <v>7.0000000000000007E-2</v>
      </c>
      <c r="AC27" s="15">
        <v>0.04</v>
      </c>
      <c r="AD27" s="15">
        <v>0.11</v>
      </c>
      <c r="AE27" s="15">
        <v>0.05</v>
      </c>
      <c r="AF27" s="15">
        <v>0.04</v>
      </c>
    </row>
    <row r="28" spans="1:32" ht="31.5" x14ac:dyDescent="0.35">
      <c r="A28" s="19"/>
      <c r="B28" s="11" t="s">
        <v>1444</v>
      </c>
      <c r="C28" s="12">
        <v>445</v>
      </c>
      <c r="D28" s="12">
        <v>24</v>
      </c>
      <c r="E28" s="12">
        <v>16</v>
      </c>
      <c r="F28" s="12">
        <v>11</v>
      </c>
      <c r="G28" s="12">
        <v>12</v>
      </c>
      <c r="H28" s="12">
        <v>12</v>
      </c>
      <c r="I28" s="12">
        <v>12</v>
      </c>
      <c r="J28" s="12">
        <v>0</v>
      </c>
      <c r="K28" s="12">
        <v>14</v>
      </c>
      <c r="L28" s="12">
        <v>10</v>
      </c>
      <c r="M28" s="12">
        <v>17</v>
      </c>
      <c r="N28" s="12">
        <v>22</v>
      </c>
      <c r="O28" s="12">
        <v>5</v>
      </c>
      <c r="P28" s="12">
        <v>20</v>
      </c>
      <c r="Q28" s="12">
        <v>22</v>
      </c>
      <c r="R28" s="12">
        <v>2</v>
      </c>
      <c r="S28" s="12">
        <v>11</v>
      </c>
      <c r="T28" s="12">
        <v>17</v>
      </c>
      <c r="U28" s="12">
        <v>8</v>
      </c>
      <c r="V28" s="12">
        <v>35</v>
      </c>
      <c r="W28" s="12">
        <v>11</v>
      </c>
      <c r="X28" s="12">
        <v>14</v>
      </c>
      <c r="Y28" s="12">
        <v>20</v>
      </c>
      <c r="Z28" s="12">
        <v>32</v>
      </c>
      <c r="AA28" s="12">
        <v>16</v>
      </c>
      <c r="AB28" s="12">
        <v>47</v>
      </c>
      <c r="AC28" s="12">
        <v>11</v>
      </c>
      <c r="AD28" s="12">
        <v>29</v>
      </c>
      <c r="AE28" s="12">
        <v>8</v>
      </c>
      <c r="AF28" s="12">
        <v>6</v>
      </c>
    </row>
    <row r="29" spans="1:32" ht="31.5" x14ac:dyDescent="0.35">
      <c r="A29" s="19"/>
      <c r="B29" s="13" t="s">
        <v>1445</v>
      </c>
      <c r="C29" s="15">
        <v>0.02</v>
      </c>
      <c r="D29" s="15">
        <v>0.02</v>
      </c>
      <c r="E29" s="15">
        <v>0.01</v>
      </c>
      <c r="F29" s="15">
        <v>0.01</v>
      </c>
      <c r="G29" s="15">
        <v>0.01</v>
      </c>
      <c r="H29" s="15">
        <v>0.01</v>
      </c>
      <c r="I29" s="15">
        <v>0.01</v>
      </c>
      <c r="J29" s="14" t="s">
        <v>475</v>
      </c>
      <c r="K29" s="15">
        <v>0.01</v>
      </c>
      <c r="L29" s="15">
        <v>0.01</v>
      </c>
      <c r="M29" s="15">
        <v>0.02</v>
      </c>
      <c r="N29" s="15">
        <v>0.02</v>
      </c>
      <c r="O29" s="15">
        <v>0.01</v>
      </c>
      <c r="P29" s="15">
        <v>0.02</v>
      </c>
      <c r="Q29" s="15">
        <v>0.02</v>
      </c>
      <c r="R29" s="14" t="s">
        <v>475</v>
      </c>
      <c r="S29" s="15">
        <v>0.01</v>
      </c>
      <c r="T29" s="15">
        <v>0.02</v>
      </c>
      <c r="U29" s="15">
        <v>0.02</v>
      </c>
      <c r="V29" s="15">
        <v>0.04</v>
      </c>
      <c r="W29" s="15">
        <v>0.02</v>
      </c>
      <c r="X29" s="15">
        <v>0.01</v>
      </c>
      <c r="Y29" s="15">
        <v>0.02</v>
      </c>
      <c r="Z29" s="15">
        <v>0.03</v>
      </c>
      <c r="AA29" s="15">
        <v>0.02</v>
      </c>
      <c r="AB29" s="15">
        <v>0.04</v>
      </c>
      <c r="AC29" s="15">
        <v>0.01</v>
      </c>
      <c r="AD29" s="15">
        <v>0.03</v>
      </c>
      <c r="AE29" s="15">
        <v>0.01</v>
      </c>
      <c r="AF29" s="15">
        <v>0.01</v>
      </c>
    </row>
    <row r="30" spans="1:32" ht="41.5" x14ac:dyDescent="0.35">
      <c r="A30" s="19"/>
      <c r="B30" s="11" t="s">
        <v>1446</v>
      </c>
      <c r="C30" s="12">
        <v>608</v>
      </c>
      <c r="D30" s="12">
        <v>17</v>
      </c>
      <c r="E30" s="12">
        <v>13</v>
      </c>
      <c r="F30" s="12">
        <v>14</v>
      </c>
      <c r="G30" s="12">
        <v>16</v>
      </c>
      <c r="H30" s="12">
        <v>26</v>
      </c>
      <c r="I30" s="12">
        <v>31</v>
      </c>
      <c r="J30" s="12">
        <v>4</v>
      </c>
      <c r="K30" s="12">
        <v>10</v>
      </c>
      <c r="L30" s="12">
        <v>18</v>
      </c>
      <c r="M30" s="12">
        <v>18</v>
      </c>
      <c r="N30" s="12">
        <v>16</v>
      </c>
      <c r="O30" s="12">
        <v>22</v>
      </c>
      <c r="P30" s="12">
        <v>38</v>
      </c>
      <c r="Q30" s="12">
        <v>29</v>
      </c>
      <c r="R30" s="12">
        <v>5</v>
      </c>
      <c r="S30" s="12">
        <v>7</v>
      </c>
      <c r="T30" s="12">
        <v>9</v>
      </c>
      <c r="U30" s="12">
        <v>8</v>
      </c>
      <c r="V30" s="12">
        <v>31</v>
      </c>
      <c r="W30" s="12">
        <v>5</v>
      </c>
      <c r="X30" s="12">
        <v>17</v>
      </c>
      <c r="Y30" s="12">
        <v>19</v>
      </c>
      <c r="Z30" s="12">
        <v>43</v>
      </c>
      <c r="AA30" s="12">
        <v>27</v>
      </c>
      <c r="AB30" s="12">
        <v>38</v>
      </c>
      <c r="AC30" s="12">
        <v>22</v>
      </c>
      <c r="AD30" s="12">
        <v>35</v>
      </c>
      <c r="AE30" s="12">
        <v>4</v>
      </c>
      <c r="AF30" s="12">
        <v>17</v>
      </c>
    </row>
    <row r="31" spans="1:32" ht="31.5" x14ac:dyDescent="0.35">
      <c r="A31" s="19"/>
      <c r="B31" s="13" t="s">
        <v>1447</v>
      </c>
      <c r="C31" s="15">
        <v>0.02</v>
      </c>
      <c r="D31" s="15">
        <v>0.02</v>
      </c>
      <c r="E31" s="15">
        <v>0.01</v>
      </c>
      <c r="F31" s="15">
        <v>0.01</v>
      </c>
      <c r="G31" s="15">
        <v>0.02</v>
      </c>
      <c r="H31" s="15">
        <v>0.02</v>
      </c>
      <c r="I31" s="15">
        <v>0.02</v>
      </c>
      <c r="J31" s="15">
        <v>0.01</v>
      </c>
      <c r="K31" s="15">
        <v>0.01</v>
      </c>
      <c r="L31" s="15">
        <v>0.02</v>
      </c>
      <c r="M31" s="15">
        <v>0.02</v>
      </c>
      <c r="N31" s="15">
        <v>0.02</v>
      </c>
      <c r="O31" s="15">
        <v>0.02</v>
      </c>
      <c r="P31" s="15">
        <v>0.04</v>
      </c>
      <c r="Q31" s="15">
        <v>0.03</v>
      </c>
      <c r="R31" s="15">
        <v>0.01</v>
      </c>
      <c r="S31" s="15">
        <v>0.01</v>
      </c>
      <c r="T31" s="15">
        <v>0.01</v>
      </c>
      <c r="U31" s="15">
        <v>0.02</v>
      </c>
      <c r="V31" s="15">
        <v>0.03</v>
      </c>
      <c r="W31" s="15">
        <v>0.01</v>
      </c>
      <c r="X31" s="15">
        <v>0.02</v>
      </c>
      <c r="Y31" s="15">
        <v>0.02</v>
      </c>
      <c r="Z31" s="15">
        <v>0.04</v>
      </c>
      <c r="AA31" s="15">
        <v>0.03</v>
      </c>
      <c r="AB31" s="15">
        <v>0.04</v>
      </c>
      <c r="AC31" s="15">
        <v>0.02</v>
      </c>
      <c r="AD31" s="15">
        <v>0.03</v>
      </c>
      <c r="AE31" s="14" t="s">
        <v>475</v>
      </c>
      <c r="AF31" s="15">
        <v>0.02</v>
      </c>
    </row>
    <row r="32" spans="1:32" x14ac:dyDescent="0.35">
      <c r="A32" s="19"/>
      <c r="B32" s="11" t="s">
        <v>607</v>
      </c>
      <c r="C32" s="12">
        <v>3510</v>
      </c>
      <c r="D32" s="12">
        <v>166</v>
      </c>
      <c r="E32" s="12">
        <v>62</v>
      </c>
      <c r="F32" s="12">
        <v>171</v>
      </c>
      <c r="G32" s="12">
        <v>246</v>
      </c>
      <c r="H32" s="12">
        <v>174</v>
      </c>
      <c r="I32" s="12">
        <v>214</v>
      </c>
      <c r="J32" s="12">
        <v>40</v>
      </c>
      <c r="K32" s="12">
        <v>225</v>
      </c>
      <c r="L32" s="12">
        <v>60</v>
      </c>
      <c r="M32" s="12">
        <v>62</v>
      </c>
      <c r="N32" s="12">
        <v>56</v>
      </c>
      <c r="O32" s="12">
        <v>143</v>
      </c>
      <c r="P32" s="12">
        <v>81</v>
      </c>
      <c r="Q32" s="12">
        <v>111</v>
      </c>
      <c r="R32" s="12">
        <v>59</v>
      </c>
      <c r="S32" s="12">
        <v>263</v>
      </c>
      <c r="T32" s="12">
        <v>262</v>
      </c>
      <c r="U32" s="12">
        <v>76</v>
      </c>
      <c r="V32" s="12">
        <v>138</v>
      </c>
      <c r="W32" s="12">
        <v>37</v>
      </c>
      <c r="X32" s="12">
        <v>217</v>
      </c>
      <c r="Y32" s="12">
        <v>122</v>
      </c>
      <c r="Z32" s="12">
        <v>241</v>
      </c>
      <c r="AA32" s="12">
        <v>55</v>
      </c>
      <c r="AB32" s="12">
        <v>111</v>
      </c>
      <c r="AC32" s="12">
        <v>63</v>
      </c>
      <c r="AD32" s="12">
        <v>63</v>
      </c>
      <c r="AE32" s="12">
        <v>213</v>
      </c>
      <c r="AF32" s="12">
        <v>153</v>
      </c>
    </row>
    <row r="33" spans="1:32" x14ac:dyDescent="0.35">
      <c r="A33" s="19"/>
      <c r="B33" s="13" t="s">
        <v>608</v>
      </c>
      <c r="C33" s="15">
        <v>0.13</v>
      </c>
      <c r="D33" s="15">
        <v>0.16</v>
      </c>
      <c r="E33" s="15">
        <v>0.06</v>
      </c>
      <c r="F33" s="15">
        <v>0.15</v>
      </c>
      <c r="G33" s="15">
        <v>0.24</v>
      </c>
      <c r="H33" s="15">
        <v>0.14000000000000001</v>
      </c>
      <c r="I33" s="15">
        <v>0.14000000000000001</v>
      </c>
      <c r="J33" s="15">
        <v>0.14000000000000001</v>
      </c>
      <c r="K33" s="15">
        <v>0.23</v>
      </c>
      <c r="L33" s="15">
        <v>0.06</v>
      </c>
      <c r="M33" s="15">
        <v>0.06</v>
      </c>
      <c r="N33" s="15">
        <v>0.06</v>
      </c>
      <c r="O33" s="15">
        <v>0.14000000000000001</v>
      </c>
      <c r="P33" s="15">
        <v>0.08</v>
      </c>
      <c r="Q33" s="15">
        <v>0.11</v>
      </c>
      <c r="R33" s="15">
        <v>0.12</v>
      </c>
      <c r="S33" s="15">
        <v>0.26</v>
      </c>
      <c r="T33" s="15">
        <v>0.26</v>
      </c>
      <c r="U33" s="15">
        <v>0.15</v>
      </c>
      <c r="V33" s="15">
        <v>0.14000000000000001</v>
      </c>
      <c r="W33" s="15">
        <v>7.0000000000000007E-2</v>
      </c>
      <c r="X33" s="15">
        <v>0.21</v>
      </c>
      <c r="Y33" s="15">
        <v>0.12</v>
      </c>
      <c r="Z33" s="15">
        <v>0.23</v>
      </c>
      <c r="AA33" s="15">
        <v>0.05</v>
      </c>
      <c r="AB33" s="15">
        <v>0.11</v>
      </c>
      <c r="AC33" s="15">
        <v>0.06</v>
      </c>
      <c r="AD33" s="15">
        <v>0.06</v>
      </c>
      <c r="AE33" s="15">
        <v>0.21</v>
      </c>
      <c r="AF33" s="15">
        <v>0.15</v>
      </c>
    </row>
    <row r="34" spans="1:32" x14ac:dyDescent="0.35">
      <c r="A34" s="19"/>
      <c r="B34" s="11" t="s">
        <v>1448</v>
      </c>
      <c r="C34" s="12">
        <v>1337</v>
      </c>
      <c r="D34" s="12">
        <v>97</v>
      </c>
      <c r="E34" s="12">
        <v>17</v>
      </c>
      <c r="F34" s="12">
        <v>36</v>
      </c>
      <c r="G34" s="12">
        <v>27</v>
      </c>
      <c r="H34" s="12">
        <v>42</v>
      </c>
      <c r="I34" s="12">
        <v>54</v>
      </c>
      <c r="J34" s="12">
        <v>12</v>
      </c>
      <c r="K34" s="12">
        <v>12</v>
      </c>
      <c r="L34" s="12">
        <v>95</v>
      </c>
      <c r="M34" s="12">
        <v>25</v>
      </c>
      <c r="N34" s="12">
        <v>23</v>
      </c>
      <c r="O34" s="12">
        <v>70</v>
      </c>
      <c r="P34" s="12">
        <v>40</v>
      </c>
      <c r="Q34" s="12">
        <v>105</v>
      </c>
      <c r="R34" s="12">
        <v>38</v>
      </c>
      <c r="S34" s="12">
        <v>10</v>
      </c>
      <c r="T34" s="12">
        <v>18</v>
      </c>
      <c r="U34" s="12">
        <v>22</v>
      </c>
      <c r="V34" s="12">
        <v>64</v>
      </c>
      <c r="W34" s="12">
        <v>25</v>
      </c>
      <c r="X34" s="12">
        <v>71</v>
      </c>
      <c r="Y34" s="12">
        <v>35</v>
      </c>
      <c r="Z34" s="12">
        <v>40</v>
      </c>
      <c r="AA34" s="12">
        <v>37</v>
      </c>
      <c r="AB34" s="12">
        <v>27</v>
      </c>
      <c r="AC34" s="12">
        <v>19</v>
      </c>
      <c r="AD34" s="12">
        <v>24</v>
      </c>
      <c r="AE34" s="12">
        <v>16</v>
      </c>
      <c r="AF34" s="12">
        <v>14</v>
      </c>
    </row>
    <row r="35" spans="1:32" x14ac:dyDescent="0.35">
      <c r="A35" s="19"/>
      <c r="B35" s="13" t="s">
        <v>1449</v>
      </c>
      <c r="C35" s="15">
        <v>0.05</v>
      </c>
      <c r="D35" s="15">
        <v>0.1</v>
      </c>
      <c r="E35" s="15">
        <v>0.02</v>
      </c>
      <c r="F35" s="15">
        <v>0.03</v>
      </c>
      <c r="G35" s="15">
        <v>0.03</v>
      </c>
      <c r="H35" s="15">
        <v>0.04</v>
      </c>
      <c r="I35" s="15">
        <v>0.04</v>
      </c>
      <c r="J35" s="15">
        <v>0.04</v>
      </c>
      <c r="K35" s="15">
        <v>0.01</v>
      </c>
      <c r="L35" s="15">
        <v>0.09</v>
      </c>
      <c r="M35" s="15">
        <v>0.03</v>
      </c>
      <c r="N35" s="15">
        <v>0.02</v>
      </c>
      <c r="O35" s="15">
        <v>7.0000000000000007E-2</v>
      </c>
      <c r="P35" s="15">
        <v>0.04</v>
      </c>
      <c r="Q35" s="15">
        <v>0.1</v>
      </c>
      <c r="R35" s="15">
        <v>0.08</v>
      </c>
      <c r="S35" s="15">
        <v>0.01</v>
      </c>
      <c r="T35" s="15">
        <v>0.02</v>
      </c>
      <c r="U35" s="15">
        <v>0.04</v>
      </c>
      <c r="V35" s="15">
        <v>0.06</v>
      </c>
      <c r="W35" s="15">
        <v>0.05</v>
      </c>
      <c r="X35" s="15">
        <v>7.0000000000000007E-2</v>
      </c>
      <c r="Y35" s="15">
        <v>0.03</v>
      </c>
      <c r="Z35" s="15">
        <v>0.04</v>
      </c>
      <c r="AA35" s="15">
        <v>0.04</v>
      </c>
      <c r="AB35" s="15">
        <v>0.03</v>
      </c>
      <c r="AC35" s="15">
        <v>0.02</v>
      </c>
      <c r="AD35" s="15">
        <v>0.02</v>
      </c>
      <c r="AE35" s="15">
        <v>0.02</v>
      </c>
      <c r="AF35" s="15">
        <v>0.01</v>
      </c>
    </row>
    <row r="36" spans="1:32" ht="21.5" x14ac:dyDescent="0.35">
      <c r="A36" s="19"/>
      <c r="B36" s="11" t="s">
        <v>1450</v>
      </c>
      <c r="C36" s="12">
        <v>4837</v>
      </c>
      <c r="D36" s="12">
        <v>156</v>
      </c>
      <c r="E36" s="12">
        <v>255</v>
      </c>
      <c r="F36" s="12">
        <v>150</v>
      </c>
      <c r="G36" s="12">
        <v>109</v>
      </c>
      <c r="H36" s="12">
        <v>154</v>
      </c>
      <c r="I36" s="12">
        <v>194</v>
      </c>
      <c r="J36" s="12">
        <v>40</v>
      </c>
      <c r="K36" s="12">
        <v>163</v>
      </c>
      <c r="L36" s="12">
        <v>150</v>
      </c>
      <c r="M36" s="12">
        <v>386</v>
      </c>
      <c r="N36" s="12">
        <v>306</v>
      </c>
      <c r="O36" s="12">
        <v>179</v>
      </c>
      <c r="P36" s="12">
        <v>217</v>
      </c>
      <c r="Q36" s="12">
        <v>185</v>
      </c>
      <c r="R36" s="12">
        <v>103</v>
      </c>
      <c r="S36" s="12">
        <v>184</v>
      </c>
      <c r="T36" s="12">
        <v>234</v>
      </c>
      <c r="U36" s="12">
        <v>84</v>
      </c>
      <c r="V36" s="12">
        <v>204</v>
      </c>
      <c r="W36" s="12">
        <v>121</v>
      </c>
      <c r="X36" s="12">
        <v>98</v>
      </c>
      <c r="Y36" s="12">
        <v>135</v>
      </c>
      <c r="Z36" s="12">
        <v>115</v>
      </c>
      <c r="AA36" s="12">
        <v>455</v>
      </c>
      <c r="AB36" s="12">
        <v>144</v>
      </c>
      <c r="AC36" s="12">
        <v>218</v>
      </c>
      <c r="AD36" s="12">
        <v>206</v>
      </c>
      <c r="AE36" s="12">
        <v>211</v>
      </c>
      <c r="AF36" s="12">
        <v>172</v>
      </c>
    </row>
    <row r="37" spans="1:32" ht="21.5" x14ac:dyDescent="0.35">
      <c r="A37" s="19"/>
      <c r="B37" s="13" t="s">
        <v>1451</v>
      </c>
      <c r="C37" s="15">
        <v>0.18</v>
      </c>
      <c r="D37" s="15">
        <v>0.15</v>
      </c>
      <c r="E37" s="15">
        <v>0.25</v>
      </c>
      <c r="F37" s="15">
        <v>0.14000000000000001</v>
      </c>
      <c r="G37" s="15">
        <v>0.11</v>
      </c>
      <c r="H37" s="15">
        <v>0.13</v>
      </c>
      <c r="I37" s="15">
        <v>0.13</v>
      </c>
      <c r="J37" s="15">
        <v>0.13</v>
      </c>
      <c r="K37" s="15">
        <v>0.16</v>
      </c>
      <c r="L37" s="15">
        <v>0.15</v>
      </c>
      <c r="M37" s="15">
        <v>0.38</v>
      </c>
      <c r="N37" s="15">
        <v>0.3</v>
      </c>
      <c r="O37" s="15">
        <v>0.18</v>
      </c>
      <c r="P37" s="15">
        <v>0.22</v>
      </c>
      <c r="Q37" s="15">
        <v>0.18</v>
      </c>
      <c r="R37" s="15">
        <v>0.2</v>
      </c>
      <c r="S37" s="15">
        <v>0.18</v>
      </c>
      <c r="T37" s="15">
        <v>0.23</v>
      </c>
      <c r="U37" s="15">
        <v>0.17</v>
      </c>
      <c r="V37" s="15">
        <v>0.2</v>
      </c>
      <c r="W37" s="15">
        <v>0.24</v>
      </c>
      <c r="X37" s="15">
        <v>0.1</v>
      </c>
      <c r="Y37" s="15">
        <v>0.13</v>
      </c>
      <c r="Z37" s="15">
        <v>0.11</v>
      </c>
      <c r="AA37" s="15">
        <v>0.44</v>
      </c>
      <c r="AB37" s="15">
        <v>0.14000000000000001</v>
      </c>
      <c r="AC37" s="15">
        <v>0.22</v>
      </c>
      <c r="AD37" s="15">
        <v>0.21</v>
      </c>
      <c r="AE37" s="15">
        <v>0.21</v>
      </c>
      <c r="AF37" s="15">
        <v>0.17</v>
      </c>
    </row>
    <row r="38" spans="1:32" x14ac:dyDescent="0.35">
      <c r="A38" s="19"/>
      <c r="B38" s="11" t="s">
        <v>591</v>
      </c>
      <c r="C38" s="12">
        <v>1944</v>
      </c>
      <c r="D38" s="12">
        <v>66</v>
      </c>
      <c r="E38" s="12">
        <v>29</v>
      </c>
      <c r="F38" s="12">
        <v>150</v>
      </c>
      <c r="G38" s="12">
        <v>11</v>
      </c>
      <c r="H38" s="12">
        <v>87</v>
      </c>
      <c r="I38" s="12">
        <v>114</v>
      </c>
      <c r="J38" s="12">
        <v>27</v>
      </c>
      <c r="K38" s="12">
        <v>24</v>
      </c>
      <c r="L38" s="12">
        <v>269</v>
      </c>
      <c r="M38" s="12">
        <v>22</v>
      </c>
      <c r="N38" s="12">
        <v>192</v>
      </c>
      <c r="O38" s="12">
        <v>54</v>
      </c>
      <c r="P38" s="12">
        <v>103</v>
      </c>
      <c r="Q38" s="12">
        <v>22</v>
      </c>
      <c r="R38" s="12">
        <v>90</v>
      </c>
      <c r="S38" s="12">
        <v>51</v>
      </c>
      <c r="T38" s="12">
        <v>37</v>
      </c>
      <c r="U38" s="12">
        <v>75</v>
      </c>
      <c r="V38" s="12">
        <v>51</v>
      </c>
      <c r="W38" s="12">
        <v>16</v>
      </c>
      <c r="X38" s="12">
        <v>88</v>
      </c>
      <c r="Y38" s="12">
        <v>40</v>
      </c>
      <c r="Z38" s="12">
        <v>75</v>
      </c>
      <c r="AA38" s="12">
        <v>90</v>
      </c>
      <c r="AB38" s="12">
        <v>41</v>
      </c>
      <c r="AC38" s="12">
        <v>106</v>
      </c>
      <c r="AD38" s="12">
        <v>67</v>
      </c>
      <c r="AE38" s="12">
        <v>10</v>
      </c>
      <c r="AF38" s="12">
        <v>5</v>
      </c>
    </row>
    <row r="39" spans="1:32" x14ac:dyDescent="0.35">
      <c r="A39" s="19"/>
      <c r="B39" s="13" t="s">
        <v>592</v>
      </c>
      <c r="C39" s="15">
        <v>7.0000000000000007E-2</v>
      </c>
      <c r="D39" s="15">
        <v>7.0000000000000007E-2</v>
      </c>
      <c r="E39" s="15">
        <v>0.03</v>
      </c>
      <c r="F39" s="15">
        <v>0.14000000000000001</v>
      </c>
      <c r="G39" s="15">
        <v>0.01</v>
      </c>
      <c r="H39" s="15">
        <v>7.0000000000000007E-2</v>
      </c>
      <c r="I39" s="15">
        <v>7.0000000000000007E-2</v>
      </c>
      <c r="J39" s="15">
        <v>0.09</v>
      </c>
      <c r="K39" s="15">
        <v>0.02</v>
      </c>
      <c r="L39" s="15">
        <v>0.27</v>
      </c>
      <c r="M39" s="15">
        <v>0.02</v>
      </c>
      <c r="N39" s="15">
        <v>0.19</v>
      </c>
      <c r="O39" s="15">
        <v>0.05</v>
      </c>
      <c r="P39" s="15">
        <v>0.1</v>
      </c>
      <c r="Q39" s="15">
        <v>0.02</v>
      </c>
      <c r="R39" s="15">
        <v>0.18</v>
      </c>
      <c r="S39" s="15">
        <v>0.05</v>
      </c>
      <c r="T39" s="15">
        <v>0.04</v>
      </c>
      <c r="U39" s="15">
        <v>0.15</v>
      </c>
      <c r="V39" s="15">
        <v>0.05</v>
      </c>
      <c r="W39" s="15">
        <v>0.03</v>
      </c>
      <c r="X39" s="15">
        <v>0.09</v>
      </c>
      <c r="Y39" s="15">
        <v>0.04</v>
      </c>
      <c r="Z39" s="15">
        <v>7.0000000000000007E-2</v>
      </c>
      <c r="AA39" s="15">
        <v>0.09</v>
      </c>
      <c r="AB39" s="15">
        <v>0.04</v>
      </c>
      <c r="AC39" s="15">
        <v>0.11</v>
      </c>
      <c r="AD39" s="15">
        <v>7.0000000000000007E-2</v>
      </c>
      <c r="AE39" s="15">
        <v>0.01</v>
      </c>
      <c r="AF39" s="14" t="s">
        <v>475</v>
      </c>
    </row>
    <row r="40" spans="1:32" ht="21.5" x14ac:dyDescent="0.35">
      <c r="A40" s="19"/>
      <c r="B40" s="11" t="s">
        <v>1454</v>
      </c>
      <c r="C40" s="12">
        <v>737</v>
      </c>
      <c r="D40" s="12">
        <v>23</v>
      </c>
      <c r="E40" s="12">
        <v>33</v>
      </c>
      <c r="F40" s="12">
        <v>30</v>
      </c>
      <c r="G40" s="12">
        <v>33</v>
      </c>
      <c r="H40" s="12">
        <v>20</v>
      </c>
      <c r="I40" s="12">
        <v>28</v>
      </c>
      <c r="J40" s="12">
        <v>7</v>
      </c>
      <c r="K40" s="12">
        <v>42</v>
      </c>
      <c r="L40" s="12">
        <v>4</v>
      </c>
      <c r="M40" s="12">
        <v>19</v>
      </c>
      <c r="N40" s="12">
        <v>17</v>
      </c>
      <c r="O40" s="12">
        <v>13</v>
      </c>
      <c r="P40" s="12">
        <v>13</v>
      </c>
      <c r="Q40" s="12">
        <v>31</v>
      </c>
      <c r="R40" s="12">
        <v>9</v>
      </c>
      <c r="S40" s="12">
        <v>44</v>
      </c>
      <c r="T40" s="12">
        <v>44</v>
      </c>
      <c r="U40" s="12">
        <v>11</v>
      </c>
      <c r="V40" s="12">
        <v>34</v>
      </c>
      <c r="W40" s="12">
        <v>7</v>
      </c>
      <c r="X40" s="12">
        <v>13</v>
      </c>
      <c r="Y40" s="12">
        <v>23</v>
      </c>
      <c r="Z40" s="12">
        <v>90</v>
      </c>
      <c r="AA40" s="12">
        <v>25</v>
      </c>
      <c r="AB40" s="12">
        <v>76</v>
      </c>
      <c r="AC40" s="12">
        <v>18</v>
      </c>
      <c r="AD40" s="12">
        <v>16</v>
      </c>
      <c r="AE40" s="12">
        <v>26</v>
      </c>
      <c r="AF40" s="12">
        <v>12</v>
      </c>
    </row>
    <row r="41" spans="1:32" ht="21.5" x14ac:dyDescent="0.35">
      <c r="A41" s="19"/>
      <c r="B41" s="13" t="s">
        <v>1455</v>
      </c>
      <c r="C41" s="15">
        <v>0.03</v>
      </c>
      <c r="D41" s="15">
        <v>0.02</v>
      </c>
      <c r="E41" s="15">
        <v>0.03</v>
      </c>
      <c r="F41" s="15">
        <v>0.03</v>
      </c>
      <c r="G41" s="15">
        <v>0.03</v>
      </c>
      <c r="H41" s="15">
        <v>0.02</v>
      </c>
      <c r="I41" s="15">
        <v>0.02</v>
      </c>
      <c r="J41" s="15">
        <v>0.02</v>
      </c>
      <c r="K41" s="15">
        <v>0.04</v>
      </c>
      <c r="L41" s="14" t="s">
        <v>475</v>
      </c>
      <c r="M41" s="15">
        <v>0.02</v>
      </c>
      <c r="N41" s="15">
        <v>0.02</v>
      </c>
      <c r="O41" s="15">
        <v>0.01</v>
      </c>
      <c r="P41" s="15">
        <v>0.01</v>
      </c>
      <c r="Q41" s="15">
        <v>0.03</v>
      </c>
      <c r="R41" s="15">
        <v>0.02</v>
      </c>
      <c r="S41" s="15">
        <v>0.04</v>
      </c>
      <c r="T41" s="15">
        <v>0.04</v>
      </c>
      <c r="U41" s="15">
        <v>0.02</v>
      </c>
      <c r="V41" s="15">
        <v>0.03</v>
      </c>
      <c r="W41" s="15">
        <v>0.02</v>
      </c>
      <c r="X41" s="15">
        <v>0.01</v>
      </c>
      <c r="Y41" s="15">
        <v>0.02</v>
      </c>
      <c r="Z41" s="15">
        <v>0.09</v>
      </c>
      <c r="AA41" s="15">
        <v>0.02</v>
      </c>
      <c r="AB41" s="15">
        <v>7.0000000000000007E-2</v>
      </c>
      <c r="AC41" s="15">
        <v>0.02</v>
      </c>
      <c r="AD41" s="15">
        <v>0.02</v>
      </c>
      <c r="AE41" s="15">
        <v>0.03</v>
      </c>
      <c r="AF41" s="15">
        <v>0.01</v>
      </c>
    </row>
    <row r="42" spans="1:32" x14ac:dyDescent="0.35">
      <c r="A42" s="19"/>
      <c r="B42" s="11" t="s">
        <v>611</v>
      </c>
      <c r="C42" s="12">
        <v>133</v>
      </c>
      <c r="D42" s="12">
        <v>1</v>
      </c>
      <c r="E42" s="12">
        <v>2</v>
      </c>
      <c r="F42" s="12">
        <v>2</v>
      </c>
      <c r="G42" s="12">
        <v>3</v>
      </c>
      <c r="H42" s="12">
        <v>21</v>
      </c>
      <c r="I42" s="12">
        <v>21</v>
      </c>
      <c r="J42" s="12">
        <v>0</v>
      </c>
      <c r="K42" s="12">
        <v>14</v>
      </c>
      <c r="L42" s="12">
        <v>6</v>
      </c>
      <c r="M42" s="12">
        <v>4</v>
      </c>
      <c r="N42" s="12">
        <v>6</v>
      </c>
      <c r="O42" s="12">
        <v>5</v>
      </c>
      <c r="P42" s="12">
        <v>0</v>
      </c>
      <c r="Q42" s="12">
        <v>2</v>
      </c>
      <c r="R42" s="12">
        <v>1</v>
      </c>
      <c r="S42" s="12">
        <v>2</v>
      </c>
      <c r="T42" s="12">
        <v>1</v>
      </c>
      <c r="U42" s="12">
        <v>1</v>
      </c>
      <c r="V42" s="12">
        <v>0</v>
      </c>
      <c r="W42" s="12">
        <v>1</v>
      </c>
      <c r="X42" s="12">
        <v>2</v>
      </c>
      <c r="Y42" s="12">
        <v>8</v>
      </c>
      <c r="Z42" s="12">
        <v>0</v>
      </c>
      <c r="AA42" s="12">
        <v>0</v>
      </c>
      <c r="AB42" s="12">
        <v>2</v>
      </c>
      <c r="AC42" s="12">
        <v>1</v>
      </c>
      <c r="AD42" s="12">
        <v>2</v>
      </c>
      <c r="AE42" s="12">
        <v>3</v>
      </c>
      <c r="AF42" s="12">
        <v>6</v>
      </c>
    </row>
    <row r="43" spans="1:32" x14ac:dyDescent="0.35">
      <c r="A43" s="19"/>
      <c r="B43" s="13" t="s">
        <v>612</v>
      </c>
      <c r="C43" s="14" t="s">
        <v>475</v>
      </c>
      <c r="D43" s="14" t="s">
        <v>475</v>
      </c>
      <c r="E43" s="14" t="s">
        <v>475</v>
      </c>
      <c r="F43" s="14" t="s">
        <v>475</v>
      </c>
      <c r="G43" s="14" t="s">
        <v>475</v>
      </c>
      <c r="H43" s="15">
        <v>0.02</v>
      </c>
      <c r="I43" s="15">
        <v>0.01</v>
      </c>
      <c r="J43" s="14" t="s">
        <v>475</v>
      </c>
      <c r="K43" s="15">
        <v>0.01</v>
      </c>
      <c r="L43" s="15">
        <v>0.01</v>
      </c>
      <c r="M43" s="14" t="s">
        <v>475</v>
      </c>
      <c r="N43" s="15">
        <v>0.01</v>
      </c>
      <c r="O43" s="14" t="s">
        <v>475</v>
      </c>
      <c r="P43" s="14" t="s">
        <v>475</v>
      </c>
      <c r="Q43" s="14" t="s">
        <v>475</v>
      </c>
      <c r="R43" s="14" t="s">
        <v>475</v>
      </c>
      <c r="S43" s="14" t="s">
        <v>475</v>
      </c>
      <c r="T43" s="14" t="s">
        <v>475</v>
      </c>
      <c r="U43" s="14" t="s">
        <v>475</v>
      </c>
      <c r="V43" s="14" t="s">
        <v>475</v>
      </c>
      <c r="W43" s="14" t="s">
        <v>475</v>
      </c>
      <c r="X43" s="14" t="s">
        <v>475</v>
      </c>
      <c r="Y43" s="15">
        <v>0.01</v>
      </c>
      <c r="Z43" s="14" t="s">
        <v>475</v>
      </c>
      <c r="AA43" s="14" t="s">
        <v>475</v>
      </c>
      <c r="AB43" s="14" t="s">
        <v>475</v>
      </c>
      <c r="AC43" s="14" t="s">
        <v>475</v>
      </c>
      <c r="AD43" s="14" t="s">
        <v>475</v>
      </c>
      <c r="AE43" s="14" t="s">
        <v>475</v>
      </c>
      <c r="AF43" s="15">
        <v>0.01</v>
      </c>
    </row>
    <row r="44" spans="1:32" x14ac:dyDescent="0.35">
      <c r="A44" s="19"/>
      <c r="B44" s="11" t="s">
        <v>613</v>
      </c>
      <c r="C44" s="12">
        <v>144</v>
      </c>
      <c r="D44" s="12">
        <v>6</v>
      </c>
      <c r="E44" s="12">
        <v>6</v>
      </c>
      <c r="F44" s="12">
        <v>3</v>
      </c>
      <c r="G44" s="12">
        <v>5</v>
      </c>
      <c r="H44" s="12">
        <v>17</v>
      </c>
      <c r="I44" s="12">
        <v>17</v>
      </c>
      <c r="J44" s="12">
        <v>0</v>
      </c>
      <c r="K44" s="12">
        <v>3</v>
      </c>
      <c r="L44" s="12">
        <v>3</v>
      </c>
      <c r="M44" s="12">
        <v>1</v>
      </c>
      <c r="N44" s="12">
        <v>2</v>
      </c>
      <c r="O44" s="12">
        <v>5</v>
      </c>
      <c r="P44" s="12">
        <v>0</v>
      </c>
      <c r="Q44" s="12">
        <v>6</v>
      </c>
      <c r="R44" s="12">
        <v>3</v>
      </c>
      <c r="S44" s="12">
        <v>0</v>
      </c>
      <c r="T44" s="12">
        <v>0</v>
      </c>
      <c r="U44" s="12">
        <v>2</v>
      </c>
      <c r="V44" s="12">
        <v>1</v>
      </c>
      <c r="W44" s="12">
        <v>0</v>
      </c>
      <c r="X44" s="12">
        <v>11</v>
      </c>
      <c r="Y44" s="12">
        <v>5</v>
      </c>
      <c r="Z44" s="12">
        <v>3</v>
      </c>
      <c r="AA44" s="12">
        <v>0</v>
      </c>
      <c r="AB44" s="12">
        <v>0</v>
      </c>
      <c r="AC44" s="12">
        <v>1</v>
      </c>
      <c r="AD44" s="12">
        <v>1</v>
      </c>
      <c r="AE44" s="12">
        <v>2</v>
      </c>
      <c r="AF44" s="12">
        <v>11</v>
      </c>
    </row>
    <row r="45" spans="1:32" x14ac:dyDescent="0.35">
      <c r="A45" s="19"/>
      <c r="B45" s="13" t="s">
        <v>614</v>
      </c>
      <c r="C45" s="14" t="s">
        <v>475</v>
      </c>
      <c r="D45" s="15">
        <v>0.01</v>
      </c>
      <c r="E45" s="15">
        <v>0.01</v>
      </c>
      <c r="F45" s="14" t="s">
        <v>475</v>
      </c>
      <c r="G45" s="15">
        <v>0.01</v>
      </c>
      <c r="H45" s="15">
        <v>0.01</v>
      </c>
      <c r="I45" s="15">
        <v>0.01</v>
      </c>
      <c r="J45" s="14" t="s">
        <v>475</v>
      </c>
      <c r="K45" s="14" t="s">
        <v>475</v>
      </c>
      <c r="L45" s="14" t="s">
        <v>475</v>
      </c>
      <c r="M45" s="14" t="s">
        <v>475</v>
      </c>
      <c r="N45" s="14" t="s">
        <v>475</v>
      </c>
      <c r="O45" s="15">
        <v>0.01</v>
      </c>
      <c r="P45" s="14" t="s">
        <v>475</v>
      </c>
      <c r="Q45" s="15">
        <v>0.01</v>
      </c>
      <c r="R45" s="15">
        <v>0.01</v>
      </c>
      <c r="S45" s="14" t="s">
        <v>475</v>
      </c>
      <c r="T45" s="14" t="s">
        <v>475</v>
      </c>
      <c r="U45" s="14" t="s">
        <v>475</v>
      </c>
      <c r="V45" s="14" t="s">
        <v>475</v>
      </c>
      <c r="W45" s="14" t="s">
        <v>475</v>
      </c>
      <c r="X45" s="15">
        <v>0.01</v>
      </c>
      <c r="Y45" s="15">
        <v>0.01</v>
      </c>
      <c r="Z45" s="14" t="s">
        <v>475</v>
      </c>
      <c r="AA45" s="14" t="s">
        <v>475</v>
      </c>
      <c r="AB45" s="14" t="s">
        <v>475</v>
      </c>
      <c r="AC45" s="14" t="s">
        <v>475</v>
      </c>
      <c r="AD45" s="14" t="s">
        <v>475</v>
      </c>
      <c r="AE45" s="14" t="s">
        <v>475</v>
      </c>
      <c r="AF45" s="15">
        <v>0.01</v>
      </c>
    </row>
    <row r="46" spans="1:32" x14ac:dyDescent="0.35">
      <c r="A46" s="19"/>
      <c r="B46" s="11" t="s">
        <v>485</v>
      </c>
      <c r="C46" s="12">
        <v>813</v>
      </c>
      <c r="D46" s="12">
        <v>7</v>
      </c>
      <c r="E46" s="12">
        <v>52</v>
      </c>
      <c r="F46" s="12">
        <v>60</v>
      </c>
      <c r="G46" s="12">
        <v>37</v>
      </c>
      <c r="H46" s="12">
        <v>85</v>
      </c>
      <c r="I46" s="12">
        <v>86</v>
      </c>
      <c r="J46" s="12">
        <v>2</v>
      </c>
      <c r="K46" s="12">
        <v>25</v>
      </c>
      <c r="L46" s="12">
        <v>22</v>
      </c>
      <c r="M46" s="12">
        <v>1</v>
      </c>
      <c r="N46" s="12">
        <v>13</v>
      </c>
      <c r="O46" s="12">
        <v>28</v>
      </c>
      <c r="P46" s="12">
        <v>4</v>
      </c>
      <c r="Q46" s="12">
        <v>43</v>
      </c>
      <c r="R46" s="12">
        <v>27</v>
      </c>
      <c r="S46" s="12">
        <v>24</v>
      </c>
      <c r="T46" s="12">
        <v>25</v>
      </c>
      <c r="U46" s="12">
        <v>12</v>
      </c>
      <c r="V46" s="12">
        <v>18</v>
      </c>
      <c r="W46" s="12">
        <v>5</v>
      </c>
      <c r="X46" s="12">
        <v>20</v>
      </c>
      <c r="Y46" s="12">
        <v>17</v>
      </c>
      <c r="Z46" s="12">
        <v>15</v>
      </c>
      <c r="AA46" s="12">
        <v>45</v>
      </c>
      <c r="AB46" s="12">
        <v>23</v>
      </c>
      <c r="AC46" s="12">
        <v>6</v>
      </c>
      <c r="AD46" s="12">
        <v>6</v>
      </c>
      <c r="AE46" s="12">
        <v>27</v>
      </c>
      <c r="AF46" s="12">
        <v>11</v>
      </c>
    </row>
    <row r="47" spans="1:32" x14ac:dyDescent="0.35">
      <c r="A47" s="19"/>
      <c r="B47" s="13" t="s">
        <v>486</v>
      </c>
      <c r="C47" s="15">
        <v>0.03</v>
      </c>
      <c r="D47" s="15">
        <v>0.01</v>
      </c>
      <c r="E47" s="15">
        <v>0.05</v>
      </c>
      <c r="F47" s="15">
        <v>0.05</v>
      </c>
      <c r="G47" s="15">
        <v>0.04</v>
      </c>
      <c r="H47" s="15">
        <v>7.0000000000000007E-2</v>
      </c>
      <c r="I47" s="15">
        <v>0.06</v>
      </c>
      <c r="J47" s="15">
        <v>0.01</v>
      </c>
      <c r="K47" s="15">
        <v>0.03</v>
      </c>
      <c r="L47" s="15">
        <v>0.02</v>
      </c>
      <c r="M47" s="14" t="s">
        <v>475</v>
      </c>
      <c r="N47" s="15">
        <v>0.01</v>
      </c>
      <c r="O47" s="15">
        <v>0.03</v>
      </c>
      <c r="P47" s="14" t="s">
        <v>475</v>
      </c>
      <c r="Q47" s="15">
        <v>0.04</v>
      </c>
      <c r="R47" s="15">
        <v>0.05</v>
      </c>
      <c r="S47" s="15">
        <v>0.03</v>
      </c>
      <c r="T47" s="15">
        <v>0.03</v>
      </c>
      <c r="U47" s="15">
        <v>0.02</v>
      </c>
      <c r="V47" s="15">
        <v>0.02</v>
      </c>
      <c r="W47" s="15">
        <v>0.01</v>
      </c>
      <c r="X47" s="15">
        <v>0.02</v>
      </c>
      <c r="Y47" s="15">
        <v>0.02</v>
      </c>
      <c r="Z47" s="15">
        <v>0.02</v>
      </c>
      <c r="AA47" s="15">
        <v>0.04</v>
      </c>
      <c r="AB47" s="15">
        <v>0.02</v>
      </c>
      <c r="AC47" s="15">
        <v>0.01</v>
      </c>
      <c r="AD47" s="15">
        <v>0.01</v>
      </c>
      <c r="AE47" s="15">
        <v>0.03</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47"/>
  <sheetViews>
    <sheetView workbookViewId="0">
      <pane xSplit="3" ySplit="9" topLeftCell="D3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357</v>
      </c>
      <c r="C3" s="18"/>
      <c r="D3" s="18"/>
      <c r="E3" s="18"/>
      <c r="F3" s="18"/>
      <c r="H3" s="18" t="s">
        <v>358</v>
      </c>
      <c r="I3" s="18"/>
      <c r="J3" s="18"/>
      <c r="K3" s="18"/>
      <c r="L3" s="18"/>
    </row>
    <row r="4" spans="1:32" ht="27" customHeight="1" x14ac:dyDescent="0.35">
      <c r="B4" s="18"/>
      <c r="C4" s="18"/>
      <c r="D4" s="18"/>
      <c r="E4" s="18"/>
      <c r="F4" s="18"/>
      <c r="H4" s="18"/>
      <c r="I4" s="18"/>
      <c r="J4" s="18"/>
      <c r="K4" s="18"/>
      <c r="L4" s="18"/>
    </row>
    <row r="5" spans="1:32" ht="24" customHeight="1" x14ac:dyDescent="0.35">
      <c r="B5" s="18" t="s">
        <v>1460</v>
      </c>
      <c r="C5" s="18"/>
      <c r="D5" s="18"/>
      <c r="E5" s="18"/>
      <c r="F5" s="18"/>
      <c r="H5" s="18" t="s">
        <v>1461</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HYPERLINK("#Content!A181","&lt;&lt;Back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25487</v>
      </c>
      <c r="D10" s="10">
        <v>1000</v>
      </c>
      <c r="E10" s="10">
        <v>972</v>
      </c>
      <c r="F10" s="10">
        <v>1040</v>
      </c>
      <c r="G10" s="10">
        <v>964</v>
      </c>
      <c r="H10" s="10">
        <v>1119</v>
      </c>
      <c r="I10" s="10">
        <v>1412</v>
      </c>
      <c r="J10" s="10">
        <v>293</v>
      </c>
      <c r="K10" s="10">
        <v>973</v>
      </c>
      <c r="L10" s="10">
        <v>977</v>
      </c>
      <c r="M10" s="10">
        <v>1008</v>
      </c>
      <c r="N10" s="10">
        <v>988</v>
      </c>
      <c r="O10" s="10">
        <v>968</v>
      </c>
      <c r="P10" s="10">
        <v>1000</v>
      </c>
      <c r="Q10" s="10">
        <v>978</v>
      </c>
      <c r="R10" s="10">
        <v>473</v>
      </c>
      <c r="S10" s="10">
        <v>978</v>
      </c>
      <c r="T10" s="10">
        <v>981</v>
      </c>
      <c r="U10" s="10">
        <v>490</v>
      </c>
      <c r="V10" s="10">
        <v>997</v>
      </c>
      <c r="W10" s="10">
        <v>503</v>
      </c>
      <c r="X10" s="10">
        <v>978</v>
      </c>
      <c r="Y10" s="10">
        <v>981</v>
      </c>
      <c r="Z10" s="10">
        <v>1012</v>
      </c>
      <c r="AA10" s="10">
        <v>988</v>
      </c>
      <c r="AB10" s="10">
        <v>1028</v>
      </c>
      <c r="AC10" s="10">
        <v>997</v>
      </c>
      <c r="AD10" s="10">
        <v>998</v>
      </c>
      <c r="AE10" s="10">
        <v>983</v>
      </c>
      <c r="AF10" s="10">
        <v>1021</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1428</v>
      </c>
      <c r="C12" s="12">
        <v>4494</v>
      </c>
      <c r="D12" s="12">
        <v>175</v>
      </c>
      <c r="E12" s="12">
        <v>106</v>
      </c>
      <c r="F12" s="12">
        <v>180</v>
      </c>
      <c r="G12" s="12">
        <v>241</v>
      </c>
      <c r="H12" s="12">
        <v>201</v>
      </c>
      <c r="I12" s="12">
        <v>248</v>
      </c>
      <c r="J12" s="12">
        <v>47</v>
      </c>
      <c r="K12" s="12">
        <v>184</v>
      </c>
      <c r="L12" s="12">
        <v>116</v>
      </c>
      <c r="M12" s="12">
        <v>168</v>
      </c>
      <c r="N12" s="12">
        <v>191</v>
      </c>
      <c r="O12" s="12">
        <v>161</v>
      </c>
      <c r="P12" s="12">
        <v>135</v>
      </c>
      <c r="Q12" s="12">
        <v>237</v>
      </c>
      <c r="R12" s="12">
        <v>73</v>
      </c>
      <c r="S12" s="12">
        <v>134</v>
      </c>
      <c r="T12" s="12">
        <v>135</v>
      </c>
      <c r="U12" s="12">
        <v>79</v>
      </c>
      <c r="V12" s="12">
        <v>120</v>
      </c>
      <c r="W12" s="12">
        <v>60</v>
      </c>
      <c r="X12" s="12">
        <v>196</v>
      </c>
      <c r="Y12" s="12">
        <v>173</v>
      </c>
      <c r="Z12" s="12">
        <v>101</v>
      </c>
      <c r="AA12" s="12">
        <v>146</v>
      </c>
      <c r="AB12" s="12">
        <v>103</v>
      </c>
      <c r="AC12" s="12">
        <v>117</v>
      </c>
      <c r="AD12" s="12">
        <v>127</v>
      </c>
      <c r="AE12" s="12">
        <v>229</v>
      </c>
      <c r="AF12" s="12">
        <v>336</v>
      </c>
    </row>
    <row r="13" spans="1:32" ht="21.5" x14ac:dyDescent="0.35">
      <c r="A13" s="19"/>
      <c r="B13" s="13" t="s">
        <v>1429</v>
      </c>
      <c r="C13" s="15">
        <v>0.19</v>
      </c>
      <c r="D13" s="15">
        <v>0.19</v>
      </c>
      <c r="E13" s="15">
        <v>0.11</v>
      </c>
      <c r="F13" s="15">
        <v>0.18</v>
      </c>
      <c r="G13" s="15">
        <v>0.27</v>
      </c>
      <c r="H13" s="15">
        <v>0.19</v>
      </c>
      <c r="I13" s="15">
        <v>0.19</v>
      </c>
      <c r="J13" s="15">
        <v>0.17</v>
      </c>
      <c r="K13" s="15">
        <v>0.2</v>
      </c>
      <c r="L13" s="15">
        <v>0.12</v>
      </c>
      <c r="M13" s="15">
        <v>0.18</v>
      </c>
      <c r="N13" s="15">
        <v>0.21</v>
      </c>
      <c r="O13" s="15">
        <v>0.18</v>
      </c>
      <c r="P13" s="15">
        <v>0.14000000000000001</v>
      </c>
      <c r="Q13" s="15">
        <v>0.27</v>
      </c>
      <c r="R13" s="15">
        <v>0.16</v>
      </c>
      <c r="S13" s="15">
        <v>0.14000000000000001</v>
      </c>
      <c r="T13" s="15">
        <v>0.14000000000000001</v>
      </c>
      <c r="U13" s="15">
        <v>0.17</v>
      </c>
      <c r="V13" s="15">
        <v>0.12</v>
      </c>
      <c r="W13" s="15">
        <v>0.13</v>
      </c>
      <c r="X13" s="15">
        <v>0.21</v>
      </c>
      <c r="Y13" s="15">
        <v>0.18</v>
      </c>
      <c r="Z13" s="15">
        <v>0.1</v>
      </c>
      <c r="AA13" s="15">
        <v>0.15</v>
      </c>
      <c r="AB13" s="15">
        <v>0.1</v>
      </c>
      <c r="AC13" s="15">
        <v>0.13</v>
      </c>
      <c r="AD13" s="15">
        <v>0.13</v>
      </c>
      <c r="AE13" s="15">
        <v>0.25</v>
      </c>
      <c r="AF13" s="15">
        <v>0.36</v>
      </c>
    </row>
    <row r="14" spans="1:32" ht="31.5" x14ac:dyDescent="0.35">
      <c r="A14" s="19"/>
      <c r="B14" s="11" t="s">
        <v>1458</v>
      </c>
      <c r="C14" s="12">
        <v>6641</v>
      </c>
      <c r="D14" s="12">
        <v>283</v>
      </c>
      <c r="E14" s="12">
        <v>274</v>
      </c>
      <c r="F14" s="12">
        <v>170</v>
      </c>
      <c r="G14" s="12">
        <v>252</v>
      </c>
      <c r="H14" s="12">
        <v>295</v>
      </c>
      <c r="I14" s="12">
        <v>376</v>
      </c>
      <c r="J14" s="12">
        <v>81</v>
      </c>
      <c r="K14" s="12">
        <v>247</v>
      </c>
      <c r="L14" s="12">
        <v>257</v>
      </c>
      <c r="M14" s="12">
        <v>357</v>
      </c>
      <c r="N14" s="12">
        <v>332</v>
      </c>
      <c r="O14" s="12">
        <v>278</v>
      </c>
      <c r="P14" s="12">
        <v>227</v>
      </c>
      <c r="Q14" s="12">
        <v>220</v>
      </c>
      <c r="R14" s="12">
        <v>165</v>
      </c>
      <c r="S14" s="12">
        <v>301</v>
      </c>
      <c r="T14" s="12">
        <v>309</v>
      </c>
      <c r="U14" s="12">
        <v>149</v>
      </c>
      <c r="V14" s="12">
        <v>221</v>
      </c>
      <c r="W14" s="12">
        <v>156</v>
      </c>
      <c r="X14" s="12">
        <v>277</v>
      </c>
      <c r="Y14" s="12">
        <v>243</v>
      </c>
      <c r="Z14" s="12">
        <v>127</v>
      </c>
      <c r="AA14" s="12">
        <v>334</v>
      </c>
      <c r="AB14" s="12">
        <v>246</v>
      </c>
      <c r="AC14" s="12">
        <v>247</v>
      </c>
      <c r="AD14" s="12">
        <v>241</v>
      </c>
      <c r="AE14" s="12">
        <v>208</v>
      </c>
      <c r="AF14" s="12">
        <v>312</v>
      </c>
    </row>
    <row r="15" spans="1:32" ht="21.5" x14ac:dyDescent="0.35">
      <c r="A15" s="19"/>
      <c r="B15" s="13" t="s">
        <v>1459</v>
      </c>
      <c r="C15" s="15">
        <v>0.28999999999999998</v>
      </c>
      <c r="D15" s="15">
        <v>0.32</v>
      </c>
      <c r="E15" s="15">
        <v>0.32</v>
      </c>
      <c r="F15" s="15">
        <v>0.18</v>
      </c>
      <c r="G15" s="15">
        <v>0.28000000000000003</v>
      </c>
      <c r="H15" s="15">
        <v>0.3</v>
      </c>
      <c r="I15" s="15">
        <v>0.3</v>
      </c>
      <c r="J15" s="15">
        <v>0.3</v>
      </c>
      <c r="K15" s="15">
        <v>0.3</v>
      </c>
      <c r="L15" s="15">
        <v>0.28999999999999998</v>
      </c>
      <c r="M15" s="15">
        <v>0.41</v>
      </c>
      <c r="N15" s="15">
        <v>0.39</v>
      </c>
      <c r="O15" s="15">
        <v>0.34</v>
      </c>
      <c r="P15" s="15">
        <v>0.26</v>
      </c>
      <c r="Q15" s="15">
        <v>0.25</v>
      </c>
      <c r="R15" s="15">
        <v>0.41</v>
      </c>
      <c r="S15" s="15">
        <v>0.35</v>
      </c>
      <c r="T15" s="15">
        <v>0.36</v>
      </c>
      <c r="U15" s="15">
        <v>0.35</v>
      </c>
      <c r="V15" s="15">
        <v>0.24</v>
      </c>
      <c r="W15" s="15">
        <v>0.37</v>
      </c>
      <c r="X15" s="15">
        <v>0.31</v>
      </c>
      <c r="Y15" s="15">
        <v>0.27</v>
      </c>
      <c r="Z15" s="15">
        <v>0.13</v>
      </c>
      <c r="AA15" s="15">
        <v>0.37</v>
      </c>
      <c r="AB15" s="15">
        <v>0.26</v>
      </c>
      <c r="AC15" s="15">
        <v>0.28000000000000003</v>
      </c>
      <c r="AD15" s="15">
        <v>0.27</v>
      </c>
      <c r="AE15" s="15">
        <v>0.22</v>
      </c>
      <c r="AF15" s="15">
        <v>0.32</v>
      </c>
    </row>
    <row r="16" spans="1:32" ht="31.5" x14ac:dyDescent="0.35">
      <c r="A16" s="19"/>
      <c r="B16" s="11" t="s">
        <v>1432</v>
      </c>
      <c r="C16" s="12">
        <v>3650</v>
      </c>
      <c r="D16" s="12">
        <v>104</v>
      </c>
      <c r="E16" s="12">
        <v>190</v>
      </c>
      <c r="F16" s="12">
        <v>248</v>
      </c>
      <c r="G16" s="12">
        <v>167</v>
      </c>
      <c r="H16" s="12">
        <v>206</v>
      </c>
      <c r="I16" s="12">
        <v>277</v>
      </c>
      <c r="J16" s="12">
        <v>71</v>
      </c>
      <c r="K16" s="12">
        <v>133</v>
      </c>
      <c r="L16" s="12">
        <v>178</v>
      </c>
      <c r="M16" s="12">
        <v>140</v>
      </c>
      <c r="N16" s="12">
        <v>86</v>
      </c>
      <c r="O16" s="12">
        <v>69</v>
      </c>
      <c r="P16" s="12">
        <v>180</v>
      </c>
      <c r="Q16" s="12">
        <v>185</v>
      </c>
      <c r="R16" s="12">
        <v>30</v>
      </c>
      <c r="S16" s="12">
        <v>124</v>
      </c>
      <c r="T16" s="12">
        <v>115</v>
      </c>
      <c r="U16" s="12">
        <v>49</v>
      </c>
      <c r="V16" s="12">
        <v>199</v>
      </c>
      <c r="W16" s="12">
        <v>111</v>
      </c>
      <c r="X16" s="12">
        <v>147</v>
      </c>
      <c r="Y16" s="12">
        <v>153</v>
      </c>
      <c r="Z16" s="12">
        <v>111</v>
      </c>
      <c r="AA16" s="12">
        <v>67</v>
      </c>
      <c r="AB16" s="12">
        <v>167</v>
      </c>
      <c r="AC16" s="12">
        <v>129</v>
      </c>
      <c r="AD16" s="12">
        <v>192</v>
      </c>
      <c r="AE16" s="12">
        <v>110</v>
      </c>
      <c r="AF16" s="12">
        <v>168</v>
      </c>
    </row>
    <row r="17" spans="1:32" ht="21.5" x14ac:dyDescent="0.35">
      <c r="A17" s="19"/>
      <c r="B17" s="13" t="s">
        <v>1433</v>
      </c>
      <c r="C17" s="15">
        <v>0.15</v>
      </c>
      <c r="D17" s="15">
        <v>0.11</v>
      </c>
      <c r="E17" s="15">
        <v>0.21</v>
      </c>
      <c r="F17" s="15">
        <v>0.26</v>
      </c>
      <c r="G17" s="15">
        <v>0.18</v>
      </c>
      <c r="H17" s="15">
        <v>0.19</v>
      </c>
      <c r="I17" s="15">
        <v>0.21</v>
      </c>
      <c r="J17" s="15">
        <v>0.26</v>
      </c>
      <c r="K17" s="15">
        <v>0.14000000000000001</v>
      </c>
      <c r="L17" s="15">
        <v>0.19</v>
      </c>
      <c r="M17" s="15">
        <v>0.14000000000000001</v>
      </c>
      <c r="N17" s="15">
        <v>0.09</v>
      </c>
      <c r="O17" s="15">
        <v>7.0000000000000007E-2</v>
      </c>
      <c r="P17" s="15">
        <v>0.19</v>
      </c>
      <c r="Q17" s="15">
        <v>0.2</v>
      </c>
      <c r="R17" s="15">
        <v>7.0000000000000007E-2</v>
      </c>
      <c r="S17" s="15">
        <v>0.13</v>
      </c>
      <c r="T17" s="15">
        <v>0.12</v>
      </c>
      <c r="U17" s="15">
        <v>0.1</v>
      </c>
      <c r="V17" s="15">
        <v>0.21</v>
      </c>
      <c r="W17" s="15">
        <v>0.23</v>
      </c>
      <c r="X17" s="15">
        <v>0.15</v>
      </c>
      <c r="Y17" s="15">
        <v>0.16</v>
      </c>
      <c r="Z17" s="15">
        <v>0.12</v>
      </c>
      <c r="AA17" s="15">
        <v>7.0000000000000007E-2</v>
      </c>
      <c r="AB17" s="15">
        <v>0.17</v>
      </c>
      <c r="AC17" s="15">
        <v>0.14000000000000001</v>
      </c>
      <c r="AD17" s="15">
        <v>0.2</v>
      </c>
      <c r="AE17" s="15">
        <v>0.11</v>
      </c>
      <c r="AF17" s="15">
        <v>0.17</v>
      </c>
    </row>
    <row r="18" spans="1:32" x14ac:dyDescent="0.35">
      <c r="A18" s="19"/>
      <c r="B18" s="11" t="s">
        <v>1462</v>
      </c>
      <c r="C18" s="12">
        <v>2629</v>
      </c>
      <c r="D18" s="12">
        <v>80</v>
      </c>
      <c r="E18" s="12">
        <v>181</v>
      </c>
      <c r="F18" s="12">
        <v>142</v>
      </c>
      <c r="G18" s="12">
        <v>94</v>
      </c>
      <c r="H18" s="12">
        <v>142</v>
      </c>
      <c r="I18" s="12">
        <v>188</v>
      </c>
      <c r="J18" s="12">
        <v>46</v>
      </c>
      <c r="K18" s="12">
        <v>108</v>
      </c>
      <c r="L18" s="12">
        <v>83</v>
      </c>
      <c r="M18" s="12">
        <v>264</v>
      </c>
      <c r="N18" s="12">
        <v>74</v>
      </c>
      <c r="O18" s="12">
        <v>110</v>
      </c>
      <c r="P18" s="12">
        <v>130</v>
      </c>
      <c r="Q18" s="12">
        <v>64</v>
      </c>
      <c r="R18" s="12">
        <v>25</v>
      </c>
      <c r="S18" s="12">
        <v>135</v>
      </c>
      <c r="T18" s="12">
        <v>61</v>
      </c>
      <c r="U18" s="12">
        <v>58</v>
      </c>
      <c r="V18" s="12">
        <v>125</v>
      </c>
      <c r="W18" s="12">
        <v>17</v>
      </c>
      <c r="X18" s="12">
        <v>50</v>
      </c>
      <c r="Y18" s="12">
        <v>176</v>
      </c>
      <c r="Z18" s="12">
        <v>55</v>
      </c>
      <c r="AA18" s="12">
        <v>117</v>
      </c>
      <c r="AB18" s="12">
        <v>97</v>
      </c>
      <c r="AC18" s="12">
        <v>130</v>
      </c>
      <c r="AD18" s="12">
        <v>82</v>
      </c>
      <c r="AE18" s="12">
        <v>131</v>
      </c>
      <c r="AF18" s="12">
        <v>107</v>
      </c>
    </row>
    <row r="19" spans="1:32" x14ac:dyDescent="0.35">
      <c r="A19" s="19"/>
      <c r="B19" s="13" t="s">
        <v>1463</v>
      </c>
      <c r="C19" s="15">
        <v>0.11</v>
      </c>
      <c r="D19" s="15">
        <v>0.08</v>
      </c>
      <c r="E19" s="15">
        <v>0.2</v>
      </c>
      <c r="F19" s="15">
        <v>0.14000000000000001</v>
      </c>
      <c r="G19" s="15">
        <v>0.1</v>
      </c>
      <c r="H19" s="15">
        <v>0.13</v>
      </c>
      <c r="I19" s="15">
        <v>0.14000000000000001</v>
      </c>
      <c r="J19" s="15">
        <v>0.17</v>
      </c>
      <c r="K19" s="15">
        <v>0.12</v>
      </c>
      <c r="L19" s="15">
        <v>0.09</v>
      </c>
      <c r="M19" s="15">
        <v>0.27</v>
      </c>
      <c r="N19" s="15">
        <v>0.08</v>
      </c>
      <c r="O19" s="15">
        <v>0.12</v>
      </c>
      <c r="P19" s="15">
        <v>0.14000000000000001</v>
      </c>
      <c r="Q19" s="15">
        <v>7.0000000000000007E-2</v>
      </c>
      <c r="R19" s="15">
        <v>0.05</v>
      </c>
      <c r="S19" s="15">
        <v>0.14000000000000001</v>
      </c>
      <c r="T19" s="15">
        <v>0.06</v>
      </c>
      <c r="U19" s="15">
        <v>0.12</v>
      </c>
      <c r="V19" s="15">
        <v>0.13</v>
      </c>
      <c r="W19" s="15">
        <v>0.04</v>
      </c>
      <c r="X19" s="15">
        <v>0.05</v>
      </c>
      <c r="Y19" s="15">
        <v>0.19</v>
      </c>
      <c r="Z19" s="15">
        <v>0.06</v>
      </c>
      <c r="AA19" s="15">
        <v>0.12</v>
      </c>
      <c r="AB19" s="15">
        <v>0.1</v>
      </c>
      <c r="AC19" s="15">
        <v>0.14000000000000001</v>
      </c>
      <c r="AD19" s="15">
        <v>0.08</v>
      </c>
      <c r="AE19" s="15">
        <v>0.14000000000000001</v>
      </c>
      <c r="AF19" s="15">
        <v>0.11</v>
      </c>
    </row>
    <row r="20" spans="1:32" ht="21.5" x14ac:dyDescent="0.35">
      <c r="A20" s="19"/>
      <c r="B20" s="11" t="s">
        <v>1436</v>
      </c>
      <c r="C20" s="12">
        <v>1851</v>
      </c>
      <c r="D20" s="12">
        <v>74</v>
      </c>
      <c r="E20" s="12">
        <v>62</v>
      </c>
      <c r="F20" s="12">
        <v>72</v>
      </c>
      <c r="G20" s="12">
        <v>105</v>
      </c>
      <c r="H20" s="12">
        <v>128</v>
      </c>
      <c r="I20" s="12">
        <v>170</v>
      </c>
      <c r="J20" s="12">
        <v>42</v>
      </c>
      <c r="K20" s="12">
        <v>68</v>
      </c>
      <c r="L20" s="12">
        <v>63</v>
      </c>
      <c r="M20" s="12">
        <v>58</v>
      </c>
      <c r="N20" s="12">
        <v>19</v>
      </c>
      <c r="O20" s="12">
        <v>45</v>
      </c>
      <c r="P20" s="12">
        <v>66</v>
      </c>
      <c r="Q20" s="12">
        <v>84</v>
      </c>
      <c r="R20" s="12">
        <v>13</v>
      </c>
      <c r="S20" s="12">
        <v>42</v>
      </c>
      <c r="T20" s="12">
        <v>63</v>
      </c>
      <c r="U20" s="12">
        <v>20</v>
      </c>
      <c r="V20" s="12">
        <v>57</v>
      </c>
      <c r="W20" s="12">
        <v>38</v>
      </c>
      <c r="X20" s="12">
        <v>139</v>
      </c>
      <c r="Y20" s="12">
        <v>116</v>
      </c>
      <c r="Z20" s="12">
        <v>59</v>
      </c>
      <c r="AA20" s="12">
        <v>25</v>
      </c>
      <c r="AB20" s="12">
        <v>57</v>
      </c>
      <c r="AC20" s="12">
        <v>63</v>
      </c>
      <c r="AD20" s="12">
        <v>77</v>
      </c>
      <c r="AE20" s="12">
        <v>61</v>
      </c>
      <c r="AF20" s="12">
        <v>64</v>
      </c>
    </row>
    <row r="21" spans="1:32" x14ac:dyDescent="0.35">
      <c r="A21" s="19"/>
      <c r="B21" s="13" t="s">
        <v>1437</v>
      </c>
      <c r="C21" s="15">
        <v>7.0000000000000007E-2</v>
      </c>
      <c r="D21" s="15">
        <v>0.08</v>
      </c>
      <c r="E21" s="15">
        <v>7.0000000000000007E-2</v>
      </c>
      <c r="F21" s="15">
        <v>7.0000000000000007E-2</v>
      </c>
      <c r="G21" s="15">
        <v>0.11</v>
      </c>
      <c r="H21" s="15">
        <v>0.12</v>
      </c>
      <c r="I21" s="15">
        <v>0.12</v>
      </c>
      <c r="J21" s="15">
        <v>0.15</v>
      </c>
      <c r="K21" s="15">
        <v>7.0000000000000007E-2</v>
      </c>
      <c r="L21" s="15">
        <v>7.0000000000000007E-2</v>
      </c>
      <c r="M21" s="15">
        <v>0.06</v>
      </c>
      <c r="N21" s="15">
        <v>0.02</v>
      </c>
      <c r="O21" s="15">
        <v>0.05</v>
      </c>
      <c r="P21" s="15">
        <v>7.0000000000000007E-2</v>
      </c>
      <c r="Q21" s="15">
        <v>0.09</v>
      </c>
      <c r="R21" s="15">
        <v>0.03</v>
      </c>
      <c r="S21" s="15">
        <v>0.04</v>
      </c>
      <c r="T21" s="15">
        <v>0.06</v>
      </c>
      <c r="U21" s="15">
        <v>0.04</v>
      </c>
      <c r="V21" s="15">
        <v>0.06</v>
      </c>
      <c r="W21" s="15">
        <v>0.08</v>
      </c>
      <c r="X21" s="15">
        <v>0.15</v>
      </c>
      <c r="Y21" s="15">
        <v>0.12</v>
      </c>
      <c r="Z21" s="15">
        <v>0.06</v>
      </c>
      <c r="AA21" s="15">
        <v>0.03</v>
      </c>
      <c r="AB21" s="15">
        <v>0.06</v>
      </c>
      <c r="AC21" s="15">
        <v>0.06</v>
      </c>
      <c r="AD21" s="15">
        <v>0.08</v>
      </c>
      <c r="AE21" s="15">
        <v>0.06</v>
      </c>
      <c r="AF21" s="15">
        <v>0.06</v>
      </c>
    </row>
    <row r="22" spans="1:32" ht="31.5" x14ac:dyDescent="0.35">
      <c r="A22" s="19"/>
      <c r="B22" s="11" t="s">
        <v>1438</v>
      </c>
      <c r="C22" s="12">
        <v>4698</v>
      </c>
      <c r="D22" s="12">
        <v>182</v>
      </c>
      <c r="E22" s="12">
        <v>132</v>
      </c>
      <c r="F22" s="12">
        <v>106</v>
      </c>
      <c r="G22" s="12">
        <v>320</v>
      </c>
      <c r="H22" s="12">
        <v>219</v>
      </c>
      <c r="I22" s="12">
        <v>278</v>
      </c>
      <c r="J22" s="12">
        <v>59</v>
      </c>
      <c r="K22" s="12">
        <v>67</v>
      </c>
      <c r="L22" s="12">
        <v>175</v>
      </c>
      <c r="M22" s="12">
        <v>214</v>
      </c>
      <c r="N22" s="12">
        <v>162</v>
      </c>
      <c r="O22" s="12">
        <v>195</v>
      </c>
      <c r="P22" s="12">
        <v>206</v>
      </c>
      <c r="Q22" s="12">
        <v>169</v>
      </c>
      <c r="R22" s="12">
        <v>77</v>
      </c>
      <c r="S22" s="12">
        <v>74</v>
      </c>
      <c r="T22" s="12">
        <v>106</v>
      </c>
      <c r="U22" s="12">
        <v>74</v>
      </c>
      <c r="V22" s="12">
        <v>201</v>
      </c>
      <c r="W22" s="12">
        <v>109</v>
      </c>
      <c r="X22" s="12">
        <v>244</v>
      </c>
      <c r="Y22" s="12">
        <v>230</v>
      </c>
      <c r="Z22" s="12">
        <v>126</v>
      </c>
      <c r="AA22" s="12">
        <v>171</v>
      </c>
      <c r="AB22" s="12">
        <v>146</v>
      </c>
      <c r="AC22" s="12">
        <v>161</v>
      </c>
      <c r="AD22" s="12">
        <v>156</v>
      </c>
      <c r="AE22" s="12">
        <v>228</v>
      </c>
      <c r="AF22" s="12">
        <v>321</v>
      </c>
    </row>
    <row r="23" spans="1:32" ht="21.5" x14ac:dyDescent="0.35">
      <c r="A23" s="19"/>
      <c r="B23" s="13" t="s">
        <v>1439</v>
      </c>
      <c r="C23" s="15">
        <v>0.2</v>
      </c>
      <c r="D23" s="15">
        <v>0.2</v>
      </c>
      <c r="E23" s="15">
        <v>0.14000000000000001</v>
      </c>
      <c r="F23" s="15">
        <v>0.11</v>
      </c>
      <c r="G23" s="15">
        <v>0.44</v>
      </c>
      <c r="H23" s="15">
        <v>0.22</v>
      </c>
      <c r="I23" s="15">
        <v>0.22</v>
      </c>
      <c r="J23" s="15">
        <v>0.23</v>
      </c>
      <c r="K23" s="15">
        <v>7.0000000000000007E-2</v>
      </c>
      <c r="L23" s="15">
        <v>0.19</v>
      </c>
      <c r="M23" s="15">
        <v>0.22</v>
      </c>
      <c r="N23" s="15">
        <v>0.17</v>
      </c>
      <c r="O23" s="15">
        <v>0.22</v>
      </c>
      <c r="P23" s="15">
        <v>0.22</v>
      </c>
      <c r="Q23" s="15">
        <v>0.19</v>
      </c>
      <c r="R23" s="15">
        <v>0.17</v>
      </c>
      <c r="S23" s="15">
        <v>0.08</v>
      </c>
      <c r="T23" s="15">
        <v>0.11</v>
      </c>
      <c r="U23" s="15">
        <v>0.16</v>
      </c>
      <c r="V23" s="15">
        <v>0.22</v>
      </c>
      <c r="W23" s="15">
        <v>0.25</v>
      </c>
      <c r="X23" s="15">
        <v>0.31</v>
      </c>
      <c r="Y23" s="15">
        <v>0.26</v>
      </c>
      <c r="Z23" s="15">
        <v>0.13</v>
      </c>
      <c r="AA23" s="15">
        <v>0.18</v>
      </c>
      <c r="AB23" s="15">
        <v>0.15</v>
      </c>
      <c r="AC23" s="15">
        <v>0.17</v>
      </c>
      <c r="AD23" s="15">
        <v>0.16</v>
      </c>
      <c r="AE23" s="15">
        <v>0.27</v>
      </c>
      <c r="AF23" s="15">
        <v>0.44</v>
      </c>
    </row>
    <row r="24" spans="1:32" ht="21.5" x14ac:dyDescent="0.35">
      <c r="A24" s="19"/>
      <c r="B24" s="11" t="s">
        <v>1440</v>
      </c>
      <c r="C24" s="12">
        <v>4637</v>
      </c>
      <c r="D24" s="12">
        <v>146</v>
      </c>
      <c r="E24" s="12">
        <v>260</v>
      </c>
      <c r="F24" s="12">
        <v>187</v>
      </c>
      <c r="G24" s="12">
        <v>117</v>
      </c>
      <c r="H24" s="12">
        <v>155</v>
      </c>
      <c r="I24" s="12">
        <v>210</v>
      </c>
      <c r="J24" s="12">
        <v>55</v>
      </c>
      <c r="K24" s="12">
        <v>218</v>
      </c>
      <c r="L24" s="12">
        <v>117</v>
      </c>
      <c r="M24" s="12">
        <v>365</v>
      </c>
      <c r="N24" s="12">
        <v>155</v>
      </c>
      <c r="O24" s="12">
        <v>210</v>
      </c>
      <c r="P24" s="12">
        <v>265</v>
      </c>
      <c r="Q24" s="12">
        <v>178</v>
      </c>
      <c r="R24" s="12">
        <v>110</v>
      </c>
      <c r="S24" s="12">
        <v>266</v>
      </c>
      <c r="T24" s="12">
        <v>160</v>
      </c>
      <c r="U24" s="12">
        <v>101</v>
      </c>
      <c r="V24" s="12">
        <v>215</v>
      </c>
      <c r="W24" s="12">
        <v>62</v>
      </c>
      <c r="X24" s="12">
        <v>88</v>
      </c>
      <c r="Y24" s="12">
        <v>257</v>
      </c>
      <c r="Z24" s="12">
        <v>135</v>
      </c>
      <c r="AA24" s="12">
        <v>214</v>
      </c>
      <c r="AB24" s="12">
        <v>254</v>
      </c>
      <c r="AC24" s="12">
        <v>252</v>
      </c>
      <c r="AD24" s="12">
        <v>261</v>
      </c>
      <c r="AE24" s="12">
        <v>179</v>
      </c>
      <c r="AF24" s="12">
        <v>167</v>
      </c>
    </row>
    <row r="25" spans="1:32" ht="21.5" x14ac:dyDescent="0.35">
      <c r="A25" s="19"/>
      <c r="B25" s="13" t="s">
        <v>1441</v>
      </c>
      <c r="C25" s="15">
        <v>0.19</v>
      </c>
      <c r="D25" s="15">
        <v>0.16</v>
      </c>
      <c r="E25" s="15">
        <v>0.31</v>
      </c>
      <c r="F25" s="15">
        <v>0.2</v>
      </c>
      <c r="G25" s="15">
        <v>0.12</v>
      </c>
      <c r="H25" s="15">
        <v>0.14000000000000001</v>
      </c>
      <c r="I25" s="15">
        <v>0.15</v>
      </c>
      <c r="J25" s="15">
        <v>0.19</v>
      </c>
      <c r="K25" s="15">
        <v>0.25</v>
      </c>
      <c r="L25" s="15">
        <v>0.13</v>
      </c>
      <c r="M25" s="15">
        <v>0.41</v>
      </c>
      <c r="N25" s="15">
        <v>0.17</v>
      </c>
      <c r="O25" s="15">
        <v>0.23</v>
      </c>
      <c r="P25" s="15">
        <v>0.3</v>
      </c>
      <c r="Q25" s="15">
        <v>0.19</v>
      </c>
      <c r="R25" s="15">
        <v>0.25</v>
      </c>
      <c r="S25" s="15">
        <v>0.31</v>
      </c>
      <c r="T25" s="15">
        <v>0.17</v>
      </c>
      <c r="U25" s="15">
        <v>0.22</v>
      </c>
      <c r="V25" s="15">
        <v>0.23</v>
      </c>
      <c r="W25" s="15">
        <v>0.13</v>
      </c>
      <c r="X25" s="15">
        <v>0.09</v>
      </c>
      <c r="Y25" s="15">
        <v>0.28999999999999998</v>
      </c>
      <c r="Z25" s="15">
        <v>0.15</v>
      </c>
      <c r="AA25" s="15">
        <v>0.23</v>
      </c>
      <c r="AB25" s="15">
        <v>0.28999999999999998</v>
      </c>
      <c r="AC25" s="15">
        <v>0.3</v>
      </c>
      <c r="AD25" s="15">
        <v>0.3</v>
      </c>
      <c r="AE25" s="15">
        <v>0.21</v>
      </c>
      <c r="AF25" s="15">
        <v>0.17</v>
      </c>
    </row>
    <row r="26" spans="1:32" ht="21.5" x14ac:dyDescent="0.35">
      <c r="A26" s="19"/>
      <c r="B26" s="11" t="s">
        <v>1442</v>
      </c>
      <c r="C26" s="12">
        <v>3212</v>
      </c>
      <c r="D26" s="12">
        <v>122</v>
      </c>
      <c r="E26" s="12">
        <v>215</v>
      </c>
      <c r="F26" s="12">
        <v>168</v>
      </c>
      <c r="G26" s="12">
        <v>74</v>
      </c>
      <c r="H26" s="12">
        <v>115</v>
      </c>
      <c r="I26" s="12">
        <v>164</v>
      </c>
      <c r="J26" s="12">
        <v>49</v>
      </c>
      <c r="K26" s="12">
        <v>109</v>
      </c>
      <c r="L26" s="12">
        <v>165</v>
      </c>
      <c r="M26" s="12">
        <v>101</v>
      </c>
      <c r="N26" s="12">
        <v>47</v>
      </c>
      <c r="O26" s="12">
        <v>106</v>
      </c>
      <c r="P26" s="12">
        <v>161</v>
      </c>
      <c r="Q26" s="12">
        <v>153</v>
      </c>
      <c r="R26" s="12">
        <v>15</v>
      </c>
      <c r="S26" s="12">
        <v>178</v>
      </c>
      <c r="T26" s="12">
        <v>166</v>
      </c>
      <c r="U26" s="12">
        <v>48</v>
      </c>
      <c r="V26" s="12">
        <v>99</v>
      </c>
      <c r="W26" s="12">
        <v>103</v>
      </c>
      <c r="X26" s="12">
        <v>79</v>
      </c>
      <c r="Y26" s="12">
        <v>241</v>
      </c>
      <c r="Z26" s="12">
        <v>133</v>
      </c>
      <c r="AA26" s="12">
        <v>199</v>
      </c>
      <c r="AB26" s="12">
        <v>177</v>
      </c>
      <c r="AC26" s="12">
        <v>108</v>
      </c>
      <c r="AD26" s="12">
        <v>264</v>
      </c>
      <c r="AE26" s="12">
        <v>174</v>
      </c>
      <c r="AF26" s="12">
        <v>147</v>
      </c>
    </row>
    <row r="27" spans="1:32" x14ac:dyDescent="0.35">
      <c r="A27" s="19"/>
      <c r="B27" s="13" t="s">
        <v>1443</v>
      </c>
      <c r="C27" s="15">
        <v>0.13</v>
      </c>
      <c r="D27" s="15">
        <v>0.13</v>
      </c>
      <c r="E27" s="15">
        <v>0.25</v>
      </c>
      <c r="F27" s="15">
        <v>0.17</v>
      </c>
      <c r="G27" s="15">
        <v>0.08</v>
      </c>
      <c r="H27" s="15">
        <v>0.11</v>
      </c>
      <c r="I27" s="15">
        <v>0.12</v>
      </c>
      <c r="J27" s="15">
        <v>0.18</v>
      </c>
      <c r="K27" s="15">
        <v>0.12</v>
      </c>
      <c r="L27" s="15">
        <v>0.18</v>
      </c>
      <c r="M27" s="15">
        <v>0.1</v>
      </c>
      <c r="N27" s="15">
        <v>0.05</v>
      </c>
      <c r="O27" s="15">
        <v>0.11</v>
      </c>
      <c r="P27" s="15">
        <v>0.17</v>
      </c>
      <c r="Q27" s="15">
        <v>0.16</v>
      </c>
      <c r="R27" s="15">
        <v>0.03</v>
      </c>
      <c r="S27" s="15">
        <v>0.19</v>
      </c>
      <c r="T27" s="15">
        <v>0.18</v>
      </c>
      <c r="U27" s="15">
        <v>0.1</v>
      </c>
      <c r="V27" s="15">
        <v>0.11</v>
      </c>
      <c r="W27" s="15">
        <v>0.22</v>
      </c>
      <c r="X27" s="15">
        <v>0.08</v>
      </c>
      <c r="Y27" s="15">
        <v>0.3</v>
      </c>
      <c r="Z27" s="15">
        <v>0.14000000000000001</v>
      </c>
      <c r="AA27" s="15">
        <v>0.2</v>
      </c>
      <c r="AB27" s="15">
        <v>0.19</v>
      </c>
      <c r="AC27" s="15">
        <v>0.11</v>
      </c>
      <c r="AD27" s="15">
        <v>0.3</v>
      </c>
      <c r="AE27" s="15">
        <v>0.19</v>
      </c>
      <c r="AF27" s="15">
        <v>0.15</v>
      </c>
    </row>
    <row r="28" spans="1:32" ht="31.5" x14ac:dyDescent="0.35">
      <c r="A28" s="19"/>
      <c r="B28" s="11" t="s">
        <v>1444</v>
      </c>
      <c r="C28" s="12">
        <v>1260</v>
      </c>
      <c r="D28" s="12">
        <v>52</v>
      </c>
      <c r="E28" s="12">
        <v>68</v>
      </c>
      <c r="F28" s="12">
        <v>53</v>
      </c>
      <c r="G28" s="12">
        <v>72</v>
      </c>
      <c r="H28" s="12">
        <v>33</v>
      </c>
      <c r="I28" s="12">
        <v>42</v>
      </c>
      <c r="J28" s="12">
        <v>9</v>
      </c>
      <c r="K28" s="12">
        <v>36</v>
      </c>
      <c r="L28" s="12">
        <v>38</v>
      </c>
      <c r="M28" s="12">
        <v>49</v>
      </c>
      <c r="N28" s="12">
        <v>54</v>
      </c>
      <c r="O28" s="12">
        <v>29</v>
      </c>
      <c r="P28" s="12">
        <v>103</v>
      </c>
      <c r="Q28" s="12">
        <v>51</v>
      </c>
      <c r="R28" s="12">
        <v>13</v>
      </c>
      <c r="S28" s="12">
        <v>41</v>
      </c>
      <c r="T28" s="12">
        <v>51</v>
      </c>
      <c r="U28" s="12">
        <v>22</v>
      </c>
      <c r="V28" s="12">
        <v>87</v>
      </c>
      <c r="W28" s="12">
        <v>16</v>
      </c>
      <c r="X28" s="12">
        <v>48</v>
      </c>
      <c r="Y28" s="12">
        <v>70</v>
      </c>
      <c r="Z28" s="12">
        <v>75</v>
      </c>
      <c r="AA28" s="12">
        <v>26</v>
      </c>
      <c r="AB28" s="12">
        <v>86</v>
      </c>
      <c r="AC28" s="12">
        <v>46</v>
      </c>
      <c r="AD28" s="12">
        <v>65</v>
      </c>
      <c r="AE28" s="12">
        <v>42</v>
      </c>
      <c r="AF28" s="12">
        <v>61</v>
      </c>
    </row>
    <row r="29" spans="1:32" ht="31.5" x14ac:dyDescent="0.35">
      <c r="A29" s="19"/>
      <c r="B29" s="13" t="s">
        <v>1445</v>
      </c>
      <c r="C29" s="15">
        <v>0.05</v>
      </c>
      <c r="D29" s="15">
        <v>0.05</v>
      </c>
      <c r="E29" s="15">
        <v>7.0000000000000007E-2</v>
      </c>
      <c r="F29" s="15">
        <v>0.05</v>
      </c>
      <c r="G29" s="15">
        <v>0.08</v>
      </c>
      <c r="H29" s="15">
        <v>0.03</v>
      </c>
      <c r="I29" s="15">
        <v>0.03</v>
      </c>
      <c r="J29" s="15">
        <v>0.03</v>
      </c>
      <c r="K29" s="15">
        <v>0.04</v>
      </c>
      <c r="L29" s="15">
        <v>0.04</v>
      </c>
      <c r="M29" s="15">
        <v>0.05</v>
      </c>
      <c r="N29" s="15">
        <v>0.06</v>
      </c>
      <c r="O29" s="15">
        <v>0.03</v>
      </c>
      <c r="P29" s="15">
        <v>0.11</v>
      </c>
      <c r="Q29" s="15">
        <v>0.05</v>
      </c>
      <c r="R29" s="15">
        <v>0.03</v>
      </c>
      <c r="S29" s="15">
        <v>0.04</v>
      </c>
      <c r="T29" s="15">
        <v>0.05</v>
      </c>
      <c r="U29" s="15">
        <v>0.05</v>
      </c>
      <c r="V29" s="15">
        <v>0.09</v>
      </c>
      <c r="W29" s="15">
        <v>0.03</v>
      </c>
      <c r="X29" s="15">
        <v>0.05</v>
      </c>
      <c r="Y29" s="15">
        <v>7.0000000000000007E-2</v>
      </c>
      <c r="Z29" s="15">
        <v>0.08</v>
      </c>
      <c r="AA29" s="15">
        <v>0.03</v>
      </c>
      <c r="AB29" s="15">
        <v>0.09</v>
      </c>
      <c r="AC29" s="15">
        <v>0.05</v>
      </c>
      <c r="AD29" s="15">
        <v>7.0000000000000007E-2</v>
      </c>
      <c r="AE29" s="15">
        <v>0.04</v>
      </c>
      <c r="AF29" s="15">
        <v>0.06</v>
      </c>
    </row>
    <row r="30" spans="1:32" ht="41.5" x14ac:dyDescent="0.35">
      <c r="A30" s="19"/>
      <c r="B30" s="11" t="s">
        <v>1446</v>
      </c>
      <c r="C30" s="12">
        <v>1592</v>
      </c>
      <c r="D30" s="12">
        <v>69</v>
      </c>
      <c r="E30" s="12">
        <v>55</v>
      </c>
      <c r="F30" s="12">
        <v>45</v>
      </c>
      <c r="G30" s="12">
        <v>100</v>
      </c>
      <c r="H30" s="12">
        <v>54</v>
      </c>
      <c r="I30" s="12">
        <v>65</v>
      </c>
      <c r="J30" s="12">
        <v>11</v>
      </c>
      <c r="K30" s="12">
        <v>35</v>
      </c>
      <c r="L30" s="12">
        <v>47</v>
      </c>
      <c r="M30" s="12">
        <v>71</v>
      </c>
      <c r="N30" s="12">
        <v>46</v>
      </c>
      <c r="O30" s="12">
        <v>39</v>
      </c>
      <c r="P30" s="12">
        <v>109</v>
      </c>
      <c r="Q30" s="12">
        <v>77</v>
      </c>
      <c r="R30" s="12">
        <v>25</v>
      </c>
      <c r="S30" s="12">
        <v>25</v>
      </c>
      <c r="T30" s="12">
        <v>39</v>
      </c>
      <c r="U30" s="12">
        <v>33</v>
      </c>
      <c r="V30" s="12">
        <v>94</v>
      </c>
      <c r="W30" s="12">
        <v>17</v>
      </c>
      <c r="X30" s="12">
        <v>96</v>
      </c>
      <c r="Y30" s="12">
        <v>61</v>
      </c>
      <c r="Z30" s="12">
        <v>78</v>
      </c>
      <c r="AA30" s="12">
        <v>78</v>
      </c>
      <c r="AB30" s="12">
        <v>85</v>
      </c>
      <c r="AC30" s="12">
        <v>38</v>
      </c>
      <c r="AD30" s="12">
        <v>59</v>
      </c>
      <c r="AE30" s="12">
        <v>33</v>
      </c>
      <c r="AF30" s="12">
        <v>136</v>
      </c>
    </row>
    <row r="31" spans="1:32" ht="31.5" x14ac:dyDescent="0.35">
      <c r="A31" s="19"/>
      <c r="B31" s="13" t="s">
        <v>1447</v>
      </c>
      <c r="C31" s="15">
        <v>0.06</v>
      </c>
      <c r="D31" s="15">
        <v>7.0000000000000007E-2</v>
      </c>
      <c r="E31" s="15">
        <v>0.06</v>
      </c>
      <c r="F31" s="15">
        <v>0.04</v>
      </c>
      <c r="G31" s="15">
        <v>0.11</v>
      </c>
      <c r="H31" s="15">
        <v>0.05</v>
      </c>
      <c r="I31" s="15">
        <v>0.05</v>
      </c>
      <c r="J31" s="15">
        <v>0.04</v>
      </c>
      <c r="K31" s="15">
        <v>0.04</v>
      </c>
      <c r="L31" s="15">
        <v>0.05</v>
      </c>
      <c r="M31" s="15">
        <v>7.0000000000000007E-2</v>
      </c>
      <c r="N31" s="15">
        <v>0.05</v>
      </c>
      <c r="O31" s="15">
        <v>0.04</v>
      </c>
      <c r="P31" s="15">
        <v>0.11</v>
      </c>
      <c r="Q31" s="15">
        <v>0.08</v>
      </c>
      <c r="R31" s="15">
        <v>0.05</v>
      </c>
      <c r="S31" s="15">
        <v>0.03</v>
      </c>
      <c r="T31" s="15">
        <v>0.04</v>
      </c>
      <c r="U31" s="15">
        <v>7.0000000000000007E-2</v>
      </c>
      <c r="V31" s="15">
        <v>0.1</v>
      </c>
      <c r="W31" s="15">
        <v>0.03</v>
      </c>
      <c r="X31" s="15">
        <v>0.1</v>
      </c>
      <c r="Y31" s="15">
        <v>0.06</v>
      </c>
      <c r="Z31" s="15">
        <v>0.08</v>
      </c>
      <c r="AA31" s="15">
        <v>0.08</v>
      </c>
      <c r="AB31" s="15">
        <v>0.09</v>
      </c>
      <c r="AC31" s="15">
        <v>0.04</v>
      </c>
      <c r="AD31" s="15">
        <v>0.06</v>
      </c>
      <c r="AE31" s="15">
        <v>0.03</v>
      </c>
      <c r="AF31" s="15">
        <v>0.14000000000000001</v>
      </c>
    </row>
    <row r="32" spans="1:32" x14ac:dyDescent="0.35">
      <c r="A32" s="19"/>
      <c r="B32" s="11" t="s">
        <v>607</v>
      </c>
      <c r="C32" s="12">
        <v>5753</v>
      </c>
      <c r="D32" s="12">
        <v>238</v>
      </c>
      <c r="E32" s="12">
        <v>152</v>
      </c>
      <c r="F32" s="12">
        <v>199</v>
      </c>
      <c r="G32" s="12">
        <v>328</v>
      </c>
      <c r="H32" s="12">
        <v>283</v>
      </c>
      <c r="I32" s="12">
        <v>362</v>
      </c>
      <c r="J32" s="12">
        <v>79</v>
      </c>
      <c r="K32" s="12">
        <v>200</v>
      </c>
      <c r="L32" s="12">
        <v>171</v>
      </c>
      <c r="M32" s="12">
        <v>161</v>
      </c>
      <c r="N32" s="12">
        <v>163</v>
      </c>
      <c r="O32" s="12">
        <v>240</v>
      </c>
      <c r="P32" s="12">
        <v>185</v>
      </c>
      <c r="Q32" s="12">
        <v>208</v>
      </c>
      <c r="R32" s="12">
        <v>140</v>
      </c>
      <c r="S32" s="12">
        <v>222</v>
      </c>
      <c r="T32" s="12">
        <v>247</v>
      </c>
      <c r="U32" s="12">
        <v>107</v>
      </c>
      <c r="V32" s="12">
        <v>212</v>
      </c>
      <c r="W32" s="12">
        <v>78</v>
      </c>
      <c r="X32" s="12">
        <v>266</v>
      </c>
      <c r="Y32" s="12">
        <v>190</v>
      </c>
      <c r="Z32" s="12">
        <v>241</v>
      </c>
      <c r="AA32" s="12">
        <v>269</v>
      </c>
      <c r="AB32" s="12">
        <v>193</v>
      </c>
      <c r="AC32" s="12">
        <v>122</v>
      </c>
      <c r="AD32" s="12">
        <v>166</v>
      </c>
      <c r="AE32" s="12">
        <v>358</v>
      </c>
      <c r="AF32" s="12">
        <v>243</v>
      </c>
    </row>
    <row r="33" spans="1:32" x14ac:dyDescent="0.35">
      <c r="A33" s="19"/>
      <c r="B33" s="13" t="s">
        <v>608</v>
      </c>
      <c r="C33" s="15">
        <v>0.26</v>
      </c>
      <c r="D33" s="15">
        <v>0.28999999999999998</v>
      </c>
      <c r="E33" s="15">
        <v>0.17</v>
      </c>
      <c r="F33" s="15">
        <v>0.23</v>
      </c>
      <c r="G33" s="15">
        <v>0.46</v>
      </c>
      <c r="H33" s="15">
        <v>0.3</v>
      </c>
      <c r="I33" s="15">
        <v>0.3</v>
      </c>
      <c r="J33" s="15">
        <v>0.31</v>
      </c>
      <c r="K33" s="15">
        <v>0.27</v>
      </c>
      <c r="L33" s="15">
        <v>0.19</v>
      </c>
      <c r="M33" s="15">
        <v>0.17</v>
      </c>
      <c r="N33" s="15">
        <v>0.17</v>
      </c>
      <c r="O33" s="15">
        <v>0.28999999999999998</v>
      </c>
      <c r="P33" s="15">
        <v>0.2</v>
      </c>
      <c r="Q33" s="15">
        <v>0.24</v>
      </c>
      <c r="R33" s="15">
        <v>0.34</v>
      </c>
      <c r="S33" s="15">
        <v>0.31</v>
      </c>
      <c r="T33" s="15">
        <v>0.34</v>
      </c>
      <c r="U33" s="15">
        <v>0.26</v>
      </c>
      <c r="V33" s="15">
        <v>0.25</v>
      </c>
      <c r="W33" s="15">
        <v>0.17</v>
      </c>
      <c r="X33" s="15">
        <v>0.35</v>
      </c>
      <c r="Y33" s="15">
        <v>0.22</v>
      </c>
      <c r="Z33" s="15">
        <v>0.31</v>
      </c>
      <c r="AA33" s="15">
        <v>0.28999999999999998</v>
      </c>
      <c r="AB33" s="15">
        <v>0.21</v>
      </c>
      <c r="AC33" s="15">
        <v>0.13</v>
      </c>
      <c r="AD33" s="15">
        <v>0.18</v>
      </c>
      <c r="AE33" s="15">
        <v>0.46</v>
      </c>
      <c r="AF33" s="15">
        <v>0.28000000000000003</v>
      </c>
    </row>
    <row r="34" spans="1:32" x14ac:dyDescent="0.35">
      <c r="A34" s="19"/>
      <c r="B34" s="11" t="s">
        <v>1448</v>
      </c>
      <c r="C34" s="12">
        <v>3884</v>
      </c>
      <c r="D34" s="12">
        <v>201</v>
      </c>
      <c r="E34" s="12">
        <v>62</v>
      </c>
      <c r="F34" s="12">
        <v>133</v>
      </c>
      <c r="G34" s="12">
        <v>148</v>
      </c>
      <c r="H34" s="12">
        <v>148</v>
      </c>
      <c r="I34" s="12">
        <v>183</v>
      </c>
      <c r="J34" s="12">
        <v>35</v>
      </c>
      <c r="K34" s="12">
        <v>85</v>
      </c>
      <c r="L34" s="12">
        <v>219</v>
      </c>
      <c r="M34" s="12">
        <v>165</v>
      </c>
      <c r="N34" s="12">
        <v>142</v>
      </c>
      <c r="O34" s="12">
        <v>177</v>
      </c>
      <c r="P34" s="12">
        <v>96</v>
      </c>
      <c r="Q34" s="12">
        <v>221</v>
      </c>
      <c r="R34" s="12">
        <v>61</v>
      </c>
      <c r="S34" s="12">
        <v>81</v>
      </c>
      <c r="T34" s="12">
        <v>156</v>
      </c>
      <c r="U34" s="12">
        <v>69</v>
      </c>
      <c r="V34" s="12">
        <v>145</v>
      </c>
      <c r="W34" s="12">
        <v>77</v>
      </c>
      <c r="X34" s="12">
        <v>179</v>
      </c>
      <c r="Y34" s="12">
        <v>114</v>
      </c>
      <c r="Z34" s="12">
        <v>121</v>
      </c>
      <c r="AA34" s="12">
        <v>157</v>
      </c>
      <c r="AB34" s="12">
        <v>82</v>
      </c>
      <c r="AC34" s="12">
        <v>55</v>
      </c>
      <c r="AD34" s="12">
        <v>91</v>
      </c>
      <c r="AE34" s="12">
        <v>59</v>
      </c>
      <c r="AF34" s="12">
        <v>106</v>
      </c>
    </row>
    <row r="35" spans="1:32" x14ac:dyDescent="0.35">
      <c r="A35" s="19"/>
      <c r="B35" s="13" t="s">
        <v>1449</v>
      </c>
      <c r="C35" s="15">
        <v>0.16</v>
      </c>
      <c r="D35" s="15">
        <v>0.22</v>
      </c>
      <c r="E35" s="15">
        <v>0.06</v>
      </c>
      <c r="F35" s="15">
        <v>0.13</v>
      </c>
      <c r="G35" s="15">
        <v>0.16</v>
      </c>
      <c r="H35" s="15">
        <v>0.14000000000000001</v>
      </c>
      <c r="I35" s="15">
        <v>0.13</v>
      </c>
      <c r="J35" s="15">
        <v>0.12</v>
      </c>
      <c r="K35" s="15">
        <v>0.09</v>
      </c>
      <c r="L35" s="15">
        <v>0.25</v>
      </c>
      <c r="M35" s="15">
        <v>0.17</v>
      </c>
      <c r="N35" s="15">
        <v>0.15</v>
      </c>
      <c r="O35" s="15">
        <v>0.2</v>
      </c>
      <c r="P35" s="15">
        <v>0.1</v>
      </c>
      <c r="Q35" s="15">
        <v>0.25</v>
      </c>
      <c r="R35" s="15">
        <v>0.14000000000000001</v>
      </c>
      <c r="S35" s="15">
        <v>0.08</v>
      </c>
      <c r="T35" s="15">
        <v>0.16</v>
      </c>
      <c r="U35" s="15">
        <v>0.15</v>
      </c>
      <c r="V35" s="15">
        <v>0.16</v>
      </c>
      <c r="W35" s="15">
        <v>0.16</v>
      </c>
      <c r="X35" s="15">
        <v>0.2</v>
      </c>
      <c r="Y35" s="15">
        <v>0.12</v>
      </c>
      <c r="Z35" s="15">
        <v>0.12</v>
      </c>
      <c r="AA35" s="15">
        <v>0.16</v>
      </c>
      <c r="AB35" s="15">
        <v>0.08</v>
      </c>
      <c r="AC35" s="15">
        <v>0.06</v>
      </c>
      <c r="AD35" s="15">
        <v>0.09</v>
      </c>
      <c r="AE35" s="15">
        <v>0.06</v>
      </c>
      <c r="AF35" s="15">
        <v>0.11</v>
      </c>
    </row>
    <row r="36" spans="1:32" ht="21.5" x14ac:dyDescent="0.35">
      <c r="A36" s="19"/>
      <c r="B36" s="11" t="s">
        <v>1450</v>
      </c>
      <c r="C36" s="12">
        <v>6214</v>
      </c>
      <c r="D36" s="12">
        <v>228</v>
      </c>
      <c r="E36" s="12">
        <v>292</v>
      </c>
      <c r="F36" s="12">
        <v>229</v>
      </c>
      <c r="G36" s="12">
        <v>222</v>
      </c>
      <c r="H36" s="12">
        <v>219</v>
      </c>
      <c r="I36" s="12">
        <v>290</v>
      </c>
      <c r="J36" s="12">
        <v>71</v>
      </c>
      <c r="K36" s="12">
        <v>278</v>
      </c>
      <c r="L36" s="12">
        <v>286</v>
      </c>
      <c r="M36" s="12">
        <v>371</v>
      </c>
      <c r="N36" s="12">
        <v>330</v>
      </c>
      <c r="O36" s="12">
        <v>237</v>
      </c>
      <c r="P36" s="12">
        <v>288</v>
      </c>
      <c r="Q36" s="12">
        <v>206</v>
      </c>
      <c r="R36" s="12">
        <v>153</v>
      </c>
      <c r="S36" s="12">
        <v>267</v>
      </c>
      <c r="T36" s="12">
        <v>289</v>
      </c>
      <c r="U36" s="12">
        <v>112</v>
      </c>
      <c r="V36" s="12">
        <v>239</v>
      </c>
      <c r="W36" s="12">
        <v>126</v>
      </c>
      <c r="X36" s="12">
        <v>199</v>
      </c>
      <c r="Y36" s="12">
        <v>340</v>
      </c>
      <c r="Z36" s="12">
        <v>168</v>
      </c>
      <c r="AA36" s="12">
        <v>256</v>
      </c>
      <c r="AB36" s="12">
        <v>246</v>
      </c>
      <c r="AC36" s="12">
        <v>256</v>
      </c>
      <c r="AD36" s="12">
        <v>299</v>
      </c>
      <c r="AE36" s="12">
        <v>297</v>
      </c>
      <c r="AF36" s="12">
        <v>301</v>
      </c>
    </row>
    <row r="37" spans="1:32" ht="21.5" x14ac:dyDescent="0.35">
      <c r="A37" s="19"/>
      <c r="B37" s="13" t="s">
        <v>1451</v>
      </c>
      <c r="C37" s="15">
        <v>0.3</v>
      </c>
      <c r="D37" s="15">
        <v>0.27</v>
      </c>
      <c r="E37" s="15">
        <v>0.41</v>
      </c>
      <c r="F37" s="15">
        <v>0.26</v>
      </c>
      <c r="G37" s="15">
        <v>0.26</v>
      </c>
      <c r="H37" s="15">
        <v>0.23</v>
      </c>
      <c r="I37" s="15">
        <v>0.24</v>
      </c>
      <c r="J37" s="15">
        <v>0.28000000000000003</v>
      </c>
      <c r="K37" s="15">
        <v>0.34</v>
      </c>
      <c r="L37" s="15">
        <v>0.35</v>
      </c>
      <c r="M37" s="15">
        <v>0.6</v>
      </c>
      <c r="N37" s="15">
        <v>0.48</v>
      </c>
      <c r="O37" s="15">
        <v>0.3</v>
      </c>
      <c r="P37" s="15">
        <v>0.37</v>
      </c>
      <c r="Q37" s="15">
        <v>0.26</v>
      </c>
      <c r="R37" s="15">
        <v>0.41</v>
      </c>
      <c r="S37" s="15">
        <v>0.34</v>
      </c>
      <c r="T37" s="15">
        <v>0.39</v>
      </c>
      <c r="U37" s="15">
        <v>0.27</v>
      </c>
      <c r="V37" s="15">
        <v>0.3</v>
      </c>
      <c r="W37" s="15">
        <v>0.33</v>
      </c>
      <c r="X37" s="15">
        <v>0.23</v>
      </c>
      <c r="Y37" s="15">
        <v>0.4</v>
      </c>
      <c r="Z37" s="15">
        <v>0.19</v>
      </c>
      <c r="AA37" s="15">
        <v>0.48</v>
      </c>
      <c r="AB37" s="15">
        <v>0.28000000000000003</v>
      </c>
      <c r="AC37" s="15">
        <v>0.33</v>
      </c>
      <c r="AD37" s="15">
        <v>0.38</v>
      </c>
      <c r="AE37" s="15">
        <v>0.38</v>
      </c>
      <c r="AF37" s="15">
        <v>0.35</v>
      </c>
    </row>
    <row r="38" spans="1:32" x14ac:dyDescent="0.35">
      <c r="A38" s="19"/>
      <c r="B38" s="11" t="s">
        <v>591</v>
      </c>
      <c r="C38" s="12">
        <v>4803</v>
      </c>
      <c r="D38" s="12">
        <v>155</v>
      </c>
      <c r="E38" s="12">
        <v>94</v>
      </c>
      <c r="F38" s="12">
        <v>279</v>
      </c>
      <c r="G38" s="12">
        <v>59</v>
      </c>
      <c r="H38" s="12">
        <v>264</v>
      </c>
      <c r="I38" s="12">
        <v>321</v>
      </c>
      <c r="J38" s="12">
        <v>57</v>
      </c>
      <c r="K38" s="12">
        <v>134</v>
      </c>
      <c r="L38" s="12">
        <v>326</v>
      </c>
      <c r="M38" s="12">
        <v>163</v>
      </c>
      <c r="N38" s="12">
        <v>333</v>
      </c>
      <c r="O38" s="12">
        <v>193</v>
      </c>
      <c r="P38" s="12">
        <v>194</v>
      </c>
      <c r="Q38" s="12">
        <v>69</v>
      </c>
      <c r="R38" s="12">
        <v>168</v>
      </c>
      <c r="S38" s="12">
        <v>128</v>
      </c>
      <c r="T38" s="12">
        <v>134</v>
      </c>
      <c r="U38" s="12">
        <v>140</v>
      </c>
      <c r="V38" s="12">
        <v>112</v>
      </c>
      <c r="W38" s="12">
        <v>83</v>
      </c>
      <c r="X38" s="12">
        <v>223</v>
      </c>
      <c r="Y38" s="12">
        <v>126</v>
      </c>
      <c r="Z38" s="12">
        <v>151</v>
      </c>
      <c r="AA38" s="12">
        <v>356</v>
      </c>
      <c r="AB38" s="12">
        <v>123</v>
      </c>
      <c r="AC38" s="12">
        <v>233</v>
      </c>
      <c r="AD38" s="12">
        <v>151</v>
      </c>
      <c r="AE38" s="12">
        <v>84</v>
      </c>
      <c r="AF38" s="12">
        <v>43</v>
      </c>
    </row>
    <row r="39" spans="1:32" x14ac:dyDescent="0.35">
      <c r="A39" s="19"/>
      <c r="B39" s="13" t="s">
        <v>592</v>
      </c>
      <c r="C39" s="15">
        <v>0.2</v>
      </c>
      <c r="D39" s="15">
        <v>0.17</v>
      </c>
      <c r="E39" s="15">
        <v>0.1</v>
      </c>
      <c r="F39" s="15">
        <v>0.31</v>
      </c>
      <c r="G39" s="15">
        <v>0.06</v>
      </c>
      <c r="H39" s="15">
        <v>0.26</v>
      </c>
      <c r="I39" s="15">
        <v>0.25</v>
      </c>
      <c r="J39" s="15">
        <v>0.21</v>
      </c>
      <c r="K39" s="15">
        <v>0.14000000000000001</v>
      </c>
      <c r="L39" s="15">
        <v>0.46</v>
      </c>
      <c r="M39" s="15">
        <v>0.17</v>
      </c>
      <c r="N39" s="15">
        <v>0.42</v>
      </c>
      <c r="O39" s="15">
        <v>0.21</v>
      </c>
      <c r="P39" s="15">
        <v>0.22</v>
      </c>
      <c r="Q39" s="15">
        <v>7.0000000000000007E-2</v>
      </c>
      <c r="R39" s="15">
        <v>0.44</v>
      </c>
      <c r="S39" s="15">
        <v>0.14000000000000001</v>
      </c>
      <c r="T39" s="15">
        <v>0.14000000000000001</v>
      </c>
      <c r="U39" s="15">
        <v>0.34</v>
      </c>
      <c r="V39" s="15">
        <v>0.12</v>
      </c>
      <c r="W39" s="15">
        <v>0.17</v>
      </c>
      <c r="X39" s="15">
        <v>0.25</v>
      </c>
      <c r="Y39" s="15">
        <v>0.13</v>
      </c>
      <c r="Z39" s="15">
        <v>0.16</v>
      </c>
      <c r="AA39" s="15">
        <v>0.4</v>
      </c>
      <c r="AB39" s="15">
        <v>0.12</v>
      </c>
      <c r="AC39" s="15">
        <v>0.26</v>
      </c>
      <c r="AD39" s="15">
        <v>0.16</v>
      </c>
      <c r="AE39" s="15">
        <v>0.09</v>
      </c>
      <c r="AF39" s="15">
        <v>0.04</v>
      </c>
    </row>
    <row r="40" spans="1:32" ht="21.5" x14ac:dyDescent="0.35">
      <c r="A40" s="19"/>
      <c r="B40" s="11" t="s">
        <v>1454</v>
      </c>
      <c r="C40" s="12">
        <v>2450</v>
      </c>
      <c r="D40" s="12">
        <v>103</v>
      </c>
      <c r="E40" s="12">
        <v>100</v>
      </c>
      <c r="F40" s="12">
        <v>112</v>
      </c>
      <c r="G40" s="12">
        <v>193</v>
      </c>
      <c r="H40" s="12">
        <v>87</v>
      </c>
      <c r="I40" s="12">
        <v>118</v>
      </c>
      <c r="J40" s="12">
        <v>31</v>
      </c>
      <c r="K40" s="12">
        <v>154</v>
      </c>
      <c r="L40" s="12">
        <v>36</v>
      </c>
      <c r="M40" s="12">
        <v>123</v>
      </c>
      <c r="N40" s="12">
        <v>41</v>
      </c>
      <c r="O40" s="12">
        <v>60</v>
      </c>
      <c r="P40" s="12">
        <v>61</v>
      </c>
      <c r="Q40" s="12">
        <v>99</v>
      </c>
      <c r="R40" s="12">
        <v>16</v>
      </c>
      <c r="S40" s="12">
        <v>121</v>
      </c>
      <c r="T40" s="12">
        <v>152</v>
      </c>
      <c r="U40" s="12">
        <v>33</v>
      </c>
      <c r="V40" s="12">
        <v>81</v>
      </c>
      <c r="W40" s="12">
        <v>61</v>
      </c>
      <c r="X40" s="12">
        <v>82</v>
      </c>
      <c r="Y40" s="12">
        <v>111</v>
      </c>
      <c r="Z40" s="12">
        <v>186</v>
      </c>
      <c r="AA40" s="12">
        <v>142</v>
      </c>
      <c r="AB40" s="12">
        <v>148</v>
      </c>
      <c r="AC40" s="12">
        <v>68</v>
      </c>
      <c r="AD40" s="12">
        <v>71</v>
      </c>
      <c r="AE40" s="12">
        <v>122</v>
      </c>
      <c r="AF40" s="12">
        <v>139</v>
      </c>
    </row>
    <row r="41" spans="1:32" ht="21.5" x14ac:dyDescent="0.35">
      <c r="A41" s="19"/>
      <c r="B41" s="13" t="s">
        <v>1455</v>
      </c>
      <c r="C41" s="15">
        <v>0.1</v>
      </c>
      <c r="D41" s="15">
        <v>0.11</v>
      </c>
      <c r="E41" s="15">
        <v>0.11</v>
      </c>
      <c r="F41" s="15">
        <v>0.11</v>
      </c>
      <c r="G41" s="15">
        <v>0.21</v>
      </c>
      <c r="H41" s="15">
        <v>0.08</v>
      </c>
      <c r="I41" s="15">
        <v>0.08</v>
      </c>
      <c r="J41" s="15">
        <v>0.11</v>
      </c>
      <c r="K41" s="15">
        <v>0.17</v>
      </c>
      <c r="L41" s="15">
        <v>0.04</v>
      </c>
      <c r="M41" s="15">
        <v>0.12</v>
      </c>
      <c r="N41" s="15">
        <v>0.04</v>
      </c>
      <c r="O41" s="15">
        <v>0.06</v>
      </c>
      <c r="P41" s="15">
        <v>0.06</v>
      </c>
      <c r="Q41" s="15">
        <v>0.1</v>
      </c>
      <c r="R41" s="15">
        <v>0.03</v>
      </c>
      <c r="S41" s="15">
        <v>0.13</v>
      </c>
      <c r="T41" s="15">
        <v>0.16</v>
      </c>
      <c r="U41" s="15">
        <v>7.0000000000000007E-2</v>
      </c>
      <c r="V41" s="15">
        <v>0.08</v>
      </c>
      <c r="W41" s="15">
        <v>0.12</v>
      </c>
      <c r="X41" s="15">
        <v>0.09</v>
      </c>
      <c r="Y41" s="15">
        <v>0.12</v>
      </c>
      <c r="Z41" s="15">
        <v>0.2</v>
      </c>
      <c r="AA41" s="15">
        <v>0.15</v>
      </c>
      <c r="AB41" s="15">
        <v>0.16</v>
      </c>
      <c r="AC41" s="15">
        <v>7.0000000000000007E-2</v>
      </c>
      <c r="AD41" s="15">
        <v>7.0000000000000007E-2</v>
      </c>
      <c r="AE41" s="15">
        <v>0.13</v>
      </c>
      <c r="AF41" s="15">
        <v>0.14000000000000001</v>
      </c>
    </row>
    <row r="42" spans="1:32" x14ac:dyDescent="0.35">
      <c r="A42" s="19"/>
      <c r="B42" s="11" t="s">
        <v>611</v>
      </c>
      <c r="C42" s="12">
        <v>137</v>
      </c>
      <c r="D42" s="12">
        <v>1</v>
      </c>
      <c r="E42" s="12">
        <v>1</v>
      </c>
      <c r="F42" s="12">
        <v>1</v>
      </c>
      <c r="G42" s="12">
        <v>0</v>
      </c>
      <c r="H42" s="12">
        <v>23</v>
      </c>
      <c r="I42" s="12">
        <v>23</v>
      </c>
      <c r="J42" s="12">
        <v>0</v>
      </c>
      <c r="K42" s="12">
        <v>23</v>
      </c>
      <c r="L42" s="12">
        <v>4</v>
      </c>
      <c r="M42" s="12">
        <v>2</v>
      </c>
      <c r="N42" s="12">
        <v>2</v>
      </c>
      <c r="O42" s="12">
        <v>6</v>
      </c>
      <c r="P42" s="12">
        <v>0</v>
      </c>
      <c r="Q42" s="12">
        <v>4</v>
      </c>
      <c r="R42" s="12">
        <v>0</v>
      </c>
      <c r="S42" s="12">
        <v>3</v>
      </c>
      <c r="T42" s="12">
        <v>1</v>
      </c>
      <c r="U42" s="12">
        <v>2</v>
      </c>
      <c r="V42" s="12">
        <v>0</v>
      </c>
      <c r="W42" s="12">
        <v>2</v>
      </c>
      <c r="X42" s="12">
        <v>0</v>
      </c>
      <c r="Y42" s="12">
        <v>14</v>
      </c>
      <c r="Z42" s="12">
        <v>0</v>
      </c>
      <c r="AA42" s="12">
        <v>0</v>
      </c>
      <c r="AB42" s="12">
        <v>1</v>
      </c>
      <c r="AC42" s="12">
        <v>3</v>
      </c>
      <c r="AD42" s="12">
        <v>5</v>
      </c>
      <c r="AE42" s="12">
        <v>1</v>
      </c>
      <c r="AF42" s="12">
        <v>2</v>
      </c>
    </row>
    <row r="43" spans="1:32" x14ac:dyDescent="0.35">
      <c r="A43" s="19"/>
      <c r="B43" s="13" t="s">
        <v>612</v>
      </c>
      <c r="C43" s="15">
        <v>0.01</v>
      </c>
      <c r="D43" s="14" t="s">
        <v>475</v>
      </c>
      <c r="E43" s="14" t="s">
        <v>475</v>
      </c>
      <c r="F43" s="14" t="s">
        <v>475</v>
      </c>
      <c r="G43" s="14" t="s">
        <v>475</v>
      </c>
      <c r="H43" s="15">
        <v>0.02</v>
      </c>
      <c r="I43" s="15">
        <v>0.02</v>
      </c>
      <c r="J43" s="14" t="s">
        <v>475</v>
      </c>
      <c r="K43" s="15">
        <v>0.02</v>
      </c>
      <c r="L43" s="14" t="s">
        <v>475</v>
      </c>
      <c r="M43" s="14" t="s">
        <v>475</v>
      </c>
      <c r="N43" s="14" t="s">
        <v>475</v>
      </c>
      <c r="O43" s="15">
        <v>0.01</v>
      </c>
      <c r="P43" s="14" t="s">
        <v>475</v>
      </c>
      <c r="Q43" s="14" t="s">
        <v>475</v>
      </c>
      <c r="R43" s="14" t="s">
        <v>475</v>
      </c>
      <c r="S43" s="14" t="s">
        <v>475</v>
      </c>
      <c r="T43" s="14" t="s">
        <v>475</v>
      </c>
      <c r="U43" s="14" t="s">
        <v>475</v>
      </c>
      <c r="V43" s="14" t="s">
        <v>475</v>
      </c>
      <c r="W43" s="14" t="s">
        <v>475</v>
      </c>
      <c r="X43" s="14" t="s">
        <v>475</v>
      </c>
      <c r="Y43" s="15">
        <v>0.01</v>
      </c>
      <c r="Z43" s="14" t="s">
        <v>475</v>
      </c>
      <c r="AA43" s="14" t="s">
        <v>475</v>
      </c>
      <c r="AB43" s="14" t="s">
        <v>475</v>
      </c>
      <c r="AC43" s="14" t="s">
        <v>475</v>
      </c>
      <c r="AD43" s="14" t="s">
        <v>475</v>
      </c>
      <c r="AE43" s="14" t="s">
        <v>475</v>
      </c>
      <c r="AF43" s="14" t="s">
        <v>475</v>
      </c>
    </row>
    <row r="44" spans="1:32" x14ac:dyDescent="0.35">
      <c r="A44" s="19"/>
      <c r="B44" s="11" t="s">
        <v>613</v>
      </c>
      <c r="C44" s="12">
        <v>115</v>
      </c>
      <c r="D44" s="12">
        <v>5</v>
      </c>
      <c r="E44" s="12">
        <v>2</v>
      </c>
      <c r="F44" s="12">
        <v>0</v>
      </c>
      <c r="G44" s="12">
        <v>6</v>
      </c>
      <c r="H44" s="12">
        <v>6</v>
      </c>
      <c r="I44" s="12">
        <v>6</v>
      </c>
      <c r="J44" s="12">
        <v>0</v>
      </c>
      <c r="K44" s="12">
        <v>3</v>
      </c>
      <c r="L44" s="12">
        <v>0</v>
      </c>
      <c r="M44" s="12">
        <v>1</v>
      </c>
      <c r="N44" s="12">
        <v>12</v>
      </c>
      <c r="O44" s="12">
        <v>6</v>
      </c>
      <c r="P44" s="12">
        <v>0</v>
      </c>
      <c r="Q44" s="12">
        <v>4</v>
      </c>
      <c r="R44" s="12">
        <v>0</v>
      </c>
      <c r="S44" s="12">
        <v>1</v>
      </c>
      <c r="T44" s="12">
        <v>4</v>
      </c>
      <c r="U44" s="12">
        <v>2</v>
      </c>
      <c r="V44" s="12">
        <v>2</v>
      </c>
      <c r="W44" s="12">
        <v>3</v>
      </c>
      <c r="X44" s="12">
        <v>6</v>
      </c>
      <c r="Y44" s="12">
        <v>3</v>
      </c>
      <c r="Z44" s="12">
        <v>0</v>
      </c>
      <c r="AA44" s="12">
        <v>1</v>
      </c>
      <c r="AB44" s="12">
        <v>0</v>
      </c>
      <c r="AC44" s="12">
        <v>6</v>
      </c>
      <c r="AD44" s="12">
        <v>0</v>
      </c>
      <c r="AE44" s="12">
        <v>7</v>
      </c>
      <c r="AF44" s="12">
        <v>9</v>
      </c>
    </row>
    <row r="45" spans="1:32" x14ac:dyDescent="0.35">
      <c r="A45" s="19"/>
      <c r="B45" s="13" t="s">
        <v>614</v>
      </c>
      <c r="C45" s="14" t="s">
        <v>475</v>
      </c>
      <c r="D45" s="14" t="s">
        <v>475</v>
      </c>
      <c r="E45" s="14" t="s">
        <v>475</v>
      </c>
      <c r="F45" s="14" t="s">
        <v>475</v>
      </c>
      <c r="G45" s="15">
        <v>0.01</v>
      </c>
      <c r="H45" s="14" t="s">
        <v>475</v>
      </c>
      <c r="I45" s="14" t="s">
        <v>475</v>
      </c>
      <c r="J45" s="14" t="s">
        <v>475</v>
      </c>
      <c r="K45" s="14" t="s">
        <v>475</v>
      </c>
      <c r="L45" s="14" t="s">
        <v>475</v>
      </c>
      <c r="M45" s="14" t="s">
        <v>475</v>
      </c>
      <c r="N45" s="15">
        <v>0.01</v>
      </c>
      <c r="O45" s="15">
        <v>0.01</v>
      </c>
      <c r="P45" s="14" t="s">
        <v>475</v>
      </c>
      <c r="Q45" s="14" t="s">
        <v>475</v>
      </c>
      <c r="R45" s="14" t="s">
        <v>475</v>
      </c>
      <c r="S45" s="14" t="s">
        <v>475</v>
      </c>
      <c r="T45" s="14" t="s">
        <v>475</v>
      </c>
      <c r="U45" s="14" t="s">
        <v>475</v>
      </c>
      <c r="V45" s="14" t="s">
        <v>475</v>
      </c>
      <c r="W45" s="15">
        <v>0.01</v>
      </c>
      <c r="X45" s="15">
        <v>0.01</v>
      </c>
      <c r="Y45" s="14" t="s">
        <v>475</v>
      </c>
      <c r="Z45" s="14" t="s">
        <v>475</v>
      </c>
      <c r="AA45" s="14" t="s">
        <v>475</v>
      </c>
      <c r="AB45" s="14" t="s">
        <v>475</v>
      </c>
      <c r="AC45" s="15">
        <v>0.01</v>
      </c>
      <c r="AD45" s="14" t="s">
        <v>475</v>
      </c>
      <c r="AE45" s="15">
        <v>0.01</v>
      </c>
      <c r="AF45" s="15">
        <v>0.01</v>
      </c>
    </row>
    <row r="46" spans="1:32" x14ac:dyDescent="0.35">
      <c r="A46" s="19"/>
      <c r="B46" s="11" t="s">
        <v>485</v>
      </c>
      <c r="C46" s="12">
        <v>192</v>
      </c>
      <c r="D46" s="12">
        <v>2</v>
      </c>
      <c r="E46" s="12">
        <v>12</v>
      </c>
      <c r="F46" s="12">
        <v>9</v>
      </c>
      <c r="G46" s="12">
        <v>13</v>
      </c>
      <c r="H46" s="12">
        <v>4</v>
      </c>
      <c r="I46" s="12">
        <v>4</v>
      </c>
      <c r="J46" s="12">
        <v>1</v>
      </c>
      <c r="K46" s="12">
        <v>17</v>
      </c>
      <c r="L46" s="12">
        <v>6</v>
      </c>
      <c r="M46" s="12">
        <v>2</v>
      </c>
      <c r="N46" s="12">
        <v>12</v>
      </c>
      <c r="O46" s="12">
        <v>18</v>
      </c>
      <c r="P46" s="12">
        <v>1</v>
      </c>
      <c r="Q46" s="12">
        <v>5</v>
      </c>
      <c r="R46" s="12">
        <v>0</v>
      </c>
      <c r="S46" s="12">
        <v>12</v>
      </c>
      <c r="T46" s="12">
        <v>3</v>
      </c>
      <c r="U46" s="12">
        <v>6</v>
      </c>
      <c r="V46" s="12">
        <v>2</v>
      </c>
      <c r="W46" s="12">
        <v>3</v>
      </c>
      <c r="X46" s="12">
        <v>1</v>
      </c>
      <c r="Y46" s="12">
        <v>9</v>
      </c>
      <c r="Z46" s="12">
        <v>4</v>
      </c>
      <c r="AA46" s="12">
        <v>2</v>
      </c>
      <c r="AB46" s="12">
        <v>1</v>
      </c>
      <c r="AC46" s="12">
        <v>5</v>
      </c>
      <c r="AD46" s="12">
        <v>2</v>
      </c>
      <c r="AE46" s="12">
        <v>30</v>
      </c>
      <c r="AF46" s="12">
        <v>8</v>
      </c>
    </row>
    <row r="47" spans="1:32" x14ac:dyDescent="0.35">
      <c r="A47" s="19"/>
      <c r="B47" s="13" t="s">
        <v>486</v>
      </c>
      <c r="C47" s="15">
        <v>0.01</v>
      </c>
      <c r="D47" s="14" t="s">
        <v>475</v>
      </c>
      <c r="E47" s="15">
        <v>0.01</v>
      </c>
      <c r="F47" s="15">
        <v>0.01</v>
      </c>
      <c r="G47" s="15">
        <v>0.01</v>
      </c>
      <c r="H47" s="14" t="s">
        <v>475</v>
      </c>
      <c r="I47" s="14" t="s">
        <v>475</v>
      </c>
      <c r="J47" s="14" t="s">
        <v>475</v>
      </c>
      <c r="K47" s="15">
        <v>0.02</v>
      </c>
      <c r="L47" s="15">
        <v>0.01</v>
      </c>
      <c r="M47" s="14" t="s">
        <v>475</v>
      </c>
      <c r="N47" s="15">
        <v>0.01</v>
      </c>
      <c r="O47" s="15">
        <v>0.02</v>
      </c>
      <c r="P47" s="14" t="s">
        <v>475</v>
      </c>
      <c r="Q47" s="14" t="s">
        <v>475</v>
      </c>
      <c r="R47" s="14" t="s">
        <v>475</v>
      </c>
      <c r="S47" s="15">
        <v>0.01</v>
      </c>
      <c r="T47" s="14" t="s">
        <v>475</v>
      </c>
      <c r="U47" s="15">
        <v>0.01</v>
      </c>
      <c r="V47" s="14" t="s">
        <v>475</v>
      </c>
      <c r="W47" s="15">
        <v>0.01</v>
      </c>
      <c r="X47" s="14" t="s">
        <v>475</v>
      </c>
      <c r="Y47" s="15">
        <v>0.01</v>
      </c>
      <c r="Z47" s="14" t="s">
        <v>475</v>
      </c>
      <c r="AA47" s="14" t="s">
        <v>475</v>
      </c>
      <c r="AB47" s="14" t="s">
        <v>475</v>
      </c>
      <c r="AC47" s="15">
        <v>0.01</v>
      </c>
      <c r="AD47" s="14" t="s">
        <v>475</v>
      </c>
      <c r="AE47" s="15">
        <v>0.03</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47"/>
  <sheetViews>
    <sheetView workbookViewId="0">
      <pane xSplit="3" ySplit="9" topLeftCell="D26" activePane="bottomRight" state="frozen"/>
      <selection pane="topRight"/>
      <selection pane="bottomLeft"/>
      <selection pane="bottomRight" activeCell="F30" sqref="F30"/>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36" customHeight="1" x14ac:dyDescent="0.35">
      <c r="B3" s="18" t="s">
        <v>359</v>
      </c>
      <c r="C3" s="18"/>
      <c r="D3" s="18"/>
      <c r="E3" s="18"/>
      <c r="F3" s="18"/>
      <c r="H3" s="18" t="s">
        <v>360</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HYPERLINK("#Content!A182","&lt;&lt;Back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19"/>
      <c r="B12" s="11" t="s">
        <v>1428</v>
      </c>
      <c r="C12" s="12">
        <v>5969</v>
      </c>
      <c r="D12" s="12">
        <v>228</v>
      </c>
      <c r="E12" s="12">
        <v>133</v>
      </c>
      <c r="F12" s="12">
        <v>235</v>
      </c>
      <c r="G12" s="12">
        <v>309</v>
      </c>
      <c r="H12" s="12">
        <v>266</v>
      </c>
      <c r="I12" s="12">
        <v>329</v>
      </c>
      <c r="J12" s="12">
        <v>63</v>
      </c>
      <c r="K12" s="12">
        <v>229</v>
      </c>
      <c r="L12" s="12">
        <v>143</v>
      </c>
      <c r="M12" s="12">
        <v>218</v>
      </c>
      <c r="N12" s="12">
        <v>260</v>
      </c>
      <c r="O12" s="12">
        <v>212</v>
      </c>
      <c r="P12" s="12">
        <v>165</v>
      </c>
      <c r="Q12" s="12">
        <v>334</v>
      </c>
      <c r="R12" s="12">
        <v>93</v>
      </c>
      <c r="S12" s="12">
        <v>167</v>
      </c>
      <c r="T12" s="12">
        <v>168</v>
      </c>
      <c r="U12" s="12">
        <v>114</v>
      </c>
      <c r="V12" s="12">
        <v>152</v>
      </c>
      <c r="W12" s="12">
        <v>87</v>
      </c>
      <c r="X12" s="12">
        <v>259</v>
      </c>
      <c r="Y12" s="12">
        <v>213</v>
      </c>
      <c r="Z12" s="12">
        <v>131</v>
      </c>
      <c r="AA12" s="12">
        <v>170</v>
      </c>
      <c r="AB12" s="12">
        <v>134</v>
      </c>
      <c r="AC12" s="12">
        <v>186</v>
      </c>
      <c r="AD12" s="12">
        <v>165</v>
      </c>
      <c r="AE12" s="12">
        <v>294</v>
      </c>
      <c r="AF12" s="12">
        <v>423</v>
      </c>
    </row>
    <row r="13" spans="1:32" ht="21.5" x14ac:dyDescent="0.35">
      <c r="A13" s="19"/>
      <c r="B13" s="13" t="s">
        <v>1429</v>
      </c>
      <c r="C13" s="15">
        <v>0.23</v>
      </c>
      <c r="D13" s="15">
        <v>0.22</v>
      </c>
      <c r="E13" s="15">
        <v>0.13</v>
      </c>
      <c r="F13" s="15">
        <v>0.21</v>
      </c>
      <c r="G13" s="15">
        <v>0.31</v>
      </c>
      <c r="H13" s="15">
        <v>0.22</v>
      </c>
      <c r="I13" s="15">
        <v>0.22</v>
      </c>
      <c r="J13" s="15">
        <v>0.21</v>
      </c>
      <c r="K13" s="15">
        <v>0.23</v>
      </c>
      <c r="L13" s="15">
        <v>0.14000000000000001</v>
      </c>
      <c r="M13" s="15">
        <v>0.22</v>
      </c>
      <c r="N13" s="15">
        <v>0.26</v>
      </c>
      <c r="O13" s="15">
        <v>0.21</v>
      </c>
      <c r="P13" s="15">
        <v>0.16</v>
      </c>
      <c r="Q13" s="15">
        <v>0.32</v>
      </c>
      <c r="R13" s="15">
        <v>0.18</v>
      </c>
      <c r="S13" s="15">
        <v>0.17</v>
      </c>
      <c r="T13" s="15">
        <v>0.17</v>
      </c>
      <c r="U13" s="15">
        <v>0.23</v>
      </c>
      <c r="V13" s="15">
        <v>0.15</v>
      </c>
      <c r="W13" s="15">
        <v>0.17</v>
      </c>
      <c r="X13" s="15">
        <v>0.26</v>
      </c>
      <c r="Y13" s="15">
        <v>0.21</v>
      </c>
      <c r="Z13" s="15">
        <v>0.13</v>
      </c>
      <c r="AA13" s="15">
        <v>0.16</v>
      </c>
      <c r="AB13" s="15">
        <v>0.13</v>
      </c>
      <c r="AC13" s="15">
        <v>0.19</v>
      </c>
      <c r="AD13" s="15">
        <v>0.16</v>
      </c>
      <c r="AE13" s="15">
        <v>0.28999999999999998</v>
      </c>
      <c r="AF13" s="15">
        <v>0.41</v>
      </c>
    </row>
    <row r="14" spans="1:32" ht="31.5" x14ac:dyDescent="0.35">
      <c r="A14" s="19"/>
      <c r="B14" s="11" t="s">
        <v>1458</v>
      </c>
      <c r="C14" s="12">
        <v>9440</v>
      </c>
      <c r="D14" s="12">
        <v>385</v>
      </c>
      <c r="E14" s="12">
        <v>391</v>
      </c>
      <c r="F14" s="12">
        <v>246</v>
      </c>
      <c r="G14" s="12">
        <v>324</v>
      </c>
      <c r="H14" s="12">
        <v>442</v>
      </c>
      <c r="I14" s="12">
        <v>550</v>
      </c>
      <c r="J14" s="12">
        <v>108</v>
      </c>
      <c r="K14" s="12">
        <v>393</v>
      </c>
      <c r="L14" s="12">
        <v>342</v>
      </c>
      <c r="M14" s="12">
        <v>495</v>
      </c>
      <c r="N14" s="12">
        <v>465</v>
      </c>
      <c r="O14" s="12">
        <v>434</v>
      </c>
      <c r="P14" s="12">
        <v>338</v>
      </c>
      <c r="Q14" s="12">
        <v>320</v>
      </c>
      <c r="R14" s="12">
        <v>236</v>
      </c>
      <c r="S14" s="12">
        <v>427</v>
      </c>
      <c r="T14" s="12">
        <v>442</v>
      </c>
      <c r="U14" s="12">
        <v>208</v>
      </c>
      <c r="V14" s="12">
        <v>284</v>
      </c>
      <c r="W14" s="12">
        <v>235</v>
      </c>
      <c r="X14" s="12">
        <v>365</v>
      </c>
      <c r="Y14" s="12">
        <v>324</v>
      </c>
      <c r="Z14" s="12">
        <v>170</v>
      </c>
      <c r="AA14" s="12">
        <v>415</v>
      </c>
      <c r="AB14" s="12">
        <v>343</v>
      </c>
      <c r="AC14" s="12">
        <v>355</v>
      </c>
      <c r="AD14" s="12">
        <v>345</v>
      </c>
      <c r="AE14" s="12">
        <v>258</v>
      </c>
      <c r="AF14" s="12">
        <v>367</v>
      </c>
    </row>
    <row r="15" spans="1:32" ht="21.5" x14ac:dyDescent="0.35">
      <c r="A15" s="19"/>
      <c r="B15" s="13" t="s">
        <v>1459</v>
      </c>
      <c r="C15" s="15">
        <v>0.36</v>
      </c>
      <c r="D15" s="15">
        <v>0.38</v>
      </c>
      <c r="E15" s="15">
        <v>0.38</v>
      </c>
      <c r="F15" s="15">
        <v>0.22</v>
      </c>
      <c r="G15" s="15">
        <v>0.32</v>
      </c>
      <c r="H15" s="15">
        <v>0.36</v>
      </c>
      <c r="I15" s="15">
        <v>0.36</v>
      </c>
      <c r="J15" s="15">
        <v>0.37</v>
      </c>
      <c r="K15" s="15">
        <v>0.39</v>
      </c>
      <c r="L15" s="15">
        <v>0.34</v>
      </c>
      <c r="M15" s="15">
        <v>0.49</v>
      </c>
      <c r="N15" s="15">
        <v>0.46</v>
      </c>
      <c r="O15" s="15">
        <v>0.43</v>
      </c>
      <c r="P15" s="15">
        <v>0.34</v>
      </c>
      <c r="Q15" s="15">
        <v>0.31</v>
      </c>
      <c r="R15" s="15">
        <v>0.47</v>
      </c>
      <c r="S15" s="15">
        <v>0.43</v>
      </c>
      <c r="T15" s="15">
        <v>0.44</v>
      </c>
      <c r="U15" s="15">
        <v>0.41</v>
      </c>
      <c r="V15" s="15">
        <v>0.28000000000000003</v>
      </c>
      <c r="W15" s="15">
        <v>0.46</v>
      </c>
      <c r="X15" s="15">
        <v>0.36</v>
      </c>
      <c r="Y15" s="15">
        <v>0.32</v>
      </c>
      <c r="Z15" s="15">
        <v>0.17</v>
      </c>
      <c r="AA15" s="15">
        <v>0.4</v>
      </c>
      <c r="AB15" s="15">
        <v>0.33</v>
      </c>
      <c r="AC15" s="15">
        <v>0.35</v>
      </c>
      <c r="AD15" s="15">
        <v>0.34</v>
      </c>
      <c r="AE15" s="15">
        <v>0.26</v>
      </c>
      <c r="AF15" s="15">
        <v>0.35</v>
      </c>
    </row>
    <row r="16" spans="1:32" ht="31.5" x14ac:dyDescent="0.35">
      <c r="A16" s="19"/>
      <c r="B16" s="11" t="s">
        <v>1432</v>
      </c>
      <c r="C16" s="12">
        <v>4600</v>
      </c>
      <c r="D16" s="12">
        <v>130</v>
      </c>
      <c r="E16" s="12">
        <v>237</v>
      </c>
      <c r="F16" s="12">
        <v>326</v>
      </c>
      <c r="G16" s="12">
        <v>197</v>
      </c>
      <c r="H16" s="12">
        <v>265</v>
      </c>
      <c r="I16" s="12">
        <v>362</v>
      </c>
      <c r="J16" s="12">
        <v>96</v>
      </c>
      <c r="K16" s="12">
        <v>163</v>
      </c>
      <c r="L16" s="12">
        <v>212</v>
      </c>
      <c r="M16" s="12">
        <v>159</v>
      </c>
      <c r="N16" s="12">
        <v>94</v>
      </c>
      <c r="O16" s="12">
        <v>90</v>
      </c>
      <c r="P16" s="12">
        <v>218</v>
      </c>
      <c r="Q16" s="12">
        <v>228</v>
      </c>
      <c r="R16" s="12">
        <v>38</v>
      </c>
      <c r="S16" s="12">
        <v>148</v>
      </c>
      <c r="T16" s="12">
        <v>153</v>
      </c>
      <c r="U16" s="12">
        <v>60</v>
      </c>
      <c r="V16" s="12">
        <v>238</v>
      </c>
      <c r="W16" s="12">
        <v>137</v>
      </c>
      <c r="X16" s="12">
        <v>173</v>
      </c>
      <c r="Y16" s="12">
        <v>178</v>
      </c>
      <c r="Z16" s="12">
        <v>160</v>
      </c>
      <c r="AA16" s="12">
        <v>85</v>
      </c>
      <c r="AB16" s="12">
        <v>216</v>
      </c>
      <c r="AC16" s="12">
        <v>170</v>
      </c>
      <c r="AD16" s="12">
        <v>252</v>
      </c>
      <c r="AE16" s="12">
        <v>134</v>
      </c>
      <c r="AF16" s="12">
        <v>213</v>
      </c>
    </row>
    <row r="17" spans="1:32" ht="21.5" x14ac:dyDescent="0.35">
      <c r="A17" s="19"/>
      <c r="B17" s="13" t="s">
        <v>1433</v>
      </c>
      <c r="C17" s="15">
        <v>0.17</v>
      </c>
      <c r="D17" s="15">
        <v>0.13</v>
      </c>
      <c r="E17" s="15">
        <v>0.23</v>
      </c>
      <c r="F17" s="15">
        <v>0.3</v>
      </c>
      <c r="G17" s="15">
        <v>0.2</v>
      </c>
      <c r="H17" s="15">
        <v>0.22</v>
      </c>
      <c r="I17" s="15">
        <v>0.24</v>
      </c>
      <c r="J17" s="15">
        <v>0.33</v>
      </c>
      <c r="K17" s="15">
        <v>0.16</v>
      </c>
      <c r="L17" s="15">
        <v>0.21</v>
      </c>
      <c r="M17" s="15">
        <v>0.16</v>
      </c>
      <c r="N17" s="15">
        <v>0.09</v>
      </c>
      <c r="O17" s="15">
        <v>0.09</v>
      </c>
      <c r="P17" s="15">
        <v>0.22</v>
      </c>
      <c r="Q17" s="15">
        <v>0.22</v>
      </c>
      <c r="R17" s="15">
        <v>0.08</v>
      </c>
      <c r="S17" s="15">
        <v>0.15</v>
      </c>
      <c r="T17" s="15">
        <v>0.15</v>
      </c>
      <c r="U17" s="15">
        <v>0.12</v>
      </c>
      <c r="V17" s="15">
        <v>0.23</v>
      </c>
      <c r="W17" s="15">
        <v>0.27</v>
      </c>
      <c r="X17" s="15">
        <v>0.17</v>
      </c>
      <c r="Y17" s="15">
        <v>0.18</v>
      </c>
      <c r="Z17" s="15">
        <v>0.16</v>
      </c>
      <c r="AA17" s="15">
        <v>0.08</v>
      </c>
      <c r="AB17" s="15">
        <v>0.21</v>
      </c>
      <c r="AC17" s="15">
        <v>0.17</v>
      </c>
      <c r="AD17" s="15">
        <v>0.25</v>
      </c>
      <c r="AE17" s="15">
        <v>0.13</v>
      </c>
      <c r="AF17" s="15">
        <v>0.2</v>
      </c>
    </row>
    <row r="18" spans="1:32" x14ac:dyDescent="0.35">
      <c r="A18" s="19"/>
      <c r="B18" s="11" t="s">
        <v>1462</v>
      </c>
      <c r="C18" s="12">
        <v>3647</v>
      </c>
      <c r="D18" s="12">
        <v>132</v>
      </c>
      <c r="E18" s="12">
        <v>232</v>
      </c>
      <c r="F18" s="12">
        <v>194</v>
      </c>
      <c r="G18" s="12">
        <v>124</v>
      </c>
      <c r="H18" s="12">
        <v>191</v>
      </c>
      <c r="I18" s="12">
        <v>262</v>
      </c>
      <c r="J18" s="12">
        <v>71</v>
      </c>
      <c r="K18" s="12">
        <v>143</v>
      </c>
      <c r="L18" s="12">
        <v>107</v>
      </c>
      <c r="M18" s="12">
        <v>310</v>
      </c>
      <c r="N18" s="12">
        <v>101</v>
      </c>
      <c r="O18" s="12">
        <v>164</v>
      </c>
      <c r="P18" s="12">
        <v>179</v>
      </c>
      <c r="Q18" s="12">
        <v>91</v>
      </c>
      <c r="R18" s="12">
        <v>38</v>
      </c>
      <c r="S18" s="12">
        <v>167</v>
      </c>
      <c r="T18" s="12">
        <v>82</v>
      </c>
      <c r="U18" s="12">
        <v>73</v>
      </c>
      <c r="V18" s="12">
        <v>191</v>
      </c>
      <c r="W18" s="12">
        <v>32</v>
      </c>
      <c r="X18" s="12">
        <v>61</v>
      </c>
      <c r="Y18" s="12">
        <v>226</v>
      </c>
      <c r="Z18" s="12">
        <v>77</v>
      </c>
      <c r="AA18" s="12">
        <v>141</v>
      </c>
      <c r="AB18" s="12">
        <v>137</v>
      </c>
      <c r="AC18" s="12">
        <v>203</v>
      </c>
      <c r="AD18" s="12">
        <v>117</v>
      </c>
      <c r="AE18" s="12">
        <v>180</v>
      </c>
      <c r="AF18" s="12">
        <v>154</v>
      </c>
    </row>
    <row r="19" spans="1:32" x14ac:dyDescent="0.35">
      <c r="A19" s="19"/>
      <c r="B19" s="13" t="s">
        <v>1463</v>
      </c>
      <c r="C19" s="15">
        <v>0.14000000000000001</v>
      </c>
      <c r="D19" s="15">
        <v>0.13</v>
      </c>
      <c r="E19" s="15">
        <v>0.23</v>
      </c>
      <c r="F19" s="15">
        <v>0.18</v>
      </c>
      <c r="G19" s="15">
        <v>0.12</v>
      </c>
      <c r="H19" s="15">
        <v>0.16</v>
      </c>
      <c r="I19" s="15">
        <v>0.17</v>
      </c>
      <c r="J19" s="15">
        <v>0.24</v>
      </c>
      <c r="K19" s="15">
        <v>0.14000000000000001</v>
      </c>
      <c r="L19" s="15">
        <v>0.11</v>
      </c>
      <c r="M19" s="15">
        <v>0.31</v>
      </c>
      <c r="N19" s="15">
        <v>0.1</v>
      </c>
      <c r="O19" s="15">
        <v>0.16</v>
      </c>
      <c r="P19" s="15">
        <v>0.18</v>
      </c>
      <c r="Q19" s="15">
        <v>0.09</v>
      </c>
      <c r="R19" s="15">
        <v>0.08</v>
      </c>
      <c r="S19" s="15">
        <v>0.17</v>
      </c>
      <c r="T19" s="15">
        <v>0.08</v>
      </c>
      <c r="U19" s="15">
        <v>0.15</v>
      </c>
      <c r="V19" s="15">
        <v>0.19</v>
      </c>
      <c r="W19" s="15">
        <v>0.06</v>
      </c>
      <c r="X19" s="15">
        <v>0.06</v>
      </c>
      <c r="Y19" s="15">
        <v>0.22</v>
      </c>
      <c r="Z19" s="15">
        <v>7.0000000000000007E-2</v>
      </c>
      <c r="AA19" s="15">
        <v>0.14000000000000001</v>
      </c>
      <c r="AB19" s="15">
        <v>0.13</v>
      </c>
      <c r="AC19" s="15">
        <v>0.2</v>
      </c>
      <c r="AD19" s="15">
        <v>0.12</v>
      </c>
      <c r="AE19" s="15">
        <v>0.18</v>
      </c>
      <c r="AF19" s="15">
        <v>0.15</v>
      </c>
    </row>
    <row r="20" spans="1:32" ht="21.5" x14ac:dyDescent="0.35">
      <c r="A20" s="19"/>
      <c r="B20" s="11" t="s">
        <v>1436</v>
      </c>
      <c r="C20" s="12">
        <v>2313</v>
      </c>
      <c r="D20" s="12">
        <v>89</v>
      </c>
      <c r="E20" s="12">
        <v>82</v>
      </c>
      <c r="F20" s="12">
        <v>90</v>
      </c>
      <c r="G20" s="12">
        <v>123</v>
      </c>
      <c r="H20" s="12">
        <v>165</v>
      </c>
      <c r="I20" s="12">
        <v>212</v>
      </c>
      <c r="J20" s="12">
        <v>47</v>
      </c>
      <c r="K20" s="12">
        <v>92</v>
      </c>
      <c r="L20" s="12">
        <v>73</v>
      </c>
      <c r="M20" s="12">
        <v>68</v>
      </c>
      <c r="N20" s="12">
        <v>28</v>
      </c>
      <c r="O20" s="12">
        <v>50</v>
      </c>
      <c r="P20" s="12">
        <v>84</v>
      </c>
      <c r="Q20" s="12">
        <v>103</v>
      </c>
      <c r="R20" s="12">
        <v>15</v>
      </c>
      <c r="S20" s="12">
        <v>53</v>
      </c>
      <c r="T20" s="12">
        <v>72</v>
      </c>
      <c r="U20" s="12">
        <v>24</v>
      </c>
      <c r="V20" s="12">
        <v>77</v>
      </c>
      <c r="W20" s="12">
        <v>55</v>
      </c>
      <c r="X20" s="12">
        <v>164</v>
      </c>
      <c r="Y20" s="12">
        <v>132</v>
      </c>
      <c r="Z20" s="12">
        <v>87</v>
      </c>
      <c r="AA20" s="12">
        <v>35</v>
      </c>
      <c r="AB20" s="12">
        <v>87</v>
      </c>
      <c r="AC20" s="12">
        <v>78</v>
      </c>
      <c r="AD20" s="12">
        <v>107</v>
      </c>
      <c r="AE20" s="12">
        <v>72</v>
      </c>
      <c r="AF20" s="12">
        <v>72</v>
      </c>
    </row>
    <row r="21" spans="1:32" x14ac:dyDescent="0.35">
      <c r="A21" s="19"/>
      <c r="B21" s="13" t="s">
        <v>1437</v>
      </c>
      <c r="C21" s="15">
        <v>0.09</v>
      </c>
      <c r="D21" s="15">
        <v>0.09</v>
      </c>
      <c r="E21" s="15">
        <v>0.08</v>
      </c>
      <c r="F21" s="15">
        <v>0.08</v>
      </c>
      <c r="G21" s="15">
        <v>0.12</v>
      </c>
      <c r="H21" s="15">
        <v>0.14000000000000001</v>
      </c>
      <c r="I21" s="15">
        <v>0.14000000000000001</v>
      </c>
      <c r="J21" s="15">
        <v>0.16</v>
      </c>
      <c r="K21" s="15">
        <v>0.09</v>
      </c>
      <c r="L21" s="15">
        <v>7.0000000000000007E-2</v>
      </c>
      <c r="M21" s="15">
        <v>7.0000000000000007E-2</v>
      </c>
      <c r="N21" s="15">
        <v>0.03</v>
      </c>
      <c r="O21" s="15">
        <v>0.05</v>
      </c>
      <c r="P21" s="15">
        <v>0.08</v>
      </c>
      <c r="Q21" s="15">
        <v>0.1</v>
      </c>
      <c r="R21" s="15">
        <v>0.03</v>
      </c>
      <c r="S21" s="15">
        <v>0.05</v>
      </c>
      <c r="T21" s="15">
        <v>7.0000000000000007E-2</v>
      </c>
      <c r="U21" s="15">
        <v>0.05</v>
      </c>
      <c r="V21" s="15">
        <v>0.08</v>
      </c>
      <c r="W21" s="15">
        <v>0.11</v>
      </c>
      <c r="X21" s="15">
        <v>0.16</v>
      </c>
      <c r="Y21" s="15">
        <v>0.13</v>
      </c>
      <c r="Z21" s="15">
        <v>0.08</v>
      </c>
      <c r="AA21" s="15">
        <v>0.03</v>
      </c>
      <c r="AB21" s="15">
        <v>0.08</v>
      </c>
      <c r="AC21" s="15">
        <v>0.08</v>
      </c>
      <c r="AD21" s="15">
        <v>0.11</v>
      </c>
      <c r="AE21" s="15">
        <v>7.0000000000000007E-2</v>
      </c>
      <c r="AF21" s="15">
        <v>7.0000000000000007E-2</v>
      </c>
    </row>
    <row r="22" spans="1:32" ht="31.5" x14ac:dyDescent="0.35">
      <c r="A22" s="19"/>
      <c r="B22" s="11" t="s">
        <v>1438</v>
      </c>
      <c r="C22" s="12">
        <v>7011</v>
      </c>
      <c r="D22" s="12">
        <v>287</v>
      </c>
      <c r="E22" s="12">
        <v>176</v>
      </c>
      <c r="F22" s="12">
        <v>142</v>
      </c>
      <c r="G22" s="12">
        <v>562</v>
      </c>
      <c r="H22" s="12">
        <v>355</v>
      </c>
      <c r="I22" s="12">
        <v>444</v>
      </c>
      <c r="J22" s="12">
        <v>89</v>
      </c>
      <c r="K22" s="12">
        <v>97</v>
      </c>
      <c r="L22" s="12">
        <v>254</v>
      </c>
      <c r="M22" s="12">
        <v>257</v>
      </c>
      <c r="N22" s="12">
        <v>197</v>
      </c>
      <c r="O22" s="12">
        <v>288</v>
      </c>
      <c r="P22" s="12">
        <v>260</v>
      </c>
      <c r="Q22" s="12">
        <v>264</v>
      </c>
      <c r="R22" s="12">
        <v>97</v>
      </c>
      <c r="S22" s="12">
        <v>88</v>
      </c>
      <c r="T22" s="12">
        <v>126</v>
      </c>
      <c r="U22" s="12">
        <v>111</v>
      </c>
      <c r="V22" s="12">
        <v>286</v>
      </c>
      <c r="W22" s="12">
        <v>179</v>
      </c>
      <c r="X22" s="12">
        <v>433</v>
      </c>
      <c r="Y22" s="12">
        <v>331</v>
      </c>
      <c r="Z22" s="12">
        <v>167</v>
      </c>
      <c r="AA22" s="12">
        <v>219</v>
      </c>
      <c r="AB22" s="12">
        <v>212</v>
      </c>
      <c r="AC22" s="12">
        <v>202</v>
      </c>
      <c r="AD22" s="12">
        <v>210</v>
      </c>
      <c r="AE22" s="12">
        <v>357</v>
      </c>
      <c r="AF22" s="12">
        <v>605</v>
      </c>
    </row>
    <row r="23" spans="1:32" ht="21.5" x14ac:dyDescent="0.35">
      <c r="A23" s="19"/>
      <c r="B23" s="13" t="s">
        <v>1464</v>
      </c>
      <c r="C23" s="15">
        <v>0.27</v>
      </c>
      <c r="D23" s="15">
        <v>0.28000000000000003</v>
      </c>
      <c r="E23" s="15">
        <v>0.17</v>
      </c>
      <c r="F23" s="15">
        <v>0.13</v>
      </c>
      <c r="G23" s="15">
        <v>0.56000000000000005</v>
      </c>
      <c r="H23" s="15">
        <v>0.28999999999999998</v>
      </c>
      <c r="I23" s="15">
        <v>0.28999999999999998</v>
      </c>
      <c r="J23" s="15">
        <v>0.3</v>
      </c>
      <c r="K23" s="15">
        <v>0.1</v>
      </c>
      <c r="L23" s="15">
        <v>0.25</v>
      </c>
      <c r="M23" s="15">
        <v>0.25</v>
      </c>
      <c r="N23" s="15">
        <v>0.2</v>
      </c>
      <c r="O23" s="15">
        <v>0.28999999999999998</v>
      </c>
      <c r="P23" s="15">
        <v>0.26</v>
      </c>
      <c r="Q23" s="15">
        <v>0.26</v>
      </c>
      <c r="R23" s="15">
        <v>0.19</v>
      </c>
      <c r="S23" s="15">
        <v>0.09</v>
      </c>
      <c r="T23" s="15">
        <v>0.13</v>
      </c>
      <c r="U23" s="15">
        <v>0.22</v>
      </c>
      <c r="V23" s="15">
        <v>0.28000000000000003</v>
      </c>
      <c r="W23" s="15">
        <v>0.35</v>
      </c>
      <c r="X23" s="15">
        <v>0.43</v>
      </c>
      <c r="Y23" s="15">
        <v>0.33</v>
      </c>
      <c r="Z23" s="15">
        <v>0.16</v>
      </c>
      <c r="AA23" s="15">
        <v>0.21</v>
      </c>
      <c r="AB23" s="15">
        <v>0.2</v>
      </c>
      <c r="AC23" s="15">
        <v>0.2</v>
      </c>
      <c r="AD23" s="15">
        <v>0.21</v>
      </c>
      <c r="AE23" s="15">
        <v>0.35</v>
      </c>
      <c r="AF23" s="15">
        <v>0.57999999999999996</v>
      </c>
    </row>
    <row r="24" spans="1:32" ht="21.5" x14ac:dyDescent="0.35">
      <c r="A24" s="19"/>
      <c r="B24" s="11" t="s">
        <v>1440</v>
      </c>
      <c r="C24" s="12">
        <v>6304</v>
      </c>
      <c r="D24" s="12">
        <v>207</v>
      </c>
      <c r="E24" s="12">
        <v>401</v>
      </c>
      <c r="F24" s="12">
        <v>283</v>
      </c>
      <c r="G24" s="12">
        <v>142</v>
      </c>
      <c r="H24" s="12">
        <v>194</v>
      </c>
      <c r="I24" s="12">
        <v>258</v>
      </c>
      <c r="J24" s="12">
        <v>64</v>
      </c>
      <c r="K24" s="12">
        <v>328</v>
      </c>
      <c r="L24" s="12">
        <v>174</v>
      </c>
      <c r="M24" s="12">
        <v>490</v>
      </c>
      <c r="N24" s="12">
        <v>212</v>
      </c>
      <c r="O24" s="12">
        <v>271</v>
      </c>
      <c r="P24" s="12">
        <v>379</v>
      </c>
      <c r="Q24" s="12">
        <v>229</v>
      </c>
      <c r="R24" s="12">
        <v>141</v>
      </c>
      <c r="S24" s="12">
        <v>378</v>
      </c>
      <c r="T24" s="12">
        <v>211</v>
      </c>
      <c r="U24" s="12">
        <v>129</v>
      </c>
      <c r="V24" s="12">
        <v>288</v>
      </c>
      <c r="W24" s="12">
        <v>73</v>
      </c>
      <c r="X24" s="12">
        <v>114</v>
      </c>
      <c r="Y24" s="12">
        <v>348</v>
      </c>
      <c r="Z24" s="12">
        <v>219</v>
      </c>
      <c r="AA24" s="12">
        <v>278</v>
      </c>
      <c r="AB24" s="12">
        <v>404</v>
      </c>
      <c r="AC24" s="12">
        <v>405</v>
      </c>
      <c r="AD24" s="12">
        <v>386</v>
      </c>
      <c r="AE24" s="12">
        <v>291</v>
      </c>
      <c r="AF24" s="12">
        <v>231</v>
      </c>
    </row>
    <row r="25" spans="1:32" ht="21.5" x14ac:dyDescent="0.35">
      <c r="A25" s="19"/>
      <c r="B25" s="13" t="s">
        <v>1465</v>
      </c>
      <c r="C25" s="15">
        <v>0.24</v>
      </c>
      <c r="D25" s="15">
        <v>0.2</v>
      </c>
      <c r="E25" s="15">
        <v>0.39</v>
      </c>
      <c r="F25" s="15">
        <v>0.26</v>
      </c>
      <c r="G25" s="15">
        <v>0.14000000000000001</v>
      </c>
      <c r="H25" s="15">
        <v>0.16</v>
      </c>
      <c r="I25" s="15">
        <v>0.17</v>
      </c>
      <c r="J25" s="15">
        <v>0.22</v>
      </c>
      <c r="K25" s="15">
        <v>0.33</v>
      </c>
      <c r="L25" s="15">
        <v>0.17</v>
      </c>
      <c r="M25" s="15">
        <v>0.48</v>
      </c>
      <c r="N25" s="15">
        <v>0.21</v>
      </c>
      <c r="O25" s="15">
        <v>0.27</v>
      </c>
      <c r="P25" s="15">
        <v>0.38</v>
      </c>
      <c r="Q25" s="15">
        <v>0.22</v>
      </c>
      <c r="R25" s="15">
        <v>0.28000000000000003</v>
      </c>
      <c r="S25" s="15">
        <v>0.38</v>
      </c>
      <c r="T25" s="15">
        <v>0.21</v>
      </c>
      <c r="U25" s="15">
        <v>0.26</v>
      </c>
      <c r="V25" s="15">
        <v>0.28000000000000003</v>
      </c>
      <c r="W25" s="15">
        <v>0.14000000000000001</v>
      </c>
      <c r="X25" s="15">
        <v>0.11</v>
      </c>
      <c r="Y25" s="15">
        <v>0.35</v>
      </c>
      <c r="Z25" s="15">
        <v>0.21</v>
      </c>
      <c r="AA25" s="15">
        <v>0.27</v>
      </c>
      <c r="AB25" s="15">
        <v>0.38</v>
      </c>
      <c r="AC25" s="15">
        <v>0.4</v>
      </c>
      <c r="AD25" s="15">
        <v>0.38</v>
      </c>
      <c r="AE25" s="15">
        <v>0.28999999999999998</v>
      </c>
      <c r="AF25" s="15">
        <v>0.22</v>
      </c>
    </row>
    <row r="26" spans="1:32" ht="21.5" x14ac:dyDescent="0.35">
      <c r="A26" s="19"/>
      <c r="B26" s="11" t="s">
        <v>1442</v>
      </c>
      <c r="C26" s="12">
        <v>4460</v>
      </c>
      <c r="D26" s="12">
        <v>158</v>
      </c>
      <c r="E26" s="12">
        <v>313</v>
      </c>
      <c r="F26" s="12">
        <v>234</v>
      </c>
      <c r="G26" s="12">
        <v>96</v>
      </c>
      <c r="H26" s="12">
        <v>165</v>
      </c>
      <c r="I26" s="12">
        <v>241</v>
      </c>
      <c r="J26" s="12">
        <v>75</v>
      </c>
      <c r="K26" s="12">
        <v>161</v>
      </c>
      <c r="L26" s="12">
        <v>213</v>
      </c>
      <c r="M26" s="12">
        <v>125</v>
      </c>
      <c r="N26" s="12">
        <v>62</v>
      </c>
      <c r="O26" s="12">
        <v>142</v>
      </c>
      <c r="P26" s="12">
        <v>234</v>
      </c>
      <c r="Q26" s="12">
        <v>195</v>
      </c>
      <c r="R26" s="12">
        <v>16</v>
      </c>
      <c r="S26" s="12">
        <v>233</v>
      </c>
      <c r="T26" s="12">
        <v>220</v>
      </c>
      <c r="U26" s="12">
        <v>64</v>
      </c>
      <c r="V26" s="12">
        <v>161</v>
      </c>
      <c r="W26" s="12">
        <v>139</v>
      </c>
      <c r="X26" s="12">
        <v>110</v>
      </c>
      <c r="Y26" s="12">
        <v>416</v>
      </c>
      <c r="Z26" s="12">
        <v>211</v>
      </c>
      <c r="AA26" s="12">
        <v>211</v>
      </c>
      <c r="AB26" s="12">
        <v>256</v>
      </c>
      <c r="AC26" s="12">
        <v>148</v>
      </c>
      <c r="AD26" s="12">
        <v>373</v>
      </c>
      <c r="AE26" s="12">
        <v>227</v>
      </c>
      <c r="AF26" s="12">
        <v>192</v>
      </c>
    </row>
    <row r="27" spans="1:32" x14ac:dyDescent="0.35">
      <c r="A27" s="19"/>
      <c r="B27" s="13" t="s">
        <v>1466</v>
      </c>
      <c r="C27" s="15">
        <v>0.17</v>
      </c>
      <c r="D27" s="15">
        <v>0.16</v>
      </c>
      <c r="E27" s="15">
        <v>0.3</v>
      </c>
      <c r="F27" s="15">
        <v>0.21</v>
      </c>
      <c r="G27" s="15">
        <v>0.1</v>
      </c>
      <c r="H27" s="15">
        <v>0.14000000000000001</v>
      </c>
      <c r="I27" s="15">
        <v>0.16</v>
      </c>
      <c r="J27" s="15">
        <v>0.25</v>
      </c>
      <c r="K27" s="15">
        <v>0.16</v>
      </c>
      <c r="L27" s="15">
        <v>0.21</v>
      </c>
      <c r="M27" s="15">
        <v>0.12</v>
      </c>
      <c r="N27" s="15">
        <v>0.06</v>
      </c>
      <c r="O27" s="15">
        <v>0.14000000000000001</v>
      </c>
      <c r="P27" s="15">
        <v>0.23</v>
      </c>
      <c r="Q27" s="15">
        <v>0.19</v>
      </c>
      <c r="R27" s="15">
        <v>0.03</v>
      </c>
      <c r="S27" s="15">
        <v>0.23</v>
      </c>
      <c r="T27" s="15">
        <v>0.22</v>
      </c>
      <c r="U27" s="15">
        <v>0.13</v>
      </c>
      <c r="V27" s="15">
        <v>0.16</v>
      </c>
      <c r="W27" s="15">
        <v>0.27</v>
      </c>
      <c r="X27" s="15">
        <v>0.11</v>
      </c>
      <c r="Y27" s="15">
        <v>0.41</v>
      </c>
      <c r="Z27" s="15">
        <v>0.2</v>
      </c>
      <c r="AA27" s="15">
        <v>0.2</v>
      </c>
      <c r="AB27" s="15">
        <v>0.24</v>
      </c>
      <c r="AC27" s="15">
        <v>0.15</v>
      </c>
      <c r="AD27" s="15">
        <v>0.37</v>
      </c>
      <c r="AE27" s="15">
        <v>0.22</v>
      </c>
      <c r="AF27" s="15">
        <v>0.18</v>
      </c>
    </row>
    <row r="28" spans="1:32" ht="31.5" x14ac:dyDescent="0.35">
      <c r="A28" s="19"/>
      <c r="B28" s="11" t="s">
        <v>1444</v>
      </c>
      <c r="C28" s="12">
        <v>1705</v>
      </c>
      <c r="D28" s="12">
        <v>76</v>
      </c>
      <c r="E28" s="12">
        <v>84</v>
      </c>
      <c r="F28" s="12">
        <v>64</v>
      </c>
      <c r="G28" s="12">
        <v>83</v>
      </c>
      <c r="H28" s="12">
        <v>45</v>
      </c>
      <c r="I28" s="12">
        <v>54</v>
      </c>
      <c r="J28" s="12">
        <v>9</v>
      </c>
      <c r="K28" s="12">
        <v>49</v>
      </c>
      <c r="L28" s="12">
        <v>48</v>
      </c>
      <c r="M28" s="12">
        <v>66</v>
      </c>
      <c r="N28" s="12">
        <v>77</v>
      </c>
      <c r="O28" s="12">
        <v>34</v>
      </c>
      <c r="P28" s="12">
        <v>124</v>
      </c>
      <c r="Q28" s="12">
        <v>73</v>
      </c>
      <c r="R28" s="12">
        <v>15</v>
      </c>
      <c r="S28" s="12">
        <v>52</v>
      </c>
      <c r="T28" s="12">
        <v>67</v>
      </c>
      <c r="U28" s="12">
        <v>30</v>
      </c>
      <c r="V28" s="12">
        <v>122</v>
      </c>
      <c r="W28" s="12">
        <v>27</v>
      </c>
      <c r="X28" s="12">
        <v>62</v>
      </c>
      <c r="Y28" s="12">
        <v>89</v>
      </c>
      <c r="Z28" s="12">
        <v>107</v>
      </c>
      <c r="AA28" s="12">
        <v>43</v>
      </c>
      <c r="AB28" s="12">
        <v>133</v>
      </c>
      <c r="AC28" s="12">
        <v>57</v>
      </c>
      <c r="AD28" s="12">
        <v>94</v>
      </c>
      <c r="AE28" s="12">
        <v>50</v>
      </c>
      <c r="AF28" s="12">
        <v>67</v>
      </c>
    </row>
    <row r="29" spans="1:32" ht="31.5" x14ac:dyDescent="0.35">
      <c r="A29" s="19"/>
      <c r="B29" s="13" t="s">
        <v>1445</v>
      </c>
      <c r="C29" s="15">
        <v>0.06</v>
      </c>
      <c r="D29" s="15">
        <v>0.08</v>
      </c>
      <c r="E29" s="15">
        <v>0.08</v>
      </c>
      <c r="F29" s="15">
        <v>0.06</v>
      </c>
      <c r="G29" s="15">
        <v>0.08</v>
      </c>
      <c r="H29" s="15">
        <v>0.04</v>
      </c>
      <c r="I29" s="15">
        <v>0.04</v>
      </c>
      <c r="J29" s="15">
        <v>0.03</v>
      </c>
      <c r="K29" s="15">
        <v>0.05</v>
      </c>
      <c r="L29" s="15">
        <v>0.05</v>
      </c>
      <c r="M29" s="15">
        <v>0.06</v>
      </c>
      <c r="N29" s="15">
        <v>0.08</v>
      </c>
      <c r="O29" s="15">
        <v>0.03</v>
      </c>
      <c r="P29" s="15">
        <v>0.12</v>
      </c>
      <c r="Q29" s="15">
        <v>7.0000000000000007E-2</v>
      </c>
      <c r="R29" s="15">
        <v>0.03</v>
      </c>
      <c r="S29" s="15">
        <v>0.05</v>
      </c>
      <c r="T29" s="15">
        <v>7.0000000000000007E-2</v>
      </c>
      <c r="U29" s="15">
        <v>0.06</v>
      </c>
      <c r="V29" s="15">
        <v>0.12</v>
      </c>
      <c r="W29" s="15">
        <v>0.05</v>
      </c>
      <c r="X29" s="15">
        <v>0.06</v>
      </c>
      <c r="Y29" s="15">
        <v>0.09</v>
      </c>
      <c r="Z29" s="15">
        <v>0.1</v>
      </c>
      <c r="AA29" s="15">
        <v>0.04</v>
      </c>
      <c r="AB29" s="15">
        <v>0.13</v>
      </c>
      <c r="AC29" s="15">
        <v>0.06</v>
      </c>
      <c r="AD29" s="15">
        <v>0.09</v>
      </c>
      <c r="AE29" s="15">
        <v>0.05</v>
      </c>
      <c r="AF29" s="15">
        <v>0.06</v>
      </c>
    </row>
    <row r="30" spans="1:32" ht="41.5" x14ac:dyDescent="0.35">
      <c r="A30" s="19"/>
      <c r="B30" s="11" t="s">
        <v>1446</v>
      </c>
      <c r="C30" s="12">
        <v>2200</v>
      </c>
      <c r="D30" s="12">
        <v>86</v>
      </c>
      <c r="E30" s="12">
        <v>68</v>
      </c>
      <c r="F30" s="12">
        <v>58</v>
      </c>
      <c r="G30" s="12">
        <v>116</v>
      </c>
      <c r="H30" s="12">
        <v>80</v>
      </c>
      <c r="I30" s="12">
        <v>95</v>
      </c>
      <c r="J30" s="12">
        <v>15</v>
      </c>
      <c r="K30" s="12">
        <v>46</v>
      </c>
      <c r="L30" s="12">
        <v>65</v>
      </c>
      <c r="M30" s="12">
        <v>89</v>
      </c>
      <c r="N30" s="12">
        <v>63</v>
      </c>
      <c r="O30" s="12">
        <v>61</v>
      </c>
      <c r="P30" s="12">
        <v>147</v>
      </c>
      <c r="Q30" s="12">
        <v>106</v>
      </c>
      <c r="R30" s="12">
        <v>30</v>
      </c>
      <c r="S30" s="12">
        <v>31</v>
      </c>
      <c r="T30" s="12">
        <v>48</v>
      </c>
      <c r="U30" s="12">
        <v>41</v>
      </c>
      <c r="V30" s="12">
        <v>125</v>
      </c>
      <c r="W30" s="12">
        <v>22</v>
      </c>
      <c r="X30" s="12">
        <v>113</v>
      </c>
      <c r="Y30" s="12">
        <v>80</v>
      </c>
      <c r="Z30" s="12">
        <v>120</v>
      </c>
      <c r="AA30" s="12">
        <v>105</v>
      </c>
      <c r="AB30" s="12">
        <v>123</v>
      </c>
      <c r="AC30" s="12">
        <v>60</v>
      </c>
      <c r="AD30" s="12">
        <v>93</v>
      </c>
      <c r="AE30" s="12">
        <v>38</v>
      </c>
      <c r="AF30" s="12">
        <v>153</v>
      </c>
    </row>
    <row r="31" spans="1:32" ht="31.5" x14ac:dyDescent="0.35">
      <c r="A31" s="19"/>
      <c r="B31" s="13" t="s">
        <v>1447</v>
      </c>
      <c r="C31" s="15">
        <v>0.08</v>
      </c>
      <c r="D31" s="15">
        <v>0.09</v>
      </c>
      <c r="E31" s="15">
        <v>7.0000000000000007E-2</v>
      </c>
      <c r="F31" s="15">
        <v>0.05</v>
      </c>
      <c r="G31" s="15">
        <v>0.12</v>
      </c>
      <c r="H31" s="15">
        <v>7.0000000000000007E-2</v>
      </c>
      <c r="I31" s="15">
        <v>0.06</v>
      </c>
      <c r="J31" s="15">
        <v>0.05</v>
      </c>
      <c r="K31" s="15">
        <v>0.05</v>
      </c>
      <c r="L31" s="15">
        <v>0.06</v>
      </c>
      <c r="M31" s="15">
        <v>0.09</v>
      </c>
      <c r="N31" s="15">
        <v>0.06</v>
      </c>
      <c r="O31" s="15">
        <v>0.06</v>
      </c>
      <c r="P31" s="15">
        <v>0.15</v>
      </c>
      <c r="Q31" s="15">
        <v>0.1</v>
      </c>
      <c r="R31" s="15">
        <v>0.06</v>
      </c>
      <c r="S31" s="15">
        <v>0.03</v>
      </c>
      <c r="T31" s="15">
        <v>0.05</v>
      </c>
      <c r="U31" s="15">
        <v>0.08</v>
      </c>
      <c r="V31" s="15">
        <v>0.12</v>
      </c>
      <c r="W31" s="15">
        <v>0.04</v>
      </c>
      <c r="X31" s="15">
        <v>0.11</v>
      </c>
      <c r="Y31" s="15">
        <v>0.08</v>
      </c>
      <c r="Z31" s="15">
        <v>0.12</v>
      </c>
      <c r="AA31" s="15">
        <v>0.1</v>
      </c>
      <c r="AB31" s="15">
        <v>0.12</v>
      </c>
      <c r="AC31" s="15">
        <v>0.06</v>
      </c>
      <c r="AD31" s="15">
        <v>0.09</v>
      </c>
      <c r="AE31" s="15">
        <v>0.04</v>
      </c>
      <c r="AF31" s="15">
        <v>0.15</v>
      </c>
    </row>
    <row r="32" spans="1:32" x14ac:dyDescent="0.35">
      <c r="A32" s="19"/>
      <c r="B32" s="11" t="s">
        <v>607</v>
      </c>
      <c r="C32" s="12">
        <v>9263</v>
      </c>
      <c r="D32" s="12">
        <v>404</v>
      </c>
      <c r="E32" s="12">
        <v>214</v>
      </c>
      <c r="F32" s="12">
        <v>370</v>
      </c>
      <c r="G32" s="12">
        <v>574</v>
      </c>
      <c r="H32" s="12">
        <v>457</v>
      </c>
      <c r="I32" s="12">
        <v>576</v>
      </c>
      <c r="J32" s="12">
        <v>119</v>
      </c>
      <c r="K32" s="12">
        <v>425</v>
      </c>
      <c r="L32" s="12">
        <v>231</v>
      </c>
      <c r="M32" s="12">
        <v>223</v>
      </c>
      <c r="N32" s="12">
        <v>218</v>
      </c>
      <c r="O32" s="12">
        <v>383</v>
      </c>
      <c r="P32" s="12">
        <v>266</v>
      </c>
      <c r="Q32" s="12">
        <v>319</v>
      </c>
      <c r="R32" s="12">
        <v>200</v>
      </c>
      <c r="S32" s="12">
        <v>484</v>
      </c>
      <c r="T32" s="12">
        <v>509</v>
      </c>
      <c r="U32" s="12">
        <v>183</v>
      </c>
      <c r="V32" s="12">
        <v>349</v>
      </c>
      <c r="W32" s="12">
        <v>115</v>
      </c>
      <c r="X32" s="12">
        <v>483</v>
      </c>
      <c r="Y32" s="12">
        <v>311</v>
      </c>
      <c r="Z32" s="12">
        <v>482</v>
      </c>
      <c r="AA32" s="12">
        <v>324</v>
      </c>
      <c r="AB32" s="12">
        <v>305</v>
      </c>
      <c r="AC32" s="12">
        <v>185</v>
      </c>
      <c r="AD32" s="12">
        <v>229</v>
      </c>
      <c r="AE32" s="12">
        <v>571</v>
      </c>
      <c r="AF32" s="12">
        <v>396</v>
      </c>
    </row>
    <row r="33" spans="1:32" x14ac:dyDescent="0.35">
      <c r="A33" s="19"/>
      <c r="B33" s="13" t="s">
        <v>608</v>
      </c>
      <c r="C33" s="15">
        <v>0.35</v>
      </c>
      <c r="D33" s="15">
        <v>0.4</v>
      </c>
      <c r="E33" s="15">
        <v>0.21</v>
      </c>
      <c r="F33" s="15">
        <v>0.34</v>
      </c>
      <c r="G33" s="15">
        <v>0.57000000000000006</v>
      </c>
      <c r="H33" s="15">
        <v>0.37</v>
      </c>
      <c r="I33" s="15">
        <v>0.38</v>
      </c>
      <c r="J33" s="15">
        <v>0.4</v>
      </c>
      <c r="K33" s="15">
        <v>0.42</v>
      </c>
      <c r="L33" s="15">
        <v>0.23</v>
      </c>
      <c r="M33" s="15">
        <v>0.22</v>
      </c>
      <c r="N33" s="15">
        <v>0.22</v>
      </c>
      <c r="O33" s="15">
        <v>0.38</v>
      </c>
      <c r="P33" s="15">
        <v>0.26</v>
      </c>
      <c r="Q33" s="15">
        <v>0.31</v>
      </c>
      <c r="R33" s="15">
        <v>0.4</v>
      </c>
      <c r="S33" s="15">
        <v>0.48</v>
      </c>
      <c r="T33" s="15">
        <v>0.51</v>
      </c>
      <c r="U33" s="15">
        <v>0.36</v>
      </c>
      <c r="V33" s="15">
        <v>0.34</v>
      </c>
      <c r="W33" s="15">
        <v>0.23</v>
      </c>
      <c r="X33" s="15">
        <v>0.48</v>
      </c>
      <c r="Y33" s="15">
        <v>0.31</v>
      </c>
      <c r="Z33" s="15">
        <v>0.47</v>
      </c>
      <c r="AA33" s="15">
        <v>0.31</v>
      </c>
      <c r="AB33" s="15">
        <v>0.28999999999999998</v>
      </c>
      <c r="AC33" s="15">
        <v>0.18</v>
      </c>
      <c r="AD33" s="15">
        <v>0.23</v>
      </c>
      <c r="AE33" s="15">
        <v>0.56000000000000005</v>
      </c>
      <c r="AF33" s="15">
        <v>0.38</v>
      </c>
    </row>
    <row r="34" spans="1:32" x14ac:dyDescent="0.35">
      <c r="A34" s="19"/>
      <c r="B34" s="11" t="s">
        <v>1448</v>
      </c>
      <c r="C34" s="12">
        <v>5221</v>
      </c>
      <c r="D34" s="12">
        <v>298</v>
      </c>
      <c r="E34" s="12">
        <v>78</v>
      </c>
      <c r="F34" s="12">
        <v>169</v>
      </c>
      <c r="G34" s="12">
        <v>176</v>
      </c>
      <c r="H34" s="12">
        <v>191</v>
      </c>
      <c r="I34" s="12">
        <v>237</v>
      </c>
      <c r="J34" s="12">
        <v>47</v>
      </c>
      <c r="K34" s="12">
        <v>98</v>
      </c>
      <c r="L34" s="12">
        <v>314</v>
      </c>
      <c r="M34" s="12">
        <v>190</v>
      </c>
      <c r="N34" s="12">
        <v>165</v>
      </c>
      <c r="O34" s="12">
        <v>247</v>
      </c>
      <c r="P34" s="12">
        <v>135</v>
      </c>
      <c r="Q34" s="12">
        <v>326</v>
      </c>
      <c r="R34" s="12">
        <v>98</v>
      </c>
      <c r="S34" s="12">
        <v>91</v>
      </c>
      <c r="T34" s="12">
        <v>174</v>
      </c>
      <c r="U34" s="12">
        <v>92</v>
      </c>
      <c r="V34" s="12">
        <v>209</v>
      </c>
      <c r="W34" s="12">
        <v>103</v>
      </c>
      <c r="X34" s="12">
        <v>250</v>
      </c>
      <c r="Y34" s="12">
        <v>149</v>
      </c>
      <c r="Z34" s="12">
        <v>162</v>
      </c>
      <c r="AA34" s="12">
        <v>193</v>
      </c>
      <c r="AB34" s="12">
        <v>110</v>
      </c>
      <c r="AC34" s="12">
        <v>74</v>
      </c>
      <c r="AD34" s="12">
        <v>115</v>
      </c>
      <c r="AE34" s="12">
        <v>74</v>
      </c>
      <c r="AF34" s="12">
        <v>120</v>
      </c>
    </row>
    <row r="35" spans="1:32" x14ac:dyDescent="0.35">
      <c r="A35" s="19"/>
      <c r="B35" s="13" t="s">
        <v>1449</v>
      </c>
      <c r="C35" s="15">
        <v>0.2</v>
      </c>
      <c r="D35" s="15">
        <v>0.28999999999999998</v>
      </c>
      <c r="E35" s="15">
        <v>0.08</v>
      </c>
      <c r="F35" s="15">
        <v>0.15</v>
      </c>
      <c r="G35" s="15">
        <v>0.17</v>
      </c>
      <c r="H35" s="15">
        <v>0.16</v>
      </c>
      <c r="I35" s="15">
        <v>0.16</v>
      </c>
      <c r="J35" s="15">
        <v>0.16</v>
      </c>
      <c r="K35" s="15">
        <v>0.1</v>
      </c>
      <c r="L35" s="15">
        <v>0.31</v>
      </c>
      <c r="M35" s="15">
        <v>0.19</v>
      </c>
      <c r="N35" s="15">
        <v>0.16</v>
      </c>
      <c r="O35" s="15">
        <v>0.25</v>
      </c>
      <c r="P35" s="15">
        <v>0.13</v>
      </c>
      <c r="Q35" s="15">
        <v>0.32</v>
      </c>
      <c r="R35" s="15">
        <v>0.2</v>
      </c>
      <c r="S35" s="15">
        <v>0.09</v>
      </c>
      <c r="T35" s="15">
        <v>0.17</v>
      </c>
      <c r="U35" s="15">
        <v>0.18</v>
      </c>
      <c r="V35" s="15">
        <v>0.21</v>
      </c>
      <c r="W35" s="15">
        <v>0.2</v>
      </c>
      <c r="X35" s="15">
        <v>0.25</v>
      </c>
      <c r="Y35" s="15">
        <v>0.15</v>
      </c>
      <c r="Z35" s="15">
        <v>0.16</v>
      </c>
      <c r="AA35" s="15">
        <v>0.19</v>
      </c>
      <c r="AB35" s="15">
        <v>0.1</v>
      </c>
      <c r="AC35" s="15">
        <v>7.0000000000000007E-2</v>
      </c>
      <c r="AD35" s="15">
        <v>0.11</v>
      </c>
      <c r="AE35" s="15">
        <v>7.0000000000000007E-2</v>
      </c>
      <c r="AF35" s="15">
        <v>0.12</v>
      </c>
    </row>
    <row r="36" spans="1:32" ht="21.5" x14ac:dyDescent="0.35">
      <c r="A36" s="19"/>
      <c r="B36" s="11" t="s">
        <v>1450</v>
      </c>
      <c r="C36" s="12">
        <v>11051</v>
      </c>
      <c r="D36" s="12">
        <v>384</v>
      </c>
      <c r="E36" s="12">
        <v>546</v>
      </c>
      <c r="F36" s="12">
        <v>379</v>
      </c>
      <c r="G36" s="12">
        <v>330</v>
      </c>
      <c r="H36" s="12">
        <v>373</v>
      </c>
      <c r="I36" s="12">
        <v>484</v>
      </c>
      <c r="J36" s="12">
        <v>111</v>
      </c>
      <c r="K36" s="12">
        <v>441</v>
      </c>
      <c r="L36" s="12">
        <v>436</v>
      </c>
      <c r="M36" s="12">
        <v>756</v>
      </c>
      <c r="N36" s="12">
        <v>636</v>
      </c>
      <c r="O36" s="12">
        <v>416</v>
      </c>
      <c r="P36" s="12">
        <v>506</v>
      </c>
      <c r="Q36" s="12">
        <v>391</v>
      </c>
      <c r="R36" s="12">
        <v>256</v>
      </c>
      <c r="S36" s="12">
        <v>450</v>
      </c>
      <c r="T36" s="12">
        <v>523</v>
      </c>
      <c r="U36" s="12">
        <v>196</v>
      </c>
      <c r="V36" s="12">
        <v>443</v>
      </c>
      <c r="W36" s="12">
        <v>248</v>
      </c>
      <c r="X36" s="12">
        <v>297</v>
      </c>
      <c r="Y36" s="12">
        <v>475</v>
      </c>
      <c r="Z36" s="12">
        <v>283</v>
      </c>
      <c r="AA36" s="12">
        <v>711</v>
      </c>
      <c r="AB36" s="12">
        <v>390</v>
      </c>
      <c r="AC36" s="12">
        <v>474</v>
      </c>
      <c r="AD36" s="12">
        <v>506</v>
      </c>
      <c r="AE36" s="12">
        <v>508</v>
      </c>
      <c r="AF36" s="12">
        <v>474</v>
      </c>
    </row>
    <row r="37" spans="1:32" ht="21.5" x14ac:dyDescent="0.35">
      <c r="A37" s="19"/>
      <c r="B37" s="13" t="s">
        <v>1451</v>
      </c>
      <c r="C37" s="15">
        <v>0.42</v>
      </c>
      <c r="D37" s="15">
        <v>0.38</v>
      </c>
      <c r="E37" s="15">
        <v>0.53</v>
      </c>
      <c r="F37" s="15">
        <v>0.34</v>
      </c>
      <c r="G37" s="15">
        <v>0.33</v>
      </c>
      <c r="H37" s="15">
        <v>0.31</v>
      </c>
      <c r="I37" s="15">
        <v>0.32</v>
      </c>
      <c r="J37" s="15">
        <v>0.37</v>
      </c>
      <c r="K37" s="15">
        <v>0.44</v>
      </c>
      <c r="L37" s="15">
        <v>0.43</v>
      </c>
      <c r="M37" s="15">
        <v>0.75</v>
      </c>
      <c r="N37" s="15">
        <v>0.63</v>
      </c>
      <c r="O37" s="15">
        <v>0.42</v>
      </c>
      <c r="P37" s="15">
        <v>0.5</v>
      </c>
      <c r="Q37" s="15">
        <v>0.38</v>
      </c>
      <c r="R37" s="15">
        <v>0.51</v>
      </c>
      <c r="S37" s="15">
        <v>0.45</v>
      </c>
      <c r="T37" s="15">
        <v>0.52</v>
      </c>
      <c r="U37" s="15">
        <v>0.39</v>
      </c>
      <c r="V37" s="15">
        <v>0.44</v>
      </c>
      <c r="W37" s="15">
        <v>0.49</v>
      </c>
      <c r="X37" s="15">
        <v>0.28999999999999998</v>
      </c>
      <c r="Y37" s="15">
        <v>0.47</v>
      </c>
      <c r="Z37" s="15">
        <v>0.27</v>
      </c>
      <c r="AA37" s="15">
        <v>0.69000000000000006</v>
      </c>
      <c r="AB37" s="15">
        <v>0.37</v>
      </c>
      <c r="AC37" s="15">
        <v>0.47</v>
      </c>
      <c r="AD37" s="15">
        <v>0.5</v>
      </c>
      <c r="AE37" s="15">
        <v>0.5</v>
      </c>
      <c r="AF37" s="15">
        <v>0.45</v>
      </c>
    </row>
    <row r="38" spans="1:32" x14ac:dyDescent="0.35">
      <c r="A38" s="19"/>
      <c r="B38" s="11" t="s">
        <v>591</v>
      </c>
      <c r="C38" s="12">
        <v>6747</v>
      </c>
      <c r="D38" s="12">
        <v>221</v>
      </c>
      <c r="E38" s="12">
        <v>122</v>
      </c>
      <c r="F38" s="12">
        <v>428</v>
      </c>
      <c r="G38" s="12">
        <v>70</v>
      </c>
      <c r="H38" s="12">
        <v>350</v>
      </c>
      <c r="I38" s="12">
        <v>435</v>
      </c>
      <c r="J38" s="12">
        <v>84</v>
      </c>
      <c r="K38" s="12">
        <v>157</v>
      </c>
      <c r="L38" s="12">
        <v>595</v>
      </c>
      <c r="M38" s="12">
        <v>185</v>
      </c>
      <c r="N38" s="12">
        <v>524</v>
      </c>
      <c r="O38" s="12">
        <v>247</v>
      </c>
      <c r="P38" s="12">
        <v>297</v>
      </c>
      <c r="Q38" s="12">
        <v>90</v>
      </c>
      <c r="R38" s="12">
        <v>259</v>
      </c>
      <c r="S38" s="12">
        <v>179</v>
      </c>
      <c r="T38" s="12">
        <v>170</v>
      </c>
      <c r="U38" s="12">
        <v>215</v>
      </c>
      <c r="V38" s="12">
        <v>163</v>
      </c>
      <c r="W38" s="12">
        <v>99</v>
      </c>
      <c r="X38" s="12">
        <v>310</v>
      </c>
      <c r="Y38" s="12">
        <v>166</v>
      </c>
      <c r="Z38" s="12">
        <v>225</v>
      </c>
      <c r="AA38" s="12">
        <v>446</v>
      </c>
      <c r="AB38" s="12">
        <v>164</v>
      </c>
      <c r="AC38" s="12">
        <v>340</v>
      </c>
      <c r="AD38" s="12">
        <v>218</v>
      </c>
      <c r="AE38" s="12">
        <v>95</v>
      </c>
      <c r="AF38" s="12">
        <v>48</v>
      </c>
    </row>
    <row r="39" spans="1:32" x14ac:dyDescent="0.35">
      <c r="A39" s="19"/>
      <c r="B39" s="13" t="s">
        <v>592</v>
      </c>
      <c r="C39" s="15">
        <v>0.26</v>
      </c>
      <c r="D39" s="15">
        <v>0.22</v>
      </c>
      <c r="E39" s="15">
        <v>0.12</v>
      </c>
      <c r="F39" s="15">
        <v>0.39</v>
      </c>
      <c r="G39" s="15">
        <v>7.0000000000000007E-2</v>
      </c>
      <c r="H39" s="15">
        <v>0.28999999999999998</v>
      </c>
      <c r="I39" s="15">
        <v>0.28999999999999998</v>
      </c>
      <c r="J39" s="15">
        <v>0.28999999999999998</v>
      </c>
      <c r="K39" s="15">
        <v>0.16</v>
      </c>
      <c r="L39" s="15">
        <v>0.59</v>
      </c>
      <c r="M39" s="15">
        <v>0.18</v>
      </c>
      <c r="N39" s="15">
        <v>0.52</v>
      </c>
      <c r="O39" s="15">
        <v>0.25</v>
      </c>
      <c r="P39" s="15">
        <v>0.3</v>
      </c>
      <c r="Q39" s="15">
        <v>0.09</v>
      </c>
      <c r="R39" s="15">
        <v>0.51</v>
      </c>
      <c r="S39" s="15">
        <v>0.18</v>
      </c>
      <c r="T39" s="15">
        <v>0.17</v>
      </c>
      <c r="U39" s="15">
        <v>0.43</v>
      </c>
      <c r="V39" s="15">
        <v>0.16</v>
      </c>
      <c r="W39" s="15">
        <v>0.2</v>
      </c>
      <c r="X39" s="15">
        <v>0.31</v>
      </c>
      <c r="Y39" s="15">
        <v>0.17</v>
      </c>
      <c r="Z39" s="15">
        <v>0.22</v>
      </c>
      <c r="AA39" s="15">
        <v>0.43</v>
      </c>
      <c r="AB39" s="15">
        <v>0.16</v>
      </c>
      <c r="AC39" s="15">
        <v>0.34</v>
      </c>
      <c r="AD39" s="15">
        <v>0.22</v>
      </c>
      <c r="AE39" s="15">
        <v>0.09</v>
      </c>
      <c r="AF39" s="15">
        <v>0.05</v>
      </c>
    </row>
    <row r="40" spans="1:32" ht="21.5" x14ac:dyDescent="0.35">
      <c r="A40" s="19"/>
      <c r="B40" s="11" t="s">
        <v>1454</v>
      </c>
      <c r="C40" s="12">
        <v>3187</v>
      </c>
      <c r="D40" s="12">
        <v>126</v>
      </c>
      <c r="E40" s="12">
        <v>133</v>
      </c>
      <c r="F40" s="12">
        <v>142</v>
      </c>
      <c r="G40" s="12">
        <v>226</v>
      </c>
      <c r="H40" s="12">
        <v>107</v>
      </c>
      <c r="I40" s="12">
        <v>145</v>
      </c>
      <c r="J40" s="12">
        <v>38</v>
      </c>
      <c r="K40" s="12">
        <v>197</v>
      </c>
      <c r="L40" s="12">
        <v>40</v>
      </c>
      <c r="M40" s="12">
        <v>142</v>
      </c>
      <c r="N40" s="12">
        <v>58</v>
      </c>
      <c r="O40" s="12">
        <v>73</v>
      </c>
      <c r="P40" s="12">
        <v>73</v>
      </c>
      <c r="Q40" s="12">
        <v>129</v>
      </c>
      <c r="R40" s="12">
        <v>25</v>
      </c>
      <c r="S40" s="12">
        <v>165</v>
      </c>
      <c r="T40" s="12">
        <v>196</v>
      </c>
      <c r="U40" s="12">
        <v>45</v>
      </c>
      <c r="V40" s="12">
        <v>115</v>
      </c>
      <c r="W40" s="12">
        <v>68</v>
      </c>
      <c r="X40" s="12">
        <v>95</v>
      </c>
      <c r="Y40" s="12">
        <v>135</v>
      </c>
      <c r="Z40" s="12">
        <v>276</v>
      </c>
      <c r="AA40" s="12">
        <v>167</v>
      </c>
      <c r="AB40" s="12">
        <v>224</v>
      </c>
      <c r="AC40" s="12">
        <v>85</v>
      </c>
      <c r="AD40" s="12">
        <v>86</v>
      </c>
      <c r="AE40" s="12">
        <v>148</v>
      </c>
      <c r="AF40" s="12">
        <v>152</v>
      </c>
    </row>
    <row r="41" spans="1:32" ht="21.5" x14ac:dyDescent="0.35">
      <c r="A41" s="19"/>
      <c r="B41" s="13" t="s">
        <v>1455</v>
      </c>
      <c r="C41" s="15">
        <v>0.12</v>
      </c>
      <c r="D41" s="15">
        <v>0.12</v>
      </c>
      <c r="E41" s="15">
        <v>0.13</v>
      </c>
      <c r="F41" s="15">
        <v>0.13</v>
      </c>
      <c r="G41" s="15">
        <v>0.22</v>
      </c>
      <c r="H41" s="15">
        <v>0.09</v>
      </c>
      <c r="I41" s="15">
        <v>0.1</v>
      </c>
      <c r="J41" s="15">
        <v>0.13</v>
      </c>
      <c r="K41" s="15">
        <v>0.2</v>
      </c>
      <c r="L41" s="15">
        <v>0.04</v>
      </c>
      <c r="M41" s="15">
        <v>0.14000000000000001</v>
      </c>
      <c r="N41" s="15">
        <v>0.06</v>
      </c>
      <c r="O41" s="15">
        <v>7.0000000000000007E-2</v>
      </c>
      <c r="P41" s="15">
        <v>7.0000000000000007E-2</v>
      </c>
      <c r="Q41" s="15">
        <v>0.13</v>
      </c>
      <c r="R41" s="15">
        <v>0.05</v>
      </c>
      <c r="S41" s="15">
        <v>0.16</v>
      </c>
      <c r="T41" s="15">
        <v>0.2</v>
      </c>
      <c r="U41" s="15">
        <v>0.09</v>
      </c>
      <c r="V41" s="15">
        <v>0.11</v>
      </c>
      <c r="W41" s="15">
        <v>0.13</v>
      </c>
      <c r="X41" s="15">
        <v>0.09</v>
      </c>
      <c r="Y41" s="15">
        <v>0.13</v>
      </c>
      <c r="Z41" s="15">
        <v>0.27</v>
      </c>
      <c r="AA41" s="15">
        <v>0.16</v>
      </c>
      <c r="AB41" s="15">
        <v>0.21</v>
      </c>
      <c r="AC41" s="15">
        <v>0.09</v>
      </c>
      <c r="AD41" s="15">
        <v>0.09</v>
      </c>
      <c r="AE41" s="15">
        <v>0.15</v>
      </c>
      <c r="AF41" s="15">
        <v>0.15</v>
      </c>
    </row>
    <row r="42" spans="1:32" x14ac:dyDescent="0.35">
      <c r="A42" s="19"/>
      <c r="B42" s="11" t="s">
        <v>611</v>
      </c>
      <c r="C42" s="12">
        <v>223</v>
      </c>
      <c r="D42" s="12">
        <v>2</v>
      </c>
      <c r="E42" s="12">
        <v>3</v>
      </c>
      <c r="F42" s="12">
        <v>4</v>
      </c>
      <c r="G42" s="12">
        <v>3</v>
      </c>
      <c r="H42" s="12">
        <v>35</v>
      </c>
      <c r="I42" s="12">
        <v>35</v>
      </c>
      <c r="J42" s="12">
        <v>0</v>
      </c>
      <c r="K42" s="12">
        <v>30</v>
      </c>
      <c r="L42" s="12">
        <v>9</v>
      </c>
      <c r="M42" s="12">
        <v>5</v>
      </c>
      <c r="N42" s="12">
        <v>7</v>
      </c>
      <c r="O42" s="12">
        <v>10</v>
      </c>
      <c r="P42" s="12">
        <v>0</v>
      </c>
      <c r="Q42" s="12">
        <v>5</v>
      </c>
      <c r="R42" s="12">
        <v>1</v>
      </c>
      <c r="S42" s="12">
        <v>4</v>
      </c>
      <c r="T42" s="12">
        <v>1</v>
      </c>
      <c r="U42" s="12">
        <v>2</v>
      </c>
      <c r="V42" s="12">
        <v>0</v>
      </c>
      <c r="W42" s="12">
        <v>2</v>
      </c>
      <c r="X42" s="12">
        <v>2</v>
      </c>
      <c r="Y42" s="12">
        <v>19</v>
      </c>
      <c r="Z42" s="12">
        <v>0</v>
      </c>
      <c r="AA42" s="12">
        <v>0</v>
      </c>
      <c r="AB42" s="12">
        <v>2</v>
      </c>
      <c r="AC42" s="12">
        <v>3</v>
      </c>
      <c r="AD42" s="12">
        <v>5</v>
      </c>
      <c r="AE42" s="12">
        <v>4</v>
      </c>
      <c r="AF42" s="12">
        <v>6</v>
      </c>
    </row>
    <row r="43" spans="1:32" x14ac:dyDescent="0.35">
      <c r="A43" s="19"/>
      <c r="B43" s="13" t="s">
        <v>612</v>
      </c>
      <c r="C43" s="15">
        <v>0.01</v>
      </c>
      <c r="D43" s="14" t="s">
        <v>475</v>
      </c>
      <c r="E43" s="14" t="s">
        <v>475</v>
      </c>
      <c r="F43" s="14" t="s">
        <v>475</v>
      </c>
      <c r="G43" s="14" t="s">
        <v>475</v>
      </c>
      <c r="H43" s="15">
        <v>0.03</v>
      </c>
      <c r="I43" s="15">
        <v>0.02</v>
      </c>
      <c r="J43" s="14" t="s">
        <v>475</v>
      </c>
      <c r="K43" s="15">
        <v>0.03</v>
      </c>
      <c r="L43" s="15">
        <v>0.01</v>
      </c>
      <c r="M43" s="14" t="s">
        <v>475</v>
      </c>
      <c r="N43" s="15">
        <v>0.01</v>
      </c>
      <c r="O43" s="15">
        <v>0.01</v>
      </c>
      <c r="P43" s="14" t="s">
        <v>475</v>
      </c>
      <c r="Q43" s="14" t="s">
        <v>475</v>
      </c>
      <c r="R43" s="14" t="s">
        <v>475</v>
      </c>
      <c r="S43" s="14" t="s">
        <v>475</v>
      </c>
      <c r="T43" s="14" t="s">
        <v>475</v>
      </c>
      <c r="U43" s="14" t="s">
        <v>475</v>
      </c>
      <c r="V43" s="14" t="s">
        <v>475</v>
      </c>
      <c r="W43" s="14" t="s">
        <v>475</v>
      </c>
      <c r="X43" s="14" t="s">
        <v>475</v>
      </c>
      <c r="Y43" s="15">
        <v>0.02</v>
      </c>
      <c r="Z43" s="14" t="s">
        <v>475</v>
      </c>
      <c r="AA43" s="14" t="s">
        <v>475</v>
      </c>
      <c r="AB43" s="14" t="s">
        <v>475</v>
      </c>
      <c r="AC43" s="14" t="s">
        <v>475</v>
      </c>
      <c r="AD43" s="14" t="s">
        <v>475</v>
      </c>
      <c r="AE43" s="14" t="s">
        <v>475</v>
      </c>
      <c r="AF43" s="15">
        <v>0.01</v>
      </c>
    </row>
    <row r="44" spans="1:32" x14ac:dyDescent="0.35">
      <c r="A44" s="19"/>
      <c r="B44" s="11" t="s">
        <v>613</v>
      </c>
      <c r="C44" s="12">
        <v>144</v>
      </c>
      <c r="D44" s="12">
        <v>6</v>
      </c>
      <c r="E44" s="12">
        <v>6</v>
      </c>
      <c r="F44" s="12">
        <v>3</v>
      </c>
      <c r="G44" s="12">
        <v>5</v>
      </c>
      <c r="H44" s="12">
        <v>17</v>
      </c>
      <c r="I44" s="12">
        <v>17</v>
      </c>
      <c r="J44" s="12">
        <v>0</v>
      </c>
      <c r="K44" s="12">
        <v>3</v>
      </c>
      <c r="L44" s="12">
        <v>3</v>
      </c>
      <c r="M44" s="12">
        <v>1</v>
      </c>
      <c r="N44" s="12">
        <v>2</v>
      </c>
      <c r="O44" s="12">
        <v>5</v>
      </c>
      <c r="P44" s="12">
        <v>0</v>
      </c>
      <c r="Q44" s="12">
        <v>6</v>
      </c>
      <c r="R44" s="12">
        <v>3</v>
      </c>
      <c r="S44" s="12">
        <v>0</v>
      </c>
      <c r="T44" s="12">
        <v>0</v>
      </c>
      <c r="U44" s="12">
        <v>2</v>
      </c>
      <c r="V44" s="12">
        <v>1</v>
      </c>
      <c r="W44" s="12">
        <v>0</v>
      </c>
      <c r="X44" s="12">
        <v>11</v>
      </c>
      <c r="Y44" s="12">
        <v>5</v>
      </c>
      <c r="Z44" s="12">
        <v>3</v>
      </c>
      <c r="AA44" s="12">
        <v>0</v>
      </c>
      <c r="AB44" s="12">
        <v>0</v>
      </c>
      <c r="AC44" s="12">
        <v>1</v>
      </c>
      <c r="AD44" s="12">
        <v>1</v>
      </c>
      <c r="AE44" s="12">
        <v>2</v>
      </c>
      <c r="AF44" s="12">
        <v>11</v>
      </c>
    </row>
    <row r="45" spans="1:32" x14ac:dyDescent="0.35">
      <c r="A45" s="19"/>
      <c r="B45" s="13" t="s">
        <v>614</v>
      </c>
      <c r="C45" s="15">
        <v>0.01</v>
      </c>
      <c r="D45" s="15">
        <v>0.01</v>
      </c>
      <c r="E45" s="15">
        <v>0.01</v>
      </c>
      <c r="F45" s="14" t="s">
        <v>475</v>
      </c>
      <c r="G45" s="15">
        <v>0.01</v>
      </c>
      <c r="H45" s="15">
        <v>0.01</v>
      </c>
      <c r="I45" s="15">
        <v>0.01</v>
      </c>
      <c r="J45" s="14" t="s">
        <v>475</v>
      </c>
      <c r="K45" s="14" t="s">
        <v>475</v>
      </c>
      <c r="L45" s="14" t="s">
        <v>475</v>
      </c>
      <c r="M45" s="14" t="s">
        <v>475</v>
      </c>
      <c r="N45" s="14" t="s">
        <v>475</v>
      </c>
      <c r="O45" s="15">
        <v>0.01</v>
      </c>
      <c r="P45" s="14" t="s">
        <v>475</v>
      </c>
      <c r="Q45" s="15">
        <v>0.01</v>
      </c>
      <c r="R45" s="15">
        <v>0.01</v>
      </c>
      <c r="S45" s="14" t="s">
        <v>475</v>
      </c>
      <c r="T45" s="14" t="s">
        <v>475</v>
      </c>
      <c r="U45" s="14" t="s">
        <v>475</v>
      </c>
      <c r="V45" s="14" t="s">
        <v>475</v>
      </c>
      <c r="W45" s="14" t="s">
        <v>475</v>
      </c>
      <c r="X45" s="15">
        <v>0.01</v>
      </c>
      <c r="Y45" s="14" t="s">
        <v>475</v>
      </c>
      <c r="Z45" s="14" t="s">
        <v>475</v>
      </c>
      <c r="AA45" s="14" t="s">
        <v>475</v>
      </c>
      <c r="AB45" s="14" t="s">
        <v>475</v>
      </c>
      <c r="AC45" s="14" t="s">
        <v>475</v>
      </c>
      <c r="AD45" s="14" t="s">
        <v>475</v>
      </c>
      <c r="AE45" s="14" t="s">
        <v>475</v>
      </c>
      <c r="AF45" s="15">
        <v>0.01</v>
      </c>
    </row>
    <row r="46" spans="1:32" x14ac:dyDescent="0.35">
      <c r="A46" s="19"/>
      <c r="B46" s="11" t="s">
        <v>485</v>
      </c>
      <c r="C46" s="12">
        <v>813</v>
      </c>
      <c r="D46" s="12">
        <v>7</v>
      </c>
      <c r="E46" s="12">
        <v>52</v>
      </c>
      <c r="F46" s="12">
        <v>60</v>
      </c>
      <c r="G46" s="12">
        <v>37</v>
      </c>
      <c r="H46" s="12">
        <v>85</v>
      </c>
      <c r="I46" s="12">
        <v>86</v>
      </c>
      <c r="J46" s="12">
        <v>2</v>
      </c>
      <c r="K46" s="12">
        <v>25</v>
      </c>
      <c r="L46" s="12">
        <v>22</v>
      </c>
      <c r="M46" s="12">
        <v>1</v>
      </c>
      <c r="N46" s="12">
        <v>13</v>
      </c>
      <c r="O46" s="12">
        <v>28</v>
      </c>
      <c r="P46" s="12">
        <v>4</v>
      </c>
      <c r="Q46" s="12">
        <v>43</v>
      </c>
      <c r="R46" s="12">
        <v>27</v>
      </c>
      <c r="S46" s="12">
        <v>24</v>
      </c>
      <c r="T46" s="12">
        <v>25</v>
      </c>
      <c r="U46" s="12">
        <v>12</v>
      </c>
      <c r="V46" s="12">
        <v>18</v>
      </c>
      <c r="W46" s="12">
        <v>5</v>
      </c>
      <c r="X46" s="12">
        <v>20</v>
      </c>
      <c r="Y46" s="12">
        <v>17</v>
      </c>
      <c r="Z46" s="12">
        <v>15</v>
      </c>
      <c r="AA46" s="12">
        <v>45</v>
      </c>
      <c r="AB46" s="12">
        <v>23</v>
      </c>
      <c r="AC46" s="12">
        <v>6</v>
      </c>
      <c r="AD46" s="12">
        <v>6</v>
      </c>
      <c r="AE46" s="12">
        <v>27</v>
      </c>
      <c r="AF46" s="12">
        <v>11</v>
      </c>
    </row>
    <row r="47" spans="1:32" x14ac:dyDescent="0.35">
      <c r="A47" s="19"/>
      <c r="B47" s="13" t="s">
        <v>486</v>
      </c>
      <c r="C47" s="15">
        <v>0.03</v>
      </c>
      <c r="D47" s="15">
        <v>0.01</v>
      </c>
      <c r="E47" s="15">
        <v>0.05</v>
      </c>
      <c r="F47" s="15">
        <v>0.05</v>
      </c>
      <c r="G47" s="15">
        <v>0.04</v>
      </c>
      <c r="H47" s="15">
        <v>7.0000000000000007E-2</v>
      </c>
      <c r="I47" s="15">
        <v>0.06</v>
      </c>
      <c r="J47" s="15">
        <v>0.01</v>
      </c>
      <c r="K47" s="15">
        <v>0.03</v>
      </c>
      <c r="L47" s="15">
        <v>0.02</v>
      </c>
      <c r="M47" s="14" t="s">
        <v>475</v>
      </c>
      <c r="N47" s="15">
        <v>0.01</v>
      </c>
      <c r="O47" s="15">
        <v>0.03</v>
      </c>
      <c r="P47" s="14" t="s">
        <v>475</v>
      </c>
      <c r="Q47" s="15">
        <v>0.04</v>
      </c>
      <c r="R47" s="15">
        <v>0.05</v>
      </c>
      <c r="S47" s="15">
        <v>0.02</v>
      </c>
      <c r="T47" s="15">
        <v>0.03</v>
      </c>
      <c r="U47" s="15">
        <v>0.02</v>
      </c>
      <c r="V47" s="15">
        <v>0.02</v>
      </c>
      <c r="W47" s="15">
        <v>0.01</v>
      </c>
      <c r="X47" s="15">
        <v>0.02</v>
      </c>
      <c r="Y47" s="15">
        <v>0.02</v>
      </c>
      <c r="Z47" s="15">
        <v>0.01</v>
      </c>
      <c r="AA47" s="15">
        <v>0.04</v>
      </c>
      <c r="AB47" s="15">
        <v>0.02</v>
      </c>
      <c r="AC47" s="15">
        <v>0.01</v>
      </c>
      <c r="AD47" s="15">
        <v>0.01</v>
      </c>
      <c r="AE47" s="15">
        <v>0.03</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428</v>
      </c>
    </row>
    <row r="2" spans="1:32" x14ac:dyDescent="0.35">
      <c r="C2" s="7" t="s">
        <v>429</v>
      </c>
      <c r="H2" s="7" t="s">
        <v>430</v>
      </c>
    </row>
    <row r="3" spans="1:32" ht="12" customHeight="1" x14ac:dyDescent="0.35">
      <c r="B3" s="18" t="s">
        <v>361</v>
      </c>
      <c r="C3" s="18"/>
      <c r="D3" s="18"/>
      <c r="E3" s="18"/>
      <c r="F3" s="18"/>
      <c r="H3" s="18" t="s">
        <v>362</v>
      </c>
      <c r="I3" s="18"/>
      <c r="J3" s="18"/>
      <c r="K3" s="18"/>
      <c r="L3" s="18"/>
    </row>
    <row r="4" spans="1:32" ht="27" customHeight="1" x14ac:dyDescent="0.35">
      <c r="B4" s="18"/>
      <c r="C4" s="18"/>
      <c r="D4" s="18"/>
      <c r="E4" s="18"/>
      <c r="F4" s="18"/>
      <c r="H4" s="18"/>
      <c r="I4" s="18"/>
      <c r="J4" s="18"/>
      <c r="K4" s="18"/>
      <c r="L4" s="18"/>
    </row>
    <row r="5" spans="1:32" ht="12" customHeight="1" x14ac:dyDescent="0.35">
      <c r="B5" s="18" t="s">
        <v>431</v>
      </c>
      <c r="C5" s="18"/>
      <c r="D5" s="18"/>
      <c r="E5" s="18"/>
      <c r="F5" s="18"/>
      <c r="H5" s="18" t="s">
        <v>432</v>
      </c>
      <c r="I5" s="18"/>
      <c r="J5" s="18"/>
      <c r="K5" s="18"/>
      <c r="L5" s="18"/>
    </row>
    <row r="6" spans="1:32" ht="1" customHeight="1" x14ac:dyDescent="0.35"/>
    <row r="7" spans="1:32" ht="1" customHeight="1" x14ac:dyDescent="0.35"/>
    <row r="8" spans="1:32"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x14ac:dyDescent="0.35">
      <c r="A9" s="5" t="str">
        <f>HYPERLINK("#Content!A183","&lt;&lt;Back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19"/>
      <c r="B12" s="11" t="s">
        <v>1467</v>
      </c>
      <c r="C12" s="12">
        <v>12947</v>
      </c>
      <c r="D12" s="12">
        <v>448</v>
      </c>
      <c r="E12" s="12">
        <v>462</v>
      </c>
      <c r="F12" s="12">
        <v>498</v>
      </c>
      <c r="G12" s="12">
        <v>746</v>
      </c>
      <c r="H12" s="12">
        <v>637</v>
      </c>
      <c r="I12" s="12">
        <v>762</v>
      </c>
      <c r="J12" s="12">
        <v>126</v>
      </c>
      <c r="K12" s="12">
        <v>441</v>
      </c>
      <c r="L12" s="12">
        <v>647</v>
      </c>
      <c r="M12" s="12">
        <v>477</v>
      </c>
      <c r="N12" s="12">
        <v>446</v>
      </c>
      <c r="O12" s="12">
        <v>330</v>
      </c>
      <c r="P12" s="12">
        <v>686</v>
      </c>
      <c r="Q12" s="12">
        <v>504</v>
      </c>
      <c r="R12" s="12">
        <v>216</v>
      </c>
      <c r="S12" s="12">
        <v>534</v>
      </c>
      <c r="T12" s="12">
        <v>588</v>
      </c>
      <c r="U12" s="12">
        <v>254</v>
      </c>
      <c r="V12" s="12">
        <v>614</v>
      </c>
      <c r="W12" s="12">
        <v>293</v>
      </c>
      <c r="X12" s="12">
        <v>656</v>
      </c>
      <c r="Y12" s="12">
        <v>480</v>
      </c>
      <c r="Z12" s="12">
        <v>562</v>
      </c>
      <c r="AA12" s="12">
        <v>488</v>
      </c>
      <c r="AB12" s="12">
        <v>571</v>
      </c>
      <c r="AC12" s="12">
        <v>499</v>
      </c>
      <c r="AD12" s="12">
        <v>529</v>
      </c>
      <c r="AE12" s="12">
        <v>657</v>
      </c>
      <c r="AF12" s="12">
        <v>710</v>
      </c>
    </row>
    <row r="13" spans="1:32" ht="21.5" x14ac:dyDescent="0.35">
      <c r="A13" s="19"/>
      <c r="B13" s="13" t="s">
        <v>1468</v>
      </c>
      <c r="C13" s="15">
        <v>0.49</v>
      </c>
      <c r="D13" s="15">
        <v>0.44</v>
      </c>
      <c r="E13" s="15">
        <v>0.45</v>
      </c>
      <c r="F13" s="15">
        <v>0.45</v>
      </c>
      <c r="G13" s="15">
        <v>0.74</v>
      </c>
      <c r="H13" s="15">
        <v>0.52</v>
      </c>
      <c r="I13" s="15">
        <v>0.5</v>
      </c>
      <c r="J13" s="15">
        <v>0.43</v>
      </c>
      <c r="K13" s="15">
        <v>0.44</v>
      </c>
      <c r="L13" s="15">
        <v>0.65</v>
      </c>
      <c r="M13" s="15">
        <v>0.47</v>
      </c>
      <c r="N13" s="15">
        <v>0.44</v>
      </c>
      <c r="O13" s="15">
        <v>0.33</v>
      </c>
      <c r="P13" s="15">
        <v>0.68</v>
      </c>
      <c r="Q13" s="15">
        <v>0.49</v>
      </c>
      <c r="R13" s="15">
        <v>0.43</v>
      </c>
      <c r="S13" s="15">
        <v>0.53</v>
      </c>
      <c r="T13" s="15">
        <v>0.57999999999999996</v>
      </c>
      <c r="U13" s="15">
        <v>0.5</v>
      </c>
      <c r="V13" s="15">
        <v>0.61</v>
      </c>
      <c r="W13" s="15">
        <v>0.57000000000000006</v>
      </c>
      <c r="X13" s="15">
        <v>0.65</v>
      </c>
      <c r="Y13" s="15">
        <v>0.48</v>
      </c>
      <c r="Z13" s="15">
        <v>0.54</v>
      </c>
      <c r="AA13" s="15">
        <v>0.47</v>
      </c>
      <c r="AB13" s="15">
        <v>0.54</v>
      </c>
      <c r="AC13" s="15">
        <v>0.5</v>
      </c>
      <c r="AD13" s="15">
        <v>0.53</v>
      </c>
      <c r="AE13" s="15">
        <v>0.65</v>
      </c>
      <c r="AF13" s="15">
        <v>0.68</v>
      </c>
    </row>
    <row r="14" spans="1:32" ht="41.5" x14ac:dyDescent="0.35">
      <c r="A14" s="19"/>
      <c r="B14" s="11" t="s">
        <v>1469</v>
      </c>
      <c r="C14" s="12">
        <v>10919</v>
      </c>
      <c r="D14" s="12">
        <v>521</v>
      </c>
      <c r="E14" s="12">
        <v>422</v>
      </c>
      <c r="F14" s="12">
        <v>482</v>
      </c>
      <c r="G14" s="12">
        <v>191</v>
      </c>
      <c r="H14" s="12">
        <v>431</v>
      </c>
      <c r="I14" s="12">
        <v>578</v>
      </c>
      <c r="J14" s="12">
        <v>147</v>
      </c>
      <c r="K14" s="12">
        <v>417</v>
      </c>
      <c r="L14" s="12">
        <v>260</v>
      </c>
      <c r="M14" s="12">
        <v>499</v>
      </c>
      <c r="N14" s="12">
        <v>466</v>
      </c>
      <c r="O14" s="12">
        <v>504</v>
      </c>
      <c r="P14" s="12">
        <v>280</v>
      </c>
      <c r="Q14" s="12">
        <v>446</v>
      </c>
      <c r="R14" s="12">
        <v>233</v>
      </c>
      <c r="S14" s="12">
        <v>334</v>
      </c>
      <c r="T14" s="12">
        <v>300</v>
      </c>
      <c r="U14" s="12">
        <v>208</v>
      </c>
      <c r="V14" s="12">
        <v>346</v>
      </c>
      <c r="W14" s="12">
        <v>192</v>
      </c>
      <c r="X14" s="12">
        <v>308</v>
      </c>
      <c r="Y14" s="12">
        <v>440</v>
      </c>
      <c r="Z14" s="12">
        <v>412</v>
      </c>
      <c r="AA14" s="12">
        <v>372</v>
      </c>
      <c r="AB14" s="12">
        <v>419</v>
      </c>
      <c r="AC14" s="12">
        <v>443</v>
      </c>
      <c r="AD14" s="12">
        <v>442</v>
      </c>
      <c r="AE14" s="12">
        <v>260</v>
      </c>
      <c r="AF14" s="12">
        <v>212</v>
      </c>
    </row>
    <row r="15" spans="1:32" ht="21.5" x14ac:dyDescent="0.35">
      <c r="A15" s="19"/>
      <c r="B15" s="13" t="s">
        <v>1470</v>
      </c>
      <c r="C15" s="15">
        <v>0.41</v>
      </c>
      <c r="D15" s="15">
        <v>0.52</v>
      </c>
      <c r="E15" s="15">
        <v>0.41</v>
      </c>
      <c r="F15" s="15">
        <v>0.44</v>
      </c>
      <c r="G15" s="15">
        <v>0.19</v>
      </c>
      <c r="H15" s="15">
        <v>0.35</v>
      </c>
      <c r="I15" s="15">
        <v>0.38</v>
      </c>
      <c r="J15" s="15">
        <v>0.5</v>
      </c>
      <c r="K15" s="15">
        <v>0.42</v>
      </c>
      <c r="L15" s="15">
        <v>0.26</v>
      </c>
      <c r="M15" s="15">
        <v>0.49</v>
      </c>
      <c r="N15" s="15">
        <v>0.47</v>
      </c>
      <c r="O15" s="15">
        <v>0.5</v>
      </c>
      <c r="P15" s="15">
        <v>0.28000000000000003</v>
      </c>
      <c r="Q15" s="15">
        <v>0.43</v>
      </c>
      <c r="R15" s="15">
        <v>0.46</v>
      </c>
      <c r="S15" s="15">
        <v>0.33</v>
      </c>
      <c r="T15" s="15">
        <v>0.3</v>
      </c>
      <c r="U15" s="15">
        <v>0.41</v>
      </c>
      <c r="V15" s="15">
        <v>0.34</v>
      </c>
      <c r="W15" s="15">
        <v>0.38</v>
      </c>
      <c r="X15" s="15">
        <v>0.31</v>
      </c>
      <c r="Y15" s="15">
        <v>0.44</v>
      </c>
      <c r="Z15" s="15">
        <v>0.4</v>
      </c>
      <c r="AA15" s="15">
        <v>0.36</v>
      </c>
      <c r="AB15" s="15">
        <v>0.4</v>
      </c>
      <c r="AC15" s="15">
        <v>0.44</v>
      </c>
      <c r="AD15" s="15">
        <v>0.44</v>
      </c>
      <c r="AE15" s="15">
        <v>0.26</v>
      </c>
      <c r="AF15" s="15">
        <v>0.2</v>
      </c>
    </row>
    <row r="16" spans="1:32" x14ac:dyDescent="0.35">
      <c r="A16" s="19"/>
      <c r="B16" s="11" t="s">
        <v>485</v>
      </c>
      <c r="C16" s="12">
        <v>2580</v>
      </c>
      <c r="D16" s="12">
        <v>44</v>
      </c>
      <c r="E16" s="12">
        <v>145</v>
      </c>
      <c r="F16" s="12">
        <v>121</v>
      </c>
      <c r="G16" s="12">
        <v>69</v>
      </c>
      <c r="H16" s="12">
        <v>153</v>
      </c>
      <c r="I16" s="12">
        <v>176</v>
      </c>
      <c r="J16" s="12">
        <v>22</v>
      </c>
      <c r="K16" s="12">
        <v>144</v>
      </c>
      <c r="L16" s="12">
        <v>95</v>
      </c>
      <c r="M16" s="12">
        <v>34</v>
      </c>
      <c r="N16" s="12">
        <v>91</v>
      </c>
      <c r="O16" s="12">
        <v>167</v>
      </c>
      <c r="P16" s="12">
        <v>39</v>
      </c>
      <c r="Q16" s="12">
        <v>77</v>
      </c>
      <c r="R16" s="12">
        <v>54</v>
      </c>
      <c r="S16" s="12">
        <v>134</v>
      </c>
      <c r="T16" s="12">
        <v>118</v>
      </c>
      <c r="U16" s="12">
        <v>42</v>
      </c>
      <c r="V16" s="12">
        <v>55</v>
      </c>
      <c r="W16" s="12">
        <v>24</v>
      </c>
      <c r="X16" s="12">
        <v>45</v>
      </c>
      <c r="Y16" s="12">
        <v>83</v>
      </c>
      <c r="Z16" s="12">
        <v>57</v>
      </c>
      <c r="AA16" s="12">
        <v>172</v>
      </c>
      <c r="AB16" s="12">
        <v>61</v>
      </c>
      <c r="AC16" s="12">
        <v>60</v>
      </c>
      <c r="AD16" s="12">
        <v>35</v>
      </c>
      <c r="AE16" s="12">
        <v>95</v>
      </c>
      <c r="AF16" s="12">
        <v>120</v>
      </c>
    </row>
    <row r="17" spans="1:32" x14ac:dyDescent="0.35">
      <c r="A17" s="19"/>
      <c r="B17" s="13" t="s">
        <v>486</v>
      </c>
      <c r="C17" s="15">
        <v>0.1</v>
      </c>
      <c r="D17" s="15">
        <v>0.04</v>
      </c>
      <c r="E17" s="15">
        <v>0.14000000000000001</v>
      </c>
      <c r="F17" s="15">
        <v>0.11</v>
      </c>
      <c r="G17" s="15">
        <v>7.0000000000000007E-2</v>
      </c>
      <c r="H17" s="15">
        <v>0.13</v>
      </c>
      <c r="I17" s="15">
        <v>0.12</v>
      </c>
      <c r="J17" s="15">
        <v>7.0000000000000007E-2</v>
      </c>
      <c r="K17" s="15">
        <v>0.14000000000000001</v>
      </c>
      <c r="L17" s="15">
        <v>0.09</v>
      </c>
      <c r="M17" s="15">
        <v>0.04</v>
      </c>
      <c r="N17" s="15">
        <v>0.09</v>
      </c>
      <c r="O17" s="15">
        <v>0.17</v>
      </c>
      <c r="P17" s="15">
        <v>0.04</v>
      </c>
      <c r="Q17" s="15">
        <v>0.08</v>
      </c>
      <c r="R17" s="15">
        <v>0.11</v>
      </c>
      <c r="S17" s="15">
        <v>0.14000000000000001</v>
      </c>
      <c r="T17" s="15">
        <v>0.12</v>
      </c>
      <c r="U17" s="15">
        <v>0.09</v>
      </c>
      <c r="V17" s="15">
        <v>0.05</v>
      </c>
      <c r="W17" s="15">
        <v>0.05</v>
      </c>
      <c r="X17" s="15">
        <v>0.04</v>
      </c>
      <c r="Y17" s="15">
        <v>0.08</v>
      </c>
      <c r="Z17" s="15">
        <v>0.06</v>
      </c>
      <c r="AA17" s="15">
        <v>0.17</v>
      </c>
      <c r="AB17" s="15">
        <v>0.06</v>
      </c>
      <c r="AC17" s="15">
        <v>0.06</v>
      </c>
      <c r="AD17" s="15">
        <v>0.03</v>
      </c>
      <c r="AE17" s="15">
        <v>0.09</v>
      </c>
      <c r="AF17" s="15">
        <v>0.12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Q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363</v>
      </c>
      <c r="C3" s="18"/>
      <c r="D3" s="18"/>
      <c r="E3" s="18"/>
      <c r="F3" s="18"/>
      <c r="H3" s="18" t="s">
        <v>364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HYPERLINK("#Content!A184","&lt;&lt;Back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1471</v>
      </c>
      <c r="C12" s="12">
        <v>3243</v>
      </c>
      <c r="D12" s="12">
        <v>141</v>
      </c>
      <c r="E12" s="12">
        <v>110</v>
      </c>
      <c r="F12" s="12">
        <v>133</v>
      </c>
      <c r="G12" s="12">
        <v>103</v>
      </c>
      <c r="H12" s="12">
        <v>145</v>
      </c>
      <c r="I12" s="12">
        <v>176</v>
      </c>
      <c r="J12" s="12">
        <v>31</v>
      </c>
      <c r="K12" s="12">
        <v>124</v>
      </c>
      <c r="L12" s="12">
        <v>156</v>
      </c>
      <c r="M12" s="12">
        <v>121</v>
      </c>
      <c r="N12" s="12">
        <v>125</v>
      </c>
      <c r="O12" s="12">
        <v>145</v>
      </c>
      <c r="P12" s="12">
        <v>119</v>
      </c>
      <c r="Q12" s="12">
        <v>116</v>
      </c>
      <c r="R12" s="12">
        <v>61</v>
      </c>
      <c r="S12" s="12">
        <v>120</v>
      </c>
      <c r="T12" s="12">
        <v>112</v>
      </c>
      <c r="U12" s="12">
        <v>66</v>
      </c>
      <c r="V12" s="12">
        <v>125</v>
      </c>
      <c r="W12" s="12">
        <v>56</v>
      </c>
      <c r="X12" s="12">
        <v>146</v>
      </c>
      <c r="Y12" s="12">
        <v>122</v>
      </c>
      <c r="Z12" s="12">
        <v>119</v>
      </c>
      <c r="AA12" s="12">
        <v>122</v>
      </c>
      <c r="AB12" s="12">
        <v>136</v>
      </c>
      <c r="AC12" s="12">
        <v>115</v>
      </c>
      <c r="AD12" s="12">
        <v>117</v>
      </c>
      <c r="AE12" s="12">
        <v>132</v>
      </c>
      <c r="AF12" s="12">
        <v>60</v>
      </c>
      <c r="AG12" s="12">
        <v>199</v>
      </c>
      <c r="AH12" s="12">
        <v>139</v>
      </c>
      <c r="AI12" s="12">
        <v>64</v>
      </c>
      <c r="AJ12" s="12">
        <v>123</v>
      </c>
      <c r="AK12" s="12">
        <v>162</v>
      </c>
      <c r="AL12" s="12">
        <v>123</v>
      </c>
      <c r="AM12" s="12">
        <v>149</v>
      </c>
      <c r="AN12" s="12">
        <v>158</v>
      </c>
      <c r="AO12" s="12">
        <v>208</v>
      </c>
      <c r="AP12" s="12">
        <v>121</v>
      </c>
      <c r="AQ12" s="12">
        <v>141</v>
      </c>
    </row>
    <row r="13" spans="1:43" x14ac:dyDescent="0.35">
      <c r="A13" s="19"/>
      <c r="B13" s="13" t="s">
        <v>1471</v>
      </c>
      <c r="C13" s="15">
        <v>0.12</v>
      </c>
      <c r="D13" s="15">
        <v>0.14000000000000001</v>
      </c>
      <c r="E13" s="15">
        <v>0.11</v>
      </c>
      <c r="F13" s="15">
        <v>0.12</v>
      </c>
      <c r="G13" s="15">
        <v>0.1</v>
      </c>
      <c r="H13" s="15">
        <v>0.12</v>
      </c>
      <c r="I13" s="15">
        <v>0.12</v>
      </c>
      <c r="J13" s="15">
        <v>0.11</v>
      </c>
      <c r="K13" s="15">
        <v>0.12</v>
      </c>
      <c r="L13" s="15">
        <v>0.16</v>
      </c>
      <c r="M13" s="15">
        <v>0.12</v>
      </c>
      <c r="N13" s="15">
        <v>0.12</v>
      </c>
      <c r="O13" s="15">
        <v>0.14000000000000001</v>
      </c>
      <c r="P13" s="15">
        <v>0.12</v>
      </c>
      <c r="Q13" s="15">
        <v>0.11</v>
      </c>
      <c r="R13" s="15">
        <v>0.12</v>
      </c>
      <c r="S13" s="15">
        <v>0.12</v>
      </c>
      <c r="T13" s="15">
        <v>0.11</v>
      </c>
      <c r="U13" s="15">
        <v>0.13</v>
      </c>
      <c r="V13" s="15">
        <v>0.12</v>
      </c>
      <c r="W13" s="15">
        <v>0.11</v>
      </c>
      <c r="X13" s="15">
        <v>0.15</v>
      </c>
      <c r="Y13" s="15">
        <v>0.12</v>
      </c>
      <c r="Z13" s="15">
        <v>0.12</v>
      </c>
      <c r="AA13" s="15">
        <v>0.12</v>
      </c>
      <c r="AB13" s="15">
        <v>0.13</v>
      </c>
      <c r="AC13" s="15">
        <v>0.11</v>
      </c>
      <c r="AD13" s="15">
        <v>0.12</v>
      </c>
      <c r="AE13" s="15">
        <v>0.13</v>
      </c>
      <c r="AF13" s="15">
        <v>0.06</v>
      </c>
      <c r="AG13" s="15">
        <v>0.19</v>
      </c>
      <c r="AH13" s="15">
        <v>0.14000000000000001</v>
      </c>
      <c r="AI13" s="15">
        <v>0.12</v>
      </c>
      <c r="AJ13" s="15">
        <v>0.12</v>
      </c>
      <c r="AK13" s="15">
        <v>0.16</v>
      </c>
      <c r="AL13" s="15">
        <v>0.12</v>
      </c>
      <c r="AM13" s="15">
        <v>0.14000000000000001</v>
      </c>
      <c r="AN13" s="15">
        <v>0.16</v>
      </c>
      <c r="AO13" s="15">
        <v>0.21</v>
      </c>
      <c r="AP13" s="15">
        <v>0.23</v>
      </c>
      <c r="AQ13" s="15">
        <v>0.14000000000000001</v>
      </c>
    </row>
    <row r="14" spans="1:43" x14ac:dyDescent="0.35">
      <c r="A14" s="19"/>
      <c r="B14" s="11" t="s">
        <v>1472</v>
      </c>
      <c r="C14" s="12">
        <v>5684</v>
      </c>
      <c r="D14" s="12">
        <v>235</v>
      </c>
      <c r="E14" s="12">
        <v>198</v>
      </c>
      <c r="F14" s="12">
        <v>240</v>
      </c>
      <c r="G14" s="12">
        <v>246</v>
      </c>
      <c r="H14" s="12">
        <v>274</v>
      </c>
      <c r="I14" s="12">
        <v>335</v>
      </c>
      <c r="J14" s="12">
        <v>60</v>
      </c>
      <c r="K14" s="12">
        <v>237</v>
      </c>
      <c r="L14" s="12">
        <v>240</v>
      </c>
      <c r="M14" s="12">
        <v>189</v>
      </c>
      <c r="N14" s="12">
        <v>203</v>
      </c>
      <c r="O14" s="12">
        <v>215</v>
      </c>
      <c r="P14" s="12">
        <v>212</v>
      </c>
      <c r="Q14" s="12">
        <v>190</v>
      </c>
      <c r="R14" s="12">
        <v>140</v>
      </c>
      <c r="S14" s="12">
        <v>221</v>
      </c>
      <c r="T14" s="12">
        <v>238</v>
      </c>
      <c r="U14" s="12">
        <v>142</v>
      </c>
      <c r="V14" s="12">
        <v>222</v>
      </c>
      <c r="W14" s="12">
        <v>164</v>
      </c>
      <c r="X14" s="12">
        <v>233</v>
      </c>
      <c r="Y14" s="12">
        <v>237</v>
      </c>
      <c r="Z14" s="12">
        <v>244</v>
      </c>
      <c r="AA14" s="12">
        <v>200</v>
      </c>
      <c r="AB14" s="12">
        <v>224</v>
      </c>
      <c r="AC14" s="12">
        <v>209</v>
      </c>
      <c r="AD14" s="12">
        <v>241</v>
      </c>
      <c r="AE14" s="12">
        <v>231</v>
      </c>
      <c r="AF14" s="12">
        <v>262</v>
      </c>
      <c r="AG14" s="12">
        <v>295</v>
      </c>
      <c r="AH14" s="12">
        <v>240</v>
      </c>
      <c r="AI14" s="12">
        <v>149</v>
      </c>
      <c r="AJ14" s="12">
        <v>219</v>
      </c>
      <c r="AK14" s="12">
        <v>268</v>
      </c>
      <c r="AL14" s="12">
        <v>270</v>
      </c>
      <c r="AM14" s="12">
        <v>253</v>
      </c>
      <c r="AN14" s="12">
        <v>253</v>
      </c>
      <c r="AO14" s="12">
        <v>265</v>
      </c>
      <c r="AP14" s="12">
        <v>179</v>
      </c>
      <c r="AQ14" s="12">
        <v>260</v>
      </c>
    </row>
    <row r="15" spans="1:43" x14ac:dyDescent="0.35">
      <c r="A15" s="19"/>
      <c r="B15" s="13" t="s">
        <v>1472</v>
      </c>
      <c r="C15" s="15">
        <v>0.21</v>
      </c>
      <c r="D15" s="15">
        <v>0.23</v>
      </c>
      <c r="E15" s="15">
        <v>0.19</v>
      </c>
      <c r="F15" s="15">
        <v>0.22</v>
      </c>
      <c r="G15" s="15">
        <v>0.25</v>
      </c>
      <c r="H15" s="15">
        <v>0.22</v>
      </c>
      <c r="I15" s="15">
        <v>0.22</v>
      </c>
      <c r="J15" s="15">
        <v>0.2</v>
      </c>
      <c r="K15" s="15">
        <v>0.24</v>
      </c>
      <c r="L15" s="15">
        <v>0.24</v>
      </c>
      <c r="M15" s="15">
        <v>0.19</v>
      </c>
      <c r="N15" s="15">
        <v>0.2</v>
      </c>
      <c r="O15" s="15">
        <v>0.22</v>
      </c>
      <c r="P15" s="15">
        <v>0.21</v>
      </c>
      <c r="Q15" s="15">
        <v>0.19</v>
      </c>
      <c r="R15" s="15">
        <v>0.28000000000000003</v>
      </c>
      <c r="S15" s="15">
        <v>0.22</v>
      </c>
      <c r="T15" s="15">
        <v>0.24</v>
      </c>
      <c r="U15" s="15">
        <v>0.28000000000000003</v>
      </c>
      <c r="V15" s="15">
        <v>0.22</v>
      </c>
      <c r="W15" s="15">
        <v>0.32</v>
      </c>
      <c r="X15" s="15">
        <v>0.23</v>
      </c>
      <c r="Y15" s="15">
        <v>0.24</v>
      </c>
      <c r="Z15" s="15">
        <v>0.24</v>
      </c>
      <c r="AA15" s="15">
        <v>0.19</v>
      </c>
      <c r="AB15" s="15">
        <v>0.21</v>
      </c>
      <c r="AC15" s="15">
        <v>0.21</v>
      </c>
      <c r="AD15" s="15">
        <v>0.24</v>
      </c>
      <c r="AE15" s="15">
        <v>0.23</v>
      </c>
      <c r="AF15" s="15">
        <v>0.25</v>
      </c>
      <c r="AG15" s="15">
        <v>0.28999999999999998</v>
      </c>
      <c r="AH15" s="15">
        <v>0.23</v>
      </c>
      <c r="AI15" s="15">
        <v>0.28000000000000003</v>
      </c>
      <c r="AJ15" s="15">
        <v>0.21</v>
      </c>
      <c r="AK15" s="15">
        <v>0.27</v>
      </c>
      <c r="AL15" s="15">
        <v>0.27</v>
      </c>
      <c r="AM15" s="15">
        <v>0.24</v>
      </c>
      <c r="AN15" s="15">
        <v>0.25</v>
      </c>
      <c r="AO15" s="15">
        <v>0.26</v>
      </c>
      <c r="AP15" s="15">
        <v>0.34</v>
      </c>
      <c r="AQ15" s="15">
        <v>0.26</v>
      </c>
    </row>
    <row r="16" spans="1:43" x14ac:dyDescent="0.35">
      <c r="A16" s="19"/>
      <c r="B16" s="11" t="s">
        <v>1473</v>
      </c>
      <c r="C16" s="12">
        <v>6488</v>
      </c>
      <c r="D16" s="12">
        <v>236</v>
      </c>
      <c r="E16" s="12">
        <v>269</v>
      </c>
      <c r="F16" s="12">
        <v>305</v>
      </c>
      <c r="G16" s="12">
        <v>233</v>
      </c>
      <c r="H16" s="12">
        <v>270</v>
      </c>
      <c r="I16" s="12">
        <v>335</v>
      </c>
      <c r="J16" s="12">
        <v>65</v>
      </c>
      <c r="K16" s="12">
        <v>248</v>
      </c>
      <c r="L16" s="12">
        <v>274</v>
      </c>
      <c r="M16" s="12">
        <v>264</v>
      </c>
      <c r="N16" s="12">
        <v>276</v>
      </c>
      <c r="O16" s="12">
        <v>230</v>
      </c>
      <c r="P16" s="12">
        <v>238</v>
      </c>
      <c r="Q16" s="12">
        <v>254</v>
      </c>
      <c r="R16" s="12">
        <v>125</v>
      </c>
      <c r="S16" s="12">
        <v>244</v>
      </c>
      <c r="T16" s="12">
        <v>242</v>
      </c>
      <c r="U16" s="12">
        <v>130</v>
      </c>
      <c r="V16" s="12">
        <v>279</v>
      </c>
      <c r="W16" s="12">
        <v>121</v>
      </c>
      <c r="X16" s="12">
        <v>223</v>
      </c>
      <c r="Y16" s="12">
        <v>237</v>
      </c>
      <c r="Z16" s="12">
        <v>272</v>
      </c>
      <c r="AA16" s="12">
        <v>259</v>
      </c>
      <c r="AB16" s="12">
        <v>283</v>
      </c>
      <c r="AC16" s="12">
        <v>259</v>
      </c>
      <c r="AD16" s="12">
        <v>277</v>
      </c>
      <c r="AE16" s="12">
        <v>218</v>
      </c>
      <c r="AF16" s="12">
        <v>260</v>
      </c>
      <c r="AG16" s="12">
        <v>273</v>
      </c>
      <c r="AH16" s="12">
        <v>252</v>
      </c>
      <c r="AI16" s="12">
        <v>150</v>
      </c>
      <c r="AJ16" s="12">
        <v>257</v>
      </c>
      <c r="AK16" s="12">
        <v>220</v>
      </c>
      <c r="AL16" s="12">
        <v>250</v>
      </c>
      <c r="AM16" s="12">
        <v>239</v>
      </c>
      <c r="AN16" s="12">
        <v>261</v>
      </c>
      <c r="AO16" s="12">
        <v>251</v>
      </c>
      <c r="AP16" s="12">
        <v>117</v>
      </c>
      <c r="AQ16" s="12">
        <v>239</v>
      </c>
    </row>
    <row r="17" spans="1:43" x14ac:dyDescent="0.35">
      <c r="A17" s="19"/>
      <c r="B17" s="13" t="s">
        <v>1473</v>
      </c>
      <c r="C17" s="15">
        <v>0.25</v>
      </c>
      <c r="D17" s="15">
        <v>0.23</v>
      </c>
      <c r="E17" s="15">
        <v>0.26</v>
      </c>
      <c r="F17" s="15">
        <v>0.28000000000000003</v>
      </c>
      <c r="G17" s="15">
        <v>0.23</v>
      </c>
      <c r="H17" s="15">
        <v>0.22</v>
      </c>
      <c r="I17" s="15">
        <v>0.22</v>
      </c>
      <c r="J17" s="15">
        <v>0.22</v>
      </c>
      <c r="K17" s="15">
        <v>0.25</v>
      </c>
      <c r="L17" s="15">
        <v>0.27</v>
      </c>
      <c r="M17" s="15">
        <v>0.26</v>
      </c>
      <c r="N17" s="15">
        <v>0.28000000000000003</v>
      </c>
      <c r="O17" s="15">
        <v>0.23</v>
      </c>
      <c r="P17" s="15">
        <v>0.24</v>
      </c>
      <c r="Q17" s="15">
        <v>0.25</v>
      </c>
      <c r="R17" s="15">
        <v>0.25</v>
      </c>
      <c r="S17" s="15">
        <v>0.24</v>
      </c>
      <c r="T17" s="15">
        <v>0.24</v>
      </c>
      <c r="U17" s="15">
        <v>0.26</v>
      </c>
      <c r="V17" s="15">
        <v>0.28000000000000003</v>
      </c>
      <c r="W17" s="15">
        <v>0.24</v>
      </c>
      <c r="X17" s="15">
        <v>0.22</v>
      </c>
      <c r="Y17" s="15">
        <v>0.24</v>
      </c>
      <c r="Z17" s="15">
        <v>0.26</v>
      </c>
      <c r="AA17" s="15">
        <v>0.25</v>
      </c>
      <c r="AB17" s="15">
        <v>0.27</v>
      </c>
      <c r="AC17" s="15">
        <v>0.26</v>
      </c>
      <c r="AD17" s="15">
        <v>0.27</v>
      </c>
      <c r="AE17" s="15">
        <v>0.22</v>
      </c>
      <c r="AF17" s="15">
        <v>0.25</v>
      </c>
      <c r="AG17" s="15">
        <v>0.26</v>
      </c>
      <c r="AH17" s="15">
        <v>0.25</v>
      </c>
      <c r="AI17" s="15">
        <v>0.28999999999999998</v>
      </c>
      <c r="AJ17" s="15">
        <v>0.25</v>
      </c>
      <c r="AK17" s="15">
        <v>0.22</v>
      </c>
      <c r="AL17" s="15">
        <v>0.25</v>
      </c>
      <c r="AM17" s="15">
        <v>0.23</v>
      </c>
      <c r="AN17" s="15">
        <v>0.26</v>
      </c>
      <c r="AO17" s="15">
        <v>0.25</v>
      </c>
      <c r="AP17" s="15">
        <v>0.23</v>
      </c>
      <c r="AQ17" s="15">
        <v>0.24</v>
      </c>
    </row>
    <row r="18" spans="1:43" x14ac:dyDescent="0.35">
      <c r="A18" s="19"/>
      <c r="B18" s="11" t="s">
        <v>1474</v>
      </c>
      <c r="C18" s="12">
        <v>11029</v>
      </c>
      <c r="D18" s="12">
        <v>401</v>
      </c>
      <c r="E18" s="12">
        <v>453</v>
      </c>
      <c r="F18" s="12">
        <v>424</v>
      </c>
      <c r="G18" s="12">
        <v>424</v>
      </c>
      <c r="H18" s="12">
        <v>531</v>
      </c>
      <c r="I18" s="12">
        <v>671</v>
      </c>
      <c r="J18" s="12">
        <v>139</v>
      </c>
      <c r="K18" s="12">
        <v>393</v>
      </c>
      <c r="L18" s="12">
        <v>333</v>
      </c>
      <c r="M18" s="12">
        <v>437</v>
      </c>
      <c r="N18" s="12">
        <v>400</v>
      </c>
      <c r="O18" s="12">
        <v>411</v>
      </c>
      <c r="P18" s="12">
        <v>435</v>
      </c>
      <c r="Q18" s="12">
        <v>466</v>
      </c>
      <c r="R18" s="12">
        <v>178</v>
      </c>
      <c r="S18" s="12">
        <v>418</v>
      </c>
      <c r="T18" s="12">
        <v>414</v>
      </c>
      <c r="U18" s="12">
        <v>166</v>
      </c>
      <c r="V18" s="12">
        <v>389</v>
      </c>
      <c r="W18" s="12">
        <v>167</v>
      </c>
      <c r="X18" s="12">
        <v>407</v>
      </c>
      <c r="Y18" s="12">
        <v>407</v>
      </c>
      <c r="Z18" s="12">
        <v>396</v>
      </c>
      <c r="AA18" s="12">
        <v>452</v>
      </c>
      <c r="AB18" s="12">
        <v>407</v>
      </c>
      <c r="AC18" s="12">
        <v>421</v>
      </c>
      <c r="AD18" s="12">
        <v>370</v>
      </c>
      <c r="AE18" s="12">
        <v>430</v>
      </c>
      <c r="AF18" s="12">
        <v>461</v>
      </c>
      <c r="AG18" s="12">
        <v>268</v>
      </c>
      <c r="AH18" s="12">
        <v>382</v>
      </c>
      <c r="AI18" s="12">
        <v>161</v>
      </c>
      <c r="AJ18" s="12">
        <v>438</v>
      </c>
      <c r="AK18" s="12">
        <v>357</v>
      </c>
      <c r="AL18" s="12">
        <v>369</v>
      </c>
      <c r="AM18" s="12">
        <v>399</v>
      </c>
      <c r="AN18" s="12">
        <v>330</v>
      </c>
      <c r="AO18" s="12">
        <v>282</v>
      </c>
      <c r="AP18" s="12">
        <v>106</v>
      </c>
      <c r="AQ18" s="12">
        <v>363</v>
      </c>
    </row>
    <row r="19" spans="1:43" x14ac:dyDescent="0.35">
      <c r="A19" s="19"/>
      <c r="B19" s="13" t="s">
        <v>1474</v>
      </c>
      <c r="C19" s="15">
        <v>0.42</v>
      </c>
      <c r="D19" s="15">
        <v>0.4</v>
      </c>
      <c r="E19" s="15">
        <v>0.44</v>
      </c>
      <c r="F19" s="15">
        <v>0.38</v>
      </c>
      <c r="G19" s="15">
        <v>0.42</v>
      </c>
      <c r="H19" s="15">
        <v>0.44</v>
      </c>
      <c r="I19" s="15">
        <v>0.44</v>
      </c>
      <c r="J19" s="15">
        <v>0.47</v>
      </c>
      <c r="K19" s="15">
        <v>0.39</v>
      </c>
      <c r="L19" s="15">
        <v>0.33</v>
      </c>
      <c r="M19" s="15">
        <v>0.43</v>
      </c>
      <c r="N19" s="15">
        <v>0.4</v>
      </c>
      <c r="O19" s="15">
        <v>0.41</v>
      </c>
      <c r="P19" s="15">
        <v>0.43</v>
      </c>
      <c r="Q19" s="15">
        <v>0.45</v>
      </c>
      <c r="R19" s="15">
        <v>0.35</v>
      </c>
      <c r="S19" s="15">
        <v>0.42</v>
      </c>
      <c r="T19" s="15">
        <v>0.41</v>
      </c>
      <c r="U19" s="15">
        <v>0.33</v>
      </c>
      <c r="V19" s="15">
        <v>0.38</v>
      </c>
      <c r="W19" s="15">
        <v>0.33</v>
      </c>
      <c r="X19" s="15">
        <v>0.4</v>
      </c>
      <c r="Y19" s="15">
        <v>0.4</v>
      </c>
      <c r="Z19" s="15">
        <v>0.38</v>
      </c>
      <c r="AA19" s="15">
        <v>0.44</v>
      </c>
      <c r="AB19" s="15">
        <v>0.39</v>
      </c>
      <c r="AC19" s="15">
        <v>0.42</v>
      </c>
      <c r="AD19" s="15">
        <v>0.37</v>
      </c>
      <c r="AE19" s="15">
        <v>0.42</v>
      </c>
      <c r="AF19" s="15">
        <v>0.44</v>
      </c>
      <c r="AG19" s="15">
        <v>0.26</v>
      </c>
      <c r="AH19" s="15">
        <v>0.38</v>
      </c>
      <c r="AI19" s="15">
        <v>0.31</v>
      </c>
      <c r="AJ19" s="15">
        <v>0.42</v>
      </c>
      <c r="AK19" s="15">
        <v>0.35</v>
      </c>
      <c r="AL19" s="15">
        <v>0.36</v>
      </c>
      <c r="AM19" s="15">
        <v>0.39</v>
      </c>
      <c r="AN19" s="15">
        <v>0.33</v>
      </c>
      <c r="AO19" s="15">
        <v>0.28000000000000003</v>
      </c>
      <c r="AP19" s="15">
        <v>0.2</v>
      </c>
      <c r="AQ19" s="15">
        <v>0.36</v>
      </c>
    </row>
    <row r="20" spans="1:43" x14ac:dyDescent="0.35">
      <c r="A20" s="19"/>
      <c r="B20" s="11" t="s">
        <v>1475</v>
      </c>
      <c r="C20" s="12">
        <v>49.36</v>
      </c>
      <c r="D20" s="12">
        <v>48.13</v>
      </c>
      <c r="E20" s="12">
        <v>50.19</v>
      </c>
      <c r="F20" s="12">
        <v>48.45</v>
      </c>
      <c r="G20" s="12">
        <v>50.46</v>
      </c>
      <c r="H20" s="12">
        <v>50.02</v>
      </c>
      <c r="I20" s="12">
        <v>50.25</v>
      </c>
      <c r="J20" s="12">
        <v>51.19</v>
      </c>
      <c r="K20" s="12">
        <v>48.61</v>
      </c>
      <c r="L20" s="12">
        <v>46.36</v>
      </c>
      <c r="M20" s="12">
        <v>50.02</v>
      </c>
      <c r="N20" s="12">
        <v>49.23</v>
      </c>
      <c r="O20" s="12">
        <v>48.91</v>
      </c>
      <c r="P20" s="12">
        <v>48.96</v>
      </c>
      <c r="Q20" s="12">
        <v>50.36</v>
      </c>
      <c r="R20" s="12">
        <v>46.97</v>
      </c>
      <c r="S20" s="12">
        <v>49.66</v>
      </c>
      <c r="T20" s="12">
        <v>49.44</v>
      </c>
      <c r="U20" s="12">
        <v>46.13</v>
      </c>
      <c r="V20" s="12">
        <v>48.65</v>
      </c>
      <c r="W20" s="12">
        <v>46.05</v>
      </c>
      <c r="X20" s="12">
        <v>47.79</v>
      </c>
      <c r="Y20" s="12">
        <v>48.38</v>
      </c>
      <c r="Z20" s="12">
        <v>48.42</v>
      </c>
      <c r="AA20" s="12">
        <v>50.3</v>
      </c>
      <c r="AB20" s="12">
        <v>48.08</v>
      </c>
      <c r="AC20" s="12">
        <v>50.16</v>
      </c>
      <c r="AD20" s="12">
        <v>47.31</v>
      </c>
      <c r="AE20" s="12">
        <v>49.34</v>
      </c>
      <c r="AF20" s="12">
        <v>52.32</v>
      </c>
      <c r="AG20" s="12">
        <v>41.36</v>
      </c>
      <c r="AH20" s="12">
        <v>47.15</v>
      </c>
      <c r="AI20" s="12">
        <v>44.15</v>
      </c>
      <c r="AJ20" s="12">
        <v>48.94</v>
      </c>
      <c r="AK20" s="12">
        <v>45.43</v>
      </c>
      <c r="AL20" s="12">
        <v>46.55</v>
      </c>
      <c r="AM20" s="12">
        <v>48.01</v>
      </c>
      <c r="AN20" s="12">
        <v>44.23</v>
      </c>
      <c r="AO20" s="12">
        <v>42.46</v>
      </c>
      <c r="AP20" s="12">
        <v>39.33</v>
      </c>
      <c r="AQ20" s="12">
        <v>46.6</v>
      </c>
    </row>
    <row r="21" spans="1:43" x14ac:dyDescent="0.35">
      <c r="A21" s="19"/>
      <c r="B21" s="13" t="s">
        <v>1476</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sheetData>
  <mergeCells count="9">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365</v>
      </c>
      <c r="C3" s="18"/>
      <c r="D3" s="18"/>
      <c r="E3" s="18"/>
      <c r="F3" s="18"/>
      <c r="H3" s="18" t="s">
        <v>366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HYPERLINK("#Content!A185","&lt;&lt;Back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1471</v>
      </c>
      <c r="C12" s="12">
        <v>3243</v>
      </c>
      <c r="D12" s="12">
        <v>141</v>
      </c>
      <c r="E12" s="12">
        <v>110</v>
      </c>
      <c r="F12" s="12">
        <v>133</v>
      </c>
      <c r="G12" s="12">
        <v>103</v>
      </c>
      <c r="H12" s="12">
        <v>145</v>
      </c>
      <c r="I12" s="12">
        <v>176</v>
      </c>
      <c r="J12" s="12">
        <v>31</v>
      </c>
      <c r="K12" s="12">
        <v>124</v>
      </c>
      <c r="L12" s="12">
        <v>156</v>
      </c>
      <c r="M12" s="12">
        <v>121</v>
      </c>
      <c r="N12" s="12">
        <v>125</v>
      </c>
      <c r="O12" s="12">
        <v>145</v>
      </c>
      <c r="P12" s="12">
        <v>119</v>
      </c>
      <c r="Q12" s="12">
        <v>116</v>
      </c>
      <c r="R12" s="12">
        <v>61</v>
      </c>
      <c r="S12" s="12">
        <v>120</v>
      </c>
      <c r="T12" s="12">
        <v>112</v>
      </c>
      <c r="U12" s="12">
        <v>66</v>
      </c>
      <c r="V12" s="12">
        <v>125</v>
      </c>
      <c r="W12" s="12">
        <v>56</v>
      </c>
      <c r="X12" s="12">
        <v>146</v>
      </c>
      <c r="Y12" s="12">
        <v>122</v>
      </c>
      <c r="Z12" s="12">
        <v>119</v>
      </c>
      <c r="AA12" s="12">
        <v>122</v>
      </c>
      <c r="AB12" s="12">
        <v>136</v>
      </c>
      <c r="AC12" s="12">
        <v>115</v>
      </c>
      <c r="AD12" s="12">
        <v>117</v>
      </c>
      <c r="AE12" s="12">
        <v>132</v>
      </c>
      <c r="AF12" s="12">
        <v>60</v>
      </c>
      <c r="AG12" s="12">
        <v>199</v>
      </c>
      <c r="AH12" s="12">
        <v>139</v>
      </c>
      <c r="AI12" s="12">
        <v>64</v>
      </c>
      <c r="AJ12" s="12">
        <v>123</v>
      </c>
      <c r="AK12" s="12">
        <v>162</v>
      </c>
      <c r="AL12" s="12">
        <v>123</v>
      </c>
      <c r="AM12" s="12">
        <v>149</v>
      </c>
      <c r="AN12" s="12">
        <v>158</v>
      </c>
      <c r="AO12" s="12">
        <v>208</v>
      </c>
      <c r="AP12" s="12">
        <v>121</v>
      </c>
      <c r="AQ12" s="12">
        <v>141</v>
      </c>
    </row>
    <row r="13" spans="1:43" x14ac:dyDescent="0.35">
      <c r="A13" s="19"/>
      <c r="B13" s="13" t="s">
        <v>1471</v>
      </c>
      <c r="C13" s="15">
        <v>0.12</v>
      </c>
      <c r="D13" s="15">
        <v>0.14000000000000001</v>
      </c>
      <c r="E13" s="15">
        <v>0.11</v>
      </c>
      <c r="F13" s="15">
        <v>0.12</v>
      </c>
      <c r="G13" s="15">
        <v>0.1</v>
      </c>
      <c r="H13" s="15">
        <v>0.12</v>
      </c>
      <c r="I13" s="15">
        <v>0.12</v>
      </c>
      <c r="J13" s="15">
        <v>0.1</v>
      </c>
      <c r="K13" s="15">
        <v>0.12</v>
      </c>
      <c r="L13" s="15">
        <v>0.16</v>
      </c>
      <c r="M13" s="15">
        <v>0.12</v>
      </c>
      <c r="N13" s="15">
        <v>0.12</v>
      </c>
      <c r="O13" s="15">
        <v>0.14000000000000001</v>
      </c>
      <c r="P13" s="15">
        <v>0.12</v>
      </c>
      <c r="Q13" s="15">
        <v>0.11</v>
      </c>
      <c r="R13" s="15">
        <v>0.12</v>
      </c>
      <c r="S13" s="15">
        <v>0.12</v>
      </c>
      <c r="T13" s="15">
        <v>0.11</v>
      </c>
      <c r="U13" s="15">
        <v>0.13</v>
      </c>
      <c r="V13" s="15">
        <v>0.12</v>
      </c>
      <c r="W13" s="15">
        <v>0.11</v>
      </c>
      <c r="X13" s="15">
        <v>0.14000000000000001</v>
      </c>
      <c r="Y13" s="15">
        <v>0.12</v>
      </c>
      <c r="Z13" s="15">
        <v>0.12</v>
      </c>
      <c r="AA13" s="15">
        <v>0.12</v>
      </c>
      <c r="AB13" s="15">
        <v>0.13</v>
      </c>
      <c r="AC13" s="15">
        <v>0.12</v>
      </c>
      <c r="AD13" s="15">
        <v>0.12</v>
      </c>
      <c r="AE13" s="15">
        <v>0.13</v>
      </c>
      <c r="AF13" s="15">
        <v>0.06</v>
      </c>
      <c r="AG13" s="15">
        <v>0.19</v>
      </c>
      <c r="AH13" s="15">
        <v>0.14000000000000001</v>
      </c>
      <c r="AI13" s="15">
        <v>0.12</v>
      </c>
      <c r="AJ13" s="15">
        <v>0.12</v>
      </c>
      <c r="AK13" s="15">
        <v>0.16</v>
      </c>
      <c r="AL13" s="15">
        <v>0.12</v>
      </c>
      <c r="AM13" s="15">
        <v>0.14000000000000001</v>
      </c>
      <c r="AN13" s="15">
        <v>0.16</v>
      </c>
      <c r="AO13" s="15">
        <v>0.21</v>
      </c>
      <c r="AP13" s="15">
        <v>0.23</v>
      </c>
      <c r="AQ13" s="15">
        <v>0.14000000000000001</v>
      </c>
    </row>
    <row r="14" spans="1:43" x14ac:dyDescent="0.35">
      <c r="A14" s="19"/>
      <c r="B14" s="11" t="s">
        <v>1477</v>
      </c>
      <c r="C14" s="12">
        <v>3478</v>
      </c>
      <c r="D14" s="12">
        <v>142</v>
      </c>
      <c r="E14" s="12">
        <v>119</v>
      </c>
      <c r="F14" s="12">
        <v>150</v>
      </c>
      <c r="G14" s="12">
        <v>135</v>
      </c>
      <c r="H14" s="12">
        <v>179</v>
      </c>
      <c r="I14" s="12">
        <v>214</v>
      </c>
      <c r="J14" s="12">
        <v>35</v>
      </c>
      <c r="K14" s="12">
        <v>127</v>
      </c>
      <c r="L14" s="12">
        <v>137</v>
      </c>
      <c r="M14" s="12">
        <v>119</v>
      </c>
      <c r="N14" s="12">
        <v>126</v>
      </c>
      <c r="O14" s="12">
        <v>132</v>
      </c>
      <c r="P14" s="12">
        <v>147</v>
      </c>
      <c r="Q14" s="12">
        <v>107</v>
      </c>
      <c r="R14" s="12">
        <v>86</v>
      </c>
      <c r="S14" s="12">
        <v>135</v>
      </c>
      <c r="T14" s="12">
        <v>144</v>
      </c>
      <c r="U14" s="12">
        <v>79</v>
      </c>
      <c r="V14" s="12">
        <v>134</v>
      </c>
      <c r="W14" s="12">
        <v>109</v>
      </c>
      <c r="X14" s="12">
        <v>171</v>
      </c>
      <c r="Y14" s="12">
        <v>146</v>
      </c>
      <c r="Z14" s="12">
        <v>144</v>
      </c>
      <c r="AA14" s="12">
        <v>119</v>
      </c>
      <c r="AB14" s="12">
        <v>141</v>
      </c>
      <c r="AC14" s="12">
        <v>122</v>
      </c>
      <c r="AD14" s="12">
        <v>144</v>
      </c>
      <c r="AE14" s="12">
        <v>144</v>
      </c>
      <c r="AF14" s="12">
        <v>128</v>
      </c>
      <c r="AG14" s="12">
        <v>206</v>
      </c>
      <c r="AH14" s="12">
        <v>135</v>
      </c>
      <c r="AI14" s="12">
        <v>85</v>
      </c>
      <c r="AJ14" s="12">
        <v>135</v>
      </c>
      <c r="AK14" s="12">
        <v>161</v>
      </c>
      <c r="AL14" s="12">
        <v>164</v>
      </c>
      <c r="AM14" s="12">
        <v>165</v>
      </c>
      <c r="AN14" s="12">
        <v>188</v>
      </c>
      <c r="AO14" s="12">
        <v>175</v>
      </c>
      <c r="AP14" s="12">
        <v>125</v>
      </c>
      <c r="AQ14" s="12">
        <v>147</v>
      </c>
    </row>
    <row r="15" spans="1:43" x14ac:dyDescent="0.35">
      <c r="A15" s="19"/>
      <c r="B15" s="13" t="s">
        <v>1477</v>
      </c>
      <c r="C15" s="15">
        <v>0.13</v>
      </c>
      <c r="D15" s="15">
        <v>0.14000000000000001</v>
      </c>
      <c r="E15" s="15">
        <v>0.11</v>
      </c>
      <c r="F15" s="15">
        <v>0.13</v>
      </c>
      <c r="G15" s="15">
        <v>0.13</v>
      </c>
      <c r="H15" s="15">
        <v>0.15</v>
      </c>
      <c r="I15" s="15">
        <v>0.14000000000000001</v>
      </c>
      <c r="J15" s="15">
        <v>0.12</v>
      </c>
      <c r="K15" s="15">
        <v>0.13</v>
      </c>
      <c r="L15" s="15">
        <v>0.14000000000000001</v>
      </c>
      <c r="M15" s="15">
        <v>0.12</v>
      </c>
      <c r="N15" s="15">
        <v>0.13</v>
      </c>
      <c r="O15" s="15">
        <v>0.13</v>
      </c>
      <c r="P15" s="15">
        <v>0.15</v>
      </c>
      <c r="Q15" s="15">
        <v>0.1</v>
      </c>
      <c r="R15" s="15">
        <v>0.17</v>
      </c>
      <c r="S15" s="15">
        <v>0.13</v>
      </c>
      <c r="T15" s="15">
        <v>0.14000000000000001</v>
      </c>
      <c r="U15" s="15">
        <v>0.16</v>
      </c>
      <c r="V15" s="15">
        <v>0.13</v>
      </c>
      <c r="W15" s="15">
        <v>0.21</v>
      </c>
      <c r="X15" s="15">
        <v>0.17</v>
      </c>
      <c r="Y15" s="15">
        <v>0.15</v>
      </c>
      <c r="Z15" s="15">
        <v>0.14000000000000001</v>
      </c>
      <c r="AA15" s="15">
        <v>0.11</v>
      </c>
      <c r="AB15" s="15">
        <v>0.13</v>
      </c>
      <c r="AC15" s="15">
        <v>0.12</v>
      </c>
      <c r="AD15" s="15">
        <v>0.14000000000000001</v>
      </c>
      <c r="AE15" s="15">
        <v>0.14000000000000001</v>
      </c>
      <c r="AF15" s="15">
        <v>0.12</v>
      </c>
      <c r="AG15" s="15">
        <v>0.2</v>
      </c>
      <c r="AH15" s="15">
        <v>0.13</v>
      </c>
      <c r="AI15" s="15">
        <v>0.16</v>
      </c>
      <c r="AJ15" s="15">
        <v>0.13</v>
      </c>
      <c r="AK15" s="15">
        <v>0.16</v>
      </c>
      <c r="AL15" s="15">
        <v>0.16</v>
      </c>
      <c r="AM15" s="15">
        <v>0.16</v>
      </c>
      <c r="AN15" s="15">
        <v>0.19</v>
      </c>
      <c r="AO15" s="15">
        <v>0.17</v>
      </c>
      <c r="AP15" s="15">
        <v>0.24</v>
      </c>
      <c r="AQ15" s="15">
        <v>0.15</v>
      </c>
    </row>
    <row r="16" spans="1:43" x14ac:dyDescent="0.35">
      <c r="A16" s="19"/>
      <c r="B16" s="11" t="s">
        <v>1478</v>
      </c>
      <c r="C16" s="12">
        <v>4100</v>
      </c>
      <c r="D16" s="12">
        <v>169</v>
      </c>
      <c r="E16" s="12">
        <v>156</v>
      </c>
      <c r="F16" s="12">
        <v>177</v>
      </c>
      <c r="G16" s="12">
        <v>166</v>
      </c>
      <c r="H16" s="12">
        <v>163</v>
      </c>
      <c r="I16" s="12">
        <v>210</v>
      </c>
      <c r="J16" s="12">
        <v>47</v>
      </c>
      <c r="K16" s="12">
        <v>200</v>
      </c>
      <c r="L16" s="12">
        <v>204</v>
      </c>
      <c r="M16" s="12">
        <v>144</v>
      </c>
      <c r="N16" s="12">
        <v>154</v>
      </c>
      <c r="O16" s="12">
        <v>147</v>
      </c>
      <c r="P16" s="12">
        <v>143</v>
      </c>
      <c r="Q16" s="12">
        <v>155</v>
      </c>
      <c r="R16" s="12">
        <v>102</v>
      </c>
      <c r="S16" s="12">
        <v>150</v>
      </c>
      <c r="T16" s="12">
        <v>170</v>
      </c>
      <c r="U16" s="12">
        <v>113</v>
      </c>
      <c r="V16" s="12">
        <v>145</v>
      </c>
      <c r="W16" s="12">
        <v>93</v>
      </c>
      <c r="X16" s="12">
        <v>137</v>
      </c>
      <c r="Y16" s="12">
        <v>170</v>
      </c>
      <c r="Z16" s="12">
        <v>198</v>
      </c>
      <c r="AA16" s="12">
        <v>154</v>
      </c>
      <c r="AB16" s="12">
        <v>161</v>
      </c>
      <c r="AC16" s="12">
        <v>158</v>
      </c>
      <c r="AD16" s="12">
        <v>196</v>
      </c>
      <c r="AE16" s="12">
        <v>160</v>
      </c>
      <c r="AF16" s="12">
        <v>219</v>
      </c>
      <c r="AG16" s="12">
        <v>191</v>
      </c>
      <c r="AH16" s="12">
        <v>203</v>
      </c>
      <c r="AI16" s="12">
        <v>138</v>
      </c>
      <c r="AJ16" s="12">
        <v>175</v>
      </c>
      <c r="AK16" s="12">
        <v>182</v>
      </c>
      <c r="AL16" s="12">
        <v>179</v>
      </c>
      <c r="AM16" s="12">
        <v>156</v>
      </c>
      <c r="AN16" s="12">
        <v>175</v>
      </c>
      <c r="AO16" s="12">
        <v>169</v>
      </c>
      <c r="AP16" s="12">
        <v>92</v>
      </c>
      <c r="AQ16" s="12">
        <v>196</v>
      </c>
    </row>
    <row r="17" spans="1:43" x14ac:dyDescent="0.35">
      <c r="A17" s="19"/>
      <c r="B17" s="13" t="s">
        <v>1478</v>
      </c>
      <c r="C17" s="15">
        <v>0.16</v>
      </c>
      <c r="D17" s="15">
        <v>0.16</v>
      </c>
      <c r="E17" s="15">
        <v>0.15</v>
      </c>
      <c r="F17" s="15">
        <v>0.16</v>
      </c>
      <c r="G17" s="15">
        <v>0.17</v>
      </c>
      <c r="H17" s="15">
        <v>0.13</v>
      </c>
      <c r="I17" s="15">
        <v>0.14000000000000001</v>
      </c>
      <c r="J17" s="15">
        <v>0.16</v>
      </c>
      <c r="K17" s="15">
        <v>0.2</v>
      </c>
      <c r="L17" s="15">
        <v>0.2</v>
      </c>
      <c r="M17" s="15">
        <v>0.14000000000000001</v>
      </c>
      <c r="N17" s="15">
        <v>0.15</v>
      </c>
      <c r="O17" s="15">
        <v>0.15</v>
      </c>
      <c r="P17" s="15">
        <v>0.14000000000000001</v>
      </c>
      <c r="Q17" s="15">
        <v>0.15</v>
      </c>
      <c r="R17" s="15">
        <v>0.2</v>
      </c>
      <c r="S17" s="15">
        <v>0.15</v>
      </c>
      <c r="T17" s="15">
        <v>0.17</v>
      </c>
      <c r="U17" s="15">
        <v>0.22</v>
      </c>
      <c r="V17" s="15">
        <v>0.14000000000000001</v>
      </c>
      <c r="W17" s="15">
        <v>0.19</v>
      </c>
      <c r="X17" s="15">
        <v>0.14000000000000001</v>
      </c>
      <c r="Y17" s="15">
        <v>0.17</v>
      </c>
      <c r="Z17" s="15">
        <v>0.19</v>
      </c>
      <c r="AA17" s="15">
        <v>0.15</v>
      </c>
      <c r="AB17" s="15">
        <v>0.15</v>
      </c>
      <c r="AC17" s="15">
        <v>0.16</v>
      </c>
      <c r="AD17" s="15">
        <v>0.19</v>
      </c>
      <c r="AE17" s="15">
        <v>0.16</v>
      </c>
      <c r="AF17" s="15">
        <v>0.21</v>
      </c>
      <c r="AG17" s="15">
        <v>0.18</v>
      </c>
      <c r="AH17" s="15">
        <v>0.2</v>
      </c>
      <c r="AI17" s="15">
        <v>0.26</v>
      </c>
      <c r="AJ17" s="15">
        <v>0.17</v>
      </c>
      <c r="AK17" s="15">
        <v>0.18</v>
      </c>
      <c r="AL17" s="15">
        <v>0.18</v>
      </c>
      <c r="AM17" s="15">
        <v>0.15</v>
      </c>
      <c r="AN17" s="15">
        <v>0.17</v>
      </c>
      <c r="AO17" s="15">
        <v>0.17</v>
      </c>
      <c r="AP17" s="15">
        <v>0.18</v>
      </c>
      <c r="AQ17" s="15">
        <v>0.19</v>
      </c>
    </row>
    <row r="18" spans="1:43" x14ac:dyDescent="0.35">
      <c r="A18" s="19"/>
      <c r="B18" s="11" t="s">
        <v>1479</v>
      </c>
      <c r="C18" s="12">
        <v>4595</v>
      </c>
      <c r="D18" s="12">
        <v>159</v>
      </c>
      <c r="E18" s="12">
        <v>193</v>
      </c>
      <c r="F18" s="12">
        <v>217</v>
      </c>
      <c r="G18" s="12">
        <v>179</v>
      </c>
      <c r="H18" s="12">
        <v>202</v>
      </c>
      <c r="I18" s="12">
        <v>245</v>
      </c>
      <c r="J18" s="12">
        <v>43</v>
      </c>
      <c r="K18" s="12">
        <v>159</v>
      </c>
      <c r="L18" s="12">
        <v>172</v>
      </c>
      <c r="M18" s="12">
        <v>190</v>
      </c>
      <c r="N18" s="12">
        <v>198</v>
      </c>
      <c r="O18" s="12">
        <v>166</v>
      </c>
      <c r="P18" s="12">
        <v>160</v>
      </c>
      <c r="Q18" s="12">
        <v>183</v>
      </c>
      <c r="R18" s="12">
        <v>76</v>
      </c>
      <c r="S18" s="12">
        <v>180</v>
      </c>
      <c r="T18" s="12">
        <v>166</v>
      </c>
      <c r="U18" s="12">
        <v>79</v>
      </c>
      <c r="V18" s="12">
        <v>222</v>
      </c>
      <c r="W18" s="12">
        <v>82</v>
      </c>
      <c r="X18" s="12">
        <v>148</v>
      </c>
      <c r="Y18" s="12">
        <v>158</v>
      </c>
      <c r="Z18" s="12">
        <v>174</v>
      </c>
      <c r="AA18" s="12">
        <v>186</v>
      </c>
      <c r="AB18" s="12">
        <v>206</v>
      </c>
      <c r="AC18" s="12">
        <v>188</v>
      </c>
      <c r="AD18" s="12">
        <v>178</v>
      </c>
      <c r="AE18" s="12">
        <v>145</v>
      </c>
      <c r="AF18" s="12">
        <v>175</v>
      </c>
      <c r="AG18" s="12">
        <v>172</v>
      </c>
      <c r="AH18" s="12">
        <v>154</v>
      </c>
      <c r="AI18" s="12">
        <v>75</v>
      </c>
      <c r="AJ18" s="12">
        <v>166</v>
      </c>
      <c r="AK18" s="12">
        <v>145</v>
      </c>
      <c r="AL18" s="12">
        <v>178</v>
      </c>
      <c r="AM18" s="12">
        <v>171</v>
      </c>
      <c r="AN18" s="12">
        <v>152</v>
      </c>
      <c r="AO18" s="12">
        <v>172</v>
      </c>
      <c r="AP18" s="12">
        <v>80</v>
      </c>
      <c r="AQ18" s="12">
        <v>156</v>
      </c>
    </row>
    <row r="19" spans="1:43" x14ac:dyDescent="0.35">
      <c r="A19" s="19"/>
      <c r="B19" s="13" t="s">
        <v>1479</v>
      </c>
      <c r="C19" s="15">
        <v>0.17</v>
      </c>
      <c r="D19" s="15">
        <v>0.16</v>
      </c>
      <c r="E19" s="15">
        <v>0.19</v>
      </c>
      <c r="F19" s="15">
        <v>0.2</v>
      </c>
      <c r="G19" s="15">
        <v>0.18</v>
      </c>
      <c r="H19" s="15">
        <v>0.17</v>
      </c>
      <c r="I19" s="15">
        <v>0.16</v>
      </c>
      <c r="J19" s="15">
        <v>0.15</v>
      </c>
      <c r="K19" s="15">
        <v>0.16</v>
      </c>
      <c r="L19" s="15">
        <v>0.17</v>
      </c>
      <c r="M19" s="15">
        <v>0.19</v>
      </c>
      <c r="N19" s="15">
        <v>0.2</v>
      </c>
      <c r="O19" s="15">
        <v>0.17</v>
      </c>
      <c r="P19" s="15">
        <v>0.16</v>
      </c>
      <c r="Q19" s="15">
        <v>0.18</v>
      </c>
      <c r="R19" s="15">
        <v>0.15</v>
      </c>
      <c r="S19" s="15">
        <v>0.18</v>
      </c>
      <c r="T19" s="15">
        <v>0.17</v>
      </c>
      <c r="U19" s="15">
        <v>0.16</v>
      </c>
      <c r="V19" s="15">
        <v>0.22</v>
      </c>
      <c r="W19" s="15">
        <v>0.16</v>
      </c>
      <c r="X19" s="15">
        <v>0.15</v>
      </c>
      <c r="Y19" s="15">
        <v>0.16</v>
      </c>
      <c r="Z19" s="15">
        <v>0.17</v>
      </c>
      <c r="AA19" s="15">
        <v>0.18</v>
      </c>
      <c r="AB19" s="15">
        <v>0.2</v>
      </c>
      <c r="AC19" s="15">
        <v>0.19</v>
      </c>
      <c r="AD19" s="15">
        <v>0.18</v>
      </c>
      <c r="AE19" s="15">
        <v>0.14000000000000001</v>
      </c>
      <c r="AF19" s="15">
        <v>0.17</v>
      </c>
      <c r="AG19" s="15">
        <v>0.17</v>
      </c>
      <c r="AH19" s="15">
        <v>0.15</v>
      </c>
      <c r="AI19" s="15">
        <v>0.15</v>
      </c>
      <c r="AJ19" s="15">
        <v>0.16</v>
      </c>
      <c r="AK19" s="15">
        <v>0.14000000000000001</v>
      </c>
      <c r="AL19" s="15">
        <v>0.18</v>
      </c>
      <c r="AM19" s="15">
        <v>0.16</v>
      </c>
      <c r="AN19" s="15">
        <v>0.15</v>
      </c>
      <c r="AO19" s="15">
        <v>0.17</v>
      </c>
      <c r="AP19" s="15">
        <v>0.15</v>
      </c>
      <c r="AQ19" s="15">
        <v>0.16</v>
      </c>
    </row>
    <row r="20" spans="1:43" x14ac:dyDescent="0.35">
      <c r="A20" s="19"/>
      <c r="B20" s="11" t="s">
        <v>1480</v>
      </c>
      <c r="C20" s="12">
        <v>4311</v>
      </c>
      <c r="D20" s="12">
        <v>160</v>
      </c>
      <c r="E20" s="12">
        <v>168</v>
      </c>
      <c r="F20" s="12">
        <v>155</v>
      </c>
      <c r="G20" s="12">
        <v>165</v>
      </c>
      <c r="H20" s="12">
        <v>222</v>
      </c>
      <c r="I20" s="12">
        <v>276</v>
      </c>
      <c r="J20" s="12">
        <v>53</v>
      </c>
      <c r="K20" s="12">
        <v>148</v>
      </c>
      <c r="L20" s="12">
        <v>142</v>
      </c>
      <c r="M20" s="12">
        <v>166</v>
      </c>
      <c r="N20" s="12">
        <v>164</v>
      </c>
      <c r="O20" s="12">
        <v>153</v>
      </c>
      <c r="P20" s="12">
        <v>166</v>
      </c>
      <c r="Q20" s="12">
        <v>181</v>
      </c>
      <c r="R20" s="12">
        <v>72</v>
      </c>
      <c r="S20" s="12">
        <v>164</v>
      </c>
      <c r="T20" s="12">
        <v>174</v>
      </c>
      <c r="U20" s="12">
        <v>76</v>
      </c>
      <c r="V20" s="12">
        <v>144</v>
      </c>
      <c r="W20" s="12">
        <v>61</v>
      </c>
      <c r="X20" s="12">
        <v>163</v>
      </c>
      <c r="Y20" s="12">
        <v>175</v>
      </c>
      <c r="Z20" s="12">
        <v>147</v>
      </c>
      <c r="AA20" s="12">
        <v>166</v>
      </c>
      <c r="AB20" s="12">
        <v>157</v>
      </c>
      <c r="AC20" s="12">
        <v>165</v>
      </c>
      <c r="AD20" s="12">
        <v>150</v>
      </c>
      <c r="AE20" s="12">
        <v>152</v>
      </c>
      <c r="AF20" s="12">
        <v>168</v>
      </c>
      <c r="AG20" s="12">
        <v>134</v>
      </c>
      <c r="AH20" s="12">
        <v>167</v>
      </c>
      <c r="AI20" s="12">
        <v>92</v>
      </c>
      <c r="AJ20" s="12">
        <v>166</v>
      </c>
      <c r="AK20" s="12">
        <v>170</v>
      </c>
      <c r="AL20" s="12">
        <v>179</v>
      </c>
      <c r="AM20" s="12">
        <v>162</v>
      </c>
      <c r="AN20" s="12">
        <v>162</v>
      </c>
      <c r="AO20" s="12">
        <v>139</v>
      </c>
      <c r="AP20" s="12">
        <v>54</v>
      </c>
      <c r="AQ20" s="12">
        <v>162</v>
      </c>
    </row>
    <row r="21" spans="1:43" x14ac:dyDescent="0.35">
      <c r="A21" s="19"/>
      <c r="B21" s="13" t="s">
        <v>1480</v>
      </c>
      <c r="C21" s="15">
        <v>0.16</v>
      </c>
      <c r="D21" s="15">
        <v>0.16</v>
      </c>
      <c r="E21" s="15">
        <v>0.16</v>
      </c>
      <c r="F21" s="15">
        <v>0.14000000000000001</v>
      </c>
      <c r="G21" s="15">
        <v>0.16</v>
      </c>
      <c r="H21" s="15">
        <v>0.18</v>
      </c>
      <c r="I21" s="15">
        <v>0.18</v>
      </c>
      <c r="J21" s="15">
        <v>0.18</v>
      </c>
      <c r="K21" s="15">
        <v>0.15</v>
      </c>
      <c r="L21" s="15">
        <v>0.14000000000000001</v>
      </c>
      <c r="M21" s="15">
        <v>0.16</v>
      </c>
      <c r="N21" s="15">
        <v>0.16</v>
      </c>
      <c r="O21" s="15">
        <v>0.15</v>
      </c>
      <c r="P21" s="15">
        <v>0.17</v>
      </c>
      <c r="Q21" s="15">
        <v>0.18</v>
      </c>
      <c r="R21" s="15">
        <v>0.14000000000000001</v>
      </c>
      <c r="S21" s="15">
        <v>0.16</v>
      </c>
      <c r="T21" s="15">
        <v>0.17</v>
      </c>
      <c r="U21" s="15">
        <v>0.15</v>
      </c>
      <c r="V21" s="15">
        <v>0.14000000000000001</v>
      </c>
      <c r="W21" s="15">
        <v>0.12</v>
      </c>
      <c r="X21" s="15">
        <v>0.16</v>
      </c>
      <c r="Y21" s="15">
        <v>0.17</v>
      </c>
      <c r="Z21" s="15">
        <v>0.14000000000000001</v>
      </c>
      <c r="AA21" s="15">
        <v>0.16</v>
      </c>
      <c r="AB21" s="15">
        <v>0.15</v>
      </c>
      <c r="AC21" s="15">
        <v>0.16</v>
      </c>
      <c r="AD21" s="15">
        <v>0.15</v>
      </c>
      <c r="AE21" s="15">
        <v>0.15</v>
      </c>
      <c r="AF21" s="15">
        <v>0.16</v>
      </c>
      <c r="AG21" s="15">
        <v>0.13</v>
      </c>
      <c r="AH21" s="15">
        <v>0.17</v>
      </c>
      <c r="AI21" s="15">
        <v>0.18</v>
      </c>
      <c r="AJ21" s="15">
        <v>0.16</v>
      </c>
      <c r="AK21" s="15">
        <v>0.17</v>
      </c>
      <c r="AL21" s="15">
        <v>0.18</v>
      </c>
      <c r="AM21" s="15">
        <v>0.16</v>
      </c>
      <c r="AN21" s="15">
        <v>0.16</v>
      </c>
      <c r="AO21" s="15">
        <v>0.14000000000000001</v>
      </c>
      <c r="AP21" s="15">
        <v>0.1</v>
      </c>
      <c r="AQ21" s="15">
        <v>0.16</v>
      </c>
    </row>
    <row r="22" spans="1:43" x14ac:dyDescent="0.35">
      <c r="A22" s="19"/>
      <c r="B22" s="11" t="s">
        <v>1481</v>
      </c>
      <c r="C22" s="12">
        <v>4189</v>
      </c>
      <c r="D22" s="12">
        <v>152</v>
      </c>
      <c r="E22" s="12">
        <v>214</v>
      </c>
      <c r="F22" s="12">
        <v>195</v>
      </c>
      <c r="G22" s="12">
        <v>132</v>
      </c>
      <c r="H22" s="12">
        <v>169</v>
      </c>
      <c r="I22" s="12">
        <v>224</v>
      </c>
      <c r="J22" s="12">
        <v>55</v>
      </c>
      <c r="K22" s="12">
        <v>142</v>
      </c>
      <c r="L22" s="12">
        <v>105</v>
      </c>
      <c r="M22" s="12">
        <v>168</v>
      </c>
      <c r="N22" s="12">
        <v>129</v>
      </c>
      <c r="O22" s="12">
        <v>150</v>
      </c>
      <c r="P22" s="12">
        <v>214</v>
      </c>
      <c r="Q22" s="12">
        <v>204</v>
      </c>
      <c r="R22" s="12">
        <v>63</v>
      </c>
      <c r="S22" s="12">
        <v>138</v>
      </c>
      <c r="T22" s="12">
        <v>119</v>
      </c>
      <c r="U22" s="12">
        <v>60</v>
      </c>
      <c r="V22" s="12">
        <v>166</v>
      </c>
      <c r="W22" s="12">
        <v>67</v>
      </c>
      <c r="X22" s="12">
        <v>170</v>
      </c>
      <c r="Y22" s="12">
        <v>149</v>
      </c>
      <c r="Z22" s="12">
        <v>165</v>
      </c>
      <c r="AA22" s="12">
        <v>175</v>
      </c>
      <c r="AB22" s="12">
        <v>182</v>
      </c>
      <c r="AC22" s="12">
        <v>152</v>
      </c>
      <c r="AD22" s="12">
        <v>167</v>
      </c>
      <c r="AE22" s="12">
        <v>192</v>
      </c>
      <c r="AF22" s="12">
        <v>131</v>
      </c>
      <c r="AG22" s="12">
        <v>135</v>
      </c>
      <c r="AH22" s="12">
        <v>165</v>
      </c>
      <c r="AI22" s="12">
        <v>63</v>
      </c>
      <c r="AJ22" s="12">
        <v>224</v>
      </c>
      <c r="AK22" s="12">
        <v>147</v>
      </c>
      <c r="AL22" s="12">
        <v>147</v>
      </c>
      <c r="AM22" s="12">
        <v>114</v>
      </c>
      <c r="AN22" s="12">
        <v>166</v>
      </c>
      <c r="AO22" s="12">
        <v>114</v>
      </c>
      <c r="AP22" s="12">
        <v>42</v>
      </c>
      <c r="AQ22" s="12">
        <v>141</v>
      </c>
    </row>
    <row r="23" spans="1:43" x14ac:dyDescent="0.35">
      <c r="A23" s="19"/>
      <c r="B23" s="13" t="s">
        <v>1481</v>
      </c>
      <c r="C23" s="15">
        <v>0.16</v>
      </c>
      <c r="D23" s="15">
        <v>0.15</v>
      </c>
      <c r="E23" s="15">
        <v>0.21</v>
      </c>
      <c r="F23" s="15">
        <v>0.18</v>
      </c>
      <c r="G23" s="15">
        <v>0.13</v>
      </c>
      <c r="H23" s="15">
        <v>0.14000000000000001</v>
      </c>
      <c r="I23" s="15">
        <v>0.15</v>
      </c>
      <c r="J23" s="15">
        <v>0.19</v>
      </c>
      <c r="K23" s="15">
        <v>0.14000000000000001</v>
      </c>
      <c r="L23" s="15">
        <v>0.1</v>
      </c>
      <c r="M23" s="15">
        <v>0.17</v>
      </c>
      <c r="N23" s="15">
        <v>0.13</v>
      </c>
      <c r="O23" s="15">
        <v>0.15</v>
      </c>
      <c r="P23" s="15">
        <v>0.21</v>
      </c>
      <c r="Q23" s="15">
        <v>0.2</v>
      </c>
      <c r="R23" s="15">
        <v>0.13</v>
      </c>
      <c r="S23" s="15">
        <v>0.14000000000000001</v>
      </c>
      <c r="T23" s="15">
        <v>0.12</v>
      </c>
      <c r="U23" s="15">
        <v>0.12</v>
      </c>
      <c r="V23" s="15">
        <v>0.17</v>
      </c>
      <c r="W23" s="15">
        <v>0.13</v>
      </c>
      <c r="X23" s="15">
        <v>0.17</v>
      </c>
      <c r="Y23" s="15">
        <v>0.15</v>
      </c>
      <c r="Z23" s="15">
        <v>0.16</v>
      </c>
      <c r="AA23" s="15">
        <v>0.17</v>
      </c>
      <c r="AB23" s="15">
        <v>0.17</v>
      </c>
      <c r="AC23" s="15">
        <v>0.15</v>
      </c>
      <c r="AD23" s="15">
        <v>0.17</v>
      </c>
      <c r="AE23" s="15">
        <v>0.19</v>
      </c>
      <c r="AF23" s="15">
        <v>0.12</v>
      </c>
      <c r="AG23" s="15">
        <v>0.13</v>
      </c>
      <c r="AH23" s="15">
        <v>0.16</v>
      </c>
      <c r="AI23" s="15">
        <v>0.12</v>
      </c>
      <c r="AJ23" s="15">
        <v>0.21</v>
      </c>
      <c r="AK23" s="15">
        <v>0.15</v>
      </c>
      <c r="AL23" s="15">
        <v>0.14000000000000001</v>
      </c>
      <c r="AM23" s="15">
        <v>0.11</v>
      </c>
      <c r="AN23" s="15">
        <v>0.17</v>
      </c>
      <c r="AO23" s="15">
        <v>0.11</v>
      </c>
      <c r="AP23" s="15">
        <v>0.08</v>
      </c>
      <c r="AQ23" s="15">
        <v>0.14000000000000001</v>
      </c>
    </row>
    <row r="24" spans="1:43" x14ac:dyDescent="0.35">
      <c r="A24" s="19"/>
      <c r="B24" s="11" t="s">
        <v>1482</v>
      </c>
      <c r="C24" s="12">
        <v>2530</v>
      </c>
      <c r="D24" s="12">
        <v>90</v>
      </c>
      <c r="E24" s="12">
        <v>71</v>
      </c>
      <c r="F24" s="12">
        <v>73</v>
      </c>
      <c r="G24" s="12">
        <v>127</v>
      </c>
      <c r="H24" s="12">
        <v>140</v>
      </c>
      <c r="I24" s="12">
        <v>171</v>
      </c>
      <c r="J24" s="12">
        <v>31</v>
      </c>
      <c r="K24" s="12">
        <v>102</v>
      </c>
      <c r="L24" s="12">
        <v>86</v>
      </c>
      <c r="M24" s="12">
        <v>103</v>
      </c>
      <c r="N24" s="12">
        <v>107</v>
      </c>
      <c r="O24" s="12">
        <v>109</v>
      </c>
      <c r="P24" s="12">
        <v>55</v>
      </c>
      <c r="Q24" s="12">
        <v>80</v>
      </c>
      <c r="R24" s="12">
        <v>43</v>
      </c>
      <c r="S24" s="12">
        <v>115</v>
      </c>
      <c r="T24" s="12">
        <v>120</v>
      </c>
      <c r="U24" s="12">
        <v>30</v>
      </c>
      <c r="V24" s="12">
        <v>79</v>
      </c>
      <c r="W24" s="12">
        <v>40</v>
      </c>
      <c r="X24" s="12">
        <v>74</v>
      </c>
      <c r="Y24" s="12">
        <v>84</v>
      </c>
      <c r="Z24" s="12">
        <v>84</v>
      </c>
      <c r="AA24" s="12">
        <v>111</v>
      </c>
      <c r="AB24" s="12">
        <v>68</v>
      </c>
      <c r="AC24" s="12">
        <v>104</v>
      </c>
      <c r="AD24" s="12">
        <v>52</v>
      </c>
      <c r="AE24" s="12">
        <v>86</v>
      </c>
      <c r="AF24" s="12">
        <v>162</v>
      </c>
      <c r="AG24" s="12">
        <v>0</v>
      </c>
      <c r="AH24" s="12">
        <v>51</v>
      </c>
      <c r="AI24" s="12">
        <v>6</v>
      </c>
      <c r="AJ24" s="12">
        <v>48</v>
      </c>
      <c r="AK24" s="12">
        <v>41</v>
      </c>
      <c r="AL24" s="12">
        <v>43</v>
      </c>
      <c r="AM24" s="12">
        <v>123</v>
      </c>
      <c r="AN24" s="12">
        <v>2</v>
      </c>
      <c r="AO24" s="12">
        <v>29</v>
      </c>
      <c r="AP24" s="12">
        <v>10</v>
      </c>
      <c r="AQ24" s="12">
        <v>60</v>
      </c>
    </row>
    <row r="25" spans="1:43" x14ac:dyDescent="0.35">
      <c r="A25" s="19"/>
      <c r="B25" s="13" t="s">
        <v>1482</v>
      </c>
      <c r="C25" s="15">
        <v>0.1</v>
      </c>
      <c r="D25" s="15">
        <v>0.09</v>
      </c>
      <c r="E25" s="15">
        <v>7.0000000000000007E-2</v>
      </c>
      <c r="F25" s="15">
        <v>7.0000000000000007E-2</v>
      </c>
      <c r="G25" s="15">
        <v>0.13</v>
      </c>
      <c r="H25" s="15">
        <v>0.11</v>
      </c>
      <c r="I25" s="15">
        <v>0.11</v>
      </c>
      <c r="J25" s="15">
        <v>0.1</v>
      </c>
      <c r="K25" s="15">
        <v>0.1</v>
      </c>
      <c r="L25" s="15">
        <v>0.09</v>
      </c>
      <c r="M25" s="15">
        <v>0.1</v>
      </c>
      <c r="N25" s="15">
        <v>0.11</v>
      </c>
      <c r="O25" s="15">
        <v>0.11</v>
      </c>
      <c r="P25" s="15">
        <v>0.05</v>
      </c>
      <c r="Q25" s="15">
        <v>0.08</v>
      </c>
      <c r="R25" s="15">
        <v>0.09</v>
      </c>
      <c r="S25" s="15">
        <v>0.12</v>
      </c>
      <c r="T25" s="15">
        <v>0.12</v>
      </c>
      <c r="U25" s="15">
        <v>0.06</v>
      </c>
      <c r="V25" s="15">
        <v>0.08</v>
      </c>
      <c r="W25" s="15">
        <v>0.08</v>
      </c>
      <c r="X25" s="15">
        <v>7.0000000000000007E-2</v>
      </c>
      <c r="Y25" s="15">
        <v>0.08</v>
      </c>
      <c r="Z25" s="15">
        <v>0.08</v>
      </c>
      <c r="AA25" s="15">
        <v>0.11</v>
      </c>
      <c r="AB25" s="15">
        <v>7.0000000000000007E-2</v>
      </c>
      <c r="AC25" s="15">
        <v>0.1</v>
      </c>
      <c r="AD25" s="15">
        <v>0.05</v>
      </c>
      <c r="AE25" s="15">
        <v>0.09</v>
      </c>
      <c r="AF25" s="15">
        <v>0.16</v>
      </c>
      <c r="AG25" s="14" t="s">
        <v>475</v>
      </c>
      <c r="AH25" s="15">
        <v>0.05</v>
      </c>
      <c r="AI25" s="15">
        <v>0.01</v>
      </c>
      <c r="AJ25" s="15">
        <v>0.05</v>
      </c>
      <c r="AK25" s="15">
        <v>0.04</v>
      </c>
      <c r="AL25" s="15">
        <v>0.04</v>
      </c>
      <c r="AM25" s="15">
        <v>0.12</v>
      </c>
      <c r="AN25" s="14" t="s">
        <v>475</v>
      </c>
      <c r="AO25" s="15">
        <v>0.03</v>
      </c>
      <c r="AP25" s="15">
        <v>0.02</v>
      </c>
      <c r="AQ25" s="15">
        <v>0.06</v>
      </c>
    </row>
    <row r="26" spans="1:43" x14ac:dyDescent="0.35">
      <c r="A26" s="19"/>
      <c r="B26" s="11" t="s">
        <v>1475</v>
      </c>
      <c r="C26" s="12">
        <v>49.36</v>
      </c>
      <c r="D26" s="12">
        <v>48.13</v>
      </c>
      <c r="E26" s="12">
        <v>50.19</v>
      </c>
      <c r="F26" s="12">
        <v>48.45</v>
      </c>
      <c r="G26" s="12">
        <v>50.46</v>
      </c>
      <c r="H26" s="12">
        <v>50.02</v>
      </c>
      <c r="I26" s="12">
        <v>50.25</v>
      </c>
      <c r="J26" s="12">
        <v>51.19</v>
      </c>
      <c r="K26" s="12">
        <v>48.61</v>
      </c>
      <c r="L26" s="12">
        <v>46.36</v>
      </c>
      <c r="M26" s="12">
        <v>50.02</v>
      </c>
      <c r="N26" s="12">
        <v>49.23</v>
      </c>
      <c r="O26" s="12">
        <v>48.91</v>
      </c>
      <c r="P26" s="12">
        <v>48.96</v>
      </c>
      <c r="Q26" s="12">
        <v>50.36</v>
      </c>
      <c r="R26" s="12">
        <v>46.97</v>
      </c>
      <c r="S26" s="12">
        <v>49.66</v>
      </c>
      <c r="T26" s="12">
        <v>49.44</v>
      </c>
      <c r="U26" s="12">
        <v>46.13</v>
      </c>
      <c r="V26" s="12">
        <v>48.65</v>
      </c>
      <c r="W26" s="12">
        <v>46.05</v>
      </c>
      <c r="X26" s="12">
        <v>47.79</v>
      </c>
      <c r="Y26" s="12">
        <v>48.38</v>
      </c>
      <c r="Z26" s="12">
        <v>48.42</v>
      </c>
      <c r="AA26" s="12">
        <v>50.3</v>
      </c>
      <c r="AB26" s="12">
        <v>48.08</v>
      </c>
      <c r="AC26" s="12">
        <v>50.16</v>
      </c>
      <c r="AD26" s="12">
        <v>47.31</v>
      </c>
      <c r="AE26" s="12">
        <v>49.34</v>
      </c>
      <c r="AF26" s="12">
        <v>52.32</v>
      </c>
      <c r="AG26" s="12">
        <v>41.36</v>
      </c>
      <c r="AH26" s="12">
        <v>47.15</v>
      </c>
      <c r="AI26" s="12">
        <v>44.15</v>
      </c>
      <c r="AJ26" s="12">
        <v>48.94</v>
      </c>
      <c r="AK26" s="12">
        <v>45.43</v>
      </c>
      <c r="AL26" s="12">
        <v>46.55</v>
      </c>
      <c r="AM26" s="12">
        <v>48.01</v>
      </c>
      <c r="AN26" s="12">
        <v>44.23</v>
      </c>
      <c r="AO26" s="12">
        <v>42.46</v>
      </c>
      <c r="AP26" s="12">
        <v>39.33</v>
      </c>
      <c r="AQ26" s="12">
        <v>46.6</v>
      </c>
    </row>
    <row r="27" spans="1:43" x14ac:dyDescent="0.35">
      <c r="A27" s="19"/>
      <c r="B27" s="13" t="s">
        <v>1476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367</v>
      </c>
      <c r="C3" s="18"/>
      <c r="D3" s="18"/>
      <c r="E3" s="18"/>
      <c r="F3" s="18"/>
      <c r="H3" s="18" t="s">
        <v>368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HYPERLINK("#Content!A186","&lt;&lt;Back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1483</v>
      </c>
      <c r="C12" s="12">
        <v>5279</v>
      </c>
      <c r="D12" s="12">
        <v>222</v>
      </c>
      <c r="E12" s="12">
        <v>183</v>
      </c>
      <c r="F12" s="12">
        <v>207</v>
      </c>
      <c r="G12" s="12">
        <v>168</v>
      </c>
      <c r="H12" s="12">
        <v>274</v>
      </c>
      <c r="I12" s="12">
        <v>325</v>
      </c>
      <c r="J12" s="12">
        <v>51</v>
      </c>
      <c r="K12" s="12">
        <v>197</v>
      </c>
      <c r="L12" s="12">
        <v>229</v>
      </c>
      <c r="M12" s="12">
        <v>195</v>
      </c>
      <c r="N12" s="12">
        <v>197</v>
      </c>
      <c r="O12" s="12">
        <v>221</v>
      </c>
      <c r="P12" s="12">
        <v>203</v>
      </c>
      <c r="Q12" s="12">
        <v>180</v>
      </c>
      <c r="R12" s="12">
        <v>107</v>
      </c>
      <c r="S12" s="12">
        <v>212</v>
      </c>
      <c r="T12" s="12">
        <v>185</v>
      </c>
      <c r="U12" s="12">
        <v>106</v>
      </c>
      <c r="V12" s="12">
        <v>208</v>
      </c>
      <c r="W12" s="12">
        <v>110</v>
      </c>
      <c r="X12" s="12">
        <v>253</v>
      </c>
      <c r="Y12" s="12">
        <v>208</v>
      </c>
      <c r="Z12" s="12">
        <v>186</v>
      </c>
      <c r="AA12" s="12">
        <v>186</v>
      </c>
      <c r="AB12" s="12">
        <v>216</v>
      </c>
      <c r="AC12" s="12">
        <v>176</v>
      </c>
      <c r="AD12" s="12">
        <v>208</v>
      </c>
      <c r="AE12" s="12">
        <v>197</v>
      </c>
      <c r="AF12" s="12">
        <v>97</v>
      </c>
      <c r="AG12" s="12">
        <v>346</v>
      </c>
      <c r="AH12" s="12">
        <v>215</v>
      </c>
      <c r="AI12" s="12">
        <v>110</v>
      </c>
      <c r="AJ12" s="12">
        <v>204</v>
      </c>
      <c r="AK12" s="12">
        <v>252</v>
      </c>
      <c r="AL12" s="12">
        <v>215</v>
      </c>
      <c r="AM12" s="12">
        <v>255</v>
      </c>
      <c r="AN12" s="12">
        <v>289</v>
      </c>
      <c r="AO12" s="12">
        <v>303</v>
      </c>
      <c r="AP12" s="12">
        <v>199</v>
      </c>
      <c r="AQ12" s="12">
        <v>222</v>
      </c>
    </row>
    <row r="13" spans="1:43" x14ac:dyDescent="0.35">
      <c r="A13" s="19"/>
      <c r="B13" s="13" t="s">
        <v>1483</v>
      </c>
      <c r="C13" s="15">
        <v>0.2</v>
      </c>
      <c r="D13" s="15">
        <v>0.22</v>
      </c>
      <c r="E13" s="15">
        <v>0.18</v>
      </c>
      <c r="F13" s="15">
        <v>0.19</v>
      </c>
      <c r="G13" s="15">
        <v>0.17</v>
      </c>
      <c r="H13" s="15">
        <v>0.23</v>
      </c>
      <c r="I13" s="15">
        <v>0.21</v>
      </c>
      <c r="J13" s="15">
        <v>0.17</v>
      </c>
      <c r="K13" s="15">
        <v>0.2</v>
      </c>
      <c r="L13" s="15">
        <v>0.23</v>
      </c>
      <c r="M13" s="15">
        <v>0.19</v>
      </c>
      <c r="N13" s="15">
        <v>0.2</v>
      </c>
      <c r="O13" s="15">
        <v>0.22</v>
      </c>
      <c r="P13" s="15">
        <v>0.2</v>
      </c>
      <c r="Q13" s="15">
        <v>0.17</v>
      </c>
      <c r="R13" s="15">
        <v>0.21</v>
      </c>
      <c r="S13" s="15">
        <v>0.21</v>
      </c>
      <c r="T13" s="15">
        <v>0.18</v>
      </c>
      <c r="U13" s="15">
        <v>0.21</v>
      </c>
      <c r="V13" s="15">
        <v>0.21</v>
      </c>
      <c r="W13" s="15">
        <v>0.22</v>
      </c>
      <c r="X13" s="15">
        <v>0.25</v>
      </c>
      <c r="Y13" s="15">
        <v>0.21</v>
      </c>
      <c r="Z13" s="15">
        <v>0.18</v>
      </c>
      <c r="AA13" s="15">
        <v>0.18</v>
      </c>
      <c r="AB13" s="15">
        <v>0.2</v>
      </c>
      <c r="AC13" s="15">
        <v>0.18</v>
      </c>
      <c r="AD13" s="15">
        <v>0.21</v>
      </c>
      <c r="AE13" s="15">
        <v>0.2</v>
      </c>
      <c r="AF13" s="15">
        <v>0.09</v>
      </c>
      <c r="AG13" s="15">
        <v>0.33</v>
      </c>
      <c r="AH13" s="15">
        <v>0.21</v>
      </c>
      <c r="AI13" s="15">
        <v>0.21</v>
      </c>
      <c r="AJ13" s="15">
        <v>0.2</v>
      </c>
      <c r="AK13" s="15">
        <v>0.25</v>
      </c>
      <c r="AL13" s="15">
        <v>0.21</v>
      </c>
      <c r="AM13" s="15">
        <v>0.24</v>
      </c>
      <c r="AN13" s="15">
        <v>0.28999999999999998</v>
      </c>
      <c r="AO13" s="15">
        <v>0.3</v>
      </c>
      <c r="AP13" s="15">
        <v>0.38</v>
      </c>
      <c r="AQ13" s="15">
        <v>0.22</v>
      </c>
    </row>
    <row r="14" spans="1:43" x14ac:dyDescent="0.35">
      <c r="A14" s="19"/>
      <c r="B14" s="11" t="s">
        <v>1484</v>
      </c>
      <c r="C14" s="12">
        <v>14447</v>
      </c>
      <c r="D14" s="12">
        <v>550</v>
      </c>
      <c r="E14" s="12">
        <v>562</v>
      </c>
      <c r="F14" s="12">
        <v>626</v>
      </c>
      <c r="G14" s="12">
        <v>580</v>
      </c>
      <c r="H14" s="12">
        <v>637</v>
      </c>
      <c r="I14" s="12">
        <v>796</v>
      </c>
      <c r="J14" s="12">
        <v>158</v>
      </c>
      <c r="K14" s="12">
        <v>560</v>
      </c>
      <c r="L14" s="12">
        <v>582</v>
      </c>
      <c r="M14" s="12">
        <v>544</v>
      </c>
      <c r="N14" s="12">
        <v>570</v>
      </c>
      <c r="O14" s="12">
        <v>521</v>
      </c>
      <c r="P14" s="12">
        <v>532</v>
      </c>
      <c r="Q14" s="12">
        <v>562</v>
      </c>
      <c r="R14" s="12">
        <v>291</v>
      </c>
      <c r="S14" s="12">
        <v>536</v>
      </c>
      <c r="T14" s="12">
        <v>582</v>
      </c>
      <c r="U14" s="12">
        <v>308</v>
      </c>
      <c r="V14" s="12">
        <v>561</v>
      </c>
      <c r="W14" s="12">
        <v>291</v>
      </c>
      <c r="X14" s="12">
        <v>512</v>
      </c>
      <c r="Y14" s="12">
        <v>563</v>
      </c>
      <c r="Z14" s="12">
        <v>596</v>
      </c>
      <c r="AA14" s="12">
        <v>562</v>
      </c>
      <c r="AB14" s="12">
        <v>585</v>
      </c>
      <c r="AC14" s="12">
        <v>571</v>
      </c>
      <c r="AD14" s="12">
        <v>577</v>
      </c>
      <c r="AE14" s="12">
        <v>537</v>
      </c>
      <c r="AF14" s="12">
        <v>652</v>
      </c>
      <c r="AG14" s="12">
        <v>555</v>
      </c>
      <c r="AH14" s="12">
        <v>583</v>
      </c>
      <c r="AI14" s="12">
        <v>344</v>
      </c>
      <c r="AJ14" s="12">
        <v>561</v>
      </c>
      <c r="AK14" s="12">
        <v>568</v>
      </c>
      <c r="AL14" s="12">
        <v>607</v>
      </c>
      <c r="AM14" s="12">
        <v>547</v>
      </c>
      <c r="AN14" s="12">
        <v>545</v>
      </c>
      <c r="AO14" s="12">
        <v>559</v>
      </c>
      <c r="AP14" s="12">
        <v>273</v>
      </c>
      <c r="AQ14" s="12">
        <v>579</v>
      </c>
    </row>
    <row r="15" spans="1:43" x14ac:dyDescent="0.35">
      <c r="A15" s="19"/>
      <c r="B15" s="13" t="s">
        <v>1484</v>
      </c>
      <c r="C15" s="15">
        <v>0.55000000000000004</v>
      </c>
      <c r="D15" s="15">
        <v>0.54</v>
      </c>
      <c r="E15" s="15">
        <v>0.54</v>
      </c>
      <c r="F15" s="15">
        <v>0.57000000000000006</v>
      </c>
      <c r="G15" s="15">
        <v>0.57000000000000006</v>
      </c>
      <c r="H15" s="15">
        <v>0.52</v>
      </c>
      <c r="I15" s="15">
        <v>0.53</v>
      </c>
      <c r="J15" s="15">
        <v>0.54</v>
      </c>
      <c r="K15" s="15">
        <v>0.56000000000000005</v>
      </c>
      <c r="L15" s="15">
        <v>0.57999999999999996</v>
      </c>
      <c r="M15" s="15">
        <v>0.54</v>
      </c>
      <c r="N15" s="15">
        <v>0.57000000000000006</v>
      </c>
      <c r="O15" s="15">
        <v>0.52</v>
      </c>
      <c r="P15" s="15">
        <v>0.53</v>
      </c>
      <c r="Q15" s="15">
        <v>0.55000000000000004</v>
      </c>
      <c r="R15" s="15">
        <v>0.57999999999999996</v>
      </c>
      <c r="S15" s="15">
        <v>0.54</v>
      </c>
      <c r="T15" s="15">
        <v>0.57999999999999996</v>
      </c>
      <c r="U15" s="15">
        <v>0.61</v>
      </c>
      <c r="V15" s="15">
        <v>0.55000000000000004</v>
      </c>
      <c r="W15" s="15">
        <v>0.57000000000000006</v>
      </c>
      <c r="X15" s="15">
        <v>0.51</v>
      </c>
      <c r="Y15" s="15">
        <v>0.56000000000000005</v>
      </c>
      <c r="Z15" s="15">
        <v>0.57999999999999996</v>
      </c>
      <c r="AA15" s="15">
        <v>0.54</v>
      </c>
      <c r="AB15" s="15">
        <v>0.56000000000000005</v>
      </c>
      <c r="AC15" s="15">
        <v>0.57000000000000006</v>
      </c>
      <c r="AD15" s="15">
        <v>0.57000000000000006</v>
      </c>
      <c r="AE15" s="15">
        <v>0.53</v>
      </c>
      <c r="AF15" s="15">
        <v>0.63</v>
      </c>
      <c r="AG15" s="15">
        <v>0.54</v>
      </c>
      <c r="AH15" s="15">
        <v>0.57999999999999996</v>
      </c>
      <c r="AI15" s="15">
        <v>0.66</v>
      </c>
      <c r="AJ15" s="15">
        <v>0.54</v>
      </c>
      <c r="AK15" s="15">
        <v>0.56000000000000005</v>
      </c>
      <c r="AL15" s="15">
        <v>0.6</v>
      </c>
      <c r="AM15" s="15">
        <v>0.53</v>
      </c>
      <c r="AN15" s="15">
        <v>0.54</v>
      </c>
      <c r="AO15" s="15">
        <v>0.56000000000000005</v>
      </c>
      <c r="AP15" s="15">
        <v>0.52</v>
      </c>
      <c r="AQ15" s="15">
        <v>0.57999999999999996</v>
      </c>
    </row>
    <row r="16" spans="1:43" x14ac:dyDescent="0.35">
      <c r="A16" s="19"/>
      <c r="B16" s="11" t="s">
        <v>1485</v>
      </c>
      <c r="C16" s="12">
        <v>6719</v>
      </c>
      <c r="D16" s="12">
        <v>241</v>
      </c>
      <c r="E16" s="12">
        <v>285</v>
      </c>
      <c r="F16" s="12">
        <v>269</v>
      </c>
      <c r="G16" s="12">
        <v>259</v>
      </c>
      <c r="H16" s="12">
        <v>309</v>
      </c>
      <c r="I16" s="12">
        <v>395</v>
      </c>
      <c r="J16" s="12">
        <v>86</v>
      </c>
      <c r="K16" s="12">
        <v>244</v>
      </c>
      <c r="L16" s="12">
        <v>191</v>
      </c>
      <c r="M16" s="12">
        <v>271</v>
      </c>
      <c r="N16" s="12">
        <v>236</v>
      </c>
      <c r="O16" s="12">
        <v>258</v>
      </c>
      <c r="P16" s="12">
        <v>269</v>
      </c>
      <c r="Q16" s="12">
        <v>285</v>
      </c>
      <c r="R16" s="12">
        <v>106</v>
      </c>
      <c r="S16" s="12">
        <v>253</v>
      </c>
      <c r="T16" s="12">
        <v>239</v>
      </c>
      <c r="U16" s="12">
        <v>90</v>
      </c>
      <c r="V16" s="12">
        <v>246</v>
      </c>
      <c r="W16" s="12">
        <v>106</v>
      </c>
      <c r="X16" s="12">
        <v>244</v>
      </c>
      <c r="Y16" s="12">
        <v>232</v>
      </c>
      <c r="Z16" s="12">
        <v>249</v>
      </c>
      <c r="AA16" s="12">
        <v>286</v>
      </c>
      <c r="AB16" s="12">
        <v>250</v>
      </c>
      <c r="AC16" s="12">
        <v>256</v>
      </c>
      <c r="AD16" s="12">
        <v>220</v>
      </c>
      <c r="AE16" s="12">
        <v>278</v>
      </c>
      <c r="AF16" s="12">
        <v>293</v>
      </c>
      <c r="AG16" s="12">
        <v>135</v>
      </c>
      <c r="AH16" s="12">
        <v>215</v>
      </c>
      <c r="AI16" s="12">
        <v>69</v>
      </c>
      <c r="AJ16" s="12">
        <v>272</v>
      </c>
      <c r="AK16" s="12">
        <v>188</v>
      </c>
      <c r="AL16" s="12">
        <v>190</v>
      </c>
      <c r="AM16" s="12">
        <v>237</v>
      </c>
      <c r="AN16" s="12">
        <v>169</v>
      </c>
      <c r="AO16" s="12">
        <v>143</v>
      </c>
      <c r="AP16" s="12">
        <v>52</v>
      </c>
      <c r="AQ16" s="12">
        <v>201</v>
      </c>
    </row>
    <row r="17" spans="1:43" x14ac:dyDescent="0.35">
      <c r="A17" s="19"/>
      <c r="B17" s="13" t="s">
        <v>1485</v>
      </c>
      <c r="C17" s="15">
        <v>0.25</v>
      </c>
      <c r="D17" s="15">
        <v>0.24</v>
      </c>
      <c r="E17" s="15">
        <v>0.28000000000000003</v>
      </c>
      <c r="F17" s="15">
        <v>0.24</v>
      </c>
      <c r="G17" s="15">
        <v>0.26</v>
      </c>
      <c r="H17" s="15">
        <v>0.25</v>
      </c>
      <c r="I17" s="15">
        <v>0.26</v>
      </c>
      <c r="J17" s="15">
        <v>0.28999999999999998</v>
      </c>
      <c r="K17" s="15">
        <v>0.24</v>
      </c>
      <c r="L17" s="15">
        <v>0.19</v>
      </c>
      <c r="M17" s="15">
        <v>0.27</v>
      </c>
      <c r="N17" s="15">
        <v>0.23</v>
      </c>
      <c r="O17" s="15">
        <v>0.26</v>
      </c>
      <c r="P17" s="15">
        <v>0.27</v>
      </c>
      <c r="Q17" s="15">
        <v>0.28000000000000003</v>
      </c>
      <c r="R17" s="15">
        <v>0.21</v>
      </c>
      <c r="S17" s="15">
        <v>0.25</v>
      </c>
      <c r="T17" s="15">
        <v>0.24</v>
      </c>
      <c r="U17" s="15">
        <v>0.18</v>
      </c>
      <c r="V17" s="15">
        <v>0.24</v>
      </c>
      <c r="W17" s="15">
        <v>0.21</v>
      </c>
      <c r="X17" s="15">
        <v>0.24</v>
      </c>
      <c r="Y17" s="15">
        <v>0.23</v>
      </c>
      <c r="Z17" s="15">
        <v>0.24</v>
      </c>
      <c r="AA17" s="15">
        <v>0.28000000000000003</v>
      </c>
      <c r="AB17" s="15">
        <v>0.24</v>
      </c>
      <c r="AC17" s="15">
        <v>0.25</v>
      </c>
      <c r="AD17" s="15">
        <v>0.22</v>
      </c>
      <c r="AE17" s="15">
        <v>0.27</v>
      </c>
      <c r="AF17" s="15">
        <v>0.28000000000000003</v>
      </c>
      <c r="AG17" s="15">
        <v>0.13</v>
      </c>
      <c r="AH17" s="15">
        <v>0.21</v>
      </c>
      <c r="AI17" s="15">
        <v>0.13</v>
      </c>
      <c r="AJ17" s="15">
        <v>0.26</v>
      </c>
      <c r="AK17" s="15">
        <v>0.19</v>
      </c>
      <c r="AL17" s="15">
        <v>0.19</v>
      </c>
      <c r="AM17" s="15">
        <v>0.23</v>
      </c>
      <c r="AN17" s="15">
        <v>0.17</v>
      </c>
      <c r="AO17" s="15">
        <v>0.14000000000000001</v>
      </c>
      <c r="AP17" s="15">
        <v>0.1</v>
      </c>
      <c r="AQ17" s="15">
        <v>0.2</v>
      </c>
    </row>
    <row r="18" spans="1:43" x14ac:dyDescent="0.35">
      <c r="A18" s="19"/>
      <c r="B18" s="11" t="s">
        <v>1475</v>
      </c>
      <c r="C18" s="12">
        <v>49.36</v>
      </c>
      <c r="D18" s="12">
        <v>48.13</v>
      </c>
      <c r="E18" s="12">
        <v>50.19</v>
      </c>
      <c r="F18" s="12">
        <v>48.45</v>
      </c>
      <c r="G18" s="12">
        <v>50.46</v>
      </c>
      <c r="H18" s="12">
        <v>50.02</v>
      </c>
      <c r="I18" s="12">
        <v>50.25</v>
      </c>
      <c r="J18" s="12">
        <v>51.19</v>
      </c>
      <c r="K18" s="12">
        <v>48.61</v>
      </c>
      <c r="L18" s="12">
        <v>46.36</v>
      </c>
      <c r="M18" s="12">
        <v>50.02</v>
      </c>
      <c r="N18" s="12">
        <v>49.23</v>
      </c>
      <c r="O18" s="12">
        <v>48.91</v>
      </c>
      <c r="P18" s="12">
        <v>48.96</v>
      </c>
      <c r="Q18" s="12">
        <v>50.36</v>
      </c>
      <c r="R18" s="12">
        <v>46.97</v>
      </c>
      <c r="S18" s="12">
        <v>49.66</v>
      </c>
      <c r="T18" s="12">
        <v>49.44</v>
      </c>
      <c r="U18" s="12">
        <v>46.13</v>
      </c>
      <c r="V18" s="12">
        <v>48.65</v>
      </c>
      <c r="W18" s="12">
        <v>46.05</v>
      </c>
      <c r="X18" s="12">
        <v>47.79</v>
      </c>
      <c r="Y18" s="12">
        <v>48.38</v>
      </c>
      <c r="Z18" s="12">
        <v>48.42</v>
      </c>
      <c r="AA18" s="12">
        <v>50.3</v>
      </c>
      <c r="AB18" s="12">
        <v>48.08</v>
      </c>
      <c r="AC18" s="12">
        <v>50.16</v>
      </c>
      <c r="AD18" s="12">
        <v>47.31</v>
      </c>
      <c r="AE18" s="12">
        <v>49.34</v>
      </c>
      <c r="AF18" s="12">
        <v>52.32</v>
      </c>
      <c r="AG18" s="12">
        <v>41.36</v>
      </c>
      <c r="AH18" s="12">
        <v>47.15</v>
      </c>
      <c r="AI18" s="12">
        <v>44.15</v>
      </c>
      <c r="AJ18" s="12">
        <v>48.94</v>
      </c>
      <c r="AK18" s="12">
        <v>45.43</v>
      </c>
      <c r="AL18" s="12">
        <v>46.55</v>
      </c>
      <c r="AM18" s="12">
        <v>48.01</v>
      </c>
      <c r="AN18" s="12">
        <v>44.23</v>
      </c>
      <c r="AO18" s="12">
        <v>42.46</v>
      </c>
      <c r="AP18" s="12">
        <v>39.33</v>
      </c>
      <c r="AQ18" s="12">
        <v>46.6</v>
      </c>
    </row>
    <row r="19" spans="1:43" x14ac:dyDescent="0.35">
      <c r="A19" s="19"/>
      <c r="B19" s="13" t="s">
        <v>1476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Q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369</v>
      </c>
      <c r="C3" s="18"/>
      <c r="D3" s="18"/>
      <c r="E3" s="18"/>
      <c r="F3" s="18"/>
      <c r="H3" s="18" t="s">
        <v>370</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HYPERLINK("#Content!A187","&lt;&lt;Back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1486</v>
      </c>
      <c r="C12" s="12">
        <v>1177</v>
      </c>
      <c r="D12" s="12">
        <v>45</v>
      </c>
      <c r="E12" s="12">
        <v>25</v>
      </c>
      <c r="F12" s="12">
        <v>30</v>
      </c>
      <c r="G12" s="12">
        <v>54</v>
      </c>
      <c r="H12" s="12">
        <v>72</v>
      </c>
      <c r="I12" s="12">
        <v>88</v>
      </c>
      <c r="J12" s="12">
        <v>15</v>
      </c>
      <c r="K12" s="12">
        <v>53</v>
      </c>
      <c r="L12" s="12">
        <v>41</v>
      </c>
      <c r="M12" s="12">
        <v>44</v>
      </c>
      <c r="N12" s="12">
        <v>60</v>
      </c>
      <c r="O12" s="12">
        <v>62</v>
      </c>
      <c r="P12" s="12">
        <v>18</v>
      </c>
      <c r="Q12" s="12">
        <v>25</v>
      </c>
      <c r="R12" s="12">
        <v>19</v>
      </c>
      <c r="S12" s="12">
        <v>54</v>
      </c>
      <c r="T12" s="12">
        <v>67</v>
      </c>
      <c r="U12" s="12">
        <v>14</v>
      </c>
      <c r="V12" s="12">
        <v>32</v>
      </c>
      <c r="W12" s="12">
        <v>14</v>
      </c>
      <c r="X12" s="12">
        <v>23</v>
      </c>
      <c r="Y12" s="12">
        <v>37</v>
      </c>
      <c r="Z12" s="12">
        <v>26</v>
      </c>
      <c r="AA12" s="12">
        <v>48</v>
      </c>
      <c r="AB12" s="12">
        <v>27</v>
      </c>
      <c r="AC12" s="12">
        <v>55</v>
      </c>
      <c r="AD12" s="12">
        <v>12</v>
      </c>
      <c r="AE12" s="12">
        <v>39</v>
      </c>
      <c r="AF12" s="12">
        <v>85</v>
      </c>
      <c r="AG12" s="12">
        <v>0</v>
      </c>
      <c r="AH12" s="12">
        <v>17</v>
      </c>
      <c r="AI12" s="12">
        <v>0</v>
      </c>
      <c r="AJ12" s="12">
        <v>13</v>
      </c>
      <c r="AK12" s="12">
        <v>17</v>
      </c>
      <c r="AL12" s="12">
        <v>15</v>
      </c>
      <c r="AM12" s="12">
        <v>71</v>
      </c>
      <c r="AN12" s="12">
        <v>1</v>
      </c>
      <c r="AO12" s="12">
        <v>12</v>
      </c>
      <c r="AP12" s="12">
        <v>2</v>
      </c>
      <c r="AQ12" s="12">
        <v>27</v>
      </c>
    </row>
    <row r="13" spans="1:43" x14ac:dyDescent="0.35">
      <c r="A13" s="19"/>
      <c r="B13" s="13" t="s">
        <v>1487</v>
      </c>
      <c r="C13" s="15">
        <v>0.04</v>
      </c>
      <c r="D13" s="15">
        <v>0.04</v>
      </c>
      <c r="E13" s="15">
        <v>0.02</v>
      </c>
      <c r="F13" s="15">
        <v>0.03</v>
      </c>
      <c r="G13" s="15">
        <v>0.05</v>
      </c>
      <c r="H13" s="15">
        <v>0.06</v>
      </c>
      <c r="I13" s="15">
        <v>0.06</v>
      </c>
      <c r="J13" s="15">
        <v>0.05</v>
      </c>
      <c r="K13" s="15">
        <v>0.05</v>
      </c>
      <c r="L13" s="15">
        <v>0.04</v>
      </c>
      <c r="M13" s="15">
        <v>0.04</v>
      </c>
      <c r="N13" s="15">
        <v>0.06</v>
      </c>
      <c r="O13" s="15">
        <v>0.06</v>
      </c>
      <c r="P13" s="15">
        <v>0.02</v>
      </c>
      <c r="Q13" s="15">
        <v>0.02</v>
      </c>
      <c r="R13" s="15">
        <v>0.04</v>
      </c>
      <c r="S13" s="15">
        <v>0.05</v>
      </c>
      <c r="T13" s="15">
        <v>0.06</v>
      </c>
      <c r="U13" s="15">
        <v>0.03</v>
      </c>
      <c r="V13" s="15">
        <v>0.03</v>
      </c>
      <c r="W13" s="15">
        <v>0.03</v>
      </c>
      <c r="X13" s="15">
        <v>0.02</v>
      </c>
      <c r="Y13" s="15">
        <v>0.04</v>
      </c>
      <c r="Z13" s="15">
        <v>0.02</v>
      </c>
      <c r="AA13" s="15">
        <v>0.05</v>
      </c>
      <c r="AB13" s="15">
        <v>0.02</v>
      </c>
      <c r="AC13" s="15">
        <v>0.06</v>
      </c>
      <c r="AD13" s="15">
        <v>0.01</v>
      </c>
      <c r="AE13" s="15">
        <v>0.04</v>
      </c>
      <c r="AF13" s="15">
        <v>0.08</v>
      </c>
      <c r="AG13" s="14" t="s">
        <v>475</v>
      </c>
      <c r="AH13" s="15">
        <v>0.02</v>
      </c>
      <c r="AI13" s="14" t="s">
        <v>475</v>
      </c>
      <c r="AJ13" s="15">
        <v>0.01</v>
      </c>
      <c r="AK13" s="15">
        <v>0.02</v>
      </c>
      <c r="AL13" s="15">
        <v>0.02</v>
      </c>
      <c r="AM13" s="15">
        <v>7.0000000000000007E-2</v>
      </c>
      <c r="AN13" s="14" t="s">
        <v>475</v>
      </c>
      <c r="AO13" s="15">
        <v>0.01</v>
      </c>
      <c r="AP13" s="14" t="s">
        <v>475</v>
      </c>
      <c r="AQ13" s="15">
        <v>0.03</v>
      </c>
    </row>
    <row r="14" spans="1:43" x14ac:dyDescent="0.35">
      <c r="A14" s="19"/>
      <c r="B14" s="11" t="s">
        <v>1488</v>
      </c>
      <c r="C14" s="12">
        <v>7158</v>
      </c>
      <c r="D14" s="12">
        <v>270</v>
      </c>
      <c r="E14" s="12">
        <v>319</v>
      </c>
      <c r="F14" s="12">
        <v>283</v>
      </c>
      <c r="G14" s="12">
        <v>290</v>
      </c>
      <c r="H14" s="12">
        <v>338</v>
      </c>
      <c r="I14" s="12">
        <v>434</v>
      </c>
      <c r="J14" s="12">
        <v>96</v>
      </c>
      <c r="K14" s="12">
        <v>251</v>
      </c>
      <c r="L14" s="12">
        <v>213</v>
      </c>
      <c r="M14" s="12">
        <v>278</v>
      </c>
      <c r="N14" s="12">
        <v>233</v>
      </c>
      <c r="O14" s="12">
        <v>251</v>
      </c>
      <c r="P14" s="12">
        <v>312</v>
      </c>
      <c r="Q14" s="12">
        <v>317</v>
      </c>
      <c r="R14" s="12">
        <v>112</v>
      </c>
      <c r="S14" s="12">
        <v>275</v>
      </c>
      <c r="T14" s="12">
        <v>252</v>
      </c>
      <c r="U14" s="12">
        <v>109</v>
      </c>
      <c r="V14" s="12">
        <v>262</v>
      </c>
      <c r="W14" s="12">
        <v>122</v>
      </c>
      <c r="X14" s="12">
        <v>286</v>
      </c>
      <c r="Y14" s="12">
        <v>254</v>
      </c>
      <c r="Z14" s="12">
        <v>280</v>
      </c>
      <c r="AA14" s="12">
        <v>278</v>
      </c>
      <c r="AB14" s="12">
        <v>269</v>
      </c>
      <c r="AC14" s="12">
        <v>272</v>
      </c>
      <c r="AD14" s="12">
        <v>264</v>
      </c>
      <c r="AE14" s="12">
        <v>308</v>
      </c>
      <c r="AF14" s="12">
        <v>272</v>
      </c>
      <c r="AG14" s="12">
        <v>175</v>
      </c>
      <c r="AH14" s="12">
        <v>271</v>
      </c>
      <c r="AI14" s="12">
        <v>84</v>
      </c>
      <c r="AJ14" s="12">
        <v>316</v>
      </c>
      <c r="AK14" s="12">
        <v>242</v>
      </c>
      <c r="AL14" s="12">
        <v>236</v>
      </c>
      <c r="AM14" s="12">
        <v>236</v>
      </c>
      <c r="AN14" s="12">
        <v>236</v>
      </c>
      <c r="AO14" s="12">
        <v>178</v>
      </c>
      <c r="AP14" s="12">
        <v>67</v>
      </c>
      <c r="AQ14" s="12">
        <v>238</v>
      </c>
    </row>
    <row r="15" spans="1:43" x14ac:dyDescent="0.35">
      <c r="A15" s="19"/>
      <c r="B15" s="13" t="s">
        <v>1488</v>
      </c>
      <c r="C15" s="15">
        <v>0.27</v>
      </c>
      <c r="D15" s="15">
        <v>0.27</v>
      </c>
      <c r="E15" s="15">
        <v>0.31</v>
      </c>
      <c r="F15" s="15">
        <v>0.25</v>
      </c>
      <c r="G15" s="15">
        <v>0.28999999999999998</v>
      </c>
      <c r="H15" s="15">
        <v>0.28000000000000003</v>
      </c>
      <c r="I15" s="15">
        <v>0.28000000000000003</v>
      </c>
      <c r="J15" s="15">
        <v>0.32</v>
      </c>
      <c r="K15" s="15">
        <v>0.25</v>
      </c>
      <c r="L15" s="15">
        <v>0.21</v>
      </c>
      <c r="M15" s="15">
        <v>0.28000000000000003</v>
      </c>
      <c r="N15" s="15">
        <v>0.23</v>
      </c>
      <c r="O15" s="15">
        <v>0.25</v>
      </c>
      <c r="P15" s="15">
        <v>0.31</v>
      </c>
      <c r="Q15" s="15">
        <v>0.31</v>
      </c>
      <c r="R15" s="15">
        <v>0.22</v>
      </c>
      <c r="S15" s="15">
        <v>0.27</v>
      </c>
      <c r="T15" s="15">
        <v>0.25</v>
      </c>
      <c r="U15" s="15">
        <v>0.22</v>
      </c>
      <c r="V15" s="15">
        <v>0.26</v>
      </c>
      <c r="W15" s="15">
        <v>0.24</v>
      </c>
      <c r="X15" s="15">
        <v>0.28000000000000003</v>
      </c>
      <c r="Y15" s="15">
        <v>0.25</v>
      </c>
      <c r="Z15" s="15">
        <v>0.27</v>
      </c>
      <c r="AA15" s="15">
        <v>0.27</v>
      </c>
      <c r="AB15" s="15">
        <v>0.26</v>
      </c>
      <c r="AC15" s="15">
        <v>0.27</v>
      </c>
      <c r="AD15" s="15">
        <v>0.26</v>
      </c>
      <c r="AE15" s="15">
        <v>0.3</v>
      </c>
      <c r="AF15" s="15">
        <v>0.26</v>
      </c>
      <c r="AG15" s="15">
        <v>0.17</v>
      </c>
      <c r="AH15" s="15">
        <v>0.27</v>
      </c>
      <c r="AI15" s="15">
        <v>0.16</v>
      </c>
      <c r="AJ15" s="15">
        <v>0.3</v>
      </c>
      <c r="AK15" s="15">
        <v>0.24</v>
      </c>
      <c r="AL15" s="15">
        <v>0.23</v>
      </c>
      <c r="AM15" s="15">
        <v>0.23</v>
      </c>
      <c r="AN15" s="15">
        <v>0.24</v>
      </c>
      <c r="AO15" s="15">
        <v>0.18</v>
      </c>
      <c r="AP15" s="15">
        <v>0.13</v>
      </c>
      <c r="AQ15" s="15">
        <v>0.24</v>
      </c>
    </row>
    <row r="16" spans="1:43" x14ac:dyDescent="0.35">
      <c r="A16" s="19"/>
      <c r="B16" s="11" t="s">
        <v>1489</v>
      </c>
      <c r="C16" s="12">
        <v>7288</v>
      </c>
      <c r="D16" s="12">
        <v>245</v>
      </c>
      <c r="E16" s="12">
        <v>302</v>
      </c>
      <c r="F16" s="12">
        <v>329</v>
      </c>
      <c r="G16" s="12">
        <v>259</v>
      </c>
      <c r="H16" s="12">
        <v>323</v>
      </c>
      <c r="I16" s="12">
        <v>394</v>
      </c>
      <c r="J16" s="12">
        <v>71</v>
      </c>
      <c r="K16" s="12">
        <v>248</v>
      </c>
      <c r="L16" s="12">
        <v>250</v>
      </c>
      <c r="M16" s="12">
        <v>305</v>
      </c>
      <c r="N16" s="12">
        <v>305</v>
      </c>
      <c r="O16" s="12">
        <v>265</v>
      </c>
      <c r="P16" s="12">
        <v>265</v>
      </c>
      <c r="Q16" s="12">
        <v>306</v>
      </c>
      <c r="R16" s="12">
        <v>124</v>
      </c>
      <c r="S16" s="12">
        <v>269</v>
      </c>
      <c r="T16" s="12">
        <v>261</v>
      </c>
      <c r="U16" s="12">
        <v>123</v>
      </c>
      <c r="V16" s="12">
        <v>317</v>
      </c>
      <c r="W16" s="12">
        <v>114</v>
      </c>
      <c r="X16" s="12">
        <v>247</v>
      </c>
      <c r="Y16" s="12">
        <v>274</v>
      </c>
      <c r="Z16" s="12">
        <v>264</v>
      </c>
      <c r="AA16" s="12">
        <v>311</v>
      </c>
      <c r="AB16" s="12">
        <v>318</v>
      </c>
      <c r="AC16" s="12">
        <v>281</v>
      </c>
      <c r="AD16" s="12">
        <v>271</v>
      </c>
      <c r="AE16" s="12">
        <v>229</v>
      </c>
      <c r="AF16" s="12">
        <v>280</v>
      </c>
      <c r="AG16" s="12">
        <v>265</v>
      </c>
      <c r="AH16" s="12">
        <v>248</v>
      </c>
      <c r="AI16" s="12">
        <v>153</v>
      </c>
      <c r="AJ16" s="12">
        <v>275</v>
      </c>
      <c r="AK16" s="12">
        <v>244</v>
      </c>
      <c r="AL16" s="12">
        <v>296</v>
      </c>
      <c r="AM16" s="12">
        <v>264</v>
      </c>
      <c r="AN16" s="12">
        <v>245</v>
      </c>
      <c r="AO16" s="12">
        <v>264</v>
      </c>
      <c r="AP16" s="12">
        <v>117</v>
      </c>
      <c r="AQ16" s="12">
        <v>254</v>
      </c>
    </row>
    <row r="17" spans="1:43" x14ac:dyDescent="0.35">
      <c r="A17" s="19"/>
      <c r="B17" s="13" t="s">
        <v>1489</v>
      </c>
      <c r="C17" s="15">
        <v>0.28000000000000003</v>
      </c>
      <c r="D17" s="15">
        <v>0.24</v>
      </c>
      <c r="E17" s="15">
        <v>0.28999999999999998</v>
      </c>
      <c r="F17" s="15">
        <v>0.3</v>
      </c>
      <c r="G17" s="15">
        <v>0.26</v>
      </c>
      <c r="H17" s="15">
        <v>0.27</v>
      </c>
      <c r="I17" s="15">
        <v>0.26</v>
      </c>
      <c r="J17" s="15">
        <v>0.24</v>
      </c>
      <c r="K17" s="15">
        <v>0.25</v>
      </c>
      <c r="L17" s="15">
        <v>0.25</v>
      </c>
      <c r="M17" s="15">
        <v>0.3</v>
      </c>
      <c r="N17" s="15">
        <v>0.31</v>
      </c>
      <c r="O17" s="15">
        <v>0.26</v>
      </c>
      <c r="P17" s="15">
        <v>0.26</v>
      </c>
      <c r="Q17" s="15">
        <v>0.3</v>
      </c>
      <c r="R17" s="15">
        <v>0.25</v>
      </c>
      <c r="S17" s="15">
        <v>0.27</v>
      </c>
      <c r="T17" s="15">
        <v>0.26</v>
      </c>
      <c r="U17" s="15">
        <v>0.24</v>
      </c>
      <c r="V17" s="15">
        <v>0.31</v>
      </c>
      <c r="W17" s="15">
        <v>0.22</v>
      </c>
      <c r="X17" s="15">
        <v>0.25</v>
      </c>
      <c r="Y17" s="15">
        <v>0.27</v>
      </c>
      <c r="Z17" s="15">
        <v>0.26</v>
      </c>
      <c r="AA17" s="15">
        <v>0.3</v>
      </c>
      <c r="AB17" s="15">
        <v>0.3</v>
      </c>
      <c r="AC17" s="15">
        <v>0.28000000000000003</v>
      </c>
      <c r="AD17" s="15">
        <v>0.27</v>
      </c>
      <c r="AE17" s="15">
        <v>0.23</v>
      </c>
      <c r="AF17" s="15">
        <v>0.27</v>
      </c>
      <c r="AG17" s="15">
        <v>0.25</v>
      </c>
      <c r="AH17" s="15">
        <v>0.24</v>
      </c>
      <c r="AI17" s="15">
        <v>0.28999999999999998</v>
      </c>
      <c r="AJ17" s="15">
        <v>0.27</v>
      </c>
      <c r="AK17" s="15">
        <v>0.24</v>
      </c>
      <c r="AL17" s="15">
        <v>0.28999999999999998</v>
      </c>
      <c r="AM17" s="15">
        <v>0.25</v>
      </c>
      <c r="AN17" s="15">
        <v>0.24</v>
      </c>
      <c r="AO17" s="15">
        <v>0.26</v>
      </c>
      <c r="AP17" s="15">
        <v>0.22</v>
      </c>
      <c r="AQ17" s="15">
        <v>0.25</v>
      </c>
    </row>
    <row r="18" spans="1:43" x14ac:dyDescent="0.35">
      <c r="A18" s="19"/>
      <c r="B18" s="11" t="s">
        <v>1490</v>
      </c>
      <c r="C18" s="12">
        <v>6255</v>
      </c>
      <c r="D18" s="12">
        <v>253</v>
      </c>
      <c r="E18" s="12">
        <v>224</v>
      </c>
      <c r="F18" s="12">
        <v>284</v>
      </c>
      <c r="G18" s="12">
        <v>265</v>
      </c>
      <c r="H18" s="12">
        <v>262</v>
      </c>
      <c r="I18" s="12">
        <v>328</v>
      </c>
      <c r="J18" s="12">
        <v>67</v>
      </c>
      <c r="K18" s="12">
        <v>275</v>
      </c>
      <c r="L18" s="12">
        <v>300</v>
      </c>
      <c r="M18" s="12">
        <v>212</v>
      </c>
      <c r="N18" s="12">
        <v>232</v>
      </c>
      <c r="O18" s="12">
        <v>227</v>
      </c>
      <c r="P18" s="12">
        <v>232</v>
      </c>
      <c r="Q18" s="12">
        <v>219</v>
      </c>
      <c r="R18" s="12">
        <v>157</v>
      </c>
      <c r="S18" s="12">
        <v>226</v>
      </c>
      <c r="T18" s="12">
        <v>268</v>
      </c>
      <c r="U18" s="12">
        <v>165</v>
      </c>
      <c r="V18" s="12">
        <v>223</v>
      </c>
      <c r="W18" s="12">
        <v>172</v>
      </c>
      <c r="X18" s="12">
        <v>239</v>
      </c>
      <c r="Y18" s="12">
        <v>261</v>
      </c>
      <c r="Z18" s="12">
        <v>300</v>
      </c>
      <c r="AA18" s="12">
        <v>241</v>
      </c>
      <c r="AB18" s="12">
        <v>249</v>
      </c>
      <c r="AC18" s="12">
        <v>241</v>
      </c>
      <c r="AD18" s="12">
        <v>286</v>
      </c>
      <c r="AE18" s="12">
        <v>266</v>
      </c>
      <c r="AF18" s="12">
        <v>327</v>
      </c>
      <c r="AG18" s="12">
        <v>309</v>
      </c>
      <c r="AH18" s="12">
        <v>290</v>
      </c>
      <c r="AI18" s="12">
        <v>200</v>
      </c>
      <c r="AJ18" s="12">
        <v>265</v>
      </c>
      <c r="AK18" s="12">
        <v>285</v>
      </c>
      <c r="AL18" s="12">
        <v>286</v>
      </c>
      <c r="AM18" s="12">
        <v>253</v>
      </c>
      <c r="AN18" s="12">
        <v>269</v>
      </c>
      <c r="AO18" s="12">
        <v>275</v>
      </c>
      <c r="AP18" s="12">
        <v>166</v>
      </c>
      <c r="AQ18" s="12">
        <v>288</v>
      </c>
    </row>
    <row r="19" spans="1:43" x14ac:dyDescent="0.35">
      <c r="A19" s="19"/>
      <c r="B19" s="13" t="s">
        <v>1490</v>
      </c>
      <c r="C19" s="15">
        <v>0.24</v>
      </c>
      <c r="D19" s="15">
        <v>0.25</v>
      </c>
      <c r="E19" s="15">
        <v>0.22</v>
      </c>
      <c r="F19" s="15">
        <v>0.26</v>
      </c>
      <c r="G19" s="15">
        <v>0.26</v>
      </c>
      <c r="H19" s="15">
        <v>0.21</v>
      </c>
      <c r="I19" s="15">
        <v>0.22</v>
      </c>
      <c r="J19" s="15">
        <v>0.23</v>
      </c>
      <c r="K19" s="15">
        <v>0.28000000000000003</v>
      </c>
      <c r="L19" s="15">
        <v>0.3</v>
      </c>
      <c r="M19" s="15">
        <v>0.21</v>
      </c>
      <c r="N19" s="15">
        <v>0.23</v>
      </c>
      <c r="O19" s="15">
        <v>0.23</v>
      </c>
      <c r="P19" s="15">
        <v>0.23</v>
      </c>
      <c r="Q19" s="15">
        <v>0.21</v>
      </c>
      <c r="R19" s="15">
        <v>0.31</v>
      </c>
      <c r="S19" s="15">
        <v>0.23</v>
      </c>
      <c r="T19" s="15">
        <v>0.27</v>
      </c>
      <c r="U19" s="15">
        <v>0.33</v>
      </c>
      <c r="V19" s="15">
        <v>0.22</v>
      </c>
      <c r="W19" s="15">
        <v>0.34</v>
      </c>
      <c r="X19" s="15">
        <v>0.24</v>
      </c>
      <c r="Y19" s="15">
        <v>0.26</v>
      </c>
      <c r="Z19" s="15">
        <v>0.28999999999999998</v>
      </c>
      <c r="AA19" s="15">
        <v>0.23</v>
      </c>
      <c r="AB19" s="15">
        <v>0.24</v>
      </c>
      <c r="AC19" s="15">
        <v>0.24</v>
      </c>
      <c r="AD19" s="15">
        <v>0.28999999999999998</v>
      </c>
      <c r="AE19" s="15">
        <v>0.26</v>
      </c>
      <c r="AF19" s="15">
        <v>0.31</v>
      </c>
      <c r="AG19" s="15">
        <v>0.3</v>
      </c>
      <c r="AH19" s="15">
        <v>0.28999999999999998</v>
      </c>
      <c r="AI19" s="15">
        <v>0.38</v>
      </c>
      <c r="AJ19" s="15">
        <v>0.26</v>
      </c>
      <c r="AK19" s="15">
        <v>0.28000000000000003</v>
      </c>
      <c r="AL19" s="15">
        <v>0.28000000000000003</v>
      </c>
      <c r="AM19" s="15">
        <v>0.24</v>
      </c>
      <c r="AN19" s="15">
        <v>0.27</v>
      </c>
      <c r="AO19" s="15">
        <v>0.27</v>
      </c>
      <c r="AP19" s="15">
        <v>0.32</v>
      </c>
      <c r="AQ19" s="15">
        <v>0.28999999999999998</v>
      </c>
    </row>
    <row r="20" spans="1:43" x14ac:dyDescent="0.35">
      <c r="A20" s="19"/>
      <c r="B20" s="11" t="s">
        <v>1491</v>
      </c>
      <c r="C20" s="12">
        <v>4566</v>
      </c>
      <c r="D20" s="12">
        <v>200</v>
      </c>
      <c r="E20" s="12">
        <v>161</v>
      </c>
      <c r="F20" s="12">
        <v>176</v>
      </c>
      <c r="G20" s="12">
        <v>139</v>
      </c>
      <c r="H20" s="12">
        <v>226</v>
      </c>
      <c r="I20" s="12">
        <v>272</v>
      </c>
      <c r="J20" s="12">
        <v>46</v>
      </c>
      <c r="K20" s="12">
        <v>175</v>
      </c>
      <c r="L20" s="12">
        <v>197</v>
      </c>
      <c r="M20" s="12">
        <v>172</v>
      </c>
      <c r="N20" s="12">
        <v>173</v>
      </c>
      <c r="O20" s="12">
        <v>196</v>
      </c>
      <c r="P20" s="12">
        <v>177</v>
      </c>
      <c r="Q20" s="12">
        <v>159</v>
      </c>
      <c r="R20" s="12">
        <v>93</v>
      </c>
      <c r="S20" s="12">
        <v>178</v>
      </c>
      <c r="T20" s="12">
        <v>159</v>
      </c>
      <c r="U20" s="12">
        <v>94</v>
      </c>
      <c r="V20" s="12">
        <v>181</v>
      </c>
      <c r="W20" s="12">
        <v>87</v>
      </c>
      <c r="X20" s="12">
        <v>215</v>
      </c>
      <c r="Y20" s="12">
        <v>177</v>
      </c>
      <c r="Z20" s="12">
        <v>161</v>
      </c>
      <c r="AA20" s="12">
        <v>154</v>
      </c>
      <c r="AB20" s="12">
        <v>190</v>
      </c>
      <c r="AC20" s="12">
        <v>153</v>
      </c>
      <c r="AD20" s="12">
        <v>172</v>
      </c>
      <c r="AE20" s="12">
        <v>171</v>
      </c>
      <c r="AF20" s="12">
        <v>80</v>
      </c>
      <c r="AG20" s="12">
        <v>286</v>
      </c>
      <c r="AH20" s="12">
        <v>187</v>
      </c>
      <c r="AI20" s="12">
        <v>87</v>
      </c>
      <c r="AJ20" s="12">
        <v>168</v>
      </c>
      <c r="AK20" s="12">
        <v>219</v>
      </c>
      <c r="AL20" s="12">
        <v>179</v>
      </c>
      <c r="AM20" s="12">
        <v>217</v>
      </c>
      <c r="AN20" s="12">
        <v>252</v>
      </c>
      <c r="AO20" s="12">
        <v>276</v>
      </c>
      <c r="AP20" s="12">
        <v>172</v>
      </c>
      <c r="AQ20" s="12">
        <v>195</v>
      </c>
    </row>
    <row r="21" spans="1:43" ht="21.5" x14ac:dyDescent="0.35">
      <c r="A21" s="19"/>
      <c r="B21" s="13" t="s">
        <v>1492</v>
      </c>
      <c r="C21" s="15">
        <v>0.17</v>
      </c>
      <c r="D21" s="15">
        <v>0.2</v>
      </c>
      <c r="E21" s="15">
        <v>0.16</v>
      </c>
      <c r="F21" s="15">
        <v>0.16</v>
      </c>
      <c r="G21" s="15">
        <v>0.14000000000000001</v>
      </c>
      <c r="H21" s="15">
        <v>0.18</v>
      </c>
      <c r="I21" s="15">
        <v>0.18</v>
      </c>
      <c r="J21" s="15">
        <v>0.16</v>
      </c>
      <c r="K21" s="15">
        <v>0.17</v>
      </c>
      <c r="L21" s="15">
        <v>0.2</v>
      </c>
      <c r="M21" s="15">
        <v>0.17</v>
      </c>
      <c r="N21" s="15">
        <v>0.17</v>
      </c>
      <c r="O21" s="15">
        <v>0.2</v>
      </c>
      <c r="P21" s="15">
        <v>0.18</v>
      </c>
      <c r="Q21" s="15">
        <v>0.16</v>
      </c>
      <c r="R21" s="15">
        <v>0.18</v>
      </c>
      <c r="S21" s="15">
        <v>0.18</v>
      </c>
      <c r="T21" s="15">
        <v>0.16</v>
      </c>
      <c r="U21" s="15">
        <v>0.18</v>
      </c>
      <c r="V21" s="15">
        <v>0.18</v>
      </c>
      <c r="W21" s="15">
        <v>0.17</v>
      </c>
      <c r="X21" s="15">
        <v>0.21</v>
      </c>
      <c r="Y21" s="15">
        <v>0.18</v>
      </c>
      <c r="Z21" s="15">
        <v>0.16</v>
      </c>
      <c r="AA21" s="15">
        <v>0.15</v>
      </c>
      <c r="AB21" s="15">
        <v>0.18</v>
      </c>
      <c r="AC21" s="15">
        <v>0.15</v>
      </c>
      <c r="AD21" s="15">
        <v>0.17</v>
      </c>
      <c r="AE21" s="15">
        <v>0.17</v>
      </c>
      <c r="AF21" s="15">
        <v>0.08</v>
      </c>
      <c r="AG21" s="15">
        <v>0.28000000000000003</v>
      </c>
      <c r="AH21" s="15">
        <v>0.18</v>
      </c>
      <c r="AI21" s="15">
        <v>0.17</v>
      </c>
      <c r="AJ21" s="15">
        <v>0.16</v>
      </c>
      <c r="AK21" s="15">
        <v>0.22</v>
      </c>
      <c r="AL21" s="15">
        <v>0.18</v>
      </c>
      <c r="AM21" s="15">
        <v>0.21</v>
      </c>
      <c r="AN21" s="15">
        <v>0.25</v>
      </c>
      <c r="AO21" s="15">
        <v>0.28000000000000003</v>
      </c>
      <c r="AP21" s="15">
        <v>0.33</v>
      </c>
      <c r="AQ21" s="15">
        <v>0.19</v>
      </c>
    </row>
    <row r="22" spans="1:43" x14ac:dyDescent="0.35">
      <c r="A22" s="19"/>
      <c r="B22" s="11" t="s">
        <v>1475</v>
      </c>
      <c r="C22" s="12">
        <v>49.36</v>
      </c>
      <c r="D22" s="12">
        <v>48.13</v>
      </c>
      <c r="E22" s="12">
        <v>50.19</v>
      </c>
      <c r="F22" s="12">
        <v>48.45</v>
      </c>
      <c r="G22" s="12">
        <v>50.46</v>
      </c>
      <c r="H22" s="12">
        <v>50.02</v>
      </c>
      <c r="I22" s="12">
        <v>50.25</v>
      </c>
      <c r="J22" s="12">
        <v>51.19</v>
      </c>
      <c r="K22" s="12">
        <v>48.61</v>
      </c>
      <c r="L22" s="12">
        <v>46.36</v>
      </c>
      <c r="M22" s="12">
        <v>50.02</v>
      </c>
      <c r="N22" s="12">
        <v>49.23</v>
      </c>
      <c r="O22" s="12">
        <v>48.91</v>
      </c>
      <c r="P22" s="12">
        <v>48.96</v>
      </c>
      <c r="Q22" s="12">
        <v>50.36</v>
      </c>
      <c r="R22" s="12">
        <v>46.97</v>
      </c>
      <c r="S22" s="12">
        <v>49.66</v>
      </c>
      <c r="T22" s="12">
        <v>49.44</v>
      </c>
      <c r="U22" s="12">
        <v>46.13</v>
      </c>
      <c r="V22" s="12">
        <v>48.65</v>
      </c>
      <c r="W22" s="12">
        <v>46.05</v>
      </c>
      <c r="X22" s="12">
        <v>47.79</v>
      </c>
      <c r="Y22" s="12">
        <v>48.38</v>
      </c>
      <c r="Z22" s="12">
        <v>48.42</v>
      </c>
      <c r="AA22" s="12">
        <v>50.3</v>
      </c>
      <c r="AB22" s="12">
        <v>48.08</v>
      </c>
      <c r="AC22" s="12">
        <v>50.16</v>
      </c>
      <c r="AD22" s="12">
        <v>47.31</v>
      </c>
      <c r="AE22" s="12">
        <v>49.34</v>
      </c>
      <c r="AF22" s="12">
        <v>52.32</v>
      </c>
      <c r="AG22" s="12">
        <v>41.36</v>
      </c>
      <c r="AH22" s="12">
        <v>47.15</v>
      </c>
      <c r="AI22" s="12">
        <v>44.15</v>
      </c>
      <c r="AJ22" s="12">
        <v>48.94</v>
      </c>
      <c r="AK22" s="12">
        <v>45.43</v>
      </c>
      <c r="AL22" s="12">
        <v>46.55</v>
      </c>
      <c r="AM22" s="12">
        <v>48.01</v>
      </c>
      <c r="AN22" s="12">
        <v>44.23</v>
      </c>
      <c r="AO22" s="12">
        <v>42.46</v>
      </c>
      <c r="AP22" s="12">
        <v>39.33</v>
      </c>
      <c r="AQ22" s="12">
        <v>46.6</v>
      </c>
    </row>
    <row r="23" spans="1:43" x14ac:dyDescent="0.35">
      <c r="A23" s="19"/>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Q4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371</v>
      </c>
      <c r="C3" s="18"/>
      <c r="D3" s="18"/>
      <c r="E3" s="18"/>
      <c r="F3" s="18"/>
      <c r="H3" s="18" t="s">
        <v>372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HYPERLINK("#Content!A188","&lt;&lt;Back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1493</v>
      </c>
      <c r="C12" s="12">
        <v>6930</v>
      </c>
      <c r="D12" s="12">
        <v>196</v>
      </c>
      <c r="E12" s="12">
        <v>347</v>
      </c>
      <c r="F12" s="12">
        <v>262</v>
      </c>
      <c r="G12" s="12">
        <v>252</v>
      </c>
      <c r="H12" s="12">
        <v>313</v>
      </c>
      <c r="I12" s="12">
        <v>388</v>
      </c>
      <c r="J12" s="12">
        <v>74</v>
      </c>
      <c r="K12" s="12">
        <v>197</v>
      </c>
      <c r="L12" s="12">
        <v>170</v>
      </c>
      <c r="M12" s="12">
        <v>300</v>
      </c>
      <c r="N12" s="12">
        <v>272</v>
      </c>
      <c r="O12" s="12">
        <v>188</v>
      </c>
      <c r="P12" s="12">
        <v>236</v>
      </c>
      <c r="Q12" s="12">
        <v>300</v>
      </c>
      <c r="R12" s="12">
        <v>112</v>
      </c>
      <c r="S12" s="12">
        <v>222</v>
      </c>
      <c r="T12" s="12">
        <v>264</v>
      </c>
      <c r="U12" s="12">
        <v>100</v>
      </c>
      <c r="V12" s="12">
        <v>316</v>
      </c>
      <c r="W12" s="12">
        <v>121</v>
      </c>
      <c r="X12" s="12">
        <v>214</v>
      </c>
      <c r="Y12" s="12">
        <v>317</v>
      </c>
      <c r="Z12" s="12">
        <v>363</v>
      </c>
      <c r="AA12" s="12">
        <v>266</v>
      </c>
      <c r="AB12" s="12">
        <v>384</v>
      </c>
      <c r="AC12" s="12">
        <v>192</v>
      </c>
      <c r="AD12" s="12">
        <v>244</v>
      </c>
      <c r="AE12" s="12">
        <v>262</v>
      </c>
      <c r="AF12" s="12">
        <v>211</v>
      </c>
      <c r="AG12" s="12">
        <v>184</v>
      </c>
      <c r="AH12" s="12">
        <v>216</v>
      </c>
      <c r="AI12" s="12">
        <v>44</v>
      </c>
      <c r="AJ12" s="12">
        <v>235</v>
      </c>
      <c r="AK12" s="12">
        <v>246</v>
      </c>
      <c r="AL12" s="12">
        <v>318</v>
      </c>
      <c r="AM12" s="12">
        <v>219</v>
      </c>
      <c r="AN12" s="12">
        <v>289</v>
      </c>
      <c r="AO12" s="12">
        <v>94</v>
      </c>
      <c r="AP12" s="12">
        <v>54</v>
      </c>
      <c r="AQ12" s="12">
        <v>132</v>
      </c>
    </row>
    <row r="13" spans="1:43" ht="31.5" x14ac:dyDescent="0.35">
      <c r="A13" s="19"/>
      <c r="B13" s="13" t="s">
        <v>1494</v>
      </c>
      <c r="C13" s="15">
        <v>0.26</v>
      </c>
      <c r="D13" s="15">
        <v>0.19</v>
      </c>
      <c r="E13" s="15">
        <v>0.34</v>
      </c>
      <c r="F13" s="15">
        <v>0.24</v>
      </c>
      <c r="G13" s="15">
        <v>0.25</v>
      </c>
      <c r="H13" s="15">
        <v>0.26</v>
      </c>
      <c r="I13" s="15">
        <v>0.26</v>
      </c>
      <c r="J13" s="15">
        <v>0.25</v>
      </c>
      <c r="K13" s="15">
        <v>0.2</v>
      </c>
      <c r="L13" s="15">
        <v>0.17</v>
      </c>
      <c r="M13" s="15">
        <v>0.3</v>
      </c>
      <c r="N13" s="15">
        <v>0.27</v>
      </c>
      <c r="O13" s="15">
        <v>0.19</v>
      </c>
      <c r="P13" s="15">
        <v>0.24</v>
      </c>
      <c r="Q13" s="15">
        <v>0.28999999999999998</v>
      </c>
      <c r="R13" s="15">
        <v>0.22</v>
      </c>
      <c r="S13" s="15">
        <v>0.22</v>
      </c>
      <c r="T13" s="15">
        <v>0.26</v>
      </c>
      <c r="U13" s="15">
        <v>0.2</v>
      </c>
      <c r="V13" s="15">
        <v>0.31</v>
      </c>
      <c r="W13" s="15">
        <v>0.24</v>
      </c>
      <c r="X13" s="15">
        <v>0.21</v>
      </c>
      <c r="Y13" s="15">
        <v>0.32</v>
      </c>
      <c r="Z13" s="15">
        <v>0.35</v>
      </c>
      <c r="AA13" s="15">
        <v>0.26</v>
      </c>
      <c r="AB13" s="15">
        <v>0.36</v>
      </c>
      <c r="AC13" s="15">
        <v>0.19</v>
      </c>
      <c r="AD13" s="15">
        <v>0.24</v>
      </c>
      <c r="AE13" s="15">
        <v>0.26</v>
      </c>
      <c r="AF13" s="15">
        <v>0.2</v>
      </c>
      <c r="AG13" s="15">
        <v>0.18</v>
      </c>
      <c r="AH13" s="15">
        <v>0.21</v>
      </c>
      <c r="AI13" s="15">
        <v>0.08</v>
      </c>
      <c r="AJ13" s="15">
        <v>0.23</v>
      </c>
      <c r="AK13" s="15">
        <v>0.24</v>
      </c>
      <c r="AL13" s="15">
        <v>0.32</v>
      </c>
      <c r="AM13" s="15">
        <v>0.21</v>
      </c>
      <c r="AN13" s="15">
        <v>0.28999999999999998</v>
      </c>
      <c r="AO13" s="15">
        <v>0.09</v>
      </c>
      <c r="AP13" s="15">
        <v>0.1</v>
      </c>
      <c r="AQ13" s="15">
        <v>0.13</v>
      </c>
    </row>
    <row r="14" spans="1:43" ht="31.5" x14ac:dyDescent="0.35">
      <c r="A14" s="19"/>
      <c r="B14" s="11" t="s">
        <v>1495</v>
      </c>
      <c r="C14" s="12">
        <v>5649</v>
      </c>
      <c r="D14" s="12">
        <v>156</v>
      </c>
      <c r="E14" s="12">
        <v>252</v>
      </c>
      <c r="F14" s="12">
        <v>211</v>
      </c>
      <c r="G14" s="12">
        <v>197</v>
      </c>
      <c r="H14" s="12">
        <v>236</v>
      </c>
      <c r="I14" s="12">
        <v>269</v>
      </c>
      <c r="J14" s="12">
        <v>32</v>
      </c>
      <c r="K14" s="12">
        <v>149</v>
      </c>
      <c r="L14" s="12">
        <v>345</v>
      </c>
      <c r="M14" s="12">
        <v>285</v>
      </c>
      <c r="N14" s="12">
        <v>237</v>
      </c>
      <c r="O14" s="12">
        <v>129</v>
      </c>
      <c r="P14" s="12">
        <v>266</v>
      </c>
      <c r="Q14" s="12">
        <v>292</v>
      </c>
      <c r="R14" s="12">
        <v>185</v>
      </c>
      <c r="S14" s="12">
        <v>176</v>
      </c>
      <c r="T14" s="12">
        <v>170</v>
      </c>
      <c r="U14" s="12">
        <v>163</v>
      </c>
      <c r="V14" s="12">
        <v>217</v>
      </c>
      <c r="W14" s="12">
        <v>149</v>
      </c>
      <c r="X14" s="12">
        <v>177</v>
      </c>
      <c r="Y14" s="12">
        <v>191</v>
      </c>
      <c r="Z14" s="12">
        <v>262</v>
      </c>
      <c r="AA14" s="12">
        <v>329</v>
      </c>
      <c r="AB14" s="12">
        <v>314</v>
      </c>
      <c r="AC14" s="12">
        <v>279</v>
      </c>
      <c r="AD14" s="12">
        <v>295</v>
      </c>
      <c r="AE14" s="12">
        <v>158</v>
      </c>
      <c r="AF14" s="12">
        <v>124</v>
      </c>
      <c r="AG14" s="12">
        <v>480</v>
      </c>
      <c r="AH14" s="12">
        <v>425</v>
      </c>
      <c r="AI14" s="12">
        <v>343</v>
      </c>
      <c r="AJ14" s="12">
        <v>380</v>
      </c>
      <c r="AK14" s="12">
        <v>419</v>
      </c>
      <c r="AL14" s="12">
        <v>281</v>
      </c>
      <c r="AM14" s="12">
        <v>229</v>
      </c>
      <c r="AN14" s="12">
        <v>391</v>
      </c>
      <c r="AO14" s="12">
        <v>559</v>
      </c>
      <c r="AP14" s="12">
        <v>175</v>
      </c>
      <c r="AQ14" s="12">
        <v>416</v>
      </c>
    </row>
    <row r="15" spans="1:43" ht="31.5" x14ac:dyDescent="0.35">
      <c r="A15" s="19"/>
      <c r="B15" s="13" t="s">
        <v>1496</v>
      </c>
      <c r="C15" s="15">
        <v>0.21</v>
      </c>
      <c r="D15" s="15">
        <v>0.16</v>
      </c>
      <c r="E15" s="15">
        <v>0.25</v>
      </c>
      <c r="F15" s="15">
        <v>0.19</v>
      </c>
      <c r="G15" s="15">
        <v>0.2</v>
      </c>
      <c r="H15" s="15">
        <v>0.19</v>
      </c>
      <c r="I15" s="15">
        <v>0.18</v>
      </c>
      <c r="J15" s="15">
        <v>0.11</v>
      </c>
      <c r="K15" s="15">
        <v>0.15</v>
      </c>
      <c r="L15" s="15">
        <v>0.34</v>
      </c>
      <c r="M15" s="15">
        <v>0.28000000000000003</v>
      </c>
      <c r="N15" s="15">
        <v>0.24</v>
      </c>
      <c r="O15" s="15">
        <v>0.13</v>
      </c>
      <c r="P15" s="15">
        <v>0.26</v>
      </c>
      <c r="Q15" s="15">
        <v>0.28000000000000003</v>
      </c>
      <c r="R15" s="15">
        <v>0.37</v>
      </c>
      <c r="S15" s="15">
        <v>0.18</v>
      </c>
      <c r="T15" s="15">
        <v>0.17</v>
      </c>
      <c r="U15" s="15">
        <v>0.32</v>
      </c>
      <c r="V15" s="15">
        <v>0.22</v>
      </c>
      <c r="W15" s="15">
        <v>0.28999999999999998</v>
      </c>
      <c r="X15" s="15">
        <v>0.17</v>
      </c>
      <c r="Y15" s="15">
        <v>0.19</v>
      </c>
      <c r="Z15" s="15">
        <v>0.25</v>
      </c>
      <c r="AA15" s="15">
        <v>0.32</v>
      </c>
      <c r="AB15" s="15">
        <v>0.3</v>
      </c>
      <c r="AC15" s="15">
        <v>0.28000000000000003</v>
      </c>
      <c r="AD15" s="15">
        <v>0.28999999999999998</v>
      </c>
      <c r="AE15" s="15">
        <v>0.16</v>
      </c>
      <c r="AF15" s="15">
        <v>0.12</v>
      </c>
      <c r="AG15" s="15">
        <v>0.46</v>
      </c>
      <c r="AH15" s="15">
        <v>0.42</v>
      </c>
      <c r="AI15" s="15">
        <v>0.66</v>
      </c>
      <c r="AJ15" s="15">
        <v>0.37</v>
      </c>
      <c r="AK15" s="15">
        <v>0.42</v>
      </c>
      <c r="AL15" s="15">
        <v>0.28000000000000003</v>
      </c>
      <c r="AM15" s="15">
        <v>0.22</v>
      </c>
      <c r="AN15" s="15">
        <v>0.39</v>
      </c>
      <c r="AO15" s="15">
        <v>0.56000000000000005</v>
      </c>
      <c r="AP15" s="15">
        <v>0.34</v>
      </c>
      <c r="AQ15" s="15">
        <v>0.42</v>
      </c>
    </row>
    <row r="16" spans="1:43" ht="41.5" x14ac:dyDescent="0.35">
      <c r="A16" s="19"/>
      <c r="B16" s="11" t="s">
        <v>1497</v>
      </c>
      <c r="C16" s="12">
        <v>153</v>
      </c>
      <c r="D16" s="12">
        <v>13</v>
      </c>
      <c r="E16" s="12">
        <v>4</v>
      </c>
      <c r="F16" s="12">
        <v>6</v>
      </c>
      <c r="G16" s="12">
        <v>5</v>
      </c>
      <c r="H16" s="12">
        <v>8</v>
      </c>
      <c r="I16" s="12">
        <v>9</v>
      </c>
      <c r="J16" s="12">
        <v>1</v>
      </c>
      <c r="K16" s="12">
        <v>8</v>
      </c>
      <c r="L16" s="12">
        <v>5</v>
      </c>
      <c r="M16" s="12">
        <v>1</v>
      </c>
      <c r="N16" s="12">
        <v>2</v>
      </c>
      <c r="O16" s="12">
        <v>10</v>
      </c>
      <c r="P16" s="12">
        <v>7</v>
      </c>
      <c r="Q16" s="12">
        <v>7</v>
      </c>
      <c r="R16" s="12">
        <v>1</v>
      </c>
      <c r="S16" s="12">
        <v>15</v>
      </c>
      <c r="T16" s="12">
        <v>2</v>
      </c>
      <c r="U16" s="12">
        <v>5</v>
      </c>
      <c r="V16" s="12">
        <v>2</v>
      </c>
      <c r="W16" s="12">
        <v>1</v>
      </c>
      <c r="X16" s="12">
        <v>15</v>
      </c>
      <c r="Y16" s="12">
        <v>8</v>
      </c>
      <c r="Z16" s="12">
        <v>2</v>
      </c>
      <c r="AA16" s="12">
        <v>3</v>
      </c>
      <c r="AB16" s="12">
        <v>2</v>
      </c>
      <c r="AC16" s="12">
        <v>0</v>
      </c>
      <c r="AD16" s="12">
        <v>4</v>
      </c>
      <c r="AE16" s="12">
        <v>2</v>
      </c>
      <c r="AF16" s="12">
        <v>4</v>
      </c>
      <c r="AG16" s="12">
        <v>14</v>
      </c>
      <c r="AH16" s="12">
        <v>4</v>
      </c>
      <c r="AI16" s="12">
        <v>3</v>
      </c>
      <c r="AJ16" s="12">
        <v>5</v>
      </c>
      <c r="AK16" s="12">
        <v>4</v>
      </c>
      <c r="AL16" s="12">
        <v>1</v>
      </c>
      <c r="AM16" s="12">
        <v>4</v>
      </c>
      <c r="AN16" s="12">
        <v>4</v>
      </c>
      <c r="AO16" s="12">
        <v>4</v>
      </c>
      <c r="AP16" s="12">
        <v>7</v>
      </c>
      <c r="AQ16" s="12">
        <v>11</v>
      </c>
    </row>
    <row r="17" spans="1:43" ht="41.5" x14ac:dyDescent="0.35">
      <c r="A17" s="19"/>
      <c r="B17" s="13" t="s">
        <v>1498</v>
      </c>
      <c r="C17" s="15">
        <v>0.01</v>
      </c>
      <c r="D17" s="15">
        <v>0.01</v>
      </c>
      <c r="E17" s="14" t="s">
        <v>475</v>
      </c>
      <c r="F17" s="15">
        <v>0.01</v>
      </c>
      <c r="G17" s="15">
        <v>0.01</v>
      </c>
      <c r="H17" s="15">
        <v>0.01</v>
      </c>
      <c r="I17" s="15">
        <v>0.01</v>
      </c>
      <c r="J17" s="14" t="s">
        <v>475</v>
      </c>
      <c r="K17" s="15">
        <v>0.01</v>
      </c>
      <c r="L17" s="15">
        <v>0.01</v>
      </c>
      <c r="M17" s="14" t="s">
        <v>475</v>
      </c>
      <c r="N17" s="14" t="s">
        <v>475</v>
      </c>
      <c r="O17" s="15">
        <v>0.01</v>
      </c>
      <c r="P17" s="15">
        <v>0.01</v>
      </c>
      <c r="Q17" s="15">
        <v>0.01</v>
      </c>
      <c r="R17" s="14" t="s">
        <v>475</v>
      </c>
      <c r="S17" s="15">
        <v>0.01</v>
      </c>
      <c r="T17" s="14" t="s">
        <v>475</v>
      </c>
      <c r="U17" s="15">
        <v>0.01</v>
      </c>
      <c r="V17" s="14" t="s">
        <v>475</v>
      </c>
      <c r="W17" s="14" t="s">
        <v>475</v>
      </c>
      <c r="X17" s="15">
        <v>0.01</v>
      </c>
      <c r="Y17" s="15">
        <v>0.01</v>
      </c>
      <c r="Z17" s="14" t="s">
        <v>475</v>
      </c>
      <c r="AA17" s="14" t="s">
        <v>475</v>
      </c>
      <c r="AB17" s="14" t="s">
        <v>475</v>
      </c>
      <c r="AC17" s="14" t="s">
        <v>475</v>
      </c>
      <c r="AD17" s="14" t="s">
        <v>475</v>
      </c>
      <c r="AE17" s="14" t="s">
        <v>475</v>
      </c>
      <c r="AF17" s="14" t="s">
        <v>475</v>
      </c>
      <c r="AG17" s="15">
        <v>0.02</v>
      </c>
      <c r="AH17" s="15">
        <v>0.01</v>
      </c>
      <c r="AI17" s="15">
        <v>0.01</v>
      </c>
      <c r="AJ17" s="14" t="s">
        <v>475</v>
      </c>
      <c r="AK17" s="14" t="s">
        <v>475</v>
      </c>
      <c r="AL17" s="14" t="s">
        <v>475</v>
      </c>
      <c r="AM17" s="14" t="s">
        <v>475</v>
      </c>
      <c r="AN17" s="14" t="s">
        <v>475</v>
      </c>
      <c r="AO17" s="14" t="s">
        <v>475</v>
      </c>
      <c r="AP17" s="15">
        <v>0.01</v>
      </c>
      <c r="AQ17" s="15">
        <v>0.01</v>
      </c>
    </row>
    <row r="18" spans="1:43" ht="51.5" x14ac:dyDescent="0.35">
      <c r="A18" s="19"/>
      <c r="B18" s="11" t="s">
        <v>1499</v>
      </c>
      <c r="C18" s="12">
        <v>137</v>
      </c>
      <c r="D18" s="12">
        <v>8</v>
      </c>
      <c r="E18" s="12">
        <v>4</v>
      </c>
      <c r="F18" s="12">
        <v>23</v>
      </c>
      <c r="G18" s="12">
        <v>9</v>
      </c>
      <c r="H18" s="12">
        <v>1</v>
      </c>
      <c r="I18" s="12">
        <v>5</v>
      </c>
      <c r="J18" s="12">
        <v>4</v>
      </c>
      <c r="K18" s="12">
        <v>9</v>
      </c>
      <c r="L18" s="12">
        <v>2</v>
      </c>
      <c r="M18" s="12">
        <v>1</v>
      </c>
      <c r="N18" s="12">
        <v>3</v>
      </c>
      <c r="O18" s="12">
        <v>3</v>
      </c>
      <c r="P18" s="12">
        <v>7</v>
      </c>
      <c r="Q18" s="12">
        <v>9</v>
      </c>
      <c r="R18" s="12">
        <v>1</v>
      </c>
      <c r="S18" s="12">
        <v>11</v>
      </c>
      <c r="T18" s="12">
        <v>2</v>
      </c>
      <c r="U18" s="12">
        <v>0</v>
      </c>
      <c r="V18" s="12">
        <v>9</v>
      </c>
      <c r="W18" s="12">
        <v>0</v>
      </c>
      <c r="X18" s="12">
        <v>7</v>
      </c>
      <c r="Y18" s="12">
        <v>9</v>
      </c>
      <c r="Z18" s="12">
        <v>2</v>
      </c>
      <c r="AA18" s="12">
        <v>2</v>
      </c>
      <c r="AB18" s="12">
        <v>3</v>
      </c>
      <c r="AC18" s="12">
        <v>6</v>
      </c>
      <c r="AD18" s="12">
        <v>9</v>
      </c>
      <c r="AE18" s="12">
        <v>6</v>
      </c>
      <c r="AF18" s="12">
        <v>13</v>
      </c>
      <c r="AG18" s="12">
        <v>3</v>
      </c>
      <c r="AH18" s="12">
        <v>2</v>
      </c>
      <c r="AI18" s="12">
        <v>2</v>
      </c>
      <c r="AJ18" s="12">
        <v>16</v>
      </c>
      <c r="AK18" s="12">
        <v>1</v>
      </c>
      <c r="AL18" s="12">
        <v>1</v>
      </c>
      <c r="AM18" s="12">
        <v>3</v>
      </c>
      <c r="AN18" s="12">
        <v>4</v>
      </c>
      <c r="AO18" s="12">
        <v>1</v>
      </c>
      <c r="AP18" s="12">
        <v>11</v>
      </c>
      <c r="AQ18" s="12">
        <v>17</v>
      </c>
    </row>
    <row r="19" spans="1:43" ht="41.5" x14ac:dyDescent="0.35">
      <c r="A19" s="19"/>
      <c r="B19" s="13" t="s">
        <v>1500</v>
      </c>
      <c r="C19" s="15">
        <v>0.01</v>
      </c>
      <c r="D19" s="15">
        <v>0.01</v>
      </c>
      <c r="E19" s="14" t="s">
        <v>475</v>
      </c>
      <c r="F19" s="15">
        <v>0.02</v>
      </c>
      <c r="G19" s="15">
        <v>0.01</v>
      </c>
      <c r="H19" s="14" t="s">
        <v>475</v>
      </c>
      <c r="I19" s="14" t="s">
        <v>475</v>
      </c>
      <c r="J19" s="15">
        <v>0.01</v>
      </c>
      <c r="K19" s="15">
        <v>0.01</v>
      </c>
      <c r="L19" s="14" t="s">
        <v>475</v>
      </c>
      <c r="M19" s="14" t="s">
        <v>475</v>
      </c>
      <c r="N19" s="14" t="s">
        <v>475</v>
      </c>
      <c r="O19" s="14" t="s">
        <v>475</v>
      </c>
      <c r="P19" s="15">
        <v>0.01</v>
      </c>
      <c r="Q19" s="15">
        <v>0.01</v>
      </c>
      <c r="R19" s="14" t="s">
        <v>475</v>
      </c>
      <c r="S19" s="15">
        <v>0.01</v>
      </c>
      <c r="T19" s="14" t="s">
        <v>475</v>
      </c>
      <c r="U19" s="14" t="s">
        <v>475</v>
      </c>
      <c r="V19" s="15">
        <v>0.01</v>
      </c>
      <c r="W19" s="14" t="s">
        <v>475</v>
      </c>
      <c r="X19" s="15">
        <v>0.01</v>
      </c>
      <c r="Y19" s="15">
        <v>0.01</v>
      </c>
      <c r="Z19" s="14" t="s">
        <v>475</v>
      </c>
      <c r="AA19" s="14" t="s">
        <v>475</v>
      </c>
      <c r="AB19" s="14" t="s">
        <v>475</v>
      </c>
      <c r="AC19" s="15">
        <v>0.01</v>
      </c>
      <c r="AD19" s="15">
        <v>0.01</v>
      </c>
      <c r="AE19" s="15">
        <v>0.01</v>
      </c>
      <c r="AF19" s="15">
        <v>0.01</v>
      </c>
      <c r="AG19" s="14" t="s">
        <v>475</v>
      </c>
      <c r="AH19" s="14" t="s">
        <v>475</v>
      </c>
      <c r="AI19" s="14" t="s">
        <v>475</v>
      </c>
      <c r="AJ19" s="15">
        <v>0.02</v>
      </c>
      <c r="AK19" s="14" t="s">
        <v>475</v>
      </c>
      <c r="AL19" s="14" t="s">
        <v>475</v>
      </c>
      <c r="AM19" s="14" t="s">
        <v>475</v>
      </c>
      <c r="AN19" s="14" t="s">
        <v>475</v>
      </c>
      <c r="AO19" s="14" t="s">
        <v>475</v>
      </c>
      <c r="AP19" s="15">
        <v>0.02</v>
      </c>
      <c r="AQ19" s="15">
        <v>0.02</v>
      </c>
    </row>
    <row r="20" spans="1:43" ht="31.5" x14ac:dyDescent="0.35">
      <c r="A20" s="19"/>
      <c r="B20" s="11" t="s">
        <v>1501</v>
      </c>
      <c r="C20" s="12">
        <v>1967</v>
      </c>
      <c r="D20" s="12">
        <v>84</v>
      </c>
      <c r="E20" s="12">
        <v>55</v>
      </c>
      <c r="F20" s="12">
        <v>110</v>
      </c>
      <c r="G20" s="12">
        <v>124</v>
      </c>
      <c r="H20" s="12">
        <v>88</v>
      </c>
      <c r="I20" s="12">
        <v>119</v>
      </c>
      <c r="J20" s="12">
        <v>30</v>
      </c>
      <c r="K20" s="12">
        <v>98</v>
      </c>
      <c r="L20" s="12">
        <v>43</v>
      </c>
      <c r="M20" s="12">
        <v>45</v>
      </c>
      <c r="N20" s="12">
        <v>99</v>
      </c>
      <c r="O20" s="12">
        <v>81</v>
      </c>
      <c r="P20" s="12">
        <v>60</v>
      </c>
      <c r="Q20" s="12">
        <v>51</v>
      </c>
      <c r="R20" s="12">
        <v>39</v>
      </c>
      <c r="S20" s="12">
        <v>85</v>
      </c>
      <c r="T20" s="12">
        <v>61</v>
      </c>
      <c r="U20" s="12">
        <v>36</v>
      </c>
      <c r="V20" s="12">
        <v>100</v>
      </c>
      <c r="W20" s="12">
        <v>33</v>
      </c>
      <c r="X20" s="12">
        <v>87</v>
      </c>
      <c r="Y20" s="12">
        <v>79</v>
      </c>
      <c r="Z20" s="12">
        <v>73</v>
      </c>
      <c r="AA20" s="12">
        <v>28</v>
      </c>
      <c r="AB20" s="12">
        <v>27</v>
      </c>
      <c r="AC20" s="12">
        <v>98</v>
      </c>
      <c r="AD20" s="12">
        <v>33</v>
      </c>
      <c r="AE20" s="12">
        <v>143</v>
      </c>
      <c r="AF20" s="12">
        <v>122</v>
      </c>
      <c r="AG20" s="12">
        <v>1</v>
      </c>
      <c r="AH20" s="12">
        <v>22</v>
      </c>
      <c r="AI20" s="12">
        <v>11</v>
      </c>
      <c r="AJ20" s="12">
        <v>32</v>
      </c>
      <c r="AK20" s="12">
        <v>25</v>
      </c>
      <c r="AL20" s="12">
        <v>28</v>
      </c>
      <c r="AM20" s="12">
        <v>84</v>
      </c>
      <c r="AN20" s="12">
        <v>18</v>
      </c>
      <c r="AO20" s="12">
        <v>21</v>
      </c>
      <c r="AP20" s="12">
        <v>5</v>
      </c>
      <c r="AQ20" s="12">
        <v>12</v>
      </c>
    </row>
    <row r="21" spans="1:43" ht="31.5" x14ac:dyDescent="0.35">
      <c r="A21" s="19"/>
      <c r="B21" s="13" t="s">
        <v>1502</v>
      </c>
      <c r="C21" s="15">
        <v>7.0000000000000007E-2</v>
      </c>
      <c r="D21" s="15">
        <v>0.08</v>
      </c>
      <c r="E21" s="15">
        <v>0.05</v>
      </c>
      <c r="F21" s="15">
        <v>0.1</v>
      </c>
      <c r="G21" s="15">
        <v>0.12</v>
      </c>
      <c r="H21" s="15">
        <v>7.0000000000000007E-2</v>
      </c>
      <c r="I21" s="15">
        <v>0.08</v>
      </c>
      <c r="J21" s="15">
        <v>0.1</v>
      </c>
      <c r="K21" s="15">
        <v>0.1</v>
      </c>
      <c r="L21" s="15">
        <v>0.04</v>
      </c>
      <c r="M21" s="15">
        <v>0.04</v>
      </c>
      <c r="N21" s="15">
        <v>0.1</v>
      </c>
      <c r="O21" s="15">
        <v>0.08</v>
      </c>
      <c r="P21" s="15">
        <v>0.06</v>
      </c>
      <c r="Q21" s="15">
        <v>0.05</v>
      </c>
      <c r="R21" s="15">
        <v>0.08</v>
      </c>
      <c r="S21" s="15">
        <v>0.08</v>
      </c>
      <c r="T21" s="15">
        <v>0.06</v>
      </c>
      <c r="U21" s="15">
        <v>7.0000000000000007E-2</v>
      </c>
      <c r="V21" s="15">
        <v>0.1</v>
      </c>
      <c r="W21" s="15">
        <v>7.0000000000000007E-2</v>
      </c>
      <c r="X21" s="15">
        <v>0.09</v>
      </c>
      <c r="Y21" s="15">
        <v>0.08</v>
      </c>
      <c r="Z21" s="15">
        <v>7.0000000000000007E-2</v>
      </c>
      <c r="AA21" s="15">
        <v>0.03</v>
      </c>
      <c r="AB21" s="15">
        <v>0.03</v>
      </c>
      <c r="AC21" s="15">
        <v>0.1</v>
      </c>
      <c r="AD21" s="15">
        <v>0.03</v>
      </c>
      <c r="AE21" s="15">
        <v>0.14000000000000001</v>
      </c>
      <c r="AF21" s="15">
        <v>0.12</v>
      </c>
      <c r="AG21" s="14" t="s">
        <v>475</v>
      </c>
      <c r="AH21" s="15">
        <v>0.02</v>
      </c>
      <c r="AI21" s="15">
        <v>0.02</v>
      </c>
      <c r="AJ21" s="15">
        <v>0.03</v>
      </c>
      <c r="AK21" s="15">
        <v>0.03</v>
      </c>
      <c r="AL21" s="15">
        <v>0.03</v>
      </c>
      <c r="AM21" s="15">
        <v>0.08</v>
      </c>
      <c r="AN21" s="15">
        <v>0.02</v>
      </c>
      <c r="AO21" s="15">
        <v>0.02</v>
      </c>
      <c r="AP21" s="15">
        <v>0.01</v>
      </c>
      <c r="AQ21" s="15">
        <v>0.01</v>
      </c>
    </row>
    <row r="22" spans="1:43" ht="31.5" x14ac:dyDescent="0.35">
      <c r="A22" s="19"/>
      <c r="B22" s="11" t="s">
        <v>1503</v>
      </c>
      <c r="C22" s="12">
        <v>646</v>
      </c>
      <c r="D22" s="12">
        <v>68</v>
      </c>
      <c r="E22" s="12">
        <v>26</v>
      </c>
      <c r="F22" s="12">
        <v>27</v>
      </c>
      <c r="G22" s="12">
        <v>44</v>
      </c>
      <c r="H22" s="12">
        <v>20</v>
      </c>
      <c r="I22" s="12">
        <v>26</v>
      </c>
      <c r="J22" s="12">
        <v>7</v>
      </c>
      <c r="K22" s="12">
        <v>51</v>
      </c>
      <c r="L22" s="12">
        <v>33</v>
      </c>
      <c r="M22" s="12">
        <v>2</v>
      </c>
      <c r="N22" s="12">
        <v>23</v>
      </c>
      <c r="O22" s="12">
        <v>49</v>
      </c>
      <c r="P22" s="12">
        <v>11</v>
      </c>
      <c r="Q22" s="12">
        <v>5</v>
      </c>
      <c r="R22" s="12">
        <v>5</v>
      </c>
      <c r="S22" s="12">
        <v>39</v>
      </c>
      <c r="T22" s="12">
        <v>24</v>
      </c>
      <c r="U22" s="12">
        <v>23</v>
      </c>
      <c r="V22" s="12">
        <v>21</v>
      </c>
      <c r="W22" s="12">
        <v>11</v>
      </c>
      <c r="X22" s="12">
        <v>36</v>
      </c>
      <c r="Y22" s="12">
        <v>40</v>
      </c>
      <c r="Z22" s="12">
        <v>1</v>
      </c>
      <c r="AA22" s="12">
        <v>13</v>
      </c>
      <c r="AB22" s="12">
        <v>8</v>
      </c>
      <c r="AC22" s="12">
        <v>81</v>
      </c>
      <c r="AD22" s="12">
        <v>36</v>
      </c>
      <c r="AE22" s="12">
        <v>49</v>
      </c>
      <c r="AF22" s="12">
        <v>70</v>
      </c>
      <c r="AG22" s="12">
        <v>1</v>
      </c>
      <c r="AH22" s="12">
        <v>3</v>
      </c>
      <c r="AI22" s="12">
        <v>2</v>
      </c>
      <c r="AJ22" s="12">
        <v>6</v>
      </c>
      <c r="AK22" s="12">
        <v>0</v>
      </c>
      <c r="AL22" s="12">
        <v>7</v>
      </c>
      <c r="AM22" s="12">
        <v>34</v>
      </c>
      <c r="AN22" s="12">
        <v>2</v>
      </c>
      <c r="AO22" s="12">
        <v>2</v>
      </c>
      <c r="AP22" s="12">
        <v>4</v>
      </c>
      <c r="AQ22" s="12">
        <v>25</v>
      </c>
    </row>
    <row r="23" spans="1:43" ht="31.5" x14ac:dyDescent="0.35">
      <c r="A23" s="19"/>
      <c r="B23" s="13" t="s">
        <v>1504</v>
      </c>
      <c r="C23" s="15">
        <v>0.03</v>
      </c>
      <c r="D23" s="15">
        <v>7.0000000000000007E-2</v>
      </c>
      <c r="E23" s="15">
        <v>0.03</v>
      </c>
      <c r="F23" s="15">
        <v>0.03</v>
      </c>
      <c r="G23" s="15">
        <v>0.04</v>
      </c>
      <c r="H23" s="15">
        <v>0.02</v>
      </c>
      <c r="I23" s="15">
        <v>0.02</v>
      </c>
      <c r="J23" s="15">
        <v>0.02</v>
      </c>
      <c r="K23" s="15">
        <v>0.05</v>
      </c>
      <c r="L23" s="15">
        <v>0.03</v>
      </c>
      <c r="M23" s="14" t="s">
        <v>475</v>
      </c>
      <c r="N23" s="15">
        <v>0.02</v>
      </c>
      <c r="O23" s="15">
        <v>0.05</v>
      </c>
      <c r="P23" s="15">
        <v>0.01</v>
      </c>
      <c r="Q23" s="15">
        <v>0.01</v>
      </c>
      <c r="R23" s="15">
        <v>0.01</v>
      </c>
      <c r="S23" s="15">
        <v>0.04</v>
      </c>
      <c r="T23" s="15">
        <v>0.02</v>
      </c>
      <c r="U23" s="15">
        <v>0.05</v>
      </c>
      <c r="V23" s="15">
        <v>0.02</v>
      </c>
      <c r="W23" s="15">
        <v>0.02</v>
      </c>
      <c r="X23" s="15">
        <v>0.04</v>
      </c>
      <c r="Y23" s="15">
        <v>0.04</v>
      </c>
      <c r="Z23" s="14" t="s">
        <v>475</v>
      </c>
      <c r="AA23" s="15">
        <v>0.01</v>
      </c>
      <c r="AB23" s="15">
        <v>0.01</v>
      </c>
      <c r="AC23" s="15">
        <v>0.08</v>
      </c>
      <c r="AD23" s="15">
        <v>0.04</v>
      </c>
      <c r="AE23" s="15">
        <v>0.05</v>
      </c>
      <c r="AF23" s="15">
        <v>7.0000000000000007E-2</v>
      </c>
      <c r="AG23" s="14" t="s">
        <v>475</v>
      </c>
      <c r="AH23" s="14" t="s">
        <v>475</v>
      </c>
      <c r="AI23" s="14" t="s">
        <v>475</v>
      </c>
      <c r="AJ23" s="15">
        <v>0.01</v>
      </c>
      <c r="AK23" s="14" t="s">
        <v>475</v>
      </c>
      <c r="AL23" s="15">
        <v>0.01</v>
      </c>
      <c r="AM23" s="15">
        <v>0.03</v>
      </c>
      <c r="AN23" s="14" t="s">
        <v>475</v>
      </c>
      <c r="AO23" s="14" t="s">
        <v>475</v>
      </c>
      <c r="AP23" s="15">
        <v>0.01</v>
      </c>
      <c r="AQ23" s="15">
        <v>0.03</v>
      </c>
    </row>
    <row r="24" spans="1:43" ht="51.5" x14ac:dyDescent="0.35">
      <c r="A24" s="19"/>
      <c r="B24" s="11" t="s">
        <v>1505</v>
      </c>
      <c r="C24" s="12">
        <v>136</v>
      </c>
      <c r="D24" s="12">
        <v>23</v>
      </c>
      <c r="E24" s="12">
        <v>2</v>
      </c>
      <c r="F24" s="12">
        <v>11</v>
      </c>
      <c r="G24" s="12">
        <v>12</v>
      </c>
      <c r="H24" s="12">
        <v>4</v>
      </c>
      <c r="I24" s="12">
        <v>6</v>
      </c>
      <c r="J24" s="12">
        <v>2</v>
      </c>
      <c r="K24" s="12">
        <v>18</v>
      </c>
      <c r="L24" s="12">
        <v>7</v>
      </c>
      <c r="M24" s="12">
        <v>0</v>
      </c>
      <c r="N24" s="12">
        <v>5</v>
      </c>
      <c r="O24" s="12">
        <v>8</v>
      </c>
      <c r="P24" s="12">
        <v>5</v>
      </c>
      <c r="Q24" s="12">
        <v>1</v>
      </c>
      <c r="R24" s="12">
        <v>1</v>
      </c>
      <c r="S24" s="12">
        <v>11</v>
      </c>
      <c r="T24" s="12">
        <v>5</v>
      </c>
      <c r="U24" s="12">
        <v>5</v>
      </c>
      <c r="V24" s="12">
        <v>1</v>
      </c>
      <c r="W24" s="12">
        <v>1</v>
      </c>
      <c r="X24" s="12">
        <v>6</v>
      </c>
      <c r="Y24" s="12">
        <v>6</v>
      </c>
      <c r="Z24" s="12">
        <v>1</v>
      </c>
      <c r="AA24" s="12">
        <v>3</v>
      </c>
      <c r="AB24" s="12">
        <v>3</v>
      </c>
      <c r="AC24" s="12">
        <v>8</v>
      </c>
      <c r="AD24" s="12">
        <v>7</v>
      </c>
      <c r="AE24" s="12">
        <v>10</v>
      </c>
      <c r="AF24" s="12">
        <v>18</v>
      </c>
      <c r="AG24" s="12">
        <v>0</v>
      </c>
      <c r="AH24" s="12">
        <v>0</v>
      </c>
      <c r="AI24" s="12">
        <v>0</v>
      </c>
      <c r="AJ24" s="12">
        <v>1</v>
      </c>
      <c r="AK24" s="12">
        <v>0</v>
      </c>
      <c r="AL24" s="12">
        <v>3</v>
      </c>
      <c r="AM24" s="12">
        <v>2</v>
      </c>
      <c r="AN24" s="12">
        <v>0</v>
      </c>
      <c r="AO24" s="12">
        <v>0</v>
      </c>
      <c r="AP24" s="12">
        <v>0</v>
      </c>
      <c r="AQ24" s="12">
        <v>1</v>
      </c>
    </row>
    <row r="25" spans="1:43" ht="31.5" x14ac:dyDescent="0.35">
      <c r="A25" s="19"/>
      <c r="B25" s="13" t="s">
        <v>1506</v>
      </c>
      <c r="C25" s="15">
        <v>0.01</v>
      </c>
      <c r="D25" s="15">
        <v>0.02</v>
      </c>
      <c r="E25" s="14" t="s">
        <v>475</v>
      </c>
      <c r="F25" s="15">
        <v>0.01</v>
      </c>
      <c r="G25" s="15">
        <v>0.01</v>
      </c>
      <c r="H25" s="14" t="s">
        <v>475</v>
      </c>
      <c r="I25" s="14" t="s">
        <v>475</v>
      </c>
      <c r="J25" s="15">
        <v>0.01</v>
      </c>
      <c r="K25" s="15">
        <v>0.02</v>
      </c>
      <c r="L25" s="15">
        <v>0.01</v>
      </c>
      <c r="M25" s="14" t="s">
        <v>475</v>
      </c>
      <c r="N25" s="15">
        <v>0.01</v>
      </c>
      <c r="O25" s="15">
        <v>0.01</v>
      </c>
      <c r="P25" s="14" t="s">
        <v>475</v>
      </c>
      <c r="Q25" s="14" t="s">
        <v>475</v>
      </c>
      <c r="R25" s="14" t="s">
        <v>475</v>
      </c>
      <c r="S25" s="15">
        <v>0.01</v>
      </c>
      <c r="T25" s="14" t="s">
        <v>475</v>
      </c>
      <c r="U25" s="15">
        <v>0.01</v>
      </c>
      <c r="V25" s="14" t="s">
        <v>475</v>
      </c>
      <c r="W25" s="14" t="s">
        <v>475</v>
      </c>
      <c r="X25" s="15">
        <v>0.01</v>
      </c>
      <c r="Y25" s="14" t="s">
        <v>475</v>
      </c>
      <c r="Z25" s="14" t="s">
        <v>475</v>
      </c>
      <c r="AA25" s="14" t="s">
        <v>475</v>
      </c>
      <c r="AB25" s="14" t="s">
        <v>475</v>
      </c>
      <c r="AC25" s="15">
        <v>0.01</v>
      </c>
      <c r="AD25" s="15">
        <v>0.01</v>
      </c>
      <c r="AE25" s="15">
        <v>0.01</v>
      </c>
      <c r="AF25" s="15">
        <v>0.02</v>
      </c>
      <c r="AG25" s="14" t="s">
        <v>475</v>
      </c>
      <c r="AH25" s="14" t="s">
        <v>475</v>
      </c>
      <c r="AI25" s="14" t="s">
        <v>475</v>
      </c>
      <c r="AJ25" s="14" t="s">
        <v>475</v>
      </c>
      <c r="AK25" s="14" t="s">
        <v>475</v>
      </c>
      <c r="AL25" s="14" t="s">
        <v>475</v>
      </c>
      <c r="AM25" s="14" t="s">
        <v>475</v>
      </c>
      <c r="AN25" s="14" t="s">
        <v>475</v>
      </c>
      <c r="AO25" s="14" t="s">
        <v>475</v>
      </c>
      <c r="AP25" s="14" t="s">
        <v>475</v>
      </c>
      <c r="AQ25" s="14" t="s">
        <v>475</v>
      </c>
    </row>
    <row r="26" spans="1:43" ht="61.5" x14ac:dyDescent="0.35">
      <c r="A26" s="19"/>
      <c r="B26" s="11" t="s">
        <v>1507</v>
      </c>
      <c r="C26" s="12">
        <v>98</v>
      </c>
      <c r="D26" s="12">
        <v>8</v>
      </c>
      <c r="E26" s="12">
        <v>3</v>
      </c>
      <c r="F26" s="12">
        <v>2</v>
      </c>
      <c r="G26" s="12">
        <v>3</v>
      </c>
      <c r="H26" s="12">
        <v>4</v>
      </c>
      <c r="I26" s="12">
        <v>6</v>
      </c>
      <c r="J26" s="12">
        <v>2</v>
      </c>
      <c r="K26" s="12">
        <v>12</v>
      </c>
      <c r="L26" s="12">
        <v>8</v>
      </c>
      <c r="M26" s="12">
        <v>0</v>
      </c>
      <c r="N26" s="12">
        <v>6</v>
      </c>
      <c r="O26" s="12">
        <v>5</v>
      </c>
      <c r="P26" s="12">
        <v>3</v>
      </c>
      <c r="Q26" s="12">
        <v>2</v>
      </c>
      <c r="R26" s="12">
        <v>0</v>
      </c>
      <c r="S26" s="12">
        <v>9</v>
      </c>
      <c r="T26" s="12">
        <v>4</v>
      </c>
      <c r="U26" s="12">
        <v>0</v>
      </c>
      <c r="V26" s="12">
        <v>7</v>
      </c>
      <c r="W26" s="12">
        <v>1</v>
      </c>
      <c r="X26" s="12">
        <v>4</v>
      </c>
      <c r="Y26" s="12">
        <v>3</v>
      </c>
      <c r="Z26" s="12">
        <v>0</v>
      </c>
      <c r="AA26" s="12">
        <v>1</v>
      </c>
      <c r="AB26" s="12">
        <v>3</v>
      </c>
      <c r="AC26" s="12">
        <v>2</v>
      </c>
      <c r="AD26" s="12">
        <v>4</v>
      </c>
      <c r="AE26" s="12">
        <v>3</v>
      </c>
      <c r="AF26" s="12">
        <v>7</v>
      </c>
      <c r="AG26" s="12">
        <v>0</v>
      </c>
      <c r="AH26" s="12">
        <v>2</v>
      </c>
      <c r="AI26" s="12">
        <v>1</v>
      </c>
      <c r="AJ26" s="12">
        <v>0</v>
      </c>
      <c r="AK26" s="12">
        <v>1</v>
      </c>
      <c r="AL26" s="12">
        <v>2</v>
      </c>
      <c r="AM26" s="12">
        <v>2</v>
      </c>
      <c r="AN26" s="12">
        <v>0</v>
      </c>
      <c r="AO26" s="12">
        <v>0</v>
      </c>
      <c r="AP26" s="12">
        <v>3</v>
      </c>
      <c r="AQ26" s="12">
        <v>0</v>
      </c>
    </row>
    <row r="27" spans="1:43" ht="41.5" x14ac:dyDescent="0.35">
      <c r="A27" s="19"/>
      <c r="B27" s="13" t="s">
        <v>1508</v>
      </c>
      <c r="C27" s="14" t="s">
        <v>475</v>
      </c>
      <c r="D27" s="15">
        <v>0.01</v>
      </c>
      <c r="E27" s="14" t="s">
        <v>475</v>
      </c>
      <c r="F27" s="14" t="s">
        <v>475</v>
      </c>
      <c r="G27" s="14" t="s">
        <v>475</v>
      </c>
      <c r="H27" s="14" t="s">
        <v>475</v>
      </c>
      <c r="I27" s="14" t="s">
        <v>475</v>
      </c>
      <c r="J27" s="15">
        <v>0.01</v>
      </c>
      <c r="K27" s="15">
        <v>0.01</v>
      </c>
      <c r="L27" s="15">
        <v>0.01</v>
      </c>
      <c r="M27" s="14" t="s">
        <v>475</v>
      </c>
      <c r="N27" s="15">
        <v>0.01</v>
      </c>
      <c r="O27" s="15">
        <v>0.01</v>
      </c>
      <c r="P27" s="14" t="s">
        <v>475</v>
      </c>
      <c r="Q27" s="14" t="s">
        <v>475</v>
      </c>
      <c r="R27" s="14" t="s">
        <v>475</v>
      </c>
      <c r="S27" s="15">
        <v>0.01</v>
      </c>
      <c r="T27" s="14" t="s">
        <v>475</v>
      </c>
      <c r="U27" s="14" t="s">
        <v>475</v>
      </c>
      <c r="V27" s="15">
        <v>0.01</v>
      </c>
      <c r="W27" s="14" t="s">
        <v>475</v>
      </c>
      <c r="X27" s="14" t="s">
        <v>475</v>
      </c>
      <c r="Y27" s="14" t="s">
        <v>475</v>
      </c>
      <c r="Z27" s="14" t="s">
        <v>475</v>
      </c>
      <c r="AA27" s="14" t="s">
        <v>475</v>
      </c>
      <c r="AB27" s="14" t="s">
        <v>475</v>
      </c>
      <c r="AC27" s="14" t="s">
        <v>475</v>
      </c>
      <c r="AD27" s="14" t="s">
        <v>475</v>
      </c>
      <c r="AE27" s="14" t="s">
        <v>475</v>
      </c>
      <c r="AF27" s="15">
        <v>0.01</v>
      </c>
      <c r="AG27" s="14" t="s">
        <v>475</v>
      </c>
      <c r="AH27" s="14" t="s">
        <v>475</v>
      </c>
      <c r="AI27" s="14" t="s">
        <v>475</v>
      </c>
      <c r="AJ27" s="14" t="s">
        <v>475</v>
      </c>
      <c r="AK27" s="14" t="s">
        <v>475</v>
      </c>
      <c r="AL27" s="14" t="s">
        <v>475</v>
      </c>
      <c r="AM27" s="14" t="s">
        <v>475</v>
      </c>
      <c r="AN27" s="14" t="s">
        <v>475</v>
      </c>
      <c r="AO27" s="14" t="s">
        <v>475</v>
      </c>
      <c r="AP27" s="15">
        <v>0.01</v>
      </c>
      <c r="AQ27" s="14" t="s">
        <v>475</v>
      </c>
    </row>
    <row r="28" spans="1:43" ht="21.5" x14ac:dyDescent="0.35">
      <c r="A28" s="19"/>
      <c r="B28" s="11" t="s">
        <v>1509</v>
      </c>
      <c r="C28" s="12">
        <v>6075</v>
      </c>
      <c r="D28" s="12">
        <v>266</v>
      </c>
      <c r="E28" s="12">
        <v>155</v>
      </c>
      <c r="F28" s="12">
        <v>189</v>
      </c>
      <c r="G28" s="12">
        <v>188</v>
      </c>
      <c r="H28" s="12">
        <v>312</v>
      </c>
      <c r="I28" s="12">
        <v>385</v>
      </c>
      <c r="J28" s="12">
        <v>72</v>
      </c>
      <c r="K28" s="12">
        <v>223</v>
      </c>
      <c r="L28" s="12">
        <v>257</v>
      </c>
      <c r="M28" s="12">
        <v>235</v>
      </c>
      <c r="N28" s="12">
        <v>218</v>
      </c>
      <c r="O28" s="12">
        <v>291</v>
      </c>
      <c r="P28" s="12">
        <v>225</v>
      </c>
      <c r="Q28" s="12">
        <v>225</v>
      </c>
      <c r="R28" s="12">
        <v>85</v>
      </c>
      <c r="S28" s="12">
        <v>166</v>
      </c>
      <c r="T28" s="12">
        <v>198</v>
      </c>
      <c r="U28" s="12">
        <v>103</v>
      </c>
      <c r="V28" s="12">
        <v>131</v>
      </c>
      <c r="W28" s="12">
        <v>132</v>
      </c>
      <c r="X28" s="12">
        <v>313</v>
      </c>
      <c r="Y28" s="12">
        <v>173</v>
      </c>
      <c r="Z28" s="12">
        <v>172</v>
      </c>
      <c r="AA28" s="12">
        <v>202</v>
      </c>
      <c r="AB28" s="12">
        <v>185</v>
      </c>
      <c r="AC28" s="12">
        <v>206</v>
      </c>
      <c r="AD28" s="12">
        <v>200</v>
      </c>
      <c r="AE28" s="12">
        <v>196</v>
      </c>
      <c r="AF28" s="12">
        <v>288</v>
      </c>
      <c r="AG28" s="12">
        <v>252</v>
      </c>
      <c r="AH28" s="12">
        <v>200</v>
      </c>
      <c r="AI28" s="12">
        <v>75</v>
      </c>
      <c r="AJ28" s="12">
        <v>206</v>
      </c>
      <c r="AK28" s="12">
        <v>211</v>
      </c>
      <c r="AL28" s="12">
        <v>157</v>
      </c>
      <c r="AM28" s="12">
        <v>265</v>
      </c>
      <c r="AN28" s="12">
        <v>216</v>
      </c>
      <c r="AO28" s="12">
        <v>265</v>
      </c>
      <c r="AP28" s="12">
        <v>215</v>
      </c>
      <c r="AQ28" s="12">
        <v>221</v>
      </c>
    </row>
    <row r="29" spans="1:43" ht="21.5" x14ac:dyDescent="0.35">
      <c r="A29" s="19"/>
      <c r="B29" s="13" t="s">
        <v>1510</v>
      </c>
      <c r="C29" s="15">
        <v>0.23</v>
      </c>
      <c r="D29" s="15">
        <v>0.26</v>
      </c>
      <c r="E29" s="15">
        <v>0.15</v>
      </c>
      <c r="F29" s="15">
        <v>0.17</v>
      </c>
      <c r="G29" s="15">
        <v>0.19</v>
      </c>
      <c r="H29" s="15">
        <v>0.26</v>
      </c>
      <c r="I29" s="15">
        <v>0.25</v>
      </c>
      <c r="J29" s="15">
        <v>0.25</v>
      </c>
      <c r="K29" s="15">
        <v>0.22</v>
      </c>
      <c r="L29" s="15">
        <v>0.26</v>
      </c>
      <c r="M29" s="15">
        <v>0.23</v>
      </c>
      <c r="N29" s="15">
        <v>0.22</v>
      </c>
      <c r="O29" s="15">
        <v>0.28999999999999998</v>
      </c>
      <c r="P29" s="15">
        <v>0.22</v>
      </c>
      <c r="Q29" s="15">
        <v>0.22</v>
      </c>
      <c r="R29" s="15">
        <v>0.17</v>
      </c>
      <c r="S29" s="15">
        <v>0.17</v>
      </c>
      <c r="T29" s="15">
        <v>0.2</v>
      </c>
      <c r="U29" s="15">
        <v>0.21</v>
      </c>
      <c r="V29" s="15">
        <v>0.13</v>
      </c>
      <c r="W29" s="15">
        <v>0.26</v>
      </c>
      <c r="X29" s="15">
        <v>0.31</v>
      </c>
      <c r="Y29" s="15">
        <v>0.17</v>
      </c>
      <c r="Z29" s="15">
        <v>0.17</v>
      </c>
      <c r="AA29" s="15">
        <v>0.2</v>
      </c>
      <c r="AB29" s="15">
        <v>0.18</v>
      </c>
      <c r="AC29" s="15">
        <v>0.2</v>
      </c>
      <c r="AD29" s="15">
        <v>0.2</v>
      </c>
      <c r="AE29" s="15">
        <v>0.19</v>
      </c>
      <c r="AF29" s="15">
        <v>0.28000000000000003</v>
      </c>
      <c r="AG29" s="15">
        <v>0.24</v>
      </c>
      <c r="AH29" s="15">
        <v>0.2</v>
      </c>
      <c r="AI29" s="15">
        <v>0.14000000000000001</v>
      </c>
      <c r="AJ29" s="15">
        <v>0.2</v>
      </c>
      <c r="AK29" s="15">
        <v>0.21</v>
      </c>
      <c r="AL29" s="15">
        <v>0.16</v>
      </c>
      <c r="AM29" s="15">
        <v>0.26</v>
      </c>
      <c r="AN29" s="15">
        <v>0.22</v>
      </c>
      <c r="AO29" s="15">
        <v>0.26</v>
      </c>
      <c r="AP29" s="15">
        <v>0.41</v>
      </c>
      <c r="AQ29" s="15">
        <v>0.22</v>
      </c>
    </row>
    <row r="30" spans="1:43" ht="21.5" x14ac:dyDescent="0.35">
      <c r="A30" s="19"/>
      <c r="B30" s="11" t="s">
        <v>1511</v>
      </c>
      <c r="C30" s="12">
        <v>543</v>
      </c>
      <c r="D30" s="12">
        <v>61</v>
      </c>
      <c r="E30" s="12">
        <v>4</v>
      </c>
      <c r="F30" s="12">
        <v>15</v>
      </c>
      <c r="G30" s="12">
        <v>32</v>
      </c>
      <c r="H30" s="12">
        <v>21</v>
      </c>
      <c r="I30" s="12">
        <v>32</v>
      </c>
      <c r="J30" s="12">
        <v>11</v>
      </c>
      <c r="K30" s="12">
        <v>25</v>
      </c>
      <c r="L30" s="12">
        <v>23</v>
      </c>
      <c r="M30" s="12">
        <v>1</v>
      </c>
      <c r="N30" s="12">
        <v>19</v>
      </c>
      <c r="O30" s="12">
        <v>53</v>
      </c>
      <c r="P30" s="12">
        <v>6</v>
      </c>
      <c r="Q30" s="12">
        <v>4</v>
      </c>
      <c r="R30" s="12">
        <v>12</v>
      </c>
      <c r="S30" s="12">
        <v>18</v>
      </c>
      <c r="T30" s="12">
        <v>6</v>
      </c>
      <c r="U30" s="12">
        <v>12</v>
      </c>
      <c r="V30" s="12">
        <v>12</v>
      </c>
      <c r="W30" s="12">
        <v>14</v>
      </c>
      <c r="X30" s="12">
        <v>32</v>
      </c>
      <c r="Y30" s="12">
        <v>16</v>
      </c>
      <c r="Z30" s="12">
        <v>4</v>
      </c>
      <c r="AA30" s="12">
        <v>6</v>
      </c>
      <c r="AB30" s="12">
        <v>2</v>
      </c>
      <c r="AC30" s="12">
        <v>16</v>
      </c>
      <c r="AD30" s="12">
        <v>8</v>
      </c>
      <c r="AE30" s="12">
        <v>11</v>
      </c>
      <c r="AF30" s="12">
        <v>27</v>
      </c>
      <c r="AG30" s="12">
        <v>2</v>
      </c>
      <c r="AH30" s="12">
        <v>9</v>
      </c>
      <c r="AI30" s="12">
        <v>4</v>
      </c>
      <c r="AJ30" s="12">
        <v>3</v>
      </c>
      <c r="AK30" s="12">
        <v>13</v>
      </c>
      <c r="AL30" s="12">
        <v>13</v>
      </c>
      <c r="AM30" s="12">
        <v>48</v>
      </c>
      <c r="AN30" s="12">
        <v>2</v>
      </c>
      <c r="AO30" s="12">
        <v>2</v>
      </c>
      <c r="AP30" s="12">
        <v>5</v>
      </c>
      <c r="AQ30" s="12">
        <v>17</v>
      </c>
    </row>
    <row r="31" spans="1:43" x14ac:dyDescent="0.35">
      <c r="A31" s="19"/>
      <c r="B31" s="13" t="s">
        <v>1512</v>
      </c>
      <c r="C31" s="15">
        <v>0.02</v>
      </c>
      <c r="D31" s="15">
        <v>0.06</v>
      </c>
      <c r="E31" s="14" t="s">
        <v>475</v>
      </c>
      <c r="F31" s="15">
        <v>0.01</v>
      </c>
      <c r="G31" s="15">
        <v>0.03</v>
      </c>
      <c r="H31" s="15">
        <v>0.02</v>
      </c>
      <c r="I31" s="15">
        <v>0.02</v>
      </c>
      <c r="J31" s="15">
        <v>0.04</v>
      </c>
      <c r="K31" s="15">
        <v>0.02</v>
      </c>
      <c r="L31" s="15">
        <v>0.02</v>
      </c>
      <c r="M31" s="14" t="s">
        <v>475</v>
      </c>
      <c r="N31" s="15">
        <v>0.02</v>
      </c>
      <c r="O31" s="15">
        <v>0.05</v>
      </c>
      <c r="P31" s="15">
        <v>0.01</v>
      </c>
      <c r="Q31" s="14" t="s">
        <v>475</v>
      </c>
      <c r="R31" s="15">
        <v>0.02</v>
      </c>
      <c r="S31" s="15">
        <v>0.02</v>
      </c>
      <c r="T31" s="15">
        <v>0.01</v>
      </c>
      <c r="U31" s="15">
        <v>0.02</v>
      </c>
      <c r="V31" s="15">
        <v>0.01</v>
      </c>
      <c r="W31" s="15">
        <v>0.03</v>
      </c>
      <c r="X31" s="15">
        <v>0.03</v>
      </c>
      <c r="Y31" s="15">
        <v>0.02</v>
      </c>
      <c r="Z31" s="14" t="s">
        <v>475</v>
      </c>
      <c r="AA31" s="15">
        <v>0.01</v>
      </c>
      <c r="AB31" s="14" t="s">
        <v>475</v>
      </c>
      <c r="AC31" s="15">
        <v>0.02</v>
      </c>
      <c r="AD31" s="15">
        <v>0.01</v>
      </c>
      <c r="AE31" s="15">
        <v>0.01</v>
      </c>
      <c r="AF31" s="15">
        <v>0.03</v>
      </c>
      <c r="AG31" s="14" t="s">
        <v>475</v>
      </c>
      <c r="AH31" s="15">
        <v>0.01</v>
      </c>
      <c r="AI31" s="15">
        <v>0.01</v>
      </c>
      <c r="AJ31" s="14" t="s">
        <v>475</v>
      </c>
      <c r="AK31" s="15">
        <v>0.01</v>
      </c>
      <c r="AL31" s="15">
        <v>0.01</v>
      </c>
      <c r="AM31" s="15">
        <v>0.05</v>
      </c>
      <c r="AN31" s="14" t="s">
        <v>475</v>
      </c>
      <c r="AO31" s="14" t="s">
        <v>475</v>
      </c>
      <c r="AP31" s="15">
        <v>0.01</v>
      </c>
      <c r="AQ31" s="15">
        <v>0.02</v>
      </c>
    </row>
    <row r="32" spans="1:43" ht="31.5" x14ac:dyDescent="0.35">
      <c r="A32" s="19"/>
      <c r="B32" s="11" t="s">
        <v>1513</v>
      </c>
      <c r="C32" s="12">
        <v>1359</v>
      </c>
      <c r="D32" s="12">
        <v>28</v>
      </c>
      <c r="E32" s="12">
        <v>55</v>
      </c>
      <c r="F32" s="12">
        <v>96</v>
      </c>
      <c r="G32" s="12">
        <v>52</v>
      </c>
      <c r="H32" s="12">
        <v>69</v>
      </c>
      <c r="I32" s="12">
        <v>97</v>
      </c>
      <c r="J32" s="12">
        <v>28</v>
      </c>
      <c r="K32" s="12">
        <v>82</v>
      </c>
      <c r="L32" s="12">
        <v>23</v>
      </c>
      <c r="M32" s="12">
        <v>36</v>
      </c>
      <c r="N32" s="12">
        <v>33</v>
      </c>
      <c r="O32" s="12">
        <v>87</v>
      </c>
      <c r="P32" s="12">
        <v>48</v>
      </c>
      <c r="Q32" s="12">
        <v>36</v>
      </c>
      <c r="R32" s="12">
        <v>20</v>
      </c>
      <c r="S32" s="12">
        <v>88</v>
      </c>
      <c r="T32" s="12">
        <v>102</v>
      </c>
      <c r="U32" s="12">
        <v>19</v>
      </c>
      <c r="V32" s="12">
        <v>64</v>
      </c>
      <c r="W32" s="12">
        <v>14</v>
      </c>
      <c r="X32" s="12">
        <v>29</v>
      </c>
      <c r="Y32" s="12">
        <v>67</v>
      </c>
      <c r="Z32" s="12">
        <v>25</v>
      </c>
      <c r="AA32" s="12">
        <v>49</v>
      </c>
      <c r="AB32" s="12">
        <v>27</v>
      </c>
      <c r="AC32" s="12">
        <v>21</v>
      </c>
      <c r="AD32" s="12">
        <v>54</v>
      </c>
      <c r="AE32" s="12">
        <v>78</v>
      </c>
      <c r="AF32" s="12">
        <v>56</v>
      </c>
      <c r="AG32" s="12">
        <v>18</v>
      </c>
      <c r="AH32" s="12">
        <v>21</v>
      </c>
      <c r="AI32" s="12">
        <v>4</v>
      </c>
      <c r="AJ32" s="12">
        <v>36</v>
      </c>
      <c r="AK32" s="12">
        <v>9</v>
      </c>
      <c r="AL32" s="12">
        <v>53</v>
      </c>
      <c r="AM32" s="12">
        <v>52</v>
      </c>
      <c r="AN32" s="12">
        <v>9</v>
      </c>
      <c r="AO32" s="12">
        <v>5</v>
      </c>
      <c r="AP32" s="12">
        <v>4</v>
      </c>
      <c r="AQ32" s="12">
        <v>20</v>
      </c>
    </row>
    <row r="33" spans="1:43" ht="31.5" x14ac:dyDescent="0.35">
      <c r="A33" s="19"/>
      <c r="B33" s="13" t="s">
        <v>1514</v>
      </c>
      <c r="C33" s="15">
        <v>0.05</v>
      </c>
      <c r="D33" s="15">
        <v>0.03</v>
      </c>
      <c r="E33" s="15">
        <v>0.05</v>
      </c>
      <c r="F33" s="15">
        <v>0.09</v>
      </c>
      <c r="G33" s="15">
        <v>0.05</v>
      </c>
      <c r="H33" s="15">
        <v>0.06</v>
      </c>
      <c r="I33" s="15">
        <v>7.0000000000000007E-2</v>
      </c>
      <c r="J33" s="15">
        <v>0.1</v>
      </c>
      <c r="K33" s="15">
        <v>0.08</v>
      </c>
      <c r="L33" s="15">
        <v>0.02</v>
      </c>
      <c r="M33" s="15">
        <v>0.04</v>
      </c>
      <c r="N33" s="15">
        <v>0.03</v>
      </c>
      <c r="O33" s="15">
        <v>0.09</v>
      </c>
      <c r="P33" s="15">
        <v>0.05</v>
      </c>
      <c r="Q33" s="15">
        <v>0.04</v>
      </c>
      <c r="R33" s="15">
        <v>0.04</v>
      </c>
      <c r="S33" s="15">
        <v>0.09</v>
      </c>
      <c r="T33" s="15">
        <v>0.1</v>
      </c>
      <c r="U33" s="15">
        <v>0.04</v>
      </c>
      <c r="V33" s="15">
        <v>0.06</v>
      </c>
      <c r="W33" s="15">
        <v>0.03</v>
      </c>
      <c r="X33" s="15">
        <v>0.03</v>
      </c>
      <c r="Y33" s="15">
        <v>7.0000000000000007E-2</v>
      </c>
      <c r="Z33" s="15">
        <v>0.03</v>
      </c>
      <c r="AA33" s="15">
        <v>0.05</v>
      </c>
      <c r="AB33" s="15">
        <v>0.03</v>
      </c>
      <c r="AC33" s="15">
        <v>0.02</v>
      </c>
      <c r="AD33" s="15">
        <v>0.05</v>
      </c>
      <c r="AE33" s="15">
        <v>0.08</v>
      </c>
      <c r="AF33" s="15">
        <v>0.05</v>
      </c>
      <c r="AG33" s="15">
        <v>0.02</v>
      </c>
      <c r="AH33" s="15">
        <v>0.02</v>
      </c>
      <c r="AI33" s="15">
        <v>0.01</v>
      </c>
      <c r="AJ33" s="15">
        <v>0.03</v>
      </c>
      <c r="AK33" s="15">
        <v>0.01</v>
      </c>
      <c r="AL33" s="15">
        <v>0.05</v>
      </c>
      <c r="AM33" s="15">
        <v>0.05</v>
      </c>
      <c r="AN33" s="15">
        <v>0.01</v>
      </c>
      <c r="AO33" s="15">
        <v>0.01</v>
      </c>
      <c r="AP33" s="15">
        <v>0.01</v>
      </c>
      <c r="AQ33" s="15">
        <v>0.02</v>
      </c>
    </row>
    <row r="34" spans="1:43" ht="31.5" x14ac:dyDescent="0.35">
      <c r="A34" s="19"/>
      <c r="B34" s="11" t="s">
        <v>1515</v>
      </c>
      <c r="C34" s="12">
        <v>567</v>
      </c>
      <c r="D34" s="12">
        <v>30</v>
      </c>
      <c r="E34" s="12">
        <v>11</v>
      </c>
      <c r="F34" s="12">
        <v>26</v>
      </c>
      <c r="G34" s="12">
        <v>18</v>
      </c>
      <c r="H34" s="12">
        <v>25</v>
      </c>
      <c r="I34" s="12">
        <v>31</v>
      </c>
      <c r="J34" s="12">
        <v>7</v>
      </c>
      <c r="K34" s="12">
        <v>34</v>
      </c>
      <c r="L34" s="12">
        <v>28</v>
      </c>
      <c r="M34" s="12">
        <v>21</v>
      </c>
      <c r="N34" s="12">
        <v>19</v>
      </c>
      <c r="O34" s="12">
        <v>32</v>
      </c>
      <c r="P34" s="12">
        <v>27</v>
      </c>
      <c r="Q34" s="12">
        <v>13</v>
      </c>
      <c r="R34" s="12">
        <v>19</v>
      </c>
      <c r="S34" s="12">
        <v>35</v>
      </c>
      <c r="T34" s="12">
        <v>28</v>
      </c>
      <c r="U34" s="12">
        <v>14</v>
      </c>
      <c r="V34" s="12">
        <v>22</v>
      </c>
      <c r="W34" s="12">
        <v>4</v>
      </c>
      <c r="X34" s="12">
        <v>39</v>
      </c>
      <c r="Y34" s="12">
        <v>14</v>
      </c>
      <c r="Z34" s="12">
        <v>16</v>
      </c>
      <c r="AA34" s="12">
        <v>24</v>
      </c>
      <c r="AB34" s="12">
        <v>7</v>
      </c>
      <c r="AC34" s="12">
        <v>15</v>
      </c>
      <c r="AD34" s="12">
        <v>29</v>
      </c>
      <c r="AE34" s="12">
        <v>17</v>
      </c>
      <c r="AF34" s="12">
        <v>32</v>
      </c>
      <c r="AG34" s="12">
        <v>5</v>
      </c>
      <c r="AH34" s="12">
        <v>12</v>
      </c>
      <c r="AI34" s="12">
        <v>7</v>
      </c>
      <c r="AJ34" s="12">
        <v>20</v>
      </c>
      <c r="AK34" s="12">
        <v>8</v>
      </c>
      <c r="AL34" s="12">
        <v>18</v>
      </c>
      <c r="AM34" s="12">
        <v>7</v>
      </c>
      <c r="AN34" s="12">
        <v>6</v>
      </c>
      <c r="AO34" s="12">
        <v>5</v>
      </c>
      <c r="AP34" s="12">
        <v>7</v>
      </c>
      <c r="AQ34" s="12">
        <v>34</v>
      </c>
    </row>
    <row r="35" spans="1:43" ht="31.5" x14ac:dyDescent="0.35">
      <c r="A35" s="19"/>
      <c r="B35" s="13" t="s">
        <v>1516</v>
      </c>
      <c r="C35" s="15">
        <v>0.02</v>
      </c>
      <c r="D35" s="15">
        <v>0.03</v>
      </c>
      <c r="E35" s="15">
        <v>0.01</v>
      </c>
      <c r="F35" s="15">
        <v>0.02</v>
      </c>
      <c r="G35" s="15">
        <v>0.02</v>
      </c>
      <c r="H35" s="15">
        <v>0.02</v>
      </c>
      <c r="I35" s="15">
        <v>0.02</v>
      </c>
      <c r="J35" s="15">
        <v>0.02</v>
      </c>
      <c r="K35" s="15">
        <v>0.03</v>
      </c>
      <c r="L35" s="15">
        <v>0.03</v>
      </c>
      <c r="M35" s="15">
        <v>0.02</v>
      </c>
      <c r="N35" s="15">
        <v>0.02</v>
      </c>
      <c r="O35" s="15">
        <v>0.03</v>
      </c>
      <c r="P35" s="15">
        <v>0.03</v>
      </c>
      <c r="Q35" s="15">
        <v>0.01</v>
      </c>
      <c r="R35" s="15">
        <v>0.04</v>
      </c>
      <c r="S35" s="15">
        <v>0.04</v>
      </c>
      <c r="T35" s="15">
        <v>0.03</v>
      </c>
      <c r="U35" s="15">
        <v>0.03</v>
      </c>
      <c r="V35" s="15">
        <v>0.02</v>
      </c>
      <c r="W35" s="15">
        <v>0.01</v>
      </c>
      <c r="X35" s="15">
        <v>0.04</v>
      </c>
      <c r="Y35" s="15">
        <v>0.01</v>
      </c>
      <c r="Z35" s="15">
        <v>0.02</v>
      </c>
      <c r="AA35" s="15">
        <v>0.02</v>
      </c>
      <c r="AB35" s="15">
        <v>0.01</v>
      </c>
      <c r="AC35" s="15">
        <v>0.01</v>
      </c>
      <c r="AD35" s="15">
        <v>0.03</v>
      </c>
      <c r="AE35" s="15">
        <v>0.02</v>
      </c>
      <c r="AF35" s="15">
        <v>0.03</v>
      </c>
      <c r="AG35" s="15">
        <v>0.01</v>
      </c>
      <c r="AH35" s="15">
        <v>0.01</v>
      </c>
      <c r="AI35" s="15">
        <v>0.01</v>
      </c>
      <c r="AJ35" s="15">
        <v>0.02</v>
      </c>
      <c r="AK35" s="15">
        <v>0.01</v>
      </c>
      <c r="AL35" s="15">
        <v>0.02</v>
      </c>
      <c r="AM35" s="15">
        <v>0.01</v>
      </c>
      <c r="AN35" s="15">
        <v>0.01</v>
      </c>
      <c r="AO35" s="15">
        <v>0.01</v>
      </c>
      <c r="AP35" s="15">
        <v>0.01</v>
      </c>
      <c r="AQ35" s="15">
        <v>0.03</v>
      </c>
    </row>
    <row r="36" spans="1:43" ht="21.5" x14ac:dyDescent="0.35">
      <c r="A36" s="19"/>
      <c r="B36" s="11" t="s">
        <v>1517</v>
      </c>
      <c r="C36" s="12">
        <v>1782</v>
      </c>
      <c r="D36" s="12">
        <v>43</v>
      </c>
      <c r="E36" s="12">
        <v>98</v>
      </c>
      <c r="F36" s="12">
        <v>101</v>
      </c>
      <c r="G36" s="12">
        <v>58</v>
      </c>
      <c r="H36" s="12">
        <v>103</v>
      </c>
      <c r="I36" s="12">
        <v>125</v>
      </c>
      <c r="J36" s="12">
        <v>23</v>
      </c>
      <c r="K36" s="12">
        <v>79</v>
      </c>
      <c r="L36" s="12">
        <v>49</v>
      </c>
      <c r="M36" s="12">
        <v>67</v>
      </c>
      <c r="N36" s="12">
        <v>50</v>
      </c>
      <c r="O36" s="12">
        <v>60</v>
      </c>
      <c r="P36" s="12">
        <v>76</v>
      </c>
      <c r="Q36" s="12">
        <v>65</v>
      </c>
      <c r="R36" s="12">
        <v>21</v>
      </c>
      <c r="S36" s="12">
        <v>103</v>
      </c>
      <c r="T36" s="12">
        <v>117</v>
      </c>
      <c r="U36" s="12">
        <v>16</v>
      </c>
      <c r="V36" s="12">
        <v>98</v>
      </c>
      <c r="W36" s="12">
        <v>18</v>
      </c>
      <c r="X36" s="12">
        <v>28</v>
      </c>
      <c r="Y36" s="12">
        <v>62</v>
      </c>
      <c r="Z36" s="12">
        <v>87</v>
      </c>
      <c r="AA36" s="12">
        <v>93</v>
      </c>
      <c r="AB36" s="12">
        <v>73</v>
      </c>
      <c r="AC36" s="12">
        <v>59</v>
      </c>
      <c r="AD36" s="12">
        <v>65</v>
      </c>
      <c r="AE36" s="12">
        <v>60</v>
      </c>
      <c r="AF36" s="12">
        <v>57</v>
      </c>
      <c r="AG36" s="12">
        <v>54</v>
      </c>
      <c r="AH36" s="12">
        <v>64</v>
      </c>
      <c r="AI36" s="12">
        <v>4</v>
      </c>
      <c r="AJ36" s="12">
        <v>67</v>
      </c>
      <c r="AK36" s="12">
        <v>37</v>
      </c>
      <c r="AL36" s="12">
        <v>104</v>
      </c>
      <c r="AM36" s="12">
        <v>70</v>
      </c>
      <c r="AN36" s="12">
        <v>53</v>
      </c>
      <c r="AO36" s="12">
        <v>13</v>
      </c>
      <c r="AP36" s="12">
        <v>21</v>
      </c>
      <c r="AQ36" s="12">
        <v>41</v>
      </c>
    </row>
    <row r="37" spans="1:43" ht="21.5" x14ac:dyDescent="0.35">
      <c r="A37" s="19"/>
      <c r="B37" s="13" t="s">
        <v>1518</v>
      </c>
      <c r="C37" s="15">
        <v>7.0000000000000007E-2</v>
      </c>
      <c r="D37" s="15">
        <v>0.04</v>
      </c>
      <c r="E37" s="15">
        <v>0.1</v>
      </c>
      <c r="F37" s="15">
        <v>0.09</v>
      </c>
      <c r="G37" s="15">
        <v>0.06</v>
      </c>
      <c r="H37" s="15">
        <v>0.08</v>
      </c>
      <c r="I37" s="15">
        <v>0.08</v>
      </c>
      <c r="J37" s="15">
        <v>0.08</v>
      </c>
      <c r="K37" s="15">
        <v>0.08</v>
      </c>
      <c r="L37" s="15">
        <v>0.05</v>
      </c>
      <c r="M37" s="15">
        <v>7.0000000000000007E-2</v>
      </c>
      <c r="N37" s="15">
        <v>0.05</v>
      </c>
      <c r="O37" s="15">
        <v>0.06</v>
      </c>
      <c r="P37" s="15">
        <v>0.08</v>
      </c>
      <c r="Q37" s="15">
        <v>0.06</v>
      </c>
      <c r="R37" s="15">
        <v>0.04</v>
      </c>
      <c r="S37" s="15">
        <v>0.1</v>
      </c>
      <c r="T37" s="15">
        <v>0.12</v>
      </c>
      <c r="U37" s="15">
        <v>0.03</v>
      </c>
      <c r="V37" s="15">
        <v>0.1</v>
      </c>
      <c r="W37" s="15">
        <v>0.03</v>
      </c>
      <c r="X37" s="15">
        <v>0.03</v>
      </c>
      <c r="Y37" s="15">
        <v>0.06</v>
      </c>
      <c r="Z37" s="15">
        <v>0.09</v>
      </c>
      <c r="AA37" s="15">
        <v>0.09</v>
      </c>
      <c r="AB37" s="15">
        <v>7.0000000000000007E-2</v>
      </c>
      <c r="AC37" s="15">
        <v>0.06</v>
      </c>
      <c r="AD37" s="15">
        <v>7.0000000000000007E-2</v>
      </c>
      <c r="AE37" s="15">
        <v>0.06</v>
      </c>
      <c r="AF37" s="15">
        <v>0.05</v>
      </c>
      <c r="AG37" s="15">
        <v>0.05</v>
      </c>
      <c r="AH37" s="15">
        <v>7.0000000000000007E-2</v>
      </c>
      <c r="AI37" s="15">
        <v>0.01</v>
      </c>
      <c r="AJ37" s="15">
        <v>0.06</v>
      </c>
      <c r="AK37" s="15">
        <v>0.04</v>
      </c>
      <c r="AL37" s="15">
        <v>0.1</v>
      </c>
      <c r="AM37" s="15">
        <v>7.0000000000000007E-2</v>
      </c>
      <c r="AN37" s="15">
        <v>0.05</v>
      </c>
      <c r="AO37" s="15">
        <v>0.01</v>
      </c>
      <c r="AP37" s="15">
        <v>0.04</v>
      </c>
      <c r="AQ37" s="15">
        <v>0.04</v>
      </c>
    </row>
    <row r="38" spans="1:43" ht="21.5" x14ac:dyDescent="0.35">
      <c r="A38" s="19"/>
      <c r="B38" s="11" t="s">
        <v>1519</v>
      </c>
      <c r="C38" s="12">
        <v>257</v>
      </c>
      <c r="D38" s="12">
        <v>9</v>
      </c>
      <c r="E38" s="12">
        <v>15</v>
      </c>
      <c r="F38" s="12">
        <v>16</v>
      </c>
      <c r="G38" s="12">
        <v>2</v>
      </c>
      <c r="H38" s="12">
        <v>11</v>
      </c>
      <c r="I38" s="12">
        <v>11</v>
      </c>
      <c r="J38" s="12">
        <v>1</v>
      </c>
      <c r="K38" s="12">
        <v>10</v>
      </c>
      <c r="L38" s="12">
        <v>9</v>
      </c>
      <c r="M38" s="12">
        <v>17</v>
      </c>
      <c r="N38" s="12">
        <v>14</v>
      </c>
      <c r="O38" s="12">
        <v>4</v>
      </c>
      <c r="P38" s="12">
        <v>23</v>
      </c>
      <c r="Q38" s="12">
        <v>11</v>
      </c>
      <c r="R38" s="12">
        <v>4</v>
      </c>
      <c r="S38" s="12">
        <v>12</v>
      </c>
      <c r="T38" s="12">
        <v>19</v>
      </c>
      <c r="U38" s="12">
        <v>7</v>
      </c>
      <c r="V38" s="12">
        <v>13</v>
      </c>
      <c r="W38" s="12">
        <v>8</v>
      </c>
      <c r="X38" s="12">
        <v>11</v>
      </c>
      <c r="Y38" s="12">
        <v>1</v>
      </c>
      <c r="Z38" s="12">
        <v>13</v>
      </c>
      <c r="AA38" s="12">
        <v>14</v>
      </c>
      <c r="AB38" s="12">
        <v>12</v>
      </c>
      <c r="AC38" s="12">
        <v>17</v>
      </c>
      <c r="AD38" s="12">
        <v>16</v>
      </c>
      <c r="AE38" s="12">
        <v>5</v>
      </c>
      <c r="AF38" s="12">
        <v>4</v>
      </c>
      <c r="AG38" s="12">
        <v>20</v>
      </c>
      <c r="AH38" s="12">
        <v>33</v>
      </c>
      <c r="AI38" s="12">
        <v>15</v>
      </c>
      <c r="AJ38" s="12">
        <v>30</v>
      </c>
      <c r="AK38" s="12">
        <v>32</v>
      </c>
      <c r="AL38" s="12">
        <v>23</v>
      </c>
      <c r="AM38" s="12">
        <v>12</v>
      </c>
      <c r="AN38" s="12">
        <v>9</v>
      </c>
      <c r="AO38" s="12">
        <v>30</v>
      </c>
      <c r="AP38" s="12">
        <v>13</v>
      </c>
      <c r="AQ38" s="12">
        <v>54</v>
      </c>
    </row>
    <row r="39" spans="1:43" x14ac:dyDescent="0.35">
      <c r="A39" s="19"/>
      <c r="B39" s="13" t="s">
        <v>1520</v>
      </c>
      <c r="C39" s="15">
        <v>0.01</v>
      </c>
      <c r="D39" s="15">
        <v>0.01</v>
      </c>
      <c r="E39" s="15">
        <v>0.02</v>
      </c>
      <c r="F39" s="15">
        <v>0.02</v>
      </c>
      <c r="G39" s="14" t="s">
        <v>475</v>
      </c>
      <c r="H39" s="15">
        <v>0.01</v>
      </c>
      <c r="I39" s="15">
        <v>0.01</v>
      </c>
      <c r="J39" s="14" t="s">
        <v>475</v>
      </c>
      <c r="K39" s="15">
        <v>0.01</v>
      </c>
      <c r="L39" s="15">
        <v>0.01</v>
      </c>
      <c r="M39" s="15">
        <v>0.02</v>
      </c>
      <c r="N39" s="15">
        <v>0.01</v>
      </c>
      <c r="O39" s="14" t="s">
        <v>475</v>
      </c>
      <c r="P39" s="15">
        <v>0.02</v>
      </c>
      <c r="Q39" s="15">
        <v>0.01</v>
      </c>
      <c r="R39" s="15">
        <v>0.01</v>
      </c>
      <c r="S39" s="15">
        <v>0.01</v>
      </c>
      <c r="T39" s="15">
        <v>0.02</v>
      </c>
      <c r="U39" s="15">
        <v>0.01</v>
      </c>
      <c r="V39" s="15">
        <v>0.01</v>
      </c>
      <c r="W39" s="15">
        <v>0.02</v>
      </c>
      <c r="X39" s="15">
        <v>0.01</v>
      </c>
      <c r="Y39" s="14" t="s">
        <v>475</v>
      </c>
      <c r="Z39" s="15">
        <v>0.01</v>
      </c>
      <c r="AA39" s="15">
        <v>0.01</v>
      </c>
      <c r="AB39" s="15">
        <v>0.01</v>
      </c>
      <c r="AC39" s="15">
        <v>0.02</v>
      </c>
      <c r="AD39" s="15">
        <v>0.02</v>
      </c>
      <c r="AE39" s="14" t="s">
        <v>475</v>
      </c>
      <c r="AF39" s="14" t="s">
        <v>475</v>
      </c>
      <c r="AG39" s="15">
        <v>0.02</v>
      </c>
      <c r="AH39" s="15">
        <v>0.03</v>
      </c>
      <c r="AI39" s="15">
        <v>0.03</v>
      </c>
      <c r="AJ39" s="15">
        <v>0.03</v>
      </c>
      <c r="AK39" s="15">
        <v>0.03</v>
      </c>
      <c r="AL39" s="15">
        <v>0.02</v>
      </c>
      <c r="AM39" s="15">
        <v>0.01</v>
      </c>
      <c r="AN39" s="15">
        <v>0.01</v>
      </c>
      <c r="AO39" s="15">
        <v>0.03</v>
      </c>
      <c r="AP39" s="15">
        <v>0.02</v>
      </c>
      <c r="AQ39" s="15">
        <v>0.05</v>
      </c>
    </row>
    <row r="40" spans="1:43" x14ac:dyDescent="0.35">
      <c r="A40" s="19"/>
      <c r="B40" s="11" t="s">
        <v>611</v>
      </c>
      <c r="C40" s="12">
        <v>103</v>
      </c>
      <c r="D40" s="12">
        <v>19</v>
      </c>
      <c r="E40" s="12">
        <v>0</v>
      </c>
      <c r="F40" s="12">
        <v>3</v>
      </c>
      <c r="G40" s="12">
        <v>9</v>
      </c>
      <c r="H40" s="12">
        <v>4</v>
      </c>
      <c r="I40" s="12">
        <v>4</v>
      </c>
      <c r="J40" s="12">
        <v>0</v>
      </c>
      <c r="K40" s="12">
        <v>5</v>
      </c>
      <c r="L40" s="12">
        <v>0</v>
      </c>
      <c r="M40" s="12">
        <v>0</v>
      </c>
      <c r="N40" s="12">
        <v>2</v>
      </c>
      <c r="O40" s="12">
        <v>2</v>
      </c>
      <c r="P40" s="12">
        <v>3</v>
      </c>
      <c r="Q40" s="12">
        <v>7</v>
      </c>
      <c r="R40" s="12">
        <v>0</v>
      </c>
      <c r="S40" s="12">
        <v>10</v>
      </c>
      <c r="T40" s="12">
        <v>0</v>
      </c>
      <c r="U40" s="12">
        <v>0</v>
      </c>
      <c r="V40" s="12">
        <v>0</v>
      </c>
      <c r="W40" s="12">
        <v>0</v>
      </c>
      <c r="X40" s="12">
        <v>10</v>
      </c>
      <c r="Y40" s="12">
        <v>17</v>
      </c>
      <c r="Z40" s="12">
        <v>3</v>
      </c>
      <c r="AA40" s="12">
        <v>0</v>
      </c>
      <c r="AB40" s="12">
        <v>0</v>
      </c>
      <c r="AC40" s="12">
        <v>1</v>
      </c>
      <c r="AD40" s="12">
        <v>0</v>
      </c>
      <c r="AE40" s="12">
        <v>11</v>
      </c>
      <c r="AF40" s="12">
        <v>11</v>
      </c>
      <c r="AG40" s="12">
        <v>0</v>
      </c>
      <c r="AH40" s="12">
        <v>0</v>
      </c>
      <c r="AI40" s="12">
        <v>9</v>
      </c>
      <c r="AJ40" s="12">
        <v>0</v>
      </c>
      <c r="AK40" s="12">
        <v>0</v>
      </c>
      <c r="AL40" s="12">
        <v>0</v>
      </c>
      <c r="AM40" s="12">
        <v>2</v>
      </c>
      <c r="AN40" s="12">
        <v>1</v>
      </c>
      <c r="AO40" s="12">
        <v>4</v>
      </c>
      <c r="AP40" s="12">
        <v>0</v>
      </c>
      <c r="AQ40" s="12">
        <v>1</v>
      </c>
    </row>
    <row r="41" spans="1:43" x14ac:dyDescent="0.35">
      <c r="A41" s="19"/>
      <c r="B41" s="13" t="s">
        <v>612</v>
      </c>
      <c r="C41" s="14" t="s">
        <v>475</v>
      </c>
      <c r="D41" s="15">
        <v>0.02</v>
      </c>
      <c r="E41" s="14" t="s">
        <v>475</v>
      </c>
      <c r="F41" s="14" t="s">
        <v>475</v>
      </c>
      <c r="G41" s="15">
        <v>0.01</v>
      </c>
      <c r="H41" s="14" t="s">
        <v>475</v>
      </c>
      <c r="I41" s="14" t="s">
        <v>475</v>
      </c>
      <c r="J41" s="14" t="s">
        <v>475</v>
      </c>
      <c r="K41" s="15">
        <v>0.01</v>
      </c>
      <c r="L41" s="14" t="s">
        <v>475</v>
      </c>
      <c r="M41" s="14" t="s">
        <v>475</v>
      </c>
      <c r="N41" s="14" t="s">
        <v>475</v>
      </c>
      <c r="O41" s="14" t="s">
        <v>475</v>
      </c>
      <c r="P41" s="14" t="s">
        <v>475</v>
      </c>
      <c r="Q41" s="15">
        <v>0.01</v>
      </c>
      <c r="R41" s="14" t="s">
        <v>475</v>
      </c>
      <c r="S41" s="15">
        <v>0.01</v>
      </c>
      <c r="T41" s="14" t="s">
        <v>475</v>
      </c>
      <c r="U41" s="14" t="s">
        <v>475</v>
      </c>
      <c r="V41" s="14" t="s">
        <v>475</v>
      </c>
      <c r="W41" s="14" t="s">
        <v>475</v>
      </c>
      <c r="X41" s="15">
        <v>0.01</v>
      </c>
      <c r="Y41" s="15">
        <v>0.02</v>
      </c>
      <c r="Z41" s="14" t="s">
        <v>475</v>
      </c>
      <c r="AA41" s="14" t="s">
        <v>475</v>
      </c>
      <c r="AB41" s="14" t="s">
        <v>475</v>
      </c>
      <c r="AC41" s="14" t="s">
        <v>475</v>
      </c>
      <c r="AD41" s="14" t="s">
        <v>475</v>
      </c>
      <c r="AE41" s="15">
        <v>0.01</v>
      </c>
      <c r="AF41" s="15">
        <v>0.01</v>
      </c>
      <c r="AG41" s="14" t="s">
        <v>475</v>
      </c>
      <c r="AH41" s="14" t="s">
        <v>475</v>
      </c>
      <c r="AI41" s="15">
        <v>0.02</v>
      </c>
      <c r="AJ41" s="14" t="s">
        <v>475</v>
      </c>
      <c r="AK41" s="14" t="s">
        <v>475</v>
      </c>
      <c r="AL41" s="14" t="s">
        <v>475</v>
      </c>
      <c r="AM41" s="14" t="s">
        <v>475</v>
      </c>
      <c r="AN41" s="14" t="s">
        <v>475</v>
      </c>
      <c r="AO41" s="15">
        <v>0.01</v>
      </c>
      <c r="AP41" s="14" t="s">
        <v>475</v>
      </c>
      <c r="AQ41" s="14" t="s">
        <v>475</v>
      </c>
    </row>
    <row r="42" spans="1:43" x14ac:dyDescent="0.35">
      <c r="A42" s="19"/>
      <c r="B42" s="11" t="s">
        <v>750</v>
      </c>
      <c r="C42" s="12">
        <v>44</v>
      </c>
      <c r="D42" s="12">
        <v>1</v>
      </c>
      <c r="E42" s="12">
        <v>0</v>
      </c>
      <c r="F42" s="12">
        <v>4</v>
      </c>
      <c r="G42" s="12">
        <v>1</v>
      </c>
      <c r="H42" s="12">
        <v>2</v>
      </c>
      <c r="I42" s="12">
        <v>3</v>
      </c>
      <c r="J42" s="12">
        <v>1</v>
      </c>
      <c r="K42" s="12">
        <v>1</v>
      </c>
      <c r="L42" s="12">
        <v>0</v>
      </c>
      <c r="M42" s="12">
        <v>0</v>
      </c>
      <c r="N42" s="12">
        <v>2</v>
      </c>
      <c r="O42" s="12">
        <v>1</v>
      </c>
      <c r="P42" s="12">
        <v>0</v>
      </c>
      <c r="Q42" s="12">
        <v>0</v>
      </c>
      <c r="R42" s="12">
        <v>1</v>
      </c>
      <c r="S42" s="12">
        <v>1</v>
      </c>
      <c r="T42" s="12">
        <v>6</v>
      </c>
      <c r="U42" s="12">
        <v>0</v>
      </c>
      <c r="V42" s="12">
        <v>1</v>
      </c>
      <c r="W42" s="12">
        <v>0</v>
      </c>
      <c r="X42" s="12">
        <v>2</v>
      </c>
      <c r="Y42" s="12">
        <v>0</v>
      </c>
      <c r="Z42" s="12">
        <v>8</v>
      </c>
      <c r="AA42" s="12">
        <v>0</v>
      </c>
      <c r="AB42" s="12">
        <v>1</v>
      </c>
      <c r="AC42" s="12">
        <v>3</v>
      </c>
      <c r="AD42" s="12">
        <v>1</v>
      </c>
      <c r="AE42" s="12">
        <v>1</v>
      </c>
      <c r="AF42" s="12">
        <v>0</v>
      </c>
      <c r="AG42" s="12">
        <v>1</v>
      </c>
      <c r="AH42" s="12">
        <v>0</v>
      </c>
      <c r="AI42" s="12">
        <v>0</v>
      </c>
      <c r="AJ42" s="12">
        <v>0</v>
      </c>
      <c r="AK42" s="12">
        <v>0</v>
      </c>
      <c r="AL42" s="12">
        <v>3</v>
      </c>
      <c r="AM42" s="12">
        <v>7</v>
      </c>
      <c r="AN42" s="12">
        <v>1</v>
      </c>
      <c r="AO42" s="12">
        <v>0</v>
      </c>
      <c r="AP42" s="12">
        <v>0</v>
      </c>
      <c r="AQ42" s="12">
        <v>1</v>
      </c>
    </row>
    <row r="43" spans="1:43" x14ac:dyDescent="0.35">
      <c r="A43" s="19"/>
      <c r="B43" s="13" t="s">
        <v>751</v>
      </c>
      <c r="C43" s="14" t="s">
        <v>475</v>
      </c>
      <c r="D43" s="14" t="s">
        <v>475</v>
      </c>
      <c r="E43" s="14" t="s">
        <v>475</v>
      </c>
      <c r="F43" s="14" t="s">
        <v>475</v>
      </c>
      <c r="G43" s="14" t="s">
        <v>475</v>
      </c>
      <c r="H43" s="14" t="s">
        <v>475</v>
      </c>
      <c r="I43" s="14" t="s">
        <v>475</v>
      </c>
      <c r="J43" s="14" t="s">
        <v>475</v>
      </c>
      <c r="K43" s="14" t="s">
        <v>475</v>
      </c>
      <c r="L43" s="14" t="s">
        <v>475</v>
      </c>
      <c r="M43" s="14" t="s">
        <v>475</v>
      </c>
      <c r="N43" s="14" t="s">
        <v>475</v>
      </c>
      <c r="O43" s="14" t="s">
        <v>475</v>
      </c>
      <c r="P43" s="14" t="s">
        <v>475</v>
      </c>
      <c r="Q43" s="14" t="s">
        <v>475</v>
      </c>
      <c r="R43" s="14" t="s">
        <v>475</v>
      </c>
      <c r="S43" s="14" t="s">
        <v>475</v>
      </c>
      <c r="T43" s="15">
        <v>0.01</v>
      </c>
      <c r="U43" s="14" t="s">
        <v>475</v>
      </c>
      <c r="V43" s="14" t="s">
        <v>475</v>
      </c>
      <c r="W43" s="14" t="s">
        <v>475</v>
      </c>
      <c r="X43" s="14" t="s">
        <v>475</v>
      </c>
      <c r="Y43" s="14" t="s">
        <v>475</v>
      </c>
      <c r="Z43" s="15">
        <v>0.01</v>
      </c>
      <c r="AA43" s="14" t="s">
        <v>475</v>
      </c>
      <c r="AB43" s="14" t="s">
        <v>475</v>
      </c>
      <c r="AC43" s="14" t="s">
        <v>475</v>
      </c>
      <c r="AD43" s="14" t="s">
        <v>475</v>
      </c>
      <c r="AE43" s="14" t="s">
        <v>475</v>
      </c>
      <c r="AF43" s="14" t="s">
        <v>475</v>
      </c>
      <c r="AG43" s="14" t="s">
        <v>475</v>
      </c>
      <c r="AH43" s="14" t="s">
        <v>475</v>
      </c>
      <c r="AI43" s="14" t="s">
        <v>475</v>
      </c>
      <c r="AJ43" s="14" t="s">
        <v>475</v>
      </c>
      <c r="AK43" s="14" t="s">
        <v>475</v>
      </c>
      <c r="AL43" s="14" t="s">
        <v>475</v>
      </c>
      <c r="AM43" s="15">
        <v>0.01</v>
      </c>
      <c r="AN43" s="14" t="s">
        <v>475</v>
      </c>
      <c r="AO43" s="14" t="s">
        <v>475</v>
      </c>
      <c r="AP43" s="14" t="s">
        <v>475</v>
      </c>
      <c r="AQ43" s="14" t="s">
        <v>475</v>
      </c>
    </row>
  </sheetData>
  <mergeCells count="9">
    <mergeCell ref="H3:L3"/>
    <mergeCell ref="B3:F3"/>
    <mergeCell ref="B5:F5"/>
    <mergeCell ref="C8:AQ8"/>
    <mergeCell ref="A10:A43"/>
    <mergeCell ref="H5:L5"/>
    <mergeCell ref="B10:B11"/>
    <mergeCell ref="H4:L4"/>
    <mergeCell ref="B4:F4"/>
  </mergeCell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Q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373</v>
      </c>
      <c r="C3" s="18"/>
      <c r="D3" s="18"/>
      <c r="E3" s="18"/>
      <c r="F3" s="18"/>
      <c r="H3" s="18" t="s">
        <v>374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HYPERLINK("#Content!A189","&lt;&lt;Back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1521</v>
      </c>
      <c r="C12" s="12">
        <v>12870</v>
      </c>
      <c r="D12" s="12">
        <v>374</v>
      </c>
      <c r="E12" s="12">
        <v>607</v>
      </c>
      <c r="F12" s="12">
        <v>502</v>
      </c>
      <c r="G12" s="12">
        <v>462</v>
      </c>
      <c r="H12" s="12">
        <v>559</v>
      </c>
      <c r="I12" s="12">
        <v>671</v>
      </c>
      <c r="J12" s="12">
        <v>112</v>
      </c>
      <c r="K12" s="12">
        <v>363</v>
      </c>
      <c r="L12" s="12">
        <v>522</v>
      </c>
      <c r="M12" s="12">
        <v>587</v>
      </c>
      <c r="N12" s="12">
        <v>514</v>
      </c>
      <c r="O12" s="12">
        <v>329</v>
      </c>
      <c r="P12" s="12">
        <v>516</v>
      </c>
      <c r="Q12" s="12">
        <v>607</v>
      </c>
      <c r="R12" s="12">
        <v>298</v>
      </c>
      <c r="S12" s="12">
        <v>424</v>
      </c>
      <c r="T12" s="12">
        <v>438</v>
      </c>
      <c r="U12" s="12">
        <v>269</v>
      </c>
      <c r="V12" s="12">
        <v>545</v>
      </c>
      <c r="W12" s="12">
        <v>271</v>
      </c>
      <c r="X12" s="12">
        <v>411</v>
      </c>
      <c r="Y12" s="12">
        <v>525</v>
      </c>
      <c r="Z12" s="12">
        <v>628</v>
      </c>
      <c r="AA12" s="12">
        <v>601</v>
      </c>
      <c r="AB12" s="12">
        <v>702</v>
      </c>
      <c r="AC12" s="12">
        <v>477</v>
      </c>
      <c r="AD12" s="12">
        <v>553</v>
      </c>
      <c r="AE12" s="12">
        <v>428</v>
      </c>
      <c r="AF12" s="12">
        <v>352</v>
      </c>
      <c r="AG12" s="12">
        <v>681</v>
      </c>
      <c r="AH12" s="12">
        <v>647</v>
      </c>
      <c r="AI12" s="12">
        <v>392</v>
      </c>
      <c r="AJ12" s="12">
        <v>636</v>
      </c>
      <c r="AK12" s="12">
        <v>670</v>
      </c>
      <c r="AL12" s="12">
        <v>601</v>
      </c>
      <c r="AM12" s="12">
        <v>455</v>
      </c>
      <c r="AN12" s="12">
        <v>687</v>
      </c>
      <c r="AO12" s="12">
        <v>658</v>
      </c>
      <c r="AP12" s="12">
        <v>247</v>
      </c>
      <c r="AQ12" s="12">
        <v>575</v>
      </c>
    </row>
    <row r="13" spans="1:43" x14ac:dyDescent="0.35">
      <c r="A13" s="19"/>
      <c r="B13" s="13" t="s">
        <v>1522</v>
      </c>
      <c r="C13" s="15">
        <v>0.49</v>
      </c>
      <c r="D13" s="15">
        <v>0.37</v>
      </c>
      <c r="E13" s="15">
        <v>0.59</v>
      </c>
      <c r="F13" s="15">
        <v>0.46</v>
      </c>
      <c r="G13" s="15">
        <v>0.46</v>
      </c>
      <c r="H13" s="15">
        <v>0.46</v>
      </c>
      <c r="I13" s="15">
        <v>0.44</v>
      </c>
      <c r="J13" s="15">
        <v>0.38</v>
      </c>
      <c r="K13" s="15">
        <v>0.36</v>
      </c>
      <c r="L13" s="15">
        <v>0.52</v>
      </c>
      <c r="M13" s="15">
        <v>0.57999999999999996</v>
      </c>
      <c r="N13" s="15">
        <v>0.51</v>
      </c>
      <c r="O13" s="15">
        <v>0.33</v>
      </c>
      <c r="P13" s="15">
        <v>0.51</v>
      </c>
      <c r="Q13" s="15">
        <v>0.59</v>
      </c>
      <c r="R13" s="15">
        <v>0.59</v>
      </c>
      <c r="S13" s="15">
        <v>0.42</v>
      </c>
      <c r="T13" s="15">
        <v>0.44</v>
      </c>
      <c r="U13" s="15">
        <v>0.53</v>
      </c>
      <c r="V13" s="15">
        <v>0.54</v>
      </c>
      <c r="W13" s="15">
        <v>0.53</v>
      </c>
      <c r="X13" s="15">
        <v>0.41</v>
      </c>
      <c r="Y13" s="15">
        <v>0.52</v>
      </c>
      <c r="Z13" s="15">
        <v>0.61</v>
      </c>
      <c r="AA13" s="15">
        <v>0.57999999999999996</v>
      </c>
      <c r="AB13" s="15">
        <v>0.67</v>
      </c>
      <c r="AC13" s="15">
        <v>0.48</v>
      </c>
      <c r="AD13" s="15">
        <v>0.55000000000000004</v>
      </c>
      <c r="AE13" s="15">
        <v>0.42</v>
      </c>
      <c r="AF13" s="15">
        <v>0.34</v>
      </c>
      <c r="AG13" s="15">
        <v>0.66</v>
      </c>
      <c r="AH13" s="15">
        <v>0.64</v>
      </c>
      <c r="AI13" s="15">
        <v>0.75</v>
      </c>
      <c r="AJ13" s="15">
        <v>0.61</v>
      </c>
      <c r="AK13" s="15">
        <v>0.66</v>
      </c>
      <c r="AL13" s="15">
        <v>0.59</v>
      </c>
      <c r="AM13" s="15">
        <v>0.44</v>
      </c>
      <c r="AN13" s="15">
        <v>0.69000000000000006</v>
      </c>
      <c r="AO13" s="15">
        <v>0.66</v>
      </c>
      <c r="AP13" s="15">
        <v>0.47</v>
      </c>
      <c r="AQ13" s="15">
        <v>0.57000000000000006</v>
      </c>
    </row>
    <row r="14" spans="1:43" x14ac:dyDescent="0.35">
      <c r="A14" s="19"/>
      <c r="B14" s="11" t="s">
        <v>1523</v>
      </c>
      <c r="C14" s="12">
        <v>2847</v>
      </c>
      <c r="D14" s="12">
        <v>183</v>
      </c>
      <c r="E14" s="12">
        <v>86</v>
      </c>
      <c r="F14" s="12">
        <v>151</v>
      </c>
      <c r="G14" s="12">
        <v>183</v>
      </c>
      <c r="H14" s="12">
        <v>116</v>
      </c>
      <c r="I14" s="12">
        <v>157</v>
      </c>
      <c r="J14" s="12">
        <v>41</v>
      </c>
      <c r="K14" s="12">
        <v>179</v>
      </c>
      <c r="L14" s="12">
        <v>91</v>
      </c>
      <c r="M14" s="12">
        <v>47</v>
      </c>
      <c r="N14" s="12">
        <v>132</v>
      </c>
      <c r="O14" s="12">
        <v>143</v>
      </c>
      <c r="P14" s="12">
        <v>79</v>
      </c>
      <c r="Q14" s="12">
        <v>59</v>
      </c>
      <c r="R14" s="12">
        <v>44</v>
      </c>
      <c r="S14" s="12">
        <v>144</v>
      </c>
      <c r="T14" s="12">
        <v>94</v>
      </c>
      <c r="U14" s="12">
        <v>63</v>
      </c>
      <c r="V14" s="12">
        <v>130</v>
      </c>
      <c r="W14" s="12">
        <v>46</v>
      </c>
      <c r="X14" s="12">
        <v>134</v>
      </c>
      <c r="Y14" s="12">
        <v>128</v>
      </c>
      <c r="Z14" s="12">
        <v>75</v>
      </c>
      <c r="AA14" s="12">
        <v>46</v>
      </c>
      <c r="AB14" s="12">
        <v>42</v>
      </c>
      <c r="AC14" s="12">
        <v>189</v>
      </c>
      <c r="AD14" s="12">
        <v>79</v>
      </c>
      <c r="AE14" s="12">
        <v>205</v>
      </c>
      <c r="AF14" s="12">
        <v>217</v>
      </c>
      <c r="AG14" s="12">
        <v>2</v>
      </c>
      <c r="AH14" s="12">
        <v>27</v>
      </c>
      <c r="AI14" s="12">
        <v>14</v>
      </c>
      <c r="AJ14" s="12">
        <v>39</v>
      </c>
      <c r="AK14" s="12">
        <v>27</v>
      </c>
      <c r="AL14" s="12">
        <v>40</v>
      </c>
      <c r="AM14" s="12">
        <v>122</v>
      </c>
      <c r="AN14" s="12">
        <v>20</v>
      </c>
      <c r="AO14" s="12">
        <v>22</v>
      </c>
      <c r="AP14" s="12">
        <v>12</v>
      </c>
      <c r="AQ14" s="12">
        <v>38</v>
      </c>
    </row>
    <row r="15" spans="1:43" x14ac:dyDescent="0.35">
      <c r="A15" s="19"/>
      <c r="B15" s="13" t="s">
        <v>1524</v>
      </c>
      <c r="C15" s="15">
        <v>0.11</v>
      </c>
      <c r="D15" s="15">
        <v>0.18</v>
      </c>
      <c r="E15" s="15">
        <v>0.08</v>
      </c>
      <c r="F15" s="15">
        <v>0.14000000000000001</v>
      </c>
      <c r="G15" s="15">
        <v>0.18</v>
      </c>
      <c r="H15" s="15">
        <v>0.1</v>
      </c>
      <c r="I15" s="15">
        <v>0.1</v>
      </c>
      <c r="J15" s="15">
        <v>0.14000000000000001</v>
      </c>
      <c r="K15" s="15">
        <v>0.18</v>
      </c>
      <c r="L15" s="15">
        <v>0.09</v>
      </c>
      <c r="M15" s="15">
        <v>0.05</v>
      </c>
      <c r="N15" s="15">
        <v>0.13</v>
      </c>
      <c r="O15" s="15">
        <v>0.14000000000000001</v>
      </c>
      <c r="P15" s="15">
        <v>0.08</v>
      </c>
      <c r="Q15" s="15">
        <v>0.06</v>
      </c>
      <c r="R15" s="15">
        <v>0.09</v>
      </c>
      <c r="S15" s="15">
        <v>0.14000000000000001</v>
      </c>
      <c r="T15" s="15">
        <v>0.09</v>
      </c>
      <c r="U15" s="15">
        <v>0.12</v>
      </c>
      <c r="V15" s="15">
        <v>0.13</v>
      </c>
      <c r="W15" s="15">
        <v>0.09</v>
      </c>
      <c r="X15" s="15">
        <v>0.13</v>
      </c>
      <c r="Y15" s="15">
        <v>0.13</v>
      </c>
      <c r="Z15" s="15">
        <v>7.0000000000000007E-2</v>
      </c>
      <c r="AA15" s="15">
        <v>0.05</v>
      </c>
      <c r="AB15" s="15">
        <v>0.04</v>
      </c>
      <c r="AC15" s="15">
        <v>0.19</v>
      </c>
      <c r="AD15" s="15">
        <v>0.08</v>
      </c>
      <c r="AE15" s="15">
        <v>0.2</v>
      </c>
      <c r="AF15" s="15">
        <v>0.21</v>
      </c>
      <c r="AG15" s="14" t="s">
        <v>475</v>
      </c>
      <c r="AH15" s="15">
        <v>0.03</v>
      </c>
      <c r="AI15" s="15">
        <v>0.02</v>
      </c>
      <c r="AJ15" s="15">
        <v>0.04</v>
      </c>
      <c r="AK15" s="15">
        <v>0.03</v>
      </c>
      <c r="AL15" s="15">
        <v>0.04</v>
      </c>
      <c r="AM15" s="15">
        <v>0.12</v>
      </c>
      <c r="AN15" s="15">
        <v>0.02</v>
      </c>
      <c r="AO15" s="15">
        <v>0.02</v>
      </c>
      <c r="AP15" s="15">
        <v>0.02</v>
      </c>
      <c r="AQ15" s="15">
        <v>0.04</v>
      </c>
    </row>
    <row r="16" spans="1:43" x14ac:dyDescent="0.35">
      <c r="A16" s="19"/>
      <c r="B16" s="11" t="s">
        <v>1525</v>
      </c>
      <c r="C16" s="12">
        <v>6618</v>
      </c>
      <c r="D16" s="12">
        <v>327</v>
      </c>
      <c r="E16" s="12">
        <v>159</v>
      </c>
      <c r="F16" s="12">
        <v>203</v>
      </c>
      <c r="G16" s="12">
        <v>219</v>
      </c>
      <c r="H16" s="12">
        <v>333</v>
      </c>
      <c r="I16" s="12">
        <v>416</v>
      </c>
      <c r="J16" s="12">
        <v>83</v>
      </c>
      <c r="K16" s="12">
        <v>248</v>
      </c>
      <c r="L16" s="12">
        <v>280</v>
      </c>
      <c r="M16" s="12">
        <v>236</v>
      </c>
      <c r="N16" s="12">
        <v>238</v>
      </c>
      <c r="O16" s="12">
        <v>344</v>
      </c>
      <c r="P16" s="12">
        <v>231</v>
      </c>
      <c r="Q16" s="12">
        <v>229</v>
      </c>
      <c r="R16" s="12">
        <v>97</v>
      </c>
      <c r="S16" s="12">
        <v>184</v>
      </c>
      <c r="T16" s="12">
        <v>204</v>
      </c>
      <c r="U16" s="12">
        <v>115</v>
      </c>
      <c r="V16" s="12">
        <v>143</v>
      </c>
      <c r="W16" s="12">
        <v>146</v>
      </c>
      <c r="X16" s="12">
        <v>345</v>
      </c>
      <c r="Y16" s="12">
        <v>189</v>
      </c>
      <c r="Z16" s="12">
        <v>175</v>
      </c>
      <c r="AA16" s="12">
        <v>207</v>
      </c>
      <c r="AB16" s="12">
        <v>187</v>
      </c>
      <c r="AC16" s="12">
        <v>222</v>
      </c>
      <c r="AD16" s="12">
        <v>208</v>
      </c>
      <c r="AE16" s="12">
        <v>207</v>
      </c>
      <c r="AF16" s="12">
        <v>315</v>
      </c>
      <c r="AG16" s="12">
        <v>254</v>
      </c>
      <c r="AH16" s="12">
        <v>209</v>
      </c>
      <c r="AI16" s="12">
        <v>79</v>
      </c>
      <c r="AJ16" s="12">
        <v>209</v>
      </c>
      <c r="AK16" s="12">
        <v>224</v>
      </c>
      <c r="AL16" s="12">
        <v>171</v>
      </c>
      <c r="AM16" s="12">
        <v>313</v>
      </c>
      <c r="AN16" s="12">
        <v>218</v>
      </c>
      <c r="AO16" s="12">
        <v>267</v>
      </c>
      <c r="AP16" s="12">
        <v>220</v>
      </c>
      <c r="AQ16" s="12">
        <v>238</v>
      </c>
    </row>
    <row r="17" spans="1:43" x14ac:dyDescent="0.35">
      <c r="A17" s="19"/>
      <c r="B17" s="13" t="s">
        <v>1526</v>
      </c>
      <c r="C17" s="15">
        <v>0.25</v>
      </c>
      <c r="D17" s="15">
        <v>0.32</v>
      </c>
      <c r="E17" s="15">
        <v>0.16</v>
      </c>
      <c r="F17" s="15">
        <v>0.18</v>
      </c>
      <c r="G17" s="15">
        <v>0.22</v>
      </c>
      <c r="H17" s="15">
        <v>0.27</v>
      </c>
      <c r="I17" s="15">
        <v>0.28000000000000003</v>
      </c>
      <c r="J17" s="15">
        <v>0.28000000000000003</v>
      </c>
      <c r="K17" s="15">
        <v>0.25</v>
      </c>
      <c r="L17" s="15">
        <v>0.28000000000000003</v>
      </c>
      <c r="M17" s="15">
        <v>0.23</v>
      </c>
      <c r="N17" s="15">
        <v>0.24</v>
      </c>
      <c r="O17" s="15">
        <v>0.34</v>
      </c>
      <c r="P17" s="15">
        <v>0.23</v>
      </c>
      <c r="Q17" s="15">
        <v>0.22</v>
      </c>
      <c r="R17" s="15">
        <v>0.19</v>
      </c>
      <c r="S17" s="15">
        <v>0.19</v>
      </c>
      <c r="T17" s="15">
        <v>0.2</v>
      </c>
      <c r="U17" s="15">
        <v>0.23</v>
      </c>
      <c r="V17" s="15">
        <v>0.14000000000000001</v>
      </c>
      <c r="W17" s="15">
        <v>0.28999999999999998</v>
      </c>
      <c r="X17" s="15">
        <v>0.34</v>
      </c>
      <c r="Y17" s="15">
        <v>0.19</v>
      </c>
      <c r="Z17" s="15">
        <v>0.17</v>
      </c>
      <c r="AA17" s="15">
        <v>0.2</v>
      </c>
      <c r="AB17" s="15">
        <v>0.18</v>
      </c>
      <c r="AC17" s="15">
        <v>0.22</v>
      </c>
      <c r="AD17" s="15">
        <v>0.21</v>
      </c>
      <c r="AE17" s="15">
        <v>0.21</v>
      </c>
      <c r="AF17" s="15">
        <v>0.3</v>
      </c>
      <c r="AG17" s="15">
        <v>0.25</v>
      </c>
      <c r="AH17" s="15">
        <v>0.2</v>
      </c>
      <c r="AI17" s="15">
        <v>0.15</v>
      </c>
      <c r="AJ17" s="15">
        <v>0.2</v>
      </c>
      <c r="AK17" s="15">
        <v>0.22</v>
      </c>
      <c r="AL17" s="15">
        <v>0.17</v>
      </c>
      <c r="AM17" s="15">
        <v>0.3</v>
      </c>
      <c r="AN17" s="15">
        <v>0.22</v>
      </c>
      <c r="AO17" s="15">
        <v>0.27</v>
      </c>
      <c r="AP17" s="15">
        <v>0.42</v>
      </c>
      <c r="AQ17" s="15">
        <v>0.24</v>
      </c>
    </row>
    <row r="18" spans="1:43" x14ac:dyDescent="0.35">
      <c r="A18" s="19"/>
      <c r="B18" s="11" t="s">
        <v>1527</v>
      </c>
      <c r="C18" s="12">
        <v>1926</v>
      </c>
      <c r="D18" s="12">
        <v>58</v>
      </c>
      <c r="E18" s="12">
        <v>65</v>
      </c>
      <c r="F18" s="12">
        <v>122</v>
      </c>
      <c r="G18" s="12">
        <v>71</v>
      </c>
      <c r="H18" s="12">
        <v>94</v>
      </c>
      <c r="I18" s="12">
        <v>129</v>
      </c>
      <c r="J18" s="12">
        <v>35</v>
      </c>
      <c r="K18" s="12">
        <v>116</v>
      </c>
      <c r="L18" s="12">
        <v>51</v>
      </c>
      <c r="M18" s="12">
        <v>57</v>
      </c>
      <c r="N18" s="12">
        <v>51</v>
      </c>
      <c r="O18" s="12">
        <v>119</v>
      </c>
      <c r="P18" s="12">
        <v>75</v>
      </c>
      <c r="Q18" s="12">
        <v>50</v>
      </c>
      <c r="R18" s="12">
        <v>39</v>
      </c>
      <c r="S18" s="12">
        <v>123</v>
      </c>
      <c r="T18" s="12">
        <v>130</v>
      </c>
      <c r="U18" s="12">
        <v>33</v>
      </c>
      <c r="V18" s="12">
        <v>86</v>
      </c>
      <c r="W18" s="12">
        <v>18</v>
      </c>
      <c r="X18" s="12">
        <v>68</v>
      </c>
      <c r="Y18" s="12">
        <v>81</v>
      </c>
      <c r="Z18" s="12">
        <v>41</v>
      </c>
      <c r="AA18" s="12">
        <v>72</v>
      </c>
      <c r="AB18" s="12">
        <v>34</v>
      </c>
      <c r="AC18" s="12">
        <v>36</v>
      </c>
      <c r="AD18" s="12">
        <v>83</v>
      </c>
      <c r="AE18" s="12">
        <v>95</v>
      </c>
      <c r="AF18" s="12">
        <v>87</v>
      </c>
      <c r="AG18" s="12">
        <v>24</v>
      </c>
      <c r="AH18" s="12">
        <v>33</v>
      </c>
      <c r="AI18" s="12">
        <v>11</v>
      </c>
      <c r="AJ18" s="12">
        <v>56</v>
      </c>
      <c r="AK18" s="12">
        <v>18</v>
      </c>
      <c r="AL18" s="12">
        <v>71</v>
      </c>
      <c r="AM18" s="12">
        <v>59</v>
      </c>
      <c r="AN18" s="12">
        <v>15</v>
      </c>
      <c r="AO18" s="12">
        <v>10</v>
      </c>
      <c r="AP18" s="12">
        <v>11</v>
      </c>
      <c r="AQ18" s="12">
        <v>53</v>
      </c>
    </row>
    <row r="19" spans="1:43" x14ac:dyDescent="0.35">
      <c r="A19" s="19"/>
      <c r="B19" s="13" t="s">
        <v>1528</v>
      </c>
      <c r="C19" s="15">
        <v>7.0000000000000007E-2</v>
      </c>
      <c r="D19" s="15">
        <v>0.06</v>
      </c>
      <c r="E19" s="15">
        <v>0.06</v>
      </c>
      <c r="F19" s="15">
        <v>0.11</v>
      </c>
      <c r="G19" s="15">
        <v>7.0000000000000007E-2</v>
      </c>
      <c r="H19" s="15">
        <v>0.08</v>
      </c>
      <c r="I19" s="15">
        <v>0.09</v>
      </c>
      <c r="J19" s="15">
        <v>0.12</v>
      </c>
      <c r="K19" s="15">
        <v>0.12</v>
      </c>
      <c r="L19" s="15">
        <v>0.05</v>
      </c>
      <c r="M19" s="15">
        <v>0.06</v>
      </c>
      <c r="N19" s="15">
        <v>0.05</v>
      </c>
      <c r="O19" s="15">
        <v>0.12</v>
      </c>
      <c r="P19" s="15">
        <v>0.08</v>
      </c>
      <c r="Q19" s="15">
        <v>0.05</v>
      </c>
      <c r="R19" s="15">
        <v>0.08</v>
      </c>
      <c r="S19" s="15">
        <v>0.12</v>
      </c>
      <c r="T19" s="15">
        <v>0.13</v>
      </c>
      <c r="U19" s="15">
        <v>7.0000000000000007E-2</v>
      </c>
      <c r="V19" s="15">
        <v>0.08</v>
      </c>
      <c r="W19" s="15">
        <v>0.04</v>
      </c>
      <c r="X19" s="15">
        <v>7.0000000000000007E-2</v>
      </c>
      <c r="Y19" s="15">
        <v>0.08</v>
      </c>
      <c r="Z19" s="15">
        <v>0.04</v>
      </c>
      <c r="AA19" s="15">
        <v>7.0000000000000007E-2</v>
      </c>
      <c r="AB19" s="15">
        <v>0.03</v>
      </c>
      <c r="AC19" s="15">
        <v>0.03</v>
      </c>
      <c r="AD19" s="15">
        <v>0.08</v>
      </c>
      <c r="AE19" s="15">
        <v>0.09</v>
      </c>
      <c r="AF19" s="15">
        <v>0.08</v>
      </c>
      <c r="AG19" s="15">
        <v>0.02</v>
      </c>
      <c r="AH19" s="15">
        <v>0.03</v>
      </c>
      <c r="AI19" s="15">
        <v>0.02</v>
      </c>
      <c r="AJ19" s="15">
        <v>0.06</v>
      </c>
      <c r="AK19" s="15">
        <v>0.02</v>
      </c>
      <c r="AL19" s="15">
        <v>7.0000000000000007E-2</v>
      </c>
      <c r="AM19" s="15">
        <v>0.06</v>
      </c>
      <c r="AN19" s="15">
        <v>0.01</v>
      </c>
      <c r="AO19" s="15">
        <v>0.01</v>
      </c>
      <c r="AP19" s="15">
        <v>0.02</v>
      </c>
      <c r="AQ19" s="15">
        <v>0.05</v>
      </c>
    </row>
    <row r="20" spans="1:43" x14ac:dyDescent="0.35">
      <c r="A20" s="19"/>
      <c r="B20" s="11" t="s">
        <v>1529</v>
      </c>
      <c r="C20" s="12">
        <v>2038</v>
      </c>
      <c r="D20" s="12">
        <v>52</v>
      </c>
      <c r="E20" s="12">
        <v>113</v>
      </c>
      <c r="F20" s="12">
        <v>116</v>
      </c>
      <c r="G20" s="12">
        <v>61</v>
      </c>
      <c r="H20" s="12">
        <v>113</v>
      </c>
      <c r="I20" s="12">
        <v>136</v>
      </c>
      <c r="J20" s="12">
        <v>23</v>
      </c>
      <c r="K20" s="12">
        <v>89</v>
      </c>
      <c r="L20" s="12">
        <v>58</v>
      </c>
      <c r="M20" s="12">
        <v>83</v>
      </c>
      <c r="N20" s="12">
        <v>64</v>
      </c>
      <c r="O20" s="12">
        <v>64</v>
      </c>
      <c r="P20" s="12">
        <v>99</v>
      </c>
      <c r="Q20" s="12">
        <v>75</v>
      </c>
      <c r="R20" s="12">
        <v>25</v>
      </c>
      <c r="S20" s="12">
        <v>115</v>
      </c>
      <c r="T20" s="12">
        <v>135</v>
      </c>
      <c r="U20" s="12">
        <v>23</v>
      </c>
      <c r="V20" s="12">
        <v>110</v>
      </c>
      <c r="W20" s="12">
        <v>26</v>
      </c>
      <c r="X20" s="12">
        <v>39</v>
      </c>
      <c r="Y20" s="12">
        <v>63</v>
      </c>
      <c r="Z20" s="12">
        <v>101</v>
      </c>
      <c r="AA20" s="12">
        <v>107</v>
      </c>
      <c r="AB20" s="12">
        <v>85</v>
      </c>
      <c r="AC20" s="12">
        <v>76</v>
      </c>
      <c r="AD20" s="12">
        <v>81</v>
      </c>
      <c r="AE20" s="12">
        <v>65</v>
      </c>
      <c r="AF20" s="12">
        <v>61</v>
      </c>
      <c r="AG20" s="12">
        <v>74</v>
      </c>
      <c r="AH20" s="12">
        <v>97</v>
      </c>
      <c r="AI20" s="12">
        <v>19</v>
      </c>
      <c r="AJ20" s="12">
        <v>97</v>
      </c>
      <c r="AK20" s="12">
        <v>68</v>
      </c>
      <c r="AL20" s="12">
        <v>127</v>
      </c>
      <c r="AM20" s="12">
        <v>82</v>
      </c>
      <c r="AN20" s="12">
        <v>62</v>
      </c>
      <c r="AO20" s="12">
        <v>43</v>
      </c>
      <c r="AP20" s="12">
        <v>33</v>
      </c>
      <c r="AQ20" s="12">
        <v>95</v>
      </c>
    </row>
    <row r="21" spans="1:43" x14ac:dyDescent="0.35">
      <c r="A21" s="19"/>
      <c r="B21" s="13" t="s">
        <v>1530</v>
      </c>
      <c r="C21" s="15">
        <v>0.08</v>
      </c>
      <c r="D21" s="15">
        <v>0.05</v>
      </c>
      <c r="E21" s="15">
        <v>0.11</v>
      </c>
      <c r="F21" s="15">
        <v>0.11</v>
      </c>
      <c r="G21" s="15">
        <v>0.06</v>
      </c>
      <c r="H21" s="15">
        <v>0.09</v>
      </c>
      <c r="I21" s="15">
        <v>0.09</v>
      </c>
      <c r="J21" s="15">
        <v>0.08</v>
      </c>
      <c r="K21" s="15">
        <v>0.09</v>
      </c>
      <c r="L21" s="15">
        <v>0.06</v>
      </c>
      <c r="M21" s="15">
        <v>0.08</v>
      </c>
      <c r="N21" s="15">
        <v>7.0000000000000007E-2</v>
      </c>
      <c r="O21" s="15">
        <v>7.0000000000000007E-2</v>
      </c>
      <c r="P21" s="15">
        <v>0.1</v>
      </c>
      <c r="Q21" s="15">
        <v>7.0000000000000007E-2</v>
      </c>
      <c r="R21" s="15">
        <v>0.05</v>
      </c>
      <c r="S21" s="15">
        <v>0.12</v>
      </c>
      <c r="T21" s="15">
        <v>0.13</v>
      </c>
      <c r="U21" s="15">
        <v>0.05</v>
      </c>
      <c r="V21" s="15">
        <v>0.11</v>
      </c>
      <c r="W21" s="15">
        <v>0.05</v>
      </c>
      <c r="X21" s="15">
        <v>0.04</v>
      </c>
      <c r="Y21" s="15">
        <v>0.06</v>
      </c>
      <c r="Z21" s="15">
        <v>0.1</v>
      </c>
      <c r="AA21" s="15">
        <v>0.1</v>
      </c>
      <c r="AB21" s="15">
        <v>0.08</v>
      </c>
      <c r="AC21" s="15">
        <v>0.08</v>
      </c>
      <c r="AD21" s="15">
        <v>0.08</v>
      </c>
      <c r="AE21" s="15">
        <v>7.0000000000000007E-2</v>
      </c>
      <c r="AF21" s="15">
        <v>0.06</v>
      </c>
      <c r="AG21" s="15">
        <v>7.0000000000000007E-2</v>
      </c>
      <c r="AH21" s="15">
        <v>0.1</v>
      </c>
      <c r="AI21" s="15">
        <v>0.04</v>
      </c>
      <c r="AJ21" s="15">
        <v>0.09</v>
      </c>
      <c r="AK21" s="15">
        <v>7.0000000000000007E-2</v>
      </c>
      <c r="AL21" s="15">
        <v>0.13</v>
      </c>
      <c r="AM21" s="15">
        <v>0.08</v>
      </c>
      <c r="AN21" s="15">
        <v>0.06</v>
      </c>
      <c r="AO21" s="15">
        <v>0.04</v>
      </c>
      <c r="AP21" s="15">
        <v>7.0000000000000007E-2</v>
      </c>
      <c r="AQ21" s="15">
        <v>0.1</v>
      </c>
    </row>
    <row r="22" spans="1:43" x14ac:dyDescent="0.35">
      <c r="A22" s="19"/>
      <c r="B22" s="11" t="s">
        <v>611</v>
      </c>
      <c r="C22" s="12">
        <v>103</v>
      </c>
      <c r="D22" s="12">
        <v>19</v>
      </c>
      <c r="E22" s="12">
        <v>0</v>
      </c>
      <c r="F22" s="12">
        <v>3</v>
      </c>
      <c r="G22" s="12">
        <v>9</v>
      </c>
      <c r="H22" s="12">
        <v>4</v>
      </c>
      <c r="I22" s="12">
        <v>4</v>
      </c>
      <c r="J22" s="12">
        <v>0</v>
      </c>
      <c r="K22" s="12">
        <v>5</v>
      </c>
      <c r="L22" s="12">
        <v>0</v>
      </c>
      <c r="M22" s="12">
        <v>0</v>
      </c>
      <c r="N22" s="12">
        <v>2</v>
      </c>
      <c r="O22" s="12">
        <v>2</v>
      </c>
      <c r="P22" s="12">
        <v>3</v>
      </c>
      <c r="Q22" s="12">
        <v>7</v>
      </c>
      <c r="R22" s="12">
        <v>0</v>
      </c>
      <c r="S22" s="12">
        <v>10</v>
      </c>
      <c r="T22" s="12">
        <v>0</v>
      </c>
      <c r="U22" s="12">
        <v>0</v>
      </c>
      <c r="V22" s="12">
        <v>0</v>
      </c>
      <c r="W22" s="12">
        <v>0</v>
      </c>
      <c r="X22" s="12">
        <v>10</v>
      </c>
      <c r="Y22" s="12">
        <v>17</v>
      </c>
      <c r="Z22" s="12">
        <v>3</v>
      </c>
      <c r="AA22" s="12">
        <v>0</v>
      </c>
      <c r="AB22" s="12">
        <v>0</v>
      </c>
      <c r="AC22" s="12">
        <v>1</v>
      </c>
      <c r="AD22" s="12">
        <v>0</v>
      </c>
      <c r="AE22" s="12">
        <v>11</v>
      </c>
      <c r="AF22" s="12">
        <v>11</v>
      </c>
      <c r="AG22" s="12">
        <v>0</v>
      </c>
      <c r="AH22" s="12">
        <v>0</v>
      </c>
      <c r="AI22" s="12">
        <v>9</v>
      </c>
      <c r="AJ22" s="12">
        <v>0</v>
      </c>
      <c r="AK22" s="12">
        <v>0</v>
      </c>
      <c r="AL22" s="12">
        <v>0</v>
      </c>
      <c r="AM22" s="12">
        <v>2</v>
      </c>
      <c r="AN22" s="12">
        <v>1</v>
      </c>
      <c r="AO22" s="12">
        <v>4</v>
      </c>
      <c r="AP22" s="12">
        <v>0</v>
      </c>
      <c r="AQ22" s="12">
        <v>1</v>
      </c>
    </row>
    <row r="23" spans="1:43" x14ac:dyDescent="0.35">
      <c r="A23" s="19"/>
      <c r="B23" s="13" t="s">
        <v>612</v>
      </c>
      <c r="C23" s="14" t="s">
        <v>475</v>
      </c>
      <c r="D23" s="15">
        <v>0.02</v>
      </c>
      <c r="E23" s="14" t="s">
        <v>475</v>
      </c>
      <c r="F23" s="14" t="s">
        <v>475</v>
      </c>
      <c r="G23" s="15">
        <v>0.01</v>
      </c>
      <c r="H23" s="14" t="s">
        <v>475</v>
      </c>
      <c r="I23" s="14" t="s">
        <v>475</v>
      </c>
      <c r="J23" s="14" t="s">
        <v>475</v>
      </c>
      <c r="K23" s="14" t="s">
        <v>475</v>
      </c>
      <c r="L23" s="14" t="s">
        <v>475</v>
      </c>
      <c r="M23" s="14" t="s">
        <v>475</v>
      </c>
      <c r="N23" s="14" t="s">
        <v>475</v>
      </c>
      <c r="O23" s="14" t="s">
        <v>475</v>
      </c>
      <c r="P23" s="14" t="s">
        <v>475</v>
      </c>
      <c r="Q23" s="15">
        <v>0.01</v>
      </c>
      <c r="R23" s="14" t="s">
        <v>475</v>
      </c>
      <c r="S23" s="15">
        <v>0.01</v>
      </c>
      <c r="T23" s="14" t="s">
        <v>475</v>
      </c>
      <c r="U23" s="14" t="s">
        <v>475</v>
      </c>
      <c r="V23" s="14" t="s">
        <v>475</v>
      </c>
      <c r="W23" s="14" t="s">
        <v>475</v>
      </c>
      <c r="X23" s="15">
        <v>0.01</v>
      </c>
      <c r="Y23" s="15">
        <v>0.02</v>
      </c>
      <c r="Z23" s="14" t="s">
        <v>475</v>
      </c>
      <c r="AA23" s="14" t="s">
        <v>475</v>
      </c>
      <c r="AB23" s="14" t="s">
        <v>475</v>
      </c>
      <c r="AC23" s="14" t="s">
        <v>475</v>
      </c>
      <c r="AD23" s="14" t="s">
        <v>475</v>
      </c>
      <c r="AE23" s="15">
        <v>0.01</v>
      </c>
      <c r="AF23" s="15">
        <v>0.01</v>
      </c>
      <c r="AG23" s="14" t="s">
        <v>475</v>
      </c>
      <c r="AH23" s="14" t="s">
        <v>475</v>
      </c>
      <c r="AI23" s="15">
        <v>0.02</v>
      </c>
      <c r="AJ23" s="14" t="s">
        <v>475</v>
      </c>
      <c r="AK23" s="14" t="s">
        <v>475</v>
      </c>
      <c r="AL23" s="14" t="s">
        <v>475</v>
      </c>
      <c r="AM23" s="14" t="s">
        <v>475</v>
      </c>
      <c r="AN23" s="14" t="s">
        <v>475</v>
      </c>
      <c r="AO23" s="14" t="s">
        <v>475</v>
      </c>
      <c r="AP23" s="14" t="s">
        <v>475</v>
      </c>
      <c r="AQ23" s="14" t="s">
        <v>475</v>
      </c>
    </row>
    <row r="24" spans="1:43" x14ac:dyDescent="0.35">
      <c r="A24" s="19"/>
      <c r="B24" s="11" t="s">
        <v>750</v>
      </c>
      <c r="C24" s="12">
        <v>44</v>
      </c>
      <c r="D24" s="12">
        <v>1</v>
      </c>
      <c r="E24" s="12">
        <v>0</v>
      </c>
      <c r="F24" s="12">
        <v>4</v>
      </c>
      <c r="G24" s="12">
        <v>1</v>
      </c>
      <c r="H24" s="12">
        <v>2</v>
      </c>
      <c r="I24" s="12">
        <v>3</v>
      </c>
      <c r="J24" s="12">
        <v>1</v>
      </c>
      <c r="K24" s="12">
        <v>1</v>
      </c>
      <c r="L24" s="12">
        <v>0</v>
      </c>
      <c r="M24" s="12">
        <v>0</v>
      </c>
      <c r="N24" s="12">
        <v>2</v>
      </c>
      <c r="O24" s="12">
        <v>1</v>
      </c>
      <c r="P24" s="12">
        <v>0</v>
      </c>
      <c r="Q24" s="12">
        <v>0</v>
      </c>
      <c r="R24" s="12">
        <v>1</v>
      </c>
      <c r="S24" s="12">
        <v>1</v>
      </c>
      <c r="T24" s="12">
        <v>6</v>
      </c>
      <c r="U24" s="12">
        <v>0</v>
      </c>
      <c r="V24" s="12">
        <v>1</v>
      </c>
      <c r="W24" s="12">
        <v>0</v>
      </c>
      <c r="X24" s="12">
        <v>2</v>
      </c>
      <c r="Y24" s="12">
        <v>0</v>
      </c>
      <c r="Z24" s="12">
        <v>8</v>
      </c>
      <c r="AA24" s="12">
        <v>0</v>
      </c>
      <c r="AB24" s="12">
        <v>1</v>
      </c>
      <c r="AC24" s="12">
        <v>3</v>
      </c>
      <c r="AD24" s="12">
        <v>1</v>
      </c>
      <c r="AE24" s="12">
        <v>1</v>
      </c>
      <c r="AF24" s="12">
        <v>0</v>
      </c>
      <c r="AG24" s="12">
        <v>1</v>
      </c>
      <c r="AH24" s="12">
        <v>0</v>
      </c>
      <c r="AI24" s="12">
        <v>0</v>
      </c>
      <c r="AJ24" s="12">
        <v>0</v>
      </c>
      <c r="AK24" s="12">
        <v>0</v>
      </c>
      <c r="AL24" s="12">
        <v>3</v>
      </c>
      <c r="AM24" s="12">
        <v>7</v>
      </c>
      <c r="AN24" s="12">
        <v>1</v>
      </c>
      <c r="AO24" s="12">
        <v>0</v>
      </c>
      <c r="AP24" s="12">
        <v>0</v>
      </c>
      <c r="AQ24" s="12">
        <v>1</v>
      </c>
    </row>
    <row r="25" spans="1:43" x14ac:dyDescent="0.35">
      <c r="A25" s="19"/>
      <c r="B25" s="13" t="s">
        <v>751</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5">
        <v>0.01</v>
      </c>
      <c r="U25" s="14" t="s">
        <v>475</v>
      </c>
      <c r="V25" s="14" t="s">
        <v>475</v>
      </c>
      <c r="W25" s="14" t="s">
        <v>475</v>
      </c>
      <c r="X25" s="14" t="s">
        <v>475</v>
      </c>
      <c r="Y25" s="14" t="s">
        <v>475</v>
      </c>
      <c r="Z25" s="15">
        <v>0.01</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Q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375</v>
      </c>
      <c r="C3" s="18"/>
      <c r="D3" s="18"/>
      <c r="E3" s="18"/>
      <c r="F3" s="18"/>
      <c r="H3" s="18" t="s">
        <v>376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1531</v>
      </c>
      <c r="C12" s="12">
        <v>9216</v>
      </c>
      <c r="D12" s="12">
        <v>337</v>
      </c>
      <c r="E12" s="12">
        <v>308</v>
      </c>
      <c r="F12" s="12">
        <v>385</v>
      </c>
      <c r="G12" s="12">
        <v>298</v>
      </c>
      <c r="H12" s="12">
        <v>484</v>
      </c>
      <c r="I12" s="12">
        <v>607</v>
      </c>
      <c r="J12" s="12">
        <v>123</v>
      </c>
      <c r="K12" s="12">
        <v>385</v>
      </c>
      <c r="L12" s="12">
        <v>329</v>
      </c>
      <c r="M12" s="12">
        <v>337</v>
      </c>
      <c r="N12" s="12">
        <v>301</v>
      </c>
      <c r="O12" s="12">
        <v>437</v>
      </c>
      <c r="P12" s="12">
        <v>349</v>
      </c>
      <c r="Q12" s="12">
        <v>326</v>
      </c>
      <c r="R12" s="12">
        <v>126</v>
      </c>
      <c r="S12" s="12">
        <v>357</v>
      </c>
      <c r="T12" s="12">
        <v>417</v>
      </c>
      <c r="U12" s="12">
        <v>139</v>
      </c>
      <c r="V12" s="12">
        <v>293</v>
      </c>
      <c r="W12" s="12">
        <v>164</v>
      </c>
      <c r="X12" s="12">
        <v>371</v>
      </c>
      <c r="Y12" s="12">
        <v>302</v>
      </c>
      <c r="Z12" s="12">
        <v>284</v>
      </c>
      <c r="AA12" s="12">
        <v>343</v>
      </c>
      <c r="AB12" s="12">
        <v>285</v>
      </c>
      <c r="AC12" s="12">
        <v>286</v>
      </c>
      <c r="AD12" s="12">
        <v>319</v>
      </c>
      <c r="AE12" s="12">
        <v>334</v>
      </c>
      <c r="AF12" s="12">
        <v>400</v>
      </c>
      <c r="AG12" s="12">
        <v>324</v>
      </c>
      <c r="AH12" s="12">
        <v>285</v>
      </c>
      <c r="AI12" s="12">
        <v>83</v>
      </c>
      <c r="AJ12" s="12">
        <v>308</v>
      </c>
      <c r="AK12" s="12">
        <v>257</v>
      </c>
      <c r="AL12" s="12">
        <v>314</v>
      </c>
      <c r="AM12" s="12">
        <v>387</v>
      </c>
      <c r="AN12" s="12">
        <v>277</v>
      </c>
      <c r="AO12" s="12">
        <v>282</v>
      </c>
      <c r="AP12" s="12">
        <v>240</v>
      </c>
      <c r="AQ12" s="12">
        <v>282</v>
      </c>
    </row>
    <row r="13" spans="1:43" ht="21.5" x14ac:dyDescent="0.35">
      <c r="A13" s="19"/>
      <c r="B13" s="13" t="s">
        <v>1532</v>
      </c>
      <c r="C13" s="15">
        <v>0.35</v>
      </c>
      <c r="D13" s="15">
        <v>0.33</v>
      </c>
      <c r="E13" s="15">
        <v>0.3</v>
      </c>
      <c r="F13" s="15">
        <v>0.35</v>
      </c>
      <c r="G13" s="15">
        <v>0.3</v>
      </c>
      <c r="H13" s="15">
        <v>0.4</v>
      </c>
      <c r="I13" s="15">
        <v>0.4</v>
      </c>
      <c r="J13" s="15">
        <v>0.42</v>
      </c>
      <c r="K13" s="15">
        <v>0.38</v>
      </c>
      <c r="L13" s="15">
        <v>0.33</v>
      </c>
      <c r="M13" s="15">
        <v>0.33</v>
      </c>
      <c r="N13" s="15">
        <v>0.3</v>
      </c>
      <c r="O13" s="15">
        <v>0.44</v>
      </c>
      <c r="P13" s="15">
        <v>0.35</v>
      </c>
      <c r="Q13" s="15">
        <v>0.32</v>
      </c>
      <c r="R13" s="15">
        <v>0.25</v>
      </c>
      <c r="S13" s="15">
        <v>0.35</v>
      </c>
      <c r="T13" s="15">
        <v>0.41</v>
      </c>
      <c r="U13" s="15">
        <v>0.27</v>
      </c>
      <c r="V13" s="15">
        <v>0.28999999999999998</v>
      </c>
      <c r="W13" s="15">
        <v>0.32</v>
      </c>
      <c r="X13" s="15">
        <v>0.37</v>
      </c>
      <c r="Y13" s="15">
        <v>0.3</v>
      </c>
      <c r="Z13" s="15">
        <v>0.28000000000000003</v>
      </c>
      <c r="AA13" s="15">
        <v>0.33</v>
      </c>
      <c r="AB13" s="15">
        <v>0.27</v>
      </c>
      <c r="AC13" s="15">
        <v>0.28000000000000003</v>
      </c>
      <c r="AD13" s="15">
        <v>0.32</v>
      </c>
      <c r="AE13" s="15">
        <v>0.33</v>
      </c>
      <c r="AF13" s="15">
        <v>0.38</v>
      </c>
      <c r="AG13" s="15">
        <v>0.31</v>
      </c>
      <c r="AH13" s="15">
        <v>0.28000000000000003</v>
      </c>
      <c r="AI13" s="15">
        <v>0.16</v>
      </c>
      <c r="AJ13" s="15">
        <v>0.3</v>
      </c>
      <c r="AK13" s="15">
        <v>0.26</v>
      </c>
      <c r="AL13" s="15">
        <v>0.31</v>
      </c>
      <c r="AM13" s="15">
        <v>0.37</v>
      </c>
      <c r="AN13" s="15">
        <v>0.28000000000000003</v>
      </c>
      <c r="AO13" s="15">
        <v>0.28000000000000003</v>
      </c>
      <c r="AP13" s="15">
        <v>0.46</v>
      </c>
      <c r="AQ13" s="15">
        <v>0.28000000000000003</v>
      </c>
    </row>
    <row r="14" spans="1:43" ht="21.5" x14ac:dyDescent="0.35">
      <c r="A14" s="19"/>
      <c r="B14" s="11" t="s">
        <v>1533</v>
      </c>
      <c r="C14" s="12">
        <v>1367</v>
      </c>
      <c r="D14" s="12">
        <v>100</v>
      </c>
      <c r="E14" s="12">
        <v>29</v>
      </c>
      <c r="F14" s="12">
        <v>56</v>
      </c>
      <c r="G14" s="12">
        <v>52</v>
      </c>
      <c r="H14" s="12">
        <v>56</v>
      </c>
      <c r="I14" s="12">
        <v>74</v>
      </c>
      <c r="J14" s="12">
        <v>18</v>
      </c>
      <c r="K14" s="12">
        <v>69</v>
      </c>
      <c r="L14" s="12">
        <v>60</v>
      </c>
      <c r="M14" s="12">
        <v>39</v>
      </c>
      <c r="N14" s="12">
        <v>52</v>
      </c>
      <c r="O14" s="12">
        <v>89</v>
      </c>
      <c r="P14" s="12">
        <v>56</v>
      </c>
      <c r="Q14" s="12">
        <v>28</v>
      </c>
      <c r="R14" s="12">
        <v>35</v>
      </c>
      <c r="S14" s="12">
        <v>66</v>
      </c>
      <c r="T14" s="12">
        <v>52</v>
      </c>
      <c r="U14" s="12">
        <v>33</v>
      </c>
      <c r="V14" s="12">
        <v>47</v>
      </c>
      <c r="W14" s="12">
        <v>27</v>
      </c>
      <c r="X14" s="12">
        <v>81</v>
      </c>
      <c r="Y14" s="12">
        <v>32</v>
      </c>
      <c r="Z14" s="12">
        <v>33</v>
      </c>
      <c r="AA14" s="12">
        <v>43</v>
      </c>
      <c r="AB14" s="12">
        <v>21</v>
      </c>
      <c r="AC14" s="12">
        <v>48</v>
      </c>
      <c r="AD14" s="12">
        <v>54</v>
      </c>
      <c r="AE14" s="12">
        <v>33</v>
      </c>
      <c r="AF14" s="12">
        <v>63</v>
      </c>
      <c r="AG14" s="12">
        <v>27</v>
      </c>
      <c r="AH14" s="12">
        <v>54</v>
      </c>
      <c r="AI14" s="12">
        <v>26</v>
      </c>
      <c r="AJ14" s="12">
        <v>54</v>
      </c>
      <c r="AK14" s="12">
        <v>53</v>
      </c>
      <c r="AL14" s="12">
        <v>54</v>
      </c>
      <c r="AM14" s="12">
        <v>66</v>
      </c>
      <c r="AN14" s="12">
        <v>17</v>
      </c>
      <c r="AO14" s="12">
        <v>38</v>
      </c>
      <c r="AP14" s="12">
        <v>25</v>
      </c>
      <c r="AQ14" s="12">
        <v>105</v>
      </c>
    </row>
    <row r="15" spans="1:43" ht="21.5" x14ac:dyDescent="0.35">
      <c r="A15" s="19"/>
      <c r="B15" s="13" t="s">
        <v>1534</v>
      </c>
      <c r="C15" s="15">
        <v>0.05</v>
      </c>
      <c r="D15" s="15">
        <v>0.1</v>
      </c>
      <c r="E15" s="15">
        <v>0.03</v>
      </c>
      <c r="F15" s="15">
        <v>0.05</v>
      </c>
      <c r="G15" s="15">
        <v>0.05</v>
      </c>
      <c r="H15" s="15">
        <v>0.05</v>
      </c>
      <c r="I15" s="15">
        <v>0.05</v>
      </c>
      <c r="J15" s="15">
        <v>0.06</v>
      </c>
      <c r="K15" s="15">
        <v>7.0000000000000007E-2</v>
      </c>
      <c r="L15" s="15">
        <v>0.06</v>
      </c>
      <c r="M15" s="15">
        <v>0.04</v>
      </c>
      <c r="N15" s="15">
        <v>0.05</v>
      </c>
      <c r="O15" s="15">
        <v>0.09</v>
      </c>
      <c r="P15" s="15">
        <v>0.06</v>
      </c>
      <c r="Q15" s="15">
        <v>0.03</v>
      </c>
      <c r="R15" s="15">
        <v>7.0000000000000007E-2</v>
      </c>
      <c r="S15" s="15">
        <v>7.0000000000000007E-2</v>
      </c>
      <c r="T15" s="15">
        <v>0.05</v>
      </c>
      <c r="U15" s="15">
        <v>7.0000000000000007E-2</v>
      </c>
      <c r="V15" s="15">
        <v>0.05</v>
      </c>
      <c r="W15" s="15">
        <v>0.05</v>
      </c>
      <c r="X15" s="15">
        <v>0.08</v>
      </c>
      <c r="Y15" s="15">
        <v>0.03</v>
      </c>
      <c r="Z15" s="15">
        <v>0.03</v>
      </c>
      <c r="AA15" s="15">
        <v>0.04</v>
      </c>
      <c r="AB15" s="15">
        <v>0.02</v>
      </c>
      <c r="AC15" s="15">
        <v>0.05</v>
      </c>
      <c r="AD15" s="15">
        <v>0.05</v>
      </c>
      <c r="AE15" s="15">
        <v>0.03</v>
      </c>
      <c r="AF15" s="15">
        <v>0.06</v>
      </c>
      <c r="AG15" s="15">
        <v>0.03</v>
      </c>
      <c r="AH15" s="15">
        <v>0.05</v>
      </c>
      <c r="AI15" s="15">
        <v>0.05</v>
      </c>
      <c r="AJ15" s="15">
        <v>0.05</v>
      </c>
      <c r="AK15" s="15">
        <v>0.05</v>
      </c>
      <c r="AL15" s="15">
        <v>0.06</v>
      </c>
      <c r="AM15" s="15">
        <v>7.0000000000000007E-2</v>
      </c>
      <c r="AN15" s="15">
        <v>0.02</v>
      </c>
      <c r="AO15" s="15">
        <v>0.04</v>
      </c>
      <c r="AP15" s="15">
        <v>0.05</v>
      </c>
      <c r="AQ15" s="15">
        <v>0.11</v>
      </c>
    </row>
    <row r="16" spans="1:43" ht="21.5" x14ac:dyDescent="0.35">
      <c r="A16" s="19"/>
      <c r="B16" s="11" t="s">
        <v>1535</v>
      </c>
      <c r="C16" s="12">
        <v>8897</v>
      </c>
      <c r="D16" s="12">
        <v>280</v>
      </c>
      <c r="E16" s="12">
        <v>402</v>
      </c>
      <c r="F16" s="12">
        <v>372</v>
      </c>
      <c r="G16" s="12">
        <v>375</v>
      </c>
      <c r="H16" s="12">
        <v>402</v>
      </c>
      <c r="I16" s="12">
        <v>506</v>
      </c>
      <c r="J16" s="12">
        <v>105</v>
      </c>
      <c r="K16" s="12">
        <v>295</v>
      </c>
      <c r="L16" s="12">
        <v>213</v>
      </c>
      <c r="M16" s="12">
        <v>345</v>
      </c>
      <c r="N16" s="12">
        <v>371</v>
      </c>
      <c r="O16" s="12">
        <v>269</v>
      </c>
      <c r="P16" s="12">
        <v>296</v>
      </c>
      <c r="Q16" s="12">
        <v>351</v>
      </c>
      <c r="R16" s="12">
        <v>150</v>
      </c>
      <c r="S16" s="12">
        <v>307</v>
      </c>
      <c r="T16" s="12">
        <v>325</v>
      </c>
      <c r="U16" s="12">
        <v>136</v>
      </c>
      <c r="V16" s="12">
        <v>417</v>
      </c>
      <c r="W16" s="12">
        <v>154</v>
      </c>
      <c r="X16" s="12">
        <v>300</v>
      </c>
      <c r="Y16" s="12">
        <v>395</v>
      </c>
      <c r="Z16" s="12">
        <v>435</v>
      </c>
      <c r="AA16" s="12">
        <v>294</v>
      </c>
      <c r="AB16" s="12">
        <v>411</v>
      </c>
      <c r="AC16" s="12">
        <v>290</v>
      </c>
      <c r="AD16" s="12">
        <v>278</v>
      </c>
      <c r="AE16" s="12">
        <v>405</v>
      </c>
      <c r="AF16" s="12">
        <v>333</v>
      </c>
      <c r="AG16" s="12">
        <v>185</v>
      </c>
      <c r="AH16" s="12">
        <v>238</v>
      </c>
      <c r="AI16" s="12">
        <v>55</v>
      </c>
      <c r="AJ16" s="12">
        <v>267</v>
      </c>
      <c r="AK16" s="12">
        <v>271</v>
      </c>
      <c r="AL16" s="12">
        <v>346</v>
      </c>
      <c r="AM16" s="12">
        <v>303</v>
      </c>
      <c r="AN16" s="12">
        <v>306</v>
      </c>
      <c r="AO16" s="12">
        <v>114</v>
      </c>
      <c r="AP16" s="12">
        <v>59</v>
      </c>
      <c r="AQ16" s="12">
        <v>143</v>
      </c>
    </row>
    <row r="17" spans="1:43" ht="21.5" x14ac:dyDescent="0.35">
      <c r="A17" s="19"/>
      <c r="B17" s="13" t="s">
        <v>1536</v>
      </c>
      <c r="C17" s="15">
        <v>0.34</v>
      </c>
      <c r="D17" s="15">
        <v>0.28000000000000003</v>
      </c>
      <c r="E17" s="15">
        <v>0.39</v>
      </c>
      <c r="F17" s="15">
        <v>0.34</v>
      </c>
      <c r="G17" s="15">
        <v>0.37</v>
      </c>
      <c r="H17" s="15">
        <v>0.33</v>
      </c>
      <c r="I17" s="15">
        <v>0.34</v>
      </c>
      <c r="J17" s="15">
        <v>0.35</v>
      </c>
      <c r="K17" s="15">
        <v>0.28999999999999998</v>
      </c>
      <c r="L17" s="15">
        <v>0.21</v>
      </c>
      <c r="M17" s="15">
        <v>0.34</v>
      </c>
      <c r="N17" s="15">
        <v>0.37</v>
      </c>
      <c r="O17" s="15">
        <v>0.27</v>
      </c>
      <c r="P17" s="15">
        <v>0.28999999999999998</v>
      </c>
      <c r="Q17" s="15">
        <v>0.34</v>
      </c>
      <c r="R17" s="15">
        <v>0.3</v>
      </c>
      <c r="S17" s="15">
        <v>0.31</v>
      </c>
      <c r="T17" s="15">
        <v>0.32</v>
      </c>
      <c r="U17" s="15">
        <v>0.27</v>
      </c>
      <c r="V17" s="15">
        <v>0.41</v>
      </c>
      <c r="W17" s="15">
        <v>0.31</v>
      </c>
      <c r="X17" s="15">
        <v>0.3</v>
      </c>
      <c r="Y17" s="15">
        <v>0.39</v>
      </c>
      <c r="Z17" s="15">
        <v>0.42</v>
      </c>
      <c r="AA17" s="15">
        <v>0.28999999999999998</v>
      </c>
      <c r="AB17" s="15">
        <v>0.39</v>
      </c>
      <c r="AC17" s="15">
        <v>0.28999999999999998</v>
      </c>
      <c r="AD17" s="15">
        <v>0.28000000000000003</v>
      </c>
      <c r="AE17" s="15">
        <v>0.4</v>
      </c>
      <c r="AF17" s="15">
        <v>0.32</v>
      </c>
      <c r="AG17" s="15">
        <v>0.18</v>
      </c>
      <c r="AH17" s="15">
        <v>0.24</v>
      </c>
      <c r="AI17" s="15">
        <v>0.1</v>
      </c>
      <c r="AJ17" s="15">
        <v>0.26</v>
      </c>
      <c r="AK17" s="15">
        <v>0.27</v>
      </c>
      <c r="AL17" s="15">
        <v>0.34</v>
      </c>
      <c r="AM17" s="15">
        <v>0.28999999999999998</v>
      </c>
      <c r="AN17" s="15">
        <v>0.3</v>
      </c>
      <c r="AO17" s="15">
        <v>0.11</v>
      </c>
      <c r="AP17" s="15">
        <v>0.11</v>
      </c>
      <c r="AQ17" s="15">
        <v>0.14000000000000001</v>
      </c>
    </row>
    <row r="18" spans="1:43" ht="21.5" x14ac:dyDescent="0.35">
      <c r="A18" s="19"/>
      <c r="B18" s="11" t="s">
        <v>1537</v>
      </c>
      <c r="C18" s="12">
        <v>6819</v>
      </c>
      <c r="D18" s="12">
        <v>277</v>
      </c>
      <c r="E18" s="12">
        <v>291</v>
      </c>
      <c r="F18" s="12">
        <v>281</v>
      </c>
      <c r="G18" s="12">
        <v>270</v>
      </c>
      <c r="H18" s="12">
        <v>273</v>
      </c>
      <c r="I18" s="12">
        <v>322</v>
      </c>
      <c r="J18" s="12">
        <v>49</v>
      </c>
      <c r="K18" s="12">
        <v>247</v>
      </c>
      <c r="L18" s="12">
        <v>400</v>
      </c>
      <c r="M18" s="12">
        <v>289</v>
      </c>
      <c r="N18" s="12">
        <v>276</v>
      </c>
      <c r="O18" s="12">
        <v>204</v>
      </c>
      <c r="P18" s="12">
        <v>299</v>
      </c>
      <c r="Q18" s="12">
        <v>316</v>
      </c>
      <c r="R18" s="12">
        <v>192</v>
      </c>
      <c r="S18" s="12">
        <v>261</v>
      </c>
      <c r="T18" s="12">
        <v>207</v>
      </c>
      <c r="U18" s="12">
        <v>196</v>
      </c>
      <c r="V18" s="12">
        <v>258</v>
      </c>
      <c r="W18" s="12">
        <v>163</v>
      </c>
      <c r="X18" s="12">
        <v>245</v>
      </c>
      <c r="Y18" s="12">
        <v>258</v>
      </c>
      <c r="Z18" s="12">
        <v>268</v>
      </c>
      <c r="AA18" s="12">
        <v>352</v>
      </c>
      <c r="AB18" s="12">
        <v>333</v>
      </c>
      <c r="AC18" s="12">
        <v>377</v>
      </c>
      <c r="AD18" s="12">
        <v>354</v>
      </c>
      <c r="AE18" s="12">
        <v>228</v>
      </c>
      <c r="AF18" s="12">
        <v>236</v>
      </c>
      <c r="AG18" s="12">
        <v>498</v>
      </c>
      <c r="AH18" s="12">
        <v>436</v>
      </c>
      <c r="AI18" s="12">
        <v>351</v>
      </c>
      <c r="AJ18" s="12">
        <v>408</v>
      </c>
      <c r="AK18" s="12">
        <v>426</v>
      </c>
      <c r="AL18" s="12">
        <v>295</v>
      </c>
      <c r="AM18" s="12">
        <v>274</v>
      </c>
      <c r="AN18" s="12">
        <v>400</v>
      </c>
      <c r="AO18" s="12">
        <v>566</v>
      </c>
      <c r="AP18" s="12">
        <v>200</v>
      </c>
      <c r="AQ18" s="12">
        <v>470</v>
      </c>
    </row>
    <row r="19" spans="1:43" ht="21.5" x14ac:dyDescent="0.35">
      <c r="A19" s="19"/>
      <c r="B19" s="13" t="s">
        <v>1538</v>
      </c>
      <c r="C19" s="15">
        <v>0.26</v>
      </c>
      <c r="D19" s="15">
        <v>0.27</v>
      </c>
      <c r="E19" s="15">
        <v>0.28000000000000003</v>
      </c>
      <c r="F19" s="15">
        <v>0.26</v>
      </c>
      <c r="G19" s="15">
        <v>0.27</v>
      </c>
      <c r="H19" s="15">
        <v>0.22</v>
      </c>
      <c r="I19" s="15">
        <v>0.21</v>
      </c>
      <c r="J19" s="15">
        <v>0.17</v>
      </c>
      <c r="K19" s="15">
        <v>0.25</v>
      </c>
      <c r="L19" s="15">
        <v>0.4</v>
      </c>
      <c r="M19" s="15">
        <v>0.28999999999999998</v>
      </c>
      <c r="N19" s="15">
        <v>0.28000000000000003</v>
      </c>
      <c r="O19" s="15">
        <v>0.2</v>
      </c>
      <c r="P19" s="15">
        <v>0.3</v>
      </c>
      <c r="Q19" s="15">
        <v>0.31</v>
      </c>
      <c r="R19" s="15">
        <v>0.38</v>
      </c>
      <c r="S19" s="15">
        <v>0.26</v>
      </c>
      <c r="T19" s="15">
        <v>0.21</v>
      </c>
      <c r="U19" s="15">
        <v>0.39</v>
      </c>
      <c r="V19" s="15">
        <v>0.25</v>
      </c>
      <c r="W19" s="15">
        <v>0.32</v>
      </c>
      <c r="X19" s="15">
        <v>0.24</v>
      </c>
      <c r="Y19" s="15">
        <v>0.26</v>
      </c>
      <c r="Z19" s="15">
        <v>0.26</v>
      </c>
      <c r="AA19" s="15">
        <v>0.34</v>
      </c>
      <c r="AB19" s="15">
        <v>0.32</v>
      </c>
      <c r="AC19" s="15">
        <v>0.38</v>
      </c>
      <c r="AD19" s="15">
        <v>0.35</v>
      </c>
      <c r="AE19" s="15">
        <v>0.23</v>
      </c>
      <c r="AF19" s="15">
        <v>0.23</v>
      </c>
      <c r="AG19" s="15">
        <v>0.48</v>
      </c>
      <c r="AH19" s="15">
        <v>0.43</v>
      </c>
      <c r="AI19" s="15">
        <v>0.67</v>
      </c>
      <c r="AJ19" s="15">
        <v>0.39</v>
      </c>
      <c r="AK19" s="15">
        <v>0.42</v>
      </c>
      <c r="AL19" s="15">
        <v>0.28999999999999998</v>
      </c>
      <c r="AM19" s="15">
        <v>0.26</v>
      </c>
      <c r="AN19" s="15">
        <v>0.4</v>
      </c>
      <c r="AO19" s="15">
        <v>0.56000000000000005</v>
      </c>
      <c r="AP19" s="15">
        <v>0.38</v>
      </c>
      <c r="AQ19" s="15">
        <v>0.47</v>
      </c>
    </row>
    <row r="20" spans="1:43" x14ac:dyDescent="0.35">
      <c r="A20" s="19"/>
      <c r="B20" s="11" t="s">
        <v>611</v>
      </c>
      <c r="C20" s="12">
        <v>103</v>
      </c>
      <c r="D20" s="12">
        <v>19</v>
      </c>
      <c r="E20" s="12">
        <v>0</v>
      </c>
      <c r="F20" s="12">
        <v>3</v>
      </c>
      <c r="G20" s="12">
        <v>9</v>
      </c>
      <c r="H20" s="12">
        <v>4</v>
      </c>
      <c r="I20" s="12">
        <v>4</v>
      </c>
      <c r="J20" s="12">
        <v>0</v>
      </c>
      <c r="K20" s="12">
        <v>5</v>
      </c>
      <c r="L20" s="12">
        <v>0</v>
      </c>
      <c r="M20" s="12">
        <v>0</v>
      </c>
      <c r="N20" s="12">
        <v>2</v>
      </c>
      <c r="O20" s="12">
        <v>2</v>
      </c>
      <c r="P20" s="12">
        <v>3</v>
      </c>
      <c r="Q20" s="12">
        <v>7</v>
      </c>
      <c r="R20" s="12">
        <v>0</v>
      </c>
      <c r="S20" s="12">
        <v>10</v>
      </c>
      <c r="T20" s="12">
        <v>0</v>
      </c>
      <c r="U20" s="12">
        <v>0</v>
      </c>
      <c r="V20" s="12">
        <v>0</v>
      </c>
      <c r="W20" s="12">
        <v>0</v>
      </c>
      <c r="X20" s="12">
        <v>10</v>
      </c>
      <c r="Y20" s="12">
        <v>17</v>
      </c>
      <c r="Z20" s="12">
        <v>3</v>
      </c>
      <c r="AA20" s="12">
        <v>0</v>
      </c>
      <c r="AB20" s="12">
        <v>0</v>
      </c>
      <c r="AC20" s="12">
        <v>1</v>
      </c>
      <c r="AD20" s="12">
        <v>0</v>
      </c>
      <c r="AE20" s="12">
        <v>11</v>
      </c>
      <c r="AF20" s="12">
        <v>11</v>
      </c>
      <c r="AG20" s="12">
        <v>0</v>
      </c>
      <c r="AH20" s="12">
        <v>0</v>
      </c>
      <c r="AI20" s="12">
        <v>9</v>
      </c>
      <c r="AJ20" s="12">
        <v>0</v>
      </c>
      <c r="AK20" s="12">
        <v>0</v>
      </c>
      <c r="AL20" s="12">
        <v>0</v>
      </c>
      <c r="AM20" s="12">
        <v>2</v>
      </c>
      <c r="AN20" s="12">
        <v>1</v>
      </c>
      <c r="AO20" s="12">
        <v>4</v>
      </c>
      <c r="AP20" s="12">
        <v>0</v>
      </c>
      <c r="AQ20" s="12">
        <v>1</v>
      </c>
    </row>
    <row r="21" spans="1:43" x14ac:dyDescent="0.35">
      <c r="A21" s="19"/>
      <c r="B21" s="13" t="s">
        <v>612</v>
      </c>
      <c r="C21" s="14" t="s">
        <v>475</v>
      </c>
      <c r="D21" s="15">
        <v>0.02</v>
      </c>
      <c r="E21" s="14" t="s">
        <v>475</v>
      </c>
      <c r="F21" s="14" t="s">
        <v>475</v>
      </c>
      <c r="G21" s="15">
        <v>0.01</v>
      </c>
      <c r="H21" s="14" t="s">
        <v>475</v>
      </c>
      <c r="I21" s="14" t="s">
        <v>475</v>
      </c>
      <c r="J21" s="14" t="s">
        <v>475</v>
      </c>
      <c r="K21" s="15">
        <v>0.01</v>
      </c>
      <c r="L21" s="14" t="s">
        <v>475</v>
      </c>
      <c r="M21" s="14" t="s">
        <v>475</v>
      </c>
      <c r="N21" s="14" t="s">
        <v>475</v>
      </c>
      <c r="O21" s="14" t="s">
        <v>475</v>
      </c>
      <c r="P21" s="14" t="s">
        <v>475</v>
      </c>
      <c r="Q21" s="14" t="s">
        <v>475</v>
      </c>
      <c r="R21" s="14" t="s">
        <v>475</v>
      </c>
      <c r="S21" s="15">
        <v>0.01</v>
      </c>
      <c r="T21" s="14" t="s">
        <v>475</v>
      </c>
      <c r="U21" s="14" t="s">
        <v>475</v>
      </c>
      <c r="V21" s="14" t="s">
        <v>475</v>
      </c>
      <c r="W21" s="14" t="s">
        <v>475</v>
      </c>
      <c r="X21" s="15">
        <v>0.01</v>
      </c>
      <c r="Y21" s="15">
        <v>0.02</v>
      </c>
      <c r="Z21" s="14" t="s">
        <v>475</v>
      </c>
      <c r="AA21" s="14" t="s">
        <v>475</v>
      </c>
      <c r="AB21" s="14" t="s">
        <v>475</v>
      </c>
      <c r="AC21" s="14" t="s">
        <v>475</v>
      </c>
      <c r="AD21" s="14" t="s">
        <v>475</v>
      </c>
      <c r="AE21" s="15">
        <v>0.01</v>
      </c>
      <c r="AF21" s="15">
        <v>0.01</v>
      </c>
      <c r="AG21" s="14" t="s">
        <v>475</v>
      </c>
      <c r="AH21" s="14" t="s">
        <v>475</v>
      </c>
      <c r="AI21" s="15">
        <v>0.02</v>
      </c>
      <c r="AJ21" s="14" t="s">
        <v>475</v>
      </c>
      <c r="AK21" s="14" t="s">
        <v>475</v>
      </c>
      <c r="AL21" s="14" t="s">
        <v>475</v>
      </c>
      <c r="AM21" s="14" t="s">
        <v>475</v>
      </c>
      <c r="AN21" s="14" t="s">
        <v>475</v>
      </c>
      <c r="AO21" s="15">
        <v>0.01</v>
      </c>
      <c r="AP21" s="14" t="s">
        <v>475</v>
      </c>
      <c r="AQ21" s="14" t="s">
        <v>475</v>
      </c>
    </row>
    <row r="22" spans="1:43" x14ac:dyDescent="0.35">
      <c r="A22" s="19"/>
      <c r="B22" s="11" t="s">
        <v>750</v>
      </c>
      <c r="C22" s="12">
        <v>44</v>
      </c>
      <c r="D22" s="12">
        <v>1</v>
      </c>
      <c r="E22" s="12">
        <v>0</v>
      </c>
      <c r="F22" s="12">
        <v>4</v>
      </c>
      <c r="G22" s="12">
        <v>1</v>
      </c>
      <c r="H22" s="12">
        <v>2</v>
      </c>
      <c r="I22" s="12">
        <v>3</v>
      </c>
      <c r="J22" s="12">
        <v>1</v>
      </c>
      <c r="K22" s="12">
        <v>1</v>
      </c>
      <c r="L22" s="12">
        <v>0</v>
      </c>
      <c r="M22" s="12">
        <v>0</v>
      </c>
      <c r="N22" s="12">
        <v>2</v>
      </c>
      <c r="O22" s="12">
        <v>1</v>
      </c>
      <c r="P22" s="12">
        <v>0</v>
      </c>
      <c r="Q22" s="12">
        <v>0</v>
      </c>
      <c r="R22" s="12">
        <v>1</v>
      </c>
      <c r="S22" s="12">
        <v>1</v>
      </c>
      <c r="T22" s="12">
        <v>6</v>
      </c>
      <c r="U22" s="12">
        <v>0</v>
      </c>
      <c r="V22" s="12">
        <v>1</v>
      </c>
      <c r="W22" s="12">
        <v>0</v>
      </c>
      <c r="X22" s="12">
        <v>2</v>
      </c>
      <c r="Y22" s="12">
        <v>0</v>
      </c>
      <c r="Z22" s="12">
        <v>8</v>
      </c>
      <c r="AA22" s="12">
        <v>0</v>
      </c>
      <c r="AB22" s="12">
        <v>1</v>
      </c>
      <c r="AC22" s="12">
        <v>3</v>
      </c>
      <c r="AD22" s="12">
        <v>1</v>
      </c>
      <c r="AE22" s="12">
        <v>1</v>
      </c>
      <c r="AF22" s="12">
        <v>0</v>
      </c>
      <c r="AG22" s="12">
        <v>1</v>
      </c>
      <c r="AH22" s="12">
        <v>0</v>
      </c>
      <c r="AI22" s="12">
        <v>0</v>
      </c>
      <c r="AJ22" s="12">
        <v>0</v>
      </c>
      <c r="AK22" s="12">
        <v>0</v>
      </c>
      <c r="AL22" s="12">
        <v>3</v>
      </c>
      <c r="AM22" s="12">
        <v>7</v>
      </c>
      <c r="AN22" s="12">
        <v>1</v>
      </c>
      <c r="AO22" s="12">
        <v>0</v>
      </c>
      <c r="AP22" s="12">
        <v>0</v>
      </c>
      <c r="AQ22" s="12">
        <v>1</v>
      </c>
    </row>
    <row r="23" spans="1:43" x14ac:dyDescent="0.35">
      <c r="A23" s="19"/>
      <c r="B23" s="13" t="s">
        <v>751</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5">
        <v>0.01</v>
      </c>
      <c r="U23" s="14" t="s">
        <v>475</v>
      </c>
      <c r="V23" s="14" t="s">
        <v>475</v>
      </c>
      <c r="W23" s="14" t="s">
        <v>475</v>
      </c>
      <c r="X23" s="14" t="s">
        <v>475</v>
      </c>
      <c r="Y23" s="14" t="s">
        <v>475</v>
      </c>
      <c r="Z23" s="15">
        <v>0.01</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5">
        <v>0.01</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377</v>
      </c>
      <c r="C3" s="18"/>
      <c r="D3" s="18"/>
      <c r="E3" s="18"/>
      <c r="F3" s="18"/>
      <c r="H3" s="18" t="s">
        <v>378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1539</v>
      </c>
      <c r="C12" s="12">
        <v>2859</v>
      </c>
      <c r="D12" s="12">
        <v>60</v>
      </c>
      <c r="E12" s="12">
        <v>75</v>
      </c>
      <c r="F12" s="12">
        <v>27</v>
      </c>
      <c r="G12" s="12">
        <v>12</v>
      </c>
      <c r="H12" s="12">
        <v>101</v>
      </c>
      <c r="I12" s="12">
        <v>115</v>
      </c>
      <c r="J12" s="12">
        <v>14</v>
      </c>
      <c r="K12" s="12">
        <v>30</v>
      </c>
      <c r="L12" s="12">
        <v>63</v>
      </c>
      <c r="M12" s="12">
        <v>224</v>
      </c>
      <c r="N12" s="12">
        <v>218</v>
      </c>
      <c r="O12" s="12">
        <v>69</v>
      </c>
      <c r="P12" s="12">
        <v>92</v>
      </c>
      <c r="Q12" s="12">
        <v>198</v>
      </c>
      <c r="R12" s="12">
        <v>56</v>
      </c>
      <c r="S12" s="12">
        <v>44</v>
      </c>
      <c r="T12" s="12">
        <v>36</v>
      </c>
      <c r="U12" s="12">
        <v>24</v>
      </c>
      <c r="V12" s="12">
        <v>83</v>
      </c>
      <c r="W12" s="12">
        <v>51</v>
      </c>
      <c r="X12" s="12">
        <v>26</v>
      </c>
      <c r="Y12" s="12">
        <v>143</v>
      </c>
      <c r="Z12" s="12">
        <v>41</v>
      </c>
      <c r="AA12" s="12">
        <v>365</v>
      </c>
      <c r="AB12" s="12">
        <v>95</v>
      </c>
      <c r="AC12" s="12">
        <v>81</v>
      </c>
      <c r="AD12" s="12">
        <v>25</v>
      </c>
      <c r="AE12" s="12">
        <v>40</v>
      </c>
      <c r="AF12" s="12">
        <v>20</v>
      </c>
      <c r="AG12" s="12">
        <v>268</v>
      </c>
      <c r="AH12" s="12">
        <v>211</v>
      </c>
      <c r="AI12" s="12">
        <v>59</v>
      </c>
      <c r="AJ12" s="12">
        <v>111</v>
      </c>
      <c r="AK12" s="12">
        <v>209</v>
      </c>
      <c r="AL12" s="12">
        <v>89</v>
      </c>
      <c r="AM12" s="12">
        <v>113</v>
      </c>
      <c r="AN12" s="12">
        <v>41</v>
      </c>
      <c r="AO12" s="12">
        <v>203</v>
      </c>
      <c r="AP12" s="12">
        <v>109</v>
      </c>
      <c r="AQ12" s="12">
        <v>44</v>
      </c>
    </row>
    <row r="13" spans="1:43" x14ac:dyDescent="0.35">
      <c r="A13" s="19"/>
      <c r="B13" s="13" t="s">
        <v>1539</v>
      </c>
      <c r="C13" s="15">
        <v>0.11</v>
      </c>
      <c r="D13" s="15">
        <v>0.06</v>
      </c>
      <c r="E13" s="15">
        <v>7.0000000000000007E-2</v>
      </c>
      <c r="F13" s="15">
        <v>0.02</v>
      </c>
      <c r="G13" s="15">
        <v>0.01</v>
      </c>
      <c r="H13" s="15">
        <v>0.09</v>
      </c>
      <c r="I13" s="15">
        <v>0.08</v>
      </c>
      <c r="J13" s="15">
        <v>0.05</v>
      </c>
      <c r="K13" s="15">
        <v>0.03</v>
      </c>
      <c r="L13" s="15">
        <v>0.06</v>
      </c>
      <c r="M13" s="15">
        <v>0.22</v>
      </c>
      <c r="N13" s="15">
        <v>0.22</v>
      </c>
      <c r="O13" s="15">
        <v>7.0000000000000007E-2</v>
      </c>
      <c r="P13" s="15">
        <v>0.09</v>
      </c>
      <c r="Q13" s="15">
        <v>0.19</v>
      </c>
      <c r="R13" s="15">
        <v>0.11</v>
      </c>
      <c r="S13" s="15">
        <v>0.04</v>
      </c>
      <c r="T13" s="15">
        <v>0.04</v>
      </c>
      <c r="U13" s="15">
        <v>0.05</v>
      </c>
      <c r="V13" s="15">
        <v>0.08</v>
      </c>
      <c r="W13" s="15">
        <v>0.1</v>
      </c>
      <c r="X13" s="15">
        <v>0.03</v>
      </c>
      <c r="Y13" s="15">
        <v>0.14000000000000001</v>
      </c>
      <c r="Z13" s="15">
        <v>0.04</v>
      </c>
      <c r="AA13" s="15">
        <v>0.35</v>
      </c>
      <c r="AB13" s="15">
        <v>0.09</v>
      </c>
      <c r="AC13" s="15">
        <v>0.08</v>
      </c>
      <c r="AD13" s="15">
        <v>0.02</v>
      </c>
      <c r="AE13" s="15">
        <v>0.04</v>
      </c>
      <c r="AF13" s="15">
        <v>0.02</v>
      </c>
      <c r="AG13" s="15">
        <v>0.26</v>
      </c>
      <c r="AH13" s="15">
        <v>0.21</v>
      </c>
      <c r="AI13" s="15">
        <v>0.11</v>
      </c>
      <c r="AJ13" s="15">
        <v>0.11</v>
      </c>
      <c r="AK13" s="15">
        <v>0.21</v>
      </c>
      <c r="AL13" s="15">
        <v>0.09</v>
      </c>
      <c r="AM13" s="15">
        <v>0.11</v>
      </c>
      <c r="AN13" s="15">
        <v>0.04</v>
      </c>
      <c r="AO13" s="15">
        <v>0.2</v>
      </c>
      <c r="AP13" s="15">
        <v>0.21</v>
      </c>
      <c r="AQ13" s="15">
        <v>0.04</v>
      </c>
    </row>
    <row r="14" spans="1:43" x14ac:dyDescent="0.35">
      <c r="A14" s="19"/>
      <c r="B14" s="11" t="s">
        <v>1540</v>
      </c>
      <c r="C14" s="12">
        <v>12319</v>
      </c>
      <c r="D14" s="12">
        <v>324</v>
      </c>
      <c r="E14" s="12">
        <v>656</v>
      </c>
      <c r="F14" s="12">
        <v>631</v>
      </c>
      <c r="G14" s="12">
        <v>107</v>
      </c>
      <c r="H14" s="12">
        <v>626</v>
      </c>
      <c r="I14" s="12">
        <v>790</v>
      </c>
      <c r="J14" s="12">
        <v>165</v>
      </c>
      <c r="K14" s="12">
        <v>428</v>
      </c>
      <c r="L14" s="12">
        <v>425</v>
      </c>
      <c r="M14" s="12">
        <v>409</v>
      </c>
      <c r="N14" s="12">
        <v>377</v>
      </c>
      <c r="O14" s="12">
        <v>436</v>
      </c>
      <c r="P14" s="12">
        <v>722</v>
      </c>
      <c r="Q14" s="12">
        <v>543</v>
      </c>
      <c r="R14" s="12">
        <v>181</v>
      </c>
      <c r="S14" s="12">
        <v>488</v>
      </c>
      <c r="T14" s="12">
        <v>380</v>
      </c>
      <c r="U14" s="12">
        <v>120</v>
      </c>
      <c r="V14" s="12">
        <v>672</v>
      </c>
      <c r="W14" s="12">
        <v>215</v>
      </c>
      <c r="X14" s="12">
        <v>254</v>
      </c>
      <c r="Y14" s="12">
        <v>565</v>
      </c>
      <c r="Z14" s="12">
        <v>546</v>
      </c>
      <c r="AA14" s="12">
        <v>350</v>
      </c>
      <c r="AB14" s="12">
        <v>691</v>
      </c>
      <c r="AC14" s="12">
        <v>423</v>
      </c>
      <c r="AD14" s="12">
        <v>584</v>
      </c>
      <c r="AE14" s="12">
        <v>194</v>
      </c>
      <c r="AF14" s="12">
        <v>222</v>
      </c>
      <c r="AG14" s="12">
        <v>377</v>
      </c>
      <c r="AH14" s="12">
        <v>520</v>
      </c>
      <c r="AI14" s="12">
        <v>426</v>
      </c>
      <c r="AJ14" s="12">
        <v>626</v>
      </c>
      <c r="AK14" s="12">
        <v>403</v>
      </c>
      <c r="AL14" s="12">
        <v>555</v>
      </c>
      <c r="AM14" s="12">
        <v>486</v>
      </c>
      <c r="AN14" s="12">
        <v>714</v>
      </c>
      <c r="AO14" s="12">
        <v>401</v>
      </c>
      <c r="AP14" s="12">
        <v>193</v>
      </c>
      <c r="AQ14" s="12">
        <v>393</v>
      </c>
    </row>
    <row r="15" spans="1:43" x14ac:dyDescent="0.35">
      <c r="A15" s="19"/>
      <c r="B15" s="13" t="s">
        <v>1540</v>
      </c>
      <c r="C15" s="15">
        <v>0.47</v>
      </c>
      <c r="D15" s="15">
        <v>0.32</v>
      </c>
      <c r="E15" s="15">
        <v>0.64</v>
      </c>
      <c r="F15" s="15">
        <v>0.57000000000000006</v>
      </c>
      <c r="G15" s="15">
        <v>0.11</v>
      </c>
      <c r="H15" s="15">
        <v>0.51</v>
      </c>
      <c r="I15" s="15">
        <v>0.52</v>
      </c>
      <c r="J15" s="15">
        <v>0.56000000000000005</v>
      </c>
      <c r="K15" s="15">
        <v>0.43</v>
      </c>
      <c r="L15" s="15">
        <v>0.43</v>
      </c>
      <c r="M15" s="15">
        <v>0.41</v>
      </c>
      <c r="N15" s="15">
        <v>0.38</v>
      </c>
      <c r="O15" s="15">
        <v>0.44</v>
      </c>
      <c r="P15" s="15">
        <v>0.72</v>
      </c>
      <c r="Q15" s="15">
        <v>0.53</v>
      </c>
      <c r="R15" s="15">
        <v>0.36</v>
      </c>
      <c r="S15" s="15">
        <v>0.49</v>
      </c>
      <c r="T15" s="15">
        <v>0.38</v>
      </c>
      <c r="U15" s="15">
        <v>0.24</v>
      </c>
      <c r="V15" s="15">
        <v>0.66</v>
      </c>
      <c r="W15" s="15">
        <v>0.42</v>
      </c>
      <c r="X15" s="15">
        <v>0.25</v>
      </c>
      <c r="Y15" s="15">
        <v>0.56000000000000005</v>
      </c>
      <c r="Z15" s="15">
        <v>0.53</v>
      </c>
      <c r="AA15" s="15">
        <v>0.34</v>
      </c>
      <c r="AB15" s="15">
        <v>0.66</v>
      </c>
      <c r="AC15" s="15">
        <v>0.42</v>
      </c>
      <c r="AD15" s="15">
        <v>0.57999999999999996</v>
      </c>
      <c r="AE15" s="15">
        <v>0.19</v>
      </c>
      <c r="AF15" s="15">
        <v>0.21</v>
      </c>
      <c r="AG15" s="15">
        <v>0.37</v>
      </c>
      <c r="AH15" s="15">
        <v>0.51</v>
      </c>
      <c r="AI15" s="15">
        <v>0.82000000000000006</v>
      </c>
      <c r="AJ15" s="15">
        <v>0.6</v>
      </c>
      <c r="AK15" s="15">
        <v>0.4</v>
      </c>
      <c r="AL15" s="15">
        <v>0.55000000000000004</v>
      </c>
      <c r="AM15" s="15">
        <v>0.47</v>
      </c>
      <c r="AN15" s="15">
        <v>0.71</v>
      </c>
      <c r="AO15" s="15">
        <v>0.4</v>
      </c>
      <c r="AP15" s="15">
        <v>0.37</v>
      </c>
      <c r="AQ15" s="15">
        <v>0.39</v>
      </c>
    </row>
    <row r="16" spans="1:43" x14ac:dyDescent="0.35">
      <c r="A16" s="19"/>
      <c r="B16" s="11" t="s">
        <v>1541</v>
      </c>
      <c r="C16" s="12">
        <v>9473</v>
      </c>
      <c r="D16" s="12">
        <v>518</v>
      </c>
      <c r="E16" s="12">
        <v>265</v>
      </c>
      <c r="F16" s="12">
        <v>361</v>
      </c>
      <c r="G16" s="12">
        <v>793</v>
      </c>
      <c r="H16" s="12">
        <v>391</v>
      </c>
      <c r="I16" s="12">
        <v>494</v>
      </c>
      <c r="J16" s="12">
        <v>103</v>
      </c>
      <c r="K16" s="12">
        <v>443</v>
      </c>
      <c r="L16" s="12">
        <v>439</v>
      </c>
      <c r="M16" s="12">
        <v>323</v>
      </c>
      <c r="N16" s="12">
        <v>373</v>
      </c>
      <c r="O16" s="12">
        <v>416</v>
      </c>
      <c r="P16" s="12">
        <v>165</v>
      </c>
      <c r="Q16" s="12">
        <v>206</v>
      </c>
      <c r="R16" s="12">
        <v>265</v>
      </c>
      <c r="S16" s="12">
        <v>423</v>
      </c>
      <c r="T16" s="12">
        <v>508</v>
      </c>
      <c r="U16" s="12">
        <v>316</v>
      </c>
      <c r="V16" s="12">
        <v>223</v>
      </c>
      <c r="W16" s="12">
        <v>209</v>
      </c>
      <c r="X16" s="12">
        <v>622</v>
      </c>
      <c r="Y16" s="12">
        <v>224</v>
      </c>
      <c r="Z16" s="12">
        <v>389</v>
      </c>
      <c r="AA16" s="12">
        <v>220</v>
      </c>
      <c r="AB16" s="12">
        <v>238</v>
      </c>
      <c r="AC16" s="12">
        <v>417</v>
      </c>
      <c r="AD16" s="12">
        <v>337</v>
      </c>
      <c r="AE16" s="12">
        <v>666</v>
      </c>
      <c r="AF16" s="12">
        <v>767</v>
      </c>
      <c r="AG16" s="12">
        <v>280</v>
      </c>
      <c r="AH16" s="12">
        <v>257</v>
      </c>
      <c r="AI16" s="12">
        <v>38</v>
      </c>
      <c r="AJ16" s="12">
        <v>239</v>
      </c>
      <c r="AK16" s="12">
        <v>322</v>
      </c>
      <c r="AL16" s="12">
        <v>333</v>
      </c>
      <c r="AM16" s="12">
        <v>410</v>
      </c>
      <c r="AN16" s="12">
        <v>196</v>
      </c>
      <c r="AO16" s="12">
        <v>260</v>
      </c>
      <c r="AP16" s="12">
        <v>198</v>
      </c>
      <c r="AQ16" s="12">
        <v>537</v>
      </c>
    </row>
    <row r="17" spans="1:43" x14ac:dyDescent="0.35">
      <c r="A17" s="19"/>
      <c r="B17" s="13" t="s">
        <v>1541</v>
      </c>
      <c r="C17" s="15">
        <v>0.36</v>
      </c>
      <c r="D17" s="15">
        <v>0.51</v>
      </c>
      <c r="E17" s="15">
        <v>0.26</v>
      </c>
      <c r="F17" s="15">
        <v>0.33</v>
      </c>
      <c r="G17" s="15">
        <v>0.79</v>
      </c>
      <c r="H17" s="15">
        <v>0.32</v>
      </c>
      <c r="I17" s="15">
        <v>0.33</v>
      </c>
      <c r="J17" s="15">
        <v>0.35</v>
      </c>
      <c r="K17" s="15">
        <v>0.44</v>
      </c>
      <c r="L17" s="15">
        <v>0.44</v>
      </c>
      <c r="M17" s="15">
        <v>0.32</v>
      </c>
      <c r="N17" s="15">
        <v>0.37</v>
      </c>
      <c r="O17" s="15">
        <v>0.42</v>
      </c>
      <c r="P17" s="15">
        <v>0.17</v>
      </c>
      <c r="Q17" s="15">
        <v>0.2</v>
      </c>
      <c r="R17" s="15">
        <v>0.53</v>
      </c>
      <c r="S17" s="15">
        <v>0.42</v>
      </c>
      <c r="T17" s="15">
        <v>0.5</v>
      </c>
      <c r="U17" s="15">
        <v>0.63</v>
      </c>
      <c r="V17" s="15">
        <v>0.22</v>
      </c>
      <c r="W17" s="15">
        <v>0.41</v>
      </c>
      <c r="X17" s="15">
        <v>0.62</v>
      </c>
      <c r="Y17" s="15">
        <v>0.23</v>
      </c>
      <c r="Z17" s="15">
        <v>0.38</v>
      </c>
      <c r="AA17" s="15">
        <v>0.21</v>
      </c>
      <c r="AB17" s="15">
        <v>0.23</v>
      </c>
      <c r="AC17" s="15">
        <v>0.42</v>
      </c>
      <c r="AD17" s="15">
        <v>0.34</v>
      </c>
      <c r="AE17" s="15">
        <v>0.66</v>
      </c>
      <c r="AF17" s="15">
        <v>0.74</v>
      </c>
      <c r="AG17" s="15">
        <v>0.27</v>
      </c>
      <c r="AH17" s="15">
        <v>0.26</v>
      </c>
      <c r="AI17" s="15">
        <v>7.0000000000000007E-2</v>
      </c>
      <c r="AJ17" s="15">
        <v>0.23</v>
      </c>
      <c r="AK17" s="15">
        <v>0.32</v>
      </c>
      <c r="AL17" s="15">
        <v>0.33</v>
      </c>
      <c r="AM17" s="15">
        <v>0.39</v>
      </c>
      <c r="AN17" s="15">
        <v>0.2</v>
      </c>
      <c r="AO17" s="15">
        <v>0.26</v>
      </c>
      <c r="AP17" s="15">
        <v>0.38</v>
      </c>
      <c r="AQ17" s="15">
        <v>0.54</v>
      </c>
    </row>
    <row r="18" spans="1:43" x14ac:dyDescent="0.35">
      <c r="A18" s="19"/>
      <c r="B18" s="11" t="s">
        <v>1542</v>
      </c>
      <c r="C18" s="12">
        <v>1656</v>
      </c>
      <c r="D18" s="12">
        <v>104</v>
      </c>
      <c r="E18" s="12">
        <v>26</v>
      </c>
      <c r="F18" s="12">
        <v>56</v>
      </c>
      <c r="G18" s="12">
        <v>58</v>
      </c>
      <c r="H18" s="12">
        <v>100</v>
      </c>
      <c r="I18" s="12">
        <v>114</v>
      </c>
      <c r="J18" s="12">
        <v>13</v>
      </c>
      <c r="K18" s="12">
        <v>84</v>
      </c>
      <c r="L18" s="12">
        <v>64</v>
      </c>
      <c r="M18" s="12">
        <v>54</v>
      </c>
      <c r="N18" s="12">
        <v>28</v>
      </c>
      <c r="O18" s="12">
        <v>74</v>
      </c>
      <c r="P18" s="12">
        <v>24</v>
      </c>
      <c r="Q18" s="12">
        <v>79</v>
      </c>
      <c r="R18" s="12">
        <v>2</v>
      </c>
      <c r="S18" s="12">
        <v>38</v>
      </c>
      <c r="T18" s="12">
        <v>75</v>
      </c>
      <c r="U18" s="12">
        <v>35</v>
      </c>
      <c r="V18" s="12">
        <v>37</v>
      </c>
      <c r="W18" s="12">
        <v>33</v>
      </c>
      <c r="X18" s="12">
        <v>98</v>
      </c>
      <c r="Y18" s="12">
        <v>71</v>
      </c>
      <c r="Z18" s="12">
        <v>46</v>
      </c>
      <c r="AA18" s="12">
        <v>89</v>
      </c>
      <c r="AB18" s="12">
        <v>27</v>
      </c>
      <c r="AC18" s="12">
        <v>77</v>
      </c>
      <c r="AD18" s="12">
        <v>58</v>
      </c>
      <c r="AE18" s="12">
        <v>108</v>
      </c>
      <c r="AF18" s="12">
        <v>30</v>
      </c>
      <c r="AG18" s="12">
        <v>64</v>
      </c>
      <c r="AH18" s="12">
        <v>21</v>
      </c>
      <c r="AI18" s="12">
        <v>0</v>
      </c>
      <c r="AJ18" s="12">
        <v>51</v>
      </c>
      <c r="AK18" s="12">
        <v>73</v>
      </c>
      <c r="AL18" s="12">
        <v>34</v>
      </c>
      <c r="AM18" s="12">
        <v>31</v>
      </c>
      <c r="AN18" s="12">
        <v>52</v>
      </c>
      <c r="AO18" s="12">
        <v>104</v>
      </c>
      <c r="AP18" s="12">
        <v>7</v>
      </c>
      <c r="AQ18" s="12">
        <v>25</v>
      </c>
    </row>
    <row r="19" spans="1:43" x14ac:dyDescent="0.35">
      <c r="A19" s="19"/>
      <c r="B19" s="13" t="s">
        <v>1543</v>
      </c>
      <c r="C19" s="15">
        <v>0.06</v>
      </c>
      <c r="D19" s="15">
        <v>0.1</v>
      </c>
      <c r="E19" s="15">
        <v>0.03</v>
      </c>
      <c r="F19" s="15">
        <v>0.05</v>
      </c>
      <c r="G19" s="15">
        <v>0.06</v>
      </c>
      <c r="H19" s="15">
        <v>0.08</v>
      </c>
      <c r="I19" s="15">
        <v>7.0000000000000007E-2</v>
      </c>
      <c r="J19" s="15">
        <v>0.04</v>
      </c>
      <c r="K19" s="15">
        <v>0.08</v>
      </c>
      <c r="L19" s="15">
        <v>0.06</v>
      </c>
      <c r="M19" s="15">
        <v>0.05</v>
      </c>
      <c r="N19" s="15">
        <v>0.03</v>
      </c>
      <c r="O19" s="15">
        <v>7.0000000000000007E-2</v>
      </c>
      <c r="P19" s="15">
        <v>0.02</v>
      </c>
      <c r="Q19" s="15">
        <v>0.08</v>
      </c>
      <c r="R19" s="14" t="s">
        <v>475</v>
      </c>
      <c r="S19" s="15">
        <v>0.04</v>
      </c>
      <c r="T19" s="15">
        <v>7.0000000000000007E-2</v>
      </c>
      <c r="U19" s="15">
        <v>7.0000000000000007E-2</v>
      </c>
      <c r="V19" s="15">
        <v>0.04</v>
      </c>
      <c r="W19" s="15">
        <v>7.0000000000000007E-2</v>
      </c>
      <c r="X19" s="15">
        <v>0.1</v>
      </c>
      <c r="Y19" s="15">
        <v>7.0000000000000007E-2</v>
      </c>
      <c r="Z19" s="15">
        <v>0.05</v>
      </c>
      <c r="AA19" s="15">
        <v>0.09</v>
      </c>
      <c r="AB19" s="15">
        <v>0.02</v>
      </c>
      <c r="AC19" s="15">
        <v>0.08</v>
      </c>
      <c r="AD19" s="15">
        <v>0.06</v>
      </c>
      <c r="AE19" s="15">
        <v>0.11</v>
      </c>
      <c r="AF19" s="15">
        <v>0.03</v>
      </c>
      <c r="AG19" s="15">
        <v>0.06</v>
      </c>
      <c r="AH19" s="15">
        <v>0.02</v>
      </c>
      <c r="AI19" s="14" t="s">
        <v>475</v>
      </c>
      <c r="AJ19" s="15">
        <v>0.05</v>
      </c>
      <c r="AK19" s="15">
        <v>7.0000000000000007E-2</v>
      </c>
      <c r="AL19" s="15">
        <v>0.03</v>
      </c>
      <c r="AM19" s="15">
        <v>0.03</v>
      </c>
      <c r="AN19" s="15">
        <v>0.05</v>
      </c>
      <c r="AO19" s="15">
        <v>0.1</v>
      </c>
      <c r="AP19" s="15">
        <v>0.01</v>
      </c>
      <c r="AQ19" s="15">
        <v>0.03</v>
      </c>
    </row>
    <row r="20" spans="1:43" x14ac:dyDescent="0.35">
      <c r="A20" s="19"/>
      <c r="B20" s="11" t="s">
        <v>1544</v>
      </c>
      <c r="C20" s="12">
        <v>57</v>
      </c>
      <c r="D20" s="12">
        <v>3</v>
      </c>
      <c r="E20" s="12">
        <v>2</v>
      </c>
      <c r="F20" s="12">
        <v>0</v>
      </c>
      <c r="G20" s="12">
        <v>35</v>
      </c>
      <c r="H20" s="12">
        <v>0</v>
      </c>
      <c r="I20" s="12">
        <v>0</v>
      </c>
      <c r="J20" s="12">
        <v>0</v>
      </c>
      <c r="K20" s="12">
        <v>8</v>
      </c>
      <c r="L20" s="12">
        <v>6</v>
      </c>
      <c r="M20" s="12">
        <v>0</v>
      </c>
      <c r="N20" s="12">
        <v>6</v>
      </c>
      <c r="O20" s="12">
        <v>4</v>
      </c>
      <c r="P20" s="12">
        <v>1</v>
      </c>
      <c r="Q20" s="12">
        <v>0</v>
      </c>
      <c r="R20" s="12">
        <v>0</v>
      </c>
      <c r="S20" s="12">
        <v>2</v>
      </c>
      <c r="T20" s="12">
        <v>0</v>
      </c>
      <c r="U20" s="12">
        <v>6</v>
      </c>
      <c r="V20" s="12">
        <v>0</v>
      </c>
      <c r="W20" s="12">
        <v>0</v>
      </c>
      <c r="X20" s="12">
        <v>1</v>
      </c>
      <c r="Y20" s="12">
        <v>0</v>
      </c>
      <c r="Z20" s="12">
        <v>0</v>
      </c>
      <c r="AA20" s="12">
        <v>5</v>
      </c>
      <c r="AB20" s="12">
        <v>0</v>
      </c>
      <c r="AC20" s="12">
        <v>5</v>
      </c>
      <c r="AD20" s="12">
        <v>0</v>
      </c>
      <c r="AE20" s="12">
        <v>1</v>
      </c>
      <c r="AF20" s="12">
        <v>1</v>
      </c>
      <c r="AG20" s="12">
        <v>3</v>
      </c>
      <c r="AH20" s="12">
        <v>2</v>
      </c>
      <c r="AI20" s="12">
        <v>0</v>
      </c>
      <c r="AJ20" s="12">
        <v>0</v>
      </c>
      <c r="AK20" s="12">
        <v>0</v>
      </c>
      <c r="AL20" s="12">
        <v>0</v>
      </c>
      <c r="AM20" s="12">
        <v>0</v>
      </c>
      <c r="AN20" s="12">
        <v>1</v>
      </c>
      <c r="AO20" s="12">
        <v>11</v>
      </c>
      <c r="AP20" s="12">
        <v>17</v>
      </c>
      <c r="AQ20" s="12">
        <v>0</v>
      </c>
    </row>
    <row r="21" spans="1:43" x14ac:dyDescent="0.35">
      <c r="A21" s="19"/>
      <c r="B21" s="13" t="s">
        <v>1545</v>
      </c>
      <c r="C21" s="14" t="s">
        <v>475</v>
      </c>
      <c r="D21" s="14" t="s">
        <v>475</v>
      </c>
      <c r="E21" s="14" t="s">
        <v>475</v>
      </c>
      <c r="F21" s="14" t="s">
        <v>475</v>
      </c>
      <c r="G21" s="15">
        <v>0.03</v>
      </c>
      <c r="H21" s="14" t="s">
        <v>475</v>
      </c>
      <c r="I21" s="14" t="s">
        <v>475</v>
      </c>
      <c r="J21" s="14" t="s">
        <v>475</v>
      </c>
      <c r="K21" s="15">
        <v>0.01</v>
      </c>
      <c r="L21" s="15">
        <v>0.01</v>
      </c>
      <c r="M21" s="14" t="s">
        <v>475</v>
      </c>
      <c r="N21" s="14" t="s">
        <v>475</v>
      </c>
      <c r="O21" s="14" t="s">
        <v>475</v>
      </c>
      <c r="P21" s="14" t="s">
        <v>475</v>
      </c>
      <c r="Q21" s="14" t="s">
        <v>475</v>
      </c>
      <c r="R21" s="14" t="s">
        <v>475</v>
      </c>
      <c r="S21" s="14" t="s">
        <v>475</v>
      </c>
      <c r="T21" s="14" t="s">
        <v>475</v>
      </c>
      <c r="U21" s="15">
        <v>0.01</v>
      </c>
      <c r="V21" s="14" t="s">
        <v>475</v>
      </c>
      <c r="W21" s="14" t="s">
        <v>475</v>
      </c>
      <c r="X21" s="14" t="s">
        <v>475</v>
      </c>
      <c r="Y21" s="14" t="s">
        <v>475</v>
      </c>
      <c r="Z21" s="14" t="s">
        <v>475</v>
      </c>
      <c r="AA21" s="15">
        <v>0.01</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5">
        <v>0.01</v>
      </c>
      <c r="AP21" s="15">
        <v>0.03</v>
      </c>
      <c r="AQ21" s="14" t="s">
        <v>475</v>
      </c>
    </row>
    <row r="22" spans="1:43" x14ac:dyDescent="0.35">
      <c r="A22" s="19"/>
      <c r="B22" s="11" t="s">
        <v>750</v>
      </c>
      <c r="C22" s="12">
        <v>32</v>
      </c>
      <c r="D22" s="12">
        <v>0</v>
      </c>
      <c r="E22" s="12">
        <v>4</v>
      </c>
      <c r="F22" s="12">
        <v>6</v>
      </c>
      <c r="G22" s="12">
        <v>1</v>
      </c>
      <c r="H22" s="12">
        <v>1</v>
      </c>
      <c r="I22" s="12">
        <v>1</v>
      </c>
      <c r="J22" s="12">
        <v>0</v>
      </c>
      <c r="K22" s="12">
        <v>5</v>
      </c>
      <c r="L22" s="12">
        <v>4</v>
      </c>
      <c r="M22" s="12">
        <v>0</v>
      </c>
      <c r="N22" s="12">
        <v>1</v>
      </c>
      <c r="O22" s="12">
        <v>0</v>
      </c>
      <c r="P22" s="12">
        <v>0</v>
      </c>
      <c r="Q22" s="12">
        <v>0</v>
      </c>
      <c r="R22" s="12">
        <v>0</v>
      </c>
      <c r="S22" s="12">
        <v>0</v>
      </c>
      <c r="T22" s="12">
        <v>3</v>
      </c>
      <c r="U22" s="12">
        <v>0</v>
      </c>
      <c r="V22" s="12">
        <v>0</v>
      </c>
      <c r="W22" s="12">
        <v>0</v>
      </c>
      <c r="X22" s="12">
        <v>4</v>
      </c>
      <c r="Y22" s="12">
        <v>0</v>
      </c>
      <c r="Z22" s="12">
        <v>5</v>
      </c>
      <c r="AA22" s="12">
        <v>0</v>
      </c>
      <c r="AB22" s="12">
        <v>1</v>
      </c>
      <c r="AC22" s="12">
        <v>0</v>
      </c>
      <c r="AD22" s="12">
        <v>1</v>
      </c>
      <c r="AE22" s="12">
        <v>1</v>
      </c>
      <c r="AF22" s="12">
        <v>2</v>
      </c>
      <c r="AG22" s="12">
        <v>1</v>
      </c>
      <c r="AH22" s="12">
        <v>1</v>
      </c>
      <c r="AI22" s="12">
        <v>0</v>
      </c>
      <c r="AJ22" s="12">
        <v>1</v>
      </c>
      <c r="AK22" s="12">
        <v>0</v>
      </c>
      <c r="AL22" s="12">
        <v>0</v>
      </c>
      <c r="AM22" s="12">
        <v>1</v>
      </c>
      <c r="AN22" s="12">
        <v>0</v>
      </c>
      <c r="AO22" s="12">
        <v>11</v>
      </c>
      <c r="AP22" s="12">
        <v>0</v>
      </c>
      <c r="AQ22" s="12">
        <v>1</v>
      </c>
    </row>
    <row r="23" spans="1:43" x14ac:dyDescent="0.35">
      <c r="A23" s="19"/>
      <c r="B23" s="13" t="s">
        <v>751</v>
      </c>
      <c r="C23" s="14" t="s">
        <v>475</v>
      </c>
      <c r="D23" s="14" t="s">
        <v>475</v>
      </c>
      <c r="E23" s="14" t="s">
        <v>475</v>
      </c>
      <c r="F23" s="15">
        <v>0.01</v>
      </c>
      <c r="G23" s="14" t="s">
        <v>475</v>
      </c>
      <c r="H23" s="14" t="s">
        <v>475</v>
      </c>
      <c r="I23" s="14" t="s">
        <v>475</v>
      </c>
      <c r="J23" s="14" t="s">
        <v>475</v>
      </c>
      <c r="K23" s="15">
        <v>0.01</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5">
        <v>0.01</v>
      </c>
      <c r="AP23" s="14" t="s">
        <v>475</v>
      </c>
      <c r="AQ23" s="14" t="s">
        <v>475</v>
      </c>
    </row>
    <row r="24" spans="1:43" x14ac:dyDescent="0.35">
      <c r="A24" s="19"/>
      <c r="B24" s="11" t="s">
        <v>485</v>
      </c>
      <c r="C24" s="12">
        <v>49</v>
      </c>
      <c r="D24" s="12">
        <v>4</v>
      </c>
      <c r="E24" s="12">
        <v>2</v>
      </c>
      <c r="F24" s="12">
        <v>21</v>
      </c>
      <c r="G24" s="12">
        <v>0</v>
      </c>
      <c r="H24" s="12">
        <v>2</v>
      </c>
      <c r="I24" s="12">
        <v>2</v>
      </c>
      <c r="J24" s="12">
        <v>0</v>
      </c>
      <c r="K24" s="12">
        <v>4</v>
      </c>
      <c r="L24" s="12">
        <v>1</v>
      </c>
      <c r="M24" s="12">
        <v>0</v>
      </c>
      <c r="N24" s="12">
        <v>0</v>
      </c>
      <c r="O24" s="12">
        <v>1</v>
      </c>
      <c r="P24" s="12">
        <v>0</v>
      </c>
      <c r="Q24" s="12">
        <v>1</v>
      </c>
      <c r="R24" s="12">
        <v>0</v>
      </c>
      <c r="S24" s="12">
        <v>7</v>
      </c>
      <c r="T24" s="12">
        <v>5</v>
      </c>
      <c r="U24" s="12">
        <v>2</v>
      </c>
      <c r="V24" s="12">
        <v>0</v>
      </c>
      <c r="W24" s="12">
        <v>0</v>
      </c>
      <c r="X24" s="12">
        <v>4</v>
      </c>
      <c r="Y24" s="12">
        <v>0</v>
      </c>
      <c r="Z24" s="12">
        <v>4</v>
      </c>
      <c r="AA24" s="12">
        <v>4</v>
      </c>
      <c r="AB24" s="12">
        <v>0</v>
      </c>
      <c r="AC24" s="12">
        <v>0</v>
      </c>
      <c r="AD24" s="12">
        <v>0</v>
      </c>
      <c r="AE24" s="12">
        <v>2</v>
      </c>
      <c r="AF24" s="12">
        <v>2</v>
      </c>
      <c r="AG24" s="12">
        <v>43</v>
      </c>
      <c r="AH24" s="12">
        <v>0</v>
      </c>
      <c r="AI24" s="12">
        <v>0</v>
      </c>
      <c r="AJ24" s="12">
        <v>9</v>
      </c>
      <c r="AK24" s="12">
        <v>0</v>
      </c>
      <c r="AL24" s="12">
        <v>1</v>
      </c>
      <c r="AM24" s="12">
        <v>0</v>
      </c>
      <c r="AN24" s="12">
        <v>0</v>
      </c>
      <c r="AO24" s="12">
        <v>15</v>
      </c>
      <c r="AP24" s="12">
        <v>0</v>
      </c>
      <c r="AQ24" s="12">
        <v>1</v>
      </c>
    </row>
    <row r="25" spans="1:43" x14ac:dyDescent="0.35">
      <c r="A25" s="19"/>
      <c r="B25" s="13" t="s">
        <v>486</v>
      </c>
      <c r="C25" s="14" t="s">
        <v>475</v>
      </c>
      <c r="D25" s="15">
        <v>0.01</v>
      </c>
      <c r="E25" s="14" t="s">
        <v>475</v>
      </c>
      <c r="F25" s="15">
        <v>0.02</v>
      </c>
      <c r="G25" s="14" t="s">
        <v>475</v>
      </c>
      <c r="H25" s="14" t="s">
        <v>475</v>
      </c>
      <c r="I25" s="14" t="s">
        <v>475</v>
      </c>
      <c r="J25" s="14" t="s">
        <v>475</v>
      </c>
      <c r="K25" s="14" t="s">
        <v>475</v>
      </c>
      <c r="L25" s="14" t="s">
        <v>475</v>
      </c>
      <c r="M25" s="14" t="s">
        <v>475</v>
      </c>
      <c r="N25" s="14" t="s">
        <v>475</v>
      </c>
      <c r="O25" s="14" t="s">
        <v>475</v>
      </c>
      <c r="P25" s="14" t="s">
        <v>475</v>
      </c>
      <c r="Q25" s="14" t="s">
        <v>475</v>
      </c>
      <c r="R25" s="14" t="s">
        <v>475</v>
      </c>
      <c r="S25" s="15">
        <v>0.01</v>
      </c>
      <c r="T25" s="15">
        <v>0.01</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5">
        <v>0.04</v>
      </c>
      <c r="AH25" s="14" t="s">
        <v>475</v>
      </c>
      <c r="AI25" s="14" t="s">
        <v>475</v>
      </c>
      <c r="AJ25" s="15">
        <v>0.01</v>
      </c>
      <c r="AK25" s="14" t="s">
        <v>475</v>
      </c>
      <c r="AL25" s="14" t="s">
        <v>475</v>
      </c>
      <c r="AM25" s="14" t="s">
        <v>475</v>
      </c>
      <c r="AN25" s="14" t="s">
        <v>475</v>
      </c>
      <c r="AO25" s="15">
        <v>0.02</v>
      </c>
      <c r="AP25" s="14" t="s">
        <v>475</v>
      </c>
      <c r="AQ25" s="14" t="s">
        <v>475</v>
      </c>
    </row>
    <row r="26" spans="1:43" x14ac:dyDescent="0.35">
      <c r="A26" s="19"/>
      <c r="B26" s="11" t="s">
        <v>1475</v>
      </c>
      <c r="C26" s="12">
        <v>19.690000000000001</v>
      </c>
      <c r="D26" s="12">
        <v>20.41</v>
      </c>
      <c r="E26" s="12">
        <v>19.670000000000002</v>
      </c>
      <c r="F26" s="12">
        <v>19.940000000000001</v>
      </c>
      <c r="G26" s="12">
        <v>25.36</v>
      </c>
      <c r="H26" s="12">
        <v>19.829999999999998</v>
      </c>
      <c r="I26" s="12">
        <v>19.78</v>
      </c>
      <c r="J26" s="12">
        <v>19.59</v>
      </c>
      <c r="K26" s="12">
        <v>20.34</v>
      </c>
      <c r="L26" s="12">
        <v>20.170000000000002</v>
      </c>
      <c r="M26" s="12">
        <v>18.5</v>
      </c>
      <c r="N26" s="12">
        <v>18.72</v>
      </c>
      <c r="O26" s="12">
        <v>19.72</v>
      </c>
      <c r="P26" s="12">
        <v>18.670000000000002</v>
      </c>
      <c r="Q26" s="12">
        <v>18.53</v>
      </c>
      <c r="R26" s="12">
        <v>20.62</v>
      </c>
      <c r="S26" s="12">
        <v>20.350000000000001</v>
      </c>
      <c r="T26" s="12">
        <v>20.39</v>
      </c>
      <c r="U26" s="12">
        <v>21.6</v>
      </c>
      <c r="V26" s="12">
        <v>18.649999999999999</v>
      </c>
      <c r="W26" s="12">
        <v>19.61</v>
      </c>
      <c r="X26" s="12">
        <v>22.01</v>
      </c>
      <c r="Y26" s="12">
        <v>18.79</v>
      </c>
      <c r="Z26" s="12">
        <v>19.79</v>
      </c>
      <c r="AA26" s="12">
        <v>16.850000000000001</v>
      </c>
      <c r="AB26" s="12">
        <v>18.88</v>
      </c>
      <c r="AC26" s="12">
        <v>20.43</v>
      </c>
      <c r="AD26" s="12">
        <v>20.010000000000002</v>
      </c>
      <c r="AE26" s="12">
        <v>24.25</v>
      </c>
      <c r="AF26" s="12">
        <v>25.93</v>
      </c>
      <c r="AG26" s="12">
        <v>17.64</v>
      </c>
      <c r="AH26" s="12">
        <v>18.52</v>
      </c>
      <c r="AI26" s="12">
        <v>17.940000000000001</v>
      </c>
      <c r="AJ26" s="12">
        <v>19.190000000000001</v>
      </c>
      <c r="AK26" s="12">
        <v>18.84</v>
      </c>
      <c r="AL26" s="12">
        <v>19.07</v>
      </c>
      <c r="AM26" s="12">
        <v>19.48</v>
      </c>
      <c r="AN26" s="12">
        <v>19</v>
      </c>
      <c r="AO26" s="12">
        <v>18.86</v>
      </c>
      <c r="AP26" s="12">
        <v>18.8</v>
      </c>
      <c r="AQ26" s="12">
        <v>20.58</v>
      </c>
    </row>
    <row r="27" spans="1:43" x14ac:dyDescent="0.35">
      <c r="A27" s="19"/>
      <c r="B27" s="13" t="s">
        <v>1476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Q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379</v>
      </c>
      <c r="C3" s="18"/>
      <c r="D3" s="18"/>
      <c r="E3" s="18"/>
      <c r="F3" s="18"/>
      <c r="H3" s="18" t="s">
        <v>380</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31.5" x14ac:dyDescent="0.35">
      <c r="A12" s="19"/>
      <c r="B12" s="11" t="s">
        <v>1546</v>
      </c>
      <c r="C12" s="12">
        <v>180</v>
      </c>
      <c r="D12" s="12">
        <v>12</v>
      </c>
      <c r="E12" s="12">
        <v>2</v>
      </c>
      <c r="F12" s="12">
        <v>3</v>
      </c>
      <c r="G12" s="12">
        <v>4</v>
      </c>
      <c r="H12" s="12">
        <v>6</v>
      </c>
      <c r="I12" s="12">
        <v>8</v>
      </c>
      <c r="J12" s="12">
        <v>2</v>
      </c>
      <c r="K12" s="12">
        <v>0</v>
      </c>
      <c r="L12" s="12">
        <v>3</v>
      </c>
      <c r="M12" s="12">
        <v>15</v>
      </c>
      <c r="N12" s="12">
        <v>31</v>
      </c>
      <c r="O12" s="12">
        <v>1</v>
      </c>
      <c r="P12" s="12">
        <v>1</v>
      </c>
      <c r="Q12" s="12">
        <v>1</v>
      </c>
      <c r="R12" s="12">
        <v>1</v>
      </c>
      <c r="S12" s="12">
        <v>0</v>
      </c>
      <c r="T12" s="12">
        <v>0</v>
      </c>
      <c r="U12" s="12">
        <v>0</v>
      </c>
      <c r="V12" s="12">
        <v>0</v>
      </c>
      <c r="W12" s="12">
        <v>1</v>
      </c>
      <c r="X12" s="12">
        <v>1</v>
      </c>
      <c r="Y12" s="12">
        <v>1</v>
      </c>
      <c r="Z12" s="12">
        <v>0</v>
      </c>
      <c r="AA12" s="12">
        <v>38</v>
      </c>
      <c r="AB12" s="12">
        <v>5</v>
      </c>
      <c r="AC12" s="12">
        <v>2</v>
      </c>
      <c r="AD12" s="12">
        <v>1</v>
      </c>
      <c r="AE12" s="12">
        <v>2</v>
      </c>
      <c r="AF12" s="12">
        <v>1</v>
      </c>
      <c r="AG12" s="12">
        <v>8</v>
      </c>
      <c r="AH12" s="12">
        <v>24</v>
      </c>
      <c r="AI12" s="12">
        <v>0</v>
      </c>
      <c r="AJ12" s="12">
        <v>0</v>
      </c>
      <c r="AK12" s="12">
        <v>1</v>
      </c>
      <c r="AL12" s="12">
        <v>5</v>
      </c>
      <c r="AM12" s="12">
        <v>31</v>
      </c>
      <c r="AN12" s="12">
        <v>7</v>
      </c>
      <c r="AO12" s="12">
        <v>27</v>
      </c>
      <c r="AP12" s="12">
        <v>18</v>
      </c>
      <c r="AQ12" s="12">
        <v>1</v>
      </c>
    </row>
    <row r="13" spans="1:43" ht="21.5" x14ac:dyDescent="0.35">
      <c r="A13" s="19"/>
      <c r="B13" s="13" t="s">
        <v>1547</v>
      </c>
      <c r="C13" s="15">
        <v>0.01</v>
      </c>
      <c r="D13" s="15">
        <v>0.01</v>
      </c>
      <c r="E13" s="14" t="s">
        <v>475</v>
      </c>
      <c r="F13" s="14" t="s">
        <v>475</v>
      </c>
      <c r="G13" s="14" t="s">
        <v>475</v>
      </c>
      <c r="H13" s="15">
        <v>0.01</v>
      </c>
      <c r="I13" s="15">
        <v>0.01</v>
      </c>
      <c r="J13" s="15">
        <v>0.01</v>
      </c>
      <c r="K13" s="14" t="s">
        <v>475</v>
      </c>
      <c r="L13" s="14" t="s">
        <v>475</v>
      </c>
      <c r="M13" s="15">
        <v>0.01</v>
      </c>
      <c r="N13" s="15">
        <v>0.03</v>
      </c>
      <c r="O13" s="14" t="s">
        <v>475</v>
      </c>
      <c r="P13" s="14" t="s">
        <v>475</v>
      </c>
      <c r="Q13" s="14" t="s">
        <v>475</v>
      </c>
      <c r="R13" s="14" t="s">
        <v>475</v>
      </c>
      <c r="S13" s="14" t="s">
        <v>475</v>
      </c>
      <c r="T13" s="14" t="s">
        <v>475</v>
      </c>
      <c r="U13" s="14" t="s">
        <v>475</v>
      </c>
      <c r="V13" s="14" t="s">
        <v>475</v>
      </c>
      <c r="W13" s="14" t="s">
        <v>475</v>
      </c>
      <c r="X13" s="14" t="s">
        <v>475</v>
      </c>
      <c r="Y13" s="14" t="s">
        <v>475</v>
      </c>
      <c r="Z13" s="14" t="s">
        <v>475</v>
      </c>
      <c r="AA13" s="15">
        <v>0.04</v>
      </c>
      <c r="AB13" s="15">
        <v>0.01</v>
      </c>
      <c r="AC13" s="14" t="s">
        <v>475</v>
      </c>
      <c r="AD13" s="14" t="s">
        <v>475</v>
      </c>
      <c r="AE13" s="14" t="s">
        <v>475</v>
      </c>
      <c r="AF13" s="14" t="s">
        <v>475</v>
      </c>
      <c r="AG13" s="15">
        <v>0.01</v>
      </c>
      <c r="AH13" s="15">
        <v>0.02</v>
      </c>
      <c r="AI13" s="14" t="s">
        <v>475</v>
      </c>
      <c r="AJ13" s="14" t="s">
        <v>475</v>
      </c>
      <c r="AK13" s="14" t="s">
        <v>475</v>
      </c>
      <c r="AL13" s="15">
        <v>0.01</v>
      </c>
      <c r="AM13" s="15">
        <v>0.03</v>
      </c>
      <c r="AN13" s="15">
        <v>0.01</v>
      </c>
      <c r="AO13" s="15">
        <v>0.03</v>
      </c>
      <c r="AP13" s="15">
        <v>0.04</v>
      </c>
      <c r="AQ13" s="14" t="s">
        <v>475</v>
      </c>
    </row>
    <row r="14" spans="1:43" x14ac:dyDescent="0.35">
      <c r="A14" s="19"/>
      <c r="B14" s="11" t="s">
        <v>1548</v>
      </c>
      <c r="C14" s="12">
        <v>969</v>
      </c>
      <c r="D14" s="12">
        <v>38</v>
      </c>
      <c r="E14" s="12">
        <v>14</v>
      </c>
      <c r="F14" s="12">
        <v>3</v>
      </c>
      <c r="G14" s="12">
        <v>0</v>
      </c>
      <c r="H14" s="12">
        <v>5</v>
      </c>
      <c r="I14" s="12">
        <v>8</v>
      </c>
      <c r="J14" s="12">
        <v>3</v>
      </c>
      <c r="K14" s="12">
        <v>9</v>
      </c>
      <c r="L14" s="12">
        <v>42</v>
      </c>
      <c r="M14" s="12">
        <v>112</v>
      </c>
      <c r="N14" s="12">
        <v>88</v>
      </c>
      <c r="O14" s="12">
        <v>44</v>
      </c>
      <c r="P14" s="12">
        <v>9</v>
      </c>
      <c r="Q14" s="12">
        <v>36</v>
      </c>
      <c r="R14" s="12">
        <v>39</v>
      </c>
      <c r="S14" s="12">
        <v>6</v>
      </c>
      <c r="T14" s="12">
        <v>19</v>
      </c>
      <c r="U14" s="12">
        <v>33</v>
      </c>
      <c r="V14" s="12">
        <v>5</v>
      </c>
      <c r="W14" s="12">
        <v>47</v>
      </c>
      <c r="X14" s="12">
        <v>18</v>
      </c>
      <c r="Y14" s="12">
        <v>2</v>
      </c>
      <c r="Z14" s="12">
        <v>8</v>
      </c>
      <c r="AA14" s="12">
        <v>256</v>
      </c>
      <c r="AB14" s="12">
        <v>27</v>
      </c>
      <c r="AC14" s="12">
        <v>6</v>
      </c>
      <c r="AD14" s="12">
        <v>53</v>
      </c>
      <c r="AE14" s="12">
        <v>27</v>
      </c>
      <c r="AF14" s="12">
        <v>9</v>
      </c>
      <c r="AG14" s="12">
        <v>194</v>
      </c>
      <c r="AH14" s="12">
        <v>161</v>
      </c>
      <c r="AI14" s="12">
        <v>0</v>
      </c>
      <c r="AJ14" s="12">
        <v>10</v>
      </c>
      <c r="AK14" s="12">
        <v>16</v>
      </c>
      <c r="AL14" s="12">
        <v>6</v>
      </c>
      <c r="AM14" s="12">
        <v>20</v>
      </c>
      <c r="AN14" s="12">
        <v>58</v>
      </c>
      <c r="AO14" s="12">
        <v>193</v>
      </c>
      <c r="AP14" s="12">
        <v>64</v>
      </c>
      <c r="AQ14" s="12">
        <v>5</v>
      </c>
    </row>
    <row r="15" spans="1:43" x14ac:dyDescent="0.35">
      <c r="A15" s="19"/>
      <c r="B15" s="13" t="s">
        <v>1549</v>
      </c>
      <c r="C15" s="15">
        <v>0.04</v>
      </c>
      <c r="D15" s="15">
        <v>0.04</v>
      </c>
      <c r="E15" s="15">
        <v>0.01</v>
      </c>
      <c r="F15" s="14" t="s">
        <v>475</v>
      </c>
      <c r="G15" s="14" t="s">
        <v>475</v>
      </c>
      <c r="H15" s="14" t="s">
        <v>475</v>
      </c>
      <c r="I15" s="15">
        <v>0.01</v>
      </c>
      <c r="J15" s="15">
        <v>0.01</v>
      </c>
      <c r="K15" s="15">
        <v>0.01</v>
      </c>
      <c r="L15" s="15">
        <v>0.04</v>
      </c>
      <c r="M15" s="15">
        <v>0.11</v>
      </c>
      <c r="N15" s="15">
        <v>0.09</v>
      </c>
      <c r="O15" s="15">
        <v>0.04</v>
      </c>
      <c r="P15" s="15">
        <v>0.01</v>
      </c>
      <c r="Q15" s="15">
        <v>0.04</v>
      </c>
      <c r="R15" s="15">
        <v>0.08</v>
      </c>
      <c r="S15" s="15">
        <v>0.01</v>
      </c>
      <c r="T15" s="15">
        <v>0.02</v>
      </c>
      <c r="U15" s="15">
        <v>0.06</v>
      </c>
      <c r="V15" s="15">
        <v>0.01</v>
      </c>
      <c r="W15" s="15">
        <v>0.09</v>
      </c>
      <c r="X15" s="15">
        <v>0.02</v>
      </c>
      <c r="Y15" s="14" t="s">
        <v>475</v>
      </c>
      <c r="Z15" s="15">
        <v>0.01</v>
      </c>
      <c r="AA15" s="15">
        <v>0.25</v>
      </c>
      <c r="AB15" s="15">
        <v>0.03</v>
      </c>
      <c r="AC15" s="14" t="s">
        <v>475</v>
      </c>
      <c r="AD15" s="15">
        <v>0.05</v>
      </c>
      <c r="AE15" s="15">
        <v>0.03</v>
      </c>
      <c r="AF15" s="15">
        <v>0.01</v>
      </c>
      <c r="AG15" s="15">
        <v>0.19</v>
      </c>
      <c r="AH15" s="15">
        <v>0.16</v>
      </c>
      <c r="AI15" s="14" t="s">
        <v>475</v>
      </c>
      <c r="AJ15" s="15">
        <v>0.01</v>
      </c>
      <c r="AK15" s="15">
        <v>0.02</v>
      </c>
      <c r="AL15" s="15">
        <v>0.01</v>
      </c>
      <c r="AM15" s="15">
        <v>0.02</v>
      </c>
      <c r="AN15" s="15">
        <v>0.06</v>
      </c>
      <c r="AO15" s="15">
        <v>0.19</v>
      </c>
      <c r="AP15" s="15">
        <v>0.12</v>
      </c>
      <c r="AQ15" s="14" t="s">
        <v>475</v>
      </c>
    </row>
    <row r="16" spans="1:43" ht="21.5" x14ac:dyDescent="0.35">
      <c r="A16" s="19"/>
      <c r="B16" s="11" t="s">
        <v>1550</v>
      </c>
      <c r="C16" s="12">
        <v>5655</v>
      </c>
      <c r="D16" s="12">
        <v>159</v>
      </c>
      <c r="E16" s="12">
        <v>93</v>
      </c>
      <c r="F16" s="12">
        <v>87</v>
      </c>
      <c r="G16" s="12">
        <v>110</v>
      </c>
      <c r="H16" s="12">
        <v>450</v>
      </c>
      <c r="I16" s="12">
        <v>533</v>
      </c>
      <c r="J16" s="12">
        <v>83</v>
      </c>
      <c r="K16" s="12">
        <v>163</v>
      </c>
      <c r="L16" s="12">
        <v>136</v>
      </c>
      <c r="M16" s="12">
        <v>134</v>
      </c>
      <c r="N16" s="12">
        <v>156</v>
      </c>
      <c r="O16" s="12">
        <v>294</v>
      </c>
      <c r="P16" s="12">
        <v>85</v>
      </c>
      <c r="Q16" s="12">
        <v>264</v>
      </c>
      <c r="R16" s="12">
        <v>25</v>
      </c>
      <c r="S16" s="12">
        <v>82</v>
      </c>
      <c r="T16" s="12">
        <v>121</v>
      </c>
      <c r="U16" s="12">
        <v>55</v>
      </c>
      <c r="V16" s="12">
        <v>352</v>
      </c>
      <c r="W16" s="12">
        <v>70</v>
      </c>
      <c r="X16" s="12">
        <v>104</v>
      </c>
      <c r="Y16" s="12">
        <v>69</v>
      </c>
      <c r="Z16" s="12">
        <v>89</v>
      </c>
      <c r="AA16" s="12">
        <v>205</v>
      </c>
      <c r="AB16" s="12">
        <v>127</v>
      </c>
      <c r="AC16" s="12">
        <v>318</v>
      </c>
      <c r="AD16" s="12">
        <v>179</v>
      </c>
      <c r="AE16" s="12">
        <v>162</v>
      </c>
      <c r="AF16" s="12">
        <v>53</v>
      </c>
      <c r="AG16" s="12">
        <v>144</v>
      </c>
      <c r="AH16" s="12">
        <v>73</v>
      </c>
      <c r="AI16" s="12">
        <v>2</v>
      </c>
      <c r="AJ16" s="12">
        <v>121</v>
      </c>
      <c r="AK16" s="12">
        <v>241</v>
      </c>
      <c r="AL16" s="12">
        <v>175</v>
      </c>
      <c r="AM16" s="12">
        <v>256</v>
      </c>
      <c r="AN16" s="12">
        <v>280</v>
      </c>
      <c r="AO16" s="12">
        <v>126</v>
      </c>
      <c r="AP16" s="12">
        <v>47</v>
      </c>
      <c r="AQ16" s="12">
        <v>73</v>
      </c>
    </row>
    <row r="17" spans="1:43" x14ac:dyDescent="0.35">
      <c r="A17" s="19"/>
      <c r="B17" s="13" t="s">
        <v>1551</v>
      </c>
      <c r="C17" s="15">
        <v>0.21</v>
      </c>
      <c r="D17" s="15">
        <v>0.16</v>
      </c>
      <c r="E17" s="15">
        <v>0.09</v>
      </c>
      <c r="F17" s="15">
        <v>0.08</v>
      </c>
      <c r="G17" s="15">
        <v>0.11</v>
      </c>
      <c r="H17" s="15">
        <v>0.37</v>
      </c>
      <c r="I17" s="15">
        <v>0.35</v>
      </c>
      <c r="J17" s="15">
        <v>0.28000000000000003</v>
      </c>
      <c r="K17" s="15">
        <v>0.16</v>
      </c>
      <c r="L17" s="15">
        <v>0.14000000000000001</v>
      </c>
      <c r="M17" s="15">
        <v>0.13</v>
      </c>
      <c r="N17" s="15">
        <v>0.16</v>
      </c>
      <c r="O17" s="15">
        <v>0.28999999999999998</v>
      </c>
      <c r="P17" s="15">
        <v>0.08</v>
      </c>
      <c r="Q17" s="15">
        <v>0.26</v>
      </c>
      <c r="R17" s="15">
        <v>0.05</v>
      </c>
      <c r="S17" s="15">
        <v>0.08</v>
      </c>
      <c r="T17" s="15">
        <v>0.12</v>
      </c>
      <c r="U17" s="15">
        <v>0.11</v>
      </c>
      <c r="V17" s="15">
        <v>0.35</v>
      </c>
      <c r="W17" s="15">
        <v>0.14000000000000001</v>
      </c>
      <c r="X17" s="15">
        <v>0.1</v>
      </c>
      <c r="Y17" s="15">
        <v>7.0000000000000007E-2</v>
      </c>
      <c r="Z17" s="15">
        <v>0.09</v>
      </c>
      <c r="AA17" s="15">
        <v>0.2</v>
      </c>
      <c r="AB17" s="15">
        <v>0.12</v>
      </c>
      <c r="AC17" s="15">
        <v>0.32</v>
      </c>
      <c r="AD17" s="15">
        <v>0.18</v>
      </c>
      <c r="AE17" s="15">
        <v>0.16</v>
      </c>
      <c r="AF17" s="15">
        <v>0.05</v>
      </c>
      <c r="AG17" s="15">
        <v>0.14000000000000001</v>
      </c>
      <c r="AH17" s="15">
        <v>7.0000000000000007E-2</v>
      </c>
      <c r="AI17" s="14" t="s">
        <v>475</v>
      </c>
      <c r="AJ17" s="15">
        <v>0.12</v>
      </c>
      <c r="AK17" s="15">
        <v>0.24</v>
      </c>
      <c r="AL17" s="15">
        <v>0.17</v>
      </c>
      <c r="AM17" s="15">
        <v>0.25</v>
      </c>
      <c r="AN17" s="15">
        <v>0.28000000000000003</v>
      </c>
      <c r="AO17" s="15">
        <v>0.13</v>
      </c>
      <c r="AP17" s="15">
        <v>0.09</v>
      </c>
      <c r="AQ17" s="15">
        <v>7.0000000000000007E-2</v>
      </c>
    </row>
    <row r="18" spans="1:43" ht="21.5" x14ac:dyDescent="0.35">
      <c r="A18" s="19"/>
      <c r="B18" s="11" t="s">
        <v>1552</v>
      </c>
      <c r="C18" s="12">
        <v>9815</v>
      </c>
      <c r="D18" s="12">
        <v>344</v>
      </c>
      <c r="E18" s="12">
        <v>663</v>
      </c>
      <c r="F18" s="12">
        <v>749</v>
      </c>
      <c r="G18" s="12">
        <v>274</v>
      </c>
      <c r="H18" s="12">
        <v>402</v>
      </c>
      <c r="I18" s="12">
        <v>511</v>
      </c>
      <c r="J18" s="12">
        <v>109</v>
      </c>
      <c r="K18" s="12">
        <v>330</v>
      </c>
      <c r="L18" s="12">
        <v>285</v>
      </c>
      <c r="M18" s="12">
        <v>423</v>
      </c>
      <c r="N18" s="12">
        <v>127</v>
      </c>
      <c r="O18" s="12">
        <v>235</v>
      </c>
      <c r="P18" s="12">
        <v>694</v>
      </c>
      <c r="Q18" s="12">
        <v>546</v>
      </c>
      <c r="R18" s="12">
        <v>174</v>
      </c>
      <c r="S18" s="12">
        <v>427</v>
      </c>
      <c r="T18" s="12">
        <v>307</v>
      </c>
      <c r="U18" s="12">
        <v>94</v>
      </c>
      <c r="V18" s="12">
        <v>399</v>
      </c>
      <c r="W18" s="12">
        <v>73</v>
      </c>
      <c r="X18" s="12">
        <v>321</v>
      </c>
      <c r="Y18" s="12">
        <v>83</v>
      </c>
      <c r="Z18" s="12">
        <v>683</v>
      </c>
      <c r="AA18" s="12">
        <v>308</v>
      </c>
      <c r="AB18" s="12">
        <v>658</v>
      </c>
      <c r="AC18" s="12">
        <v>289</v>
      </c>
      <c r="AD18" s="12">
        <v>468</v>
      </c>
      <c r="AE18" s="12">
        <v>210</v>
      </c>
      <c r="AF18" s="12">
        <v>252</v>
      </c>
      <c r="AG18" s="12">
        <v>379</v>
      </c>
      <c r="AH18" s="12">
        <v>481</v>
      </c>
      <c r="AI18" s="12">
        <v>440</v>
      </c>
      <c r="AJ18" s="12">
        <v>652</v>
      </c>
      <c r="AK18" s="12">
        <v>422</v>
      </c>
      <c r="AL18" s="12">
        <v>186</v>
      </c>
      <c r="AM18" s="12">
        <v>287</v>
      </c>
      <c r="AN18" s="12">
        <v>460</v>
      </c>
      <c r="AO18" s="12">
        <v>377</v>
      </c>
      <c r="AP18" s="12">
        <v>209</v>
      </c>
      <c r="AQ18" s="12">
        <v>416</v>
      </c>
    </row>
    <row r="19" spans="1:43" x14ac:dyDescent="0.35">
      <c r="A19" s="19"/>
      <c r="B19" s="13" t="s">
        <v>1553</v>
      </c>
      <c r="C19" s="15">
        <v>0.37</v>
      </c>
      <c r="D19" s="15">
        <v>0.34</v>
      </c>
      <c r="E19" s="15">
        <v>0.64</v>
      </c>
      <c r="F19" s="15">
        <v>0.68</v>
      </c>
      <c r="G19" s="15">
        <v>0.27</v>
      </c>
      <c r="H19" s="15">
        <v>0.33</v>
      </c>
      <c r="I19" s="15">
        <v>0.34</v>
      </c>
      <c r="J19" s="15">
        <v>0.37</v>
      </c>
      <c r="K19" s="15">
        <v>0.33</v>
      </c>
      <c r="L19" s="15">
        <v>0.28999999999999998</v>
      </c>
      <c r="M19" s="15">
        <v>0.42</v>
      </c>
      <c r="N19" s="15">
        <v>0.13</v>
      </c>
      <c r="O19" s="15">
        <v>0.24</v>
      </c>
      <c r="P19" s="15">
        <v>0.69000000000000006</v>
      </c>
      <c r="Q19" s="15">
        <v>0.53</v>
      </c>
      <c r="R19" s="15">
        <v>0.34</v>
      </c>
      <c r="S19" s="15">
        <v>0.43</v>
      </c>
      <c r="T19" s="15">
        <v>0.31</v>
      </c>
      <c r="U19" s="15">
        <v>0.19</v>
      </c>
      <c r="V19" s="15">
        <v>0.39</v>
      </c>
      <c r="W19" s="15">
        <v>0.15</v>
      </c>
      <c r="X19" s="15">
        <v>0.32</v>
      </c>
      <c r="Y19" s="15">
        <v>0.08</v>
      </c>
      <c r="Z19" s="15">
        <v>0.66</v>
      </c>
      <c r="AA19" s="15">
        <v>0.3</v>
      </c>
      <c r="AB19" s="15">
        <v>0.63</v>
      </c>
      <c r="AC19" s="15">
        <v>0.28999999999999998</v>
      </c>
      <c r="AD19" s="15">
        <v>0.46</v>
      </c>
      <c r="AE19" s="15">
        <v>0.21</v>
      </c>
      <c r="AF19" s="15">
        <v>0.24</v>
      </c>
      <c r="AG19" s="15">
        <v>0.37</v>
      </c>
      <c r="AH19" s="15">
        <v>0.47</v>
      </c>
      <c r="AI19" s="15">
        <v>0.84</v>
      </c>
      <c r="AJ19" s="15">
        <v>0.63</v>
      </c>
      <c r="AK19" s="15">
        <v>0.42</v>
      </c>
      <c r="AL19" s="15">
        <v>0.18</v>
      </c>
      <c r="AM19" s="15">
        <v>0.27</v>
      </c>
      <c r="AN19" s="15">
        <v>0.46</v>
      </c>
      <c r="AO19" s="15">
        <v>0.37</v>
      </c>
      <c r="AP19" s="15">
        <v>0.4</v>
      </c>
      <c r="AQ19" s="15">
        <v>0.42</v>
      </c>
    </row>
    <row r="20" spans="1:43" ht="21.5" x14ac:dyDescent="0.35">
      <c r="A20" s="19"/>
      <c r="B20" s="11" t="s">
        <v>1554</v>
      </c>
      <c r="C20" s="12">
        <v>2013</v>
      </c>
      <c r="D20" s="12">
        <v>33</v>
      </c>
      <c r="E20" s="12">
        <v>0</v>
      </c>
      <c r="F20" s="12">
        <v>32</v>
      </c>
      <c r="G20" s="12">
        <v>142</v>
      </c>
      <c r="H20" s="12">
        <v>62</v>
      </c>
      <c r="I20" s="12">
        <v>80</v>
      </c>
      <c r="J20" s="12">
        <v>18</v>
      </c>
      <c r="K20" s="12">
        <v>154</v>
      </c>
      <c r="L20" s="12">
        <v>64</v>
      </c>
      <c r="M20" s="12">
        <v>61</v>
      </c>
      <c r="N20" s="12">
        <v>323</v>
      </c>
      <c r="O20" s="12">
        <v>19</v>
      </c>
      <c r="P20" s="12">
        <v>6</v>
      </c>
      <c r="Q20" s="12">
        <v>6</v>
      </c>
      <c r="R20" s="12">
        <v>5</v>
      </c>
      <c r="S20" s="12">
        <v>119</v>
      </c>
      <c r="T20" s="12">
        <v>99</v>
      </c>
      <c r="U20" s="12">
        <v>63</v>
      </c>
      <c r="V20" s="12">
        <v>68</v>
      </c>
      <c r="W20" s="12">
        <v>91</v>
      </c>
      <c r="X20" s="12">
        <v>9</v>
      </c>
      <c r="Y20" s="12">
        <v>496</v>
      </c>
      <c r="Z20" s="12">
        <v>27</v>
      </c>
      <c r="AA20" s="12">
        <v>11</v>
      </c>
      <c r="AB20" s="12">
        <v>43</v>
      </c>
      <c r="AC20" s="12">
        <v>38</v>
      </c>
      <c r="AD20" s="12">
        <v>27</v>
      </c>
      <c r="AE20" s="12">
        <v>36</v>
      </c>
      <c r="AF20" s="12">
        <v>122</v>
      </c>
      <c r="AG20" s="12">
        <v>0</v>
      </c>
      <c r="AH20" s="12">
        <v>31</v>
      </c>
      <c r="AI20" s="12">
        <v>23</v>
      </c>
      <c r="AJ20" s="12">
        <v>108</v>
      </c>
      <c r="AK20" s="12">
        <v>0</v>
      </c>
      <c r="AL20" s="12">
        <v>414</v>
      </c>
      <c r="AM20" s="12">
        <v>24</v>
      </c>
      <c r="AN20" s="12">
        <v>0</v>
      </c>
      <c r="AO20" s="12">
        <v>48</v>
      </c>
      <c r="AP20" s="12">
        <v>0</v>
      </c>
      <c r="AQ20" s="12">
        <v>115</v>
      </c>
    </row>
    <row r="21" spans="1:43" ht="31.5" x14ac:dyDescent="0.35">
      <c r="A21" s="19"/>
      <c r="B21" s="13" t="s">
        <v>1555</v>
      </c>
      <c r="C21" s="15">
        <v>7.0000000000000007E-2</v>
      </c>
      <c r="D21" s="15">
        <v>0.03</v>
      </c>
      <c r="E21" s="14" t="s">
        <v>475</v>
      </c>
      <c r="F21" s="15">
        <v>0.03</v>
      </c>
      <c r="G21" s="15">
        <v>0.14000000000000001</v>
      </c>
      <c r="H21" s="15">
        <v>0.05</v>
      </c>
      <c r="I21" s="15">
        <v>0.05</v>
      </c>
      <c r="J21" s="15">
        <v>0.06</v>
      </c>
      <c r="K21" s="15">
        <v>0.15</v>
      </c>
      <c r="L21" s="15">
        <v>0.06</v>
      </c>
      <c r="M21" s="15">
        <v>0.06</v>
      </c>
      <c r="N21" s="15">
        <v>0.32</v>
      </c>
      <c r="O21" s="15">
        <v>0.02</v>
      </c>
      <c r="P21" s="15">
        <v>0.01</v>
      </c>
      <c r="Q21" s="15">
        <v>0.01</v>
      </c>
      <c r="R21" s="15">
        <v>0.01</v>
      </c>
      <c r="S21" s="15">
        <v>0.12</v>
      </c>
      <c r="T21" s="15">
        <v>0.1</v>
      </c>
      <c r="U21" s="15">
        <v>0.12</v>
      </c>
      <c r="V21" s="15">
        <v>7.0000000000000007E-2</v>
      </c>
      <c r="W21" s="15">
        <v>0.18</v>
      </c>
      <c r="X21" s="15">
        <v>0.01</v>
      </c>
      <c r="Y21" s="15">
        <v>0.5</v>
      </c>
      <c r="Z21" s="15">
        <v>0.03</v>
      </c>
      <c r="AA21" s="15">
        <v>0.01</v>
      </c>
      <c r="AB21" s="15">
        <v>0.04</v>
      </c>
      <c r="AC21" s="15">
        <v>0.04</v>
      </c>
      <c r="AD21" s="15">
        <v>0.03</v>
      </c>
      <c r="AE21" s="15">
        <v>0.03</v>
      </c>
      <c r="AF21" s="15">
        <v>0.12</v>
      </c>
      <c r="AG21" s="14" t="s">
        <v>475</v>
      </c>
      <c r="AH21" s="15">
        <v>0.03</v>
      </c>
      <c r="AI21" s="15">
        <v>0.05</v>
      </c>
      <c r="AJ21" s="15">
        <v>0.1</v>
      </c>
      <c r="AK21" s="14" t="s">
        <v>475</v>
      </c>
      <c r="AL21" s="15">
        <v>0.41</v>
      </c>
      <c r="AM21" s="15">
        <v>0.02</v>
      </c>
      <c r="AN21" s="14" t="s">
        <v>475</v>
      </c>
      <c r="AO21" s="15">
        <v>0.05</v>
      </c>
      <c r="AP21" s="14" t="s">
        <v>475</v>
      </c>
      <c r="AQ21" s="15">
        <v>0.12</v>
      </c>
    </row>
    <row r="22" spans="1:43" ht="21.5" x14ac:dyDescent="0.35">
      <c r="A22" s="19"/>
      <c r="B22" s="11" t="s">
        <v>1556</v>
      </c>
      <c r="C22" s="12">
        <v>1811</v>
      </c>
      <c r="D22" s="12">
        <v>157</v>
      </c>
      <c r="E22" s="12">
        <v>0</v>
      </c>
      <c r="F22" s="12">
        <v>5</v>
      </c>
      <c r="G22" s="12">
        <v>160</v>
      </c>
      <c r="H22" s="12">
        <v>36</v>
      </c>
      <c r="I22" s="12">
        <v>55</v>
      </c>
      <c r="J22" s="12">
        <v>20</v>
      </c>
      <c r="K22" s="12">
        <v>47</v>
      </c>
      <c r="L22" s="12">
        <v>87</v>
      </c>
      <c r="M22" s="12">
        <v>0</v>
      </c>
      <c r="N22" s="12">
        <v>100</v>
      </c>
      <c r="O22" s="12">
        <v>175</v>
      </c>
      <c r="P22" s="12">
        <v>55</v>
      </c>
      <c r="Q22" s="12">
        <v>14</v>
      </c>
      <c r="R22" s="12">
        <v>38</v>
      </c>
      <c r="S22" s="12">
        <v>82</v>
      </c>
      <c r="T22" s="12">
        <v>0</v>
      </c>
      <c r="U22" s="12">
        <v>58</v>
      </c>
      <c r="V22" s="12">
        <v>21</v>
      </c>
      <c r="W22" s="12">
        <v>61</v>
      </c>
      <c r="X22" s="12">
        <v>68</v>
      </c>
      <c r="Y22" s="12">
        <v>213</v>
      </c>
      <c r="Z22" s="12">
        <v>0</v>
      </c>
      <c r="AA22" s="12">
        <v>11</v>
      </c>
      <c r="AB22" s="12">
        <v>12</v>
      </c>
      <c r="AC22" s="12">
        <v>125</v>
      </c>
      <c r="AD22" s="12">
        <v>0</v>
      </c>
      <c r="AE22" s="12">
        <v>121</v>
      </c>
      <c r="AF22" s="12">
        <v>182</v>
      </c>
      <c r="AG22" s="12">
        <v>118</v>
      </c>
      <c r="AH22" s="12">
        <v>38</v>
      </c>
      <c r="AI22" s="12">
        <v>0</v>
      </c>
      <c r="AJ22" s="12">
        <v>0</v>
      </c>
      <c r="AK22" s="12">
        <v>0</v>
      </c>
      <c r="AL22" s="12">
        <v>0</v>
      </c>
      <c r="AM22" s="12">
        <v>49</v>
      </c>
      <c r="AN22" s="12">
        <v>67</v>
      </c>
      <c r="AO22" s="12">
        <v>0</v>
      </c>
      <c r="AP22" s="12">
        <v>33</v>
      </c>
      <c r="AQ22" s="12">
        <v>34</v>
      </c>
    </row>
    <row r="23" spans="1:43" x14ac:dyDescent="0.35">
      <c r="A23" s="19"/>
      <c r="B23" s="13" t="s">
        <v>1557</v>
      </c>
      <c r="C23" s="15">
        <v>7.0000000000000007E-2</v>
      </c>
      <c r="D23" s="15">
        <v>0.15</v>
      </c>
      <c r="E23" s="14" t="s">
        <v>475</v>
      </c>
      <c r="F23" s="15">
        <v>0.01</v>
      </c>
      <c r="G23" s="15">
        <v>0.16</v>
      </c>
      <c r="H23" s="15">
        <v>0.03</v>
      </c>
      <c r="I23" s="15">
        <v>0.04</v>
      </c>
      <c r="J23" s="15">
        <v>7.0000000000000007E-2</v>
      </c>
      <c r="K23" s="15">
        <v>0.05</v>
      </c>
      <c r="L23" s="15">
        <v>0.09</v>
      </c>
      <c r="M23" s="14" t="s">
        <v>475</v>
      </c>
      <c r="N23" s="15">
        <v>0.1</v>
      </c>
      <c r="O23" s="15">
        <v>0.18</v>
      </c>
      <c r="P23" s="15">
        <v>0.05</v>
      </c>
      <c r="Q23" s="15">
        <v>0.01</v>
      </c>
      <c r="R23" s="15">
        <v>0.08</v>
      </c>
      <c r="S23" s="15">
        <v>0.08</v>
      </c>
      <c r="T23" s="14" t="s">
        <v>475</v>
      </c>
      <c r="U23" s="15">
        <v>0.12</v>
      </c>
      <c r="V23" s="15">
        <v>0.02</v>
      </c>
      <c r="W23" s="15">
        <v>0.12</v>
      </c>
      <c r="X23" s="15">
        <v>7.0000000000000007E-2</v>
      </c>
      <c r="Y23" s="15">
        <v>0.21</v>
      </c>
      <c r="Z23" s="14" t="s">
        <v>475</v>
      </c>
      <c r="AA23" s="15">
        <v>0.01</v>
      </c>
      <c r="AB23" s="15">
        <v>0.01</v>
      </c>
      <c r="AC23" s="15">
        <v>0.12</v>
      </c>
      <c r="AD23" s="14" t="s">
        <v>475</v>
      </c>
      <c r="AE23" s="15">
        <v>0.12</v>
      </c>
      <c r="AF23" s="15">
        <v>0.17</v>
      </c>
      <c r="AG23" s="15">
        <v>0.11</v>
      </c>
      <c r="AH23" s="15">
        <v>0.04</v>
      </c>
      <c r="AI23" s="14" t="s">
        <v>475</v>
      </c>
      <c r="AJ23" s="14" t="s">
        <v>475</v>
      </c>
      <c r="AK23" s="14" t="s">
        <v>475</v>
      </c>
      <c r="AL23" s="14" t="s">
        <v>475</v>
      </c>
      <c r="AM23" s="15">
        <v>0.05</v>
      </c>
      <c r="AN23" s="15">
        <v>7.0000000000000007E-2</v>
      </c>
      <c r="AO23" s="14" t="s">
        <v>475</v>
      </c>
      <c r="AP23" s="15">
        <v>0.06</v>
      </c>
      <c r="AQ23" s="15">
        <v>0.03</v>
      </c>
    </row>
    <row r="24" spans="1:43" x14ac:dyDescent="0.35">
      <c r="A24" s="19"/>
      <c r="B24" s="11" t="s">
        <v>1558</v>
      </c>
      <c r="C24" s="12">
        <v>2862</v>
      </c>
      <c r="D24" s="12">
        <v>131</v>
      </c>
      <c r="E24" s="12">
        <v>123</v>
      </c>
      <c r="F24" s="12">
        <v>100</v>
      </c>
      <c r="G24" s="12">
        <v>120</v>
      </c>
      <c r="H24" s="12">
        <v>86</v>
      </c>
      <c r="I24" s="12">
        <v>111</v>
      </c>
      <c r="J24" s="12">
        <v>25</v>
      </c>
      <c r="K24" s="12">
        <v>162</v>
      </c>
      <c r="L24" s="12">
        <v>219</v>
      </c>
      <c r="M24" s="12">
        <v>212</v>
      </c>
      <c r="N24" s="12">
        <v>129</v>
      </c>
      <c r="O24" s="12">
        <v>104</v>
      </c>
      <c r="P24" s="12">
        <v>39</v>
      </c>
      <c r="Q24" s="12">
        <v>50</v>
      </c>
      <c r="R24" s="12">
        <v>139</v>
      </c>
      <c r="S24" s="12">
        <v>133</v>
      </c>
      <c r="T24" s="12">
        <v>326</v>
      </c>
      <c r="U24" s="12">
        <v>55</v>
      </c>
      <c r="V24" s="12">
        <v>113</v>
      </c>
      <c r="W24" s="12">
        <v>73</v>
      </c>
      <c r="X24" s="12">
        <v>296</v>
      </c>
      <c r="Y24" s="12">
        <v>66</v>
      </c>
      <c r="Z24" s="12">
        <v>61</v>
      </c>
      <c r="AA24" s="12">
        <v>146</v>
      </c>
      <c r="AB24" s="12">
        <v>151</v>
      </c>
      <c r="AC24" s="12">
        <v>109</v>
      </c>
      <c r="AD24" s="12">
        <v>67</v>
      </c>
      <c r="AE24" s="12">
        <v>234</v>
      </c>
      <c r="AF24" s="12">
        <v>187</v>
      </c>
      <c r="AG24" s="12">
        <v>174</v>
      </c>
      <c r="AH24" s="12">
        <v>188</v>
      </c>
      <c r="AI24" s="12">
        <v>24</v>
      </c>
      <c r="AJ24" s="12">
        <v>94</v>
      </c>
      <c r="AK24" s="12">
        <v>94</v>
      </c>
      <c r="AL24" s="12">
        <v>166</v>
      </c>
      <c r="AM24" s="12">
        <v>194</v>
      </c>
      <c r="AN24" s="12">
        <v>111</v>
      </c>
      <c r="AO24" s="12">
        <v>175</v>
      </c>
      <c r="AP24" s="12">
        <v>136</v>
      </c>
      <c r="AQ24" s="12">
        <v>126</v>
      </c>
    </row>
    <row r="25" spans="1:43" x14ac:dyDescent="0.35">
      <c r="A25" s="19"/>
      <c r="B25" s="13" t="s">
        <v>1559</v>
      </c>
      <c r="C25" s="15">
        <v>0.11</v>
      </c>
      <c r="D25" s="15">
        <v>0.13</v>
      </c>
      <c r="E25" s="15">
        <v>0.12</v>
      </c>
      <c r="F25" s="15">
        <v>0.09</v>
      </c>
      <c r="G25" s="15">
        <v>0.12</v>
      </c>
      <c r="H25" s="15">
        <v>7.0000000000000007E-2</v>
      </c>
      <c r="I25" s="15">
        <v>7.0000000000000007E-2</v>
      </c>
      <c r="J25" s="15">
        <v>0.08</v>
      </c>
      <c r="K25" s="15">
        <v>0.16</v>
      </c>
      <c r="L25" s="15">
        <v>0.22</v>
      </c>
      <c r="M25" s="15">
        <v>0.21</v>
      </c>
      <c r="N25" s="15">
        <v>0.13</v>
      </c>
      <c r="O25" s="15">
        <v>0.1</v>
      </c>
      <c r="P25" s="15">
        <v>0.04</v>
      </c>
      <c r="Q25" s="15">
        <v>0.05</v>
      </c>
      <c r="R25" s="15">
        <v>0.28000000000000003</v>
      </c>
      <c r="S25" s="15">
        <v>0.13</v>
      </c>
      <c r="T25" s="15">
        <v>0.32</v>
      </c>
      <c r="U25" s="15">
        <v>0.11</v>
      </c>
      <c r="V25" s="15">
        <v>0.11</v>
      </c>
      <c r="W25" s="15">
        <v>0.14000000000000001</v>
      </c>
      <c r="X25" s="15">
        <v>0.28999999999999998</v>
      </c>
      <c r="Y25" s="15">
        <v>7.0000000000000007E-2</v>
      </c>
      <c r="Z25" s="15">
        <v>0.06</v>
      </c>
      <c r="AA25" s="15">
        <v>0.14000000000000001</v>
      </c>
      <c r="AB25" s="15">
        <v>0.14000000000000001</v>
      </c>
      <c r="AC25" s="15">
        <v>0.11</v>
      </c>
      <c r="AD25" s="15">
        <v>7.0000000000000007E-2</v>
      </c>
      <c r="AE25" s="15">
        <v>0.23</v>
      </c>
      <c r="AF25" s="15">
        <v>0.18</v>
      </c>
      <c r="AG25" s="15">
        <v>0.17</v>
      </c>
      <c r="AH25" s="15">
        <v>0.19</v>
      </c>
      <c r="AI25" s="15">
        <v>0.05</v>
      </c>
      <c r="AJ25" s="15">
        <v>0.09</v>
      </c>
      <c r="AK25" s="15">
        <v>0.09</v>
      </c>
      <c r="AL25" s="15">
        <v>0.16</v>
      </c>
      <c r="AM25" s="15">
        <v>0.19</v>
      </c>
      <c r="AN25" s="15">
        <v>0.11</v>
      </c>
      <c r="AO25" s="15">
        <v>0.17</v>
      </c>
      <c r="AP25" s="15">
        <v>0.26</v>
      </c>
      <c r="AQ25" s="15">
        <v>0.13</v>
      </c>
    </row>
    <row r="26" spans="1:43" x14ac:dyDescent="0.35">
      <c r="A26" s="19"/>
      <c r="B26" s="11" t="s">
        <v>1560</v>
      </c>
      <c r="C26" s="12">
        <v>2864</v>
      </c>
      <c r="D26" s="12">
        <v>137</v>
      </c>
      <c r="E26" s="12">
        <v>130</v>
      </c>
      <c r="F26" s="12">
        <v>112</v>
      </c>
      <c r="G26" s="12">
        <v>187</v>
      </c>
      <c r="H26" s="12">
        <v>155</v>
      </c>
      <c r="I26" s="12">
        <v>189</v>
      </c>
      <c r="J26" s="12">
        <v>34</v>
      </c>
      <c r="K26" s="12">
        <v>126</v>
      </c>
      <c r="L26" s="12">
        <v>146</v>
      </c>
      <c r="M26" s="12">
        <v>48</v>
      </c>
      <c r="N26" s="12">
        <v>45</v>
      </c>
      <c r="O26" s="12">
        <v>106</v>
      </c>
      <c r="P26" s="12">
        <v>107</v>
      </c>
      <c r="Q26" s="12">
        <v>107</v>
      </c>
      <c r="R26" s="12">
        <v>77</v>
      </c>
      <c r="S26" s="12">
        <v>148</v>
      </c>
      <c r="T26" s="12">
        <v>127</v>
      </c>
      <c r="U26" s="12">
        <v>121</v>
      </c>
      <c r="V26" s="12">
        <v>54</v>
      </c>
      <c r="W26" s="12">
        <v>85</v>
      </c>
      <c r="X26" s="12">
        <v>180</v>
      </c>
      <c r="Y26" s="12">
        <v>63</v>
      </c>
      <c r="Z26" s="12">
        <v>160</v>
      </c>
      <c r="AA26" s="12">
        <v>53</v>
      </c>
      <c r="AB26" s="12">
        <v>25</v>
      </c>
      <c r="AC26" s="12">
        <v>109</v>
      </c>
      <c r="AD26" s="12">
        <v>189</v>
      </c>
      <c r="AE26" s="12">
        <v>191</v>
      </c>
      <c r="AF26" s="12">
        <v>187</v>
      </c>
      <c r="AG26" s="12">
        <v>15</v>
      </c>
      <c r="AH26" s="12">
        <v>15</v>
      </c>
      <c r="AI26" s="12">
        <v>34</v>
      </c>
      <c r="AJ26" s="12">
        <v>46</v>
      </c>
      <c r="AK26" s="12">
        <v>231</v>
      </c>
      <c r="AL26" s="12">
        <v>58</v>
      </c>
      <c r="AM26" s="12">
        <v>133</v>
      </c>
      <c r="AN26" s="12">
        <v>15</v>
      </c>
      <c r="AO26" s="12">
        <v>46</v>
      </c>
      <c r="AP26" s="12">
        <v>16</v>
      </c>
      <c r="AQ26" s="12">
        <v>221</v>
      </c>
    </row>
    <row r="27" spans="1:43" x14ac:dyDescent="0.35">
      <c r="A27" s="19"/>
      <c r="B27" s="13" t="s">
        <v>1561</v>
      </c>
      <c r="C27" s="15">
        <v>0.11</v>
      </c>
      <c r="D27" s="15">
        <v>0.14000000000000001</v>
      </c>
      <c r="E27" s="15">
        <v>0.13</v>
      </c>
      <c r="F27" s="15">
        <v>0.1</v>
      </c>
      <c r="G27" s="15">
        <v>0.19</v>
      </c>
      <c r="H27" s="15">
        <v>0.13</v>
      </c>
      <c r="I27" s="15">
        <v>0.12</v>
      </c>
      <c r="J27" s="15">
        <v>0.12</v>
      </c>
      <c r="K27" s="15">
        <v>0.13</v>
      </c>
      <c r="L27" s="15">
        <v>0.15</v>
      </c>
      <c r="M27" s="15">
        <v>0.05</v>
      </c>
      <c r="N27" s="15">
        <v>0.04</v>
      </c>
      <c r="O27" s="15">
        <v>0.11</v>
      </c>
      <c r="P27" s="15">
        <v>0.11</v>
      </c>
      <c r="Q27" s="15">
        <v>0.1</v>
      </c>
      <c r="R27" s="15">
        <v>0.15</v>
      </c>
      <c r="S27" s="15">
        <v>0.15</v>
      </c>
      <c r="T27" s="15">
        <v>0.13</v>
      </c>
      <c r="U27" s="15">
        <v>0.24</v>
      </c>
      <c r="V27" s="15">
        <v>0.05</v>
      </c>
      <c r="W27" s="15">
        <v>0.17</v>
      </c>
      <c r="X27" s="15">
        <v>0.18</v>
      </c>
      <c r="Y27" s="15">
        <v>0.06</v>
      </c>
      <c r="Z27" s="15">
        <v>0.15</v>
      </c>
      <c r="AA27" s="15">
        <v>0.05</v>
      </c>
      <c r="AB27" s="15">
        <v>0.02</v>
      </c>
      <c r="AC27" s="15">
        <v>0.11</v>
      </c>
      <c r="AD27" s="15">
        <v>0.19</v>
      </c>
      <c r="AE27" s="15">
        <v>0.19</v>
      </c>
      <c r="AF27" s="15">
        <v>0.18</v>
      </c>
      <c r="AG27" s="15">
        <v>0.01</v>
      </c>
      <c r="AH27" s="15">
        <v>0.02</v>
      </c>
      <c r="AI27" s="15">
        <v>0.06</v>
      </c>
      <c r="AJ27" s="15">
        <v>0.05</v>
      </c>
      <c r="AK27" s="15">
        <v>0.23</v>
      </c>
      <c r="AL27" s="15">
        <v>0.06</v>
      </c>
      <c r="AM27" s="15">
        <v>0.13</v>
      </c>
      <c r="AN27" s="15">
        <v>0.01</v>
      </c>
      <c r="AO27" s="15">
        <v>0.05</v>
      </c>
      <c r="AP27" s="15">
        <v>0.03</v>
      </c>
      <c r="AQ27" s="15">
        <v>0.22</v>
      </c>
    </row>
    <row r="28" spans="1:43" ht="21.5" x14ac:dyDescent="0.35">
      <c r="A28" s="19"/>
      <c r="B28" s="11" t="s">
        <v>1562</v>
      </c>
      <c r="C28" s="12">
        <v>239</v>
      </c>
      <c r="D28" s="12">
        <v>2</v>
      </c>
      <c r="E28" s="12">
        <v>4</v>
      </c>
      <c r="F28" s="12">
        <v>8</v>
      </c>
      <c r="G28" s="12">
        <v>8</v>
      </c>
      <c r="H28" s="12">
        <v>12</v>
      </c>
      <c r="I28" s="12">
        <v>14</v>
      </c>
      <c r="J28" s="12">
        <v>1</v>
      </c>
      <c r="K28" s="12">
        <v>10</v>
      </c>
      <c r="L28" s="12">
        <v>13</v>
      </c>
      <c r="M28" s="12">
        <v>5</v>
      </c>
      <c r="N28" s="12">
        <v>4</v>
      </c>
      <c r="O28" s="12">
        <v>21</v>
      </c>
      <c r="P28" s="12">
        <v>9</v>
      </c>
      <c r="Q28" s="12">
        <v>2</v>
      </c>
      <c r="R28" s="12">
        <v>6</v>
      </c>
      <c r="S28" s="12">
        <v>4</v>
      </c>
      <c r="T28" s="12">
        <v>3</v>
      </c>
      <c r="U28" s="12">
        <v>21</v>
      </c>
      <c r="V28" s="12">
        <v>1</v>
      </c>
      <c r="W28" s="12">
        <v>6</v>
      </c>
      <c r="X28" s="12">
        <v>11</v>
      </c>
      <c r="Y28" s="12">
        <v>10</v>
      </c>
      <c r="Z28" s="12">
        <v>1</v>
      </c>
      <c r="AA28" s="12">
        <v>4</v>
      </c>
      <c r="AB28" s="12">
        <v>3</v>
      </c>
      <c r="AC28" s="12">
        <v>7</v>
      </c>
      <c r="AD28" s="12">
        <v>20</v>
      </c>
      <c r="AE28" s="12">
        <v>28</v>
      </c>
      <c r="AF28" s="12">
        <v>51</v>
      </c>
      <c r="AG28" s="12">
        <v>4</v>
      </c>
      <c r="AH28" s="12">
        <v>1</v>
      </c>
      <c r="AI28" s="12">
        <v>1</v>
      </c>
      <c r="AJ28" s="12">
        <v>2</v>
      </c>
      <c r="AK28" s="12">
        <v>1</v>
      </c>
      <c r="AL28" s="12">
        <v>1</v>
      </c>
      <c r="AM28" s="12">
        <v>28</v>
      </c>
      <c r="AN28" s="12">
        <v>4</v>
      </c>
      <c r="AO28" s="12">
        <v>5</v>
      </c>
      <c r="AP28" s="12">
        <v>1</v>
      </c>
      <c r="AQ28" s="12">
        <v>10</v>
      </c>
    </row>
    <row r="29" spans="1:43" x14ac:dyDescent="0.35">
      <c r="A29" s="19"/>
      <c r="B29" s="13" t="s">
        <v>1563</v>
      </c>
      <c r="C29" s="15">
        <v>0.01</v>
      </c>
      <c r="D29" s="14" t="s">
        <v>475</v>
      </c>
      <c r="E29" s="15">
        <v>0.01</v>
      </c>
      <c r="F29" s="15">
        <v>0.01</v>
      </c>
      <c r="G29" s="15">
        <v>0.01</v>
      </c>
      <c r="H29" s="15">
        <v>0.01</v>
      </c>
      <c r="I29" s="15">
        <v>0.01</v>
      </c>
      <c r="J29" s="14" t="s">
        <v>475</v>
      </c>
      <c r="K29" s="15">
        <v>0.01</v>
      </c>
      <c r="L29" s="15">
        <v>0.01</v>
      </c>
      <c r="M29" s="15">
        <v>0.01</v>
      </c>
      <c r="N29" s="14" t="s">
        <v>475</v>
      </c>
      <c r="O29" s="15">
        <v>0.02</v>
      </c>
      <c r="P29" s="15">
        <v>0.01</v>
      </c>
      <c r="Q29" s="14" t="s">
        <v>475</v>
      </c>
      <c r="R29" s="15">
        <v>0.01</v>
      </c>
      <c r="S29" s="14" t="s">
        <v>475</v>
      </c>
      <c r="T29" s="14" t="s">
        <v>475</v>
      </c>
      <c r="U29" s="15">
        <v>0.04</v>
      </c>
      <c r="V29" s="14" t="s">
        <v>475</v>
      </c>
      <c r="W29" s="15">
        <v>0.01</v>
      </c>
      <c r="X29" s="15">
        <v>0.01</v>
      </c>
      <c r="Y29" s="15">
        <v>0.01</v>
      </c>
      <c r="Z29" s="14" t="s">
        <v>475</v>
      </c>
      <c r="AA29" s="14" t="s">
        <v>475</v>
      </c>
      <c r="AB29" s="14" t="s">
        <v>475</v>
      </c>
      <c r="AC29" s="15">
        <v>0.01</v>
      </c>
      <c r="AD29" s="15">
        <v>0.02</v>
      </c>
      <c r="AE29" s="15">
        <v>0.03</v>
      </c>
      <c r="AF29" s="15">
        <v>0.05</v>
      </c>
      <c r="AG29" s="14" t="s">
        <v>475</v>
      </c>
      <c r="AH29" s="14" t="s">
        <v>475</v>
      </c>
      <c r="AI29" s="14" t="s">
        <v>475</v>
      </c>
      <c r="AJ29" s="14" t="s">
        <v>475</v>
      </c>
      <c r="AK29" s="14" t="s">
        <v>475</v>
      </c>
      <c r="AL29" s="14" t="s">
        <v>475</v>
      </c>
      <c r="AM29" s="15">
        <v>0.03</v>
      </c>
      <c r="AN29" s="14" t="s">
        <v>475</v>
      </c>
      <c r="AO29" s="15">
        <v>0.01</v>
      </c>
      <c r="AP29" s="14" t="s">
        <v>475</v>
      </c>
      <c r="AQ29" s="15">
        <v>0.01</v>
      </c>
    </row>
    <row r="30" spans="1:43" ht="21.5" x14ac:dyDescent="0.35">
      <c r="A30" s="19"/>
      <c r="B30" s="11" t="s">
        <v>1564</v>
      </c>
      <c r="C30" s="12">
        <v>8</v>
      </c>
      <c r="D30" s="12">
        <v>0</v>
      </c>
      <c r="E30" s="12">
        <v>0</v>
      </c>
      <c r="F30" s="12">
        <v>0</v>
      </c>
      <c r="G30" s="12">
        <v>0</v>
      </c>
      <c r="H30" s="12">
        <v>3</v>
      </c>
      <c r="I30" s="12">
        <v>3</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row>
    <row r="31" spans="1:43" ht="21.5" x14ac:dyDescent="0.35">
      <c r="A31" s="19"/>
      <c r="B31" s="13" t="s">
        <v>1565</v>
      </c>
      <c r="C31" s="14" t="s">
        <v>475</v>
      </c>
      <c r="D31" s="14" t="s">
        <v>475</v>
      </c>
      <c r="E31" s="14" t="s">
        <v>475</v>
      </c>
      <c r="F31" s="14" t="s">
        <v>475</v>
      </c>
      <c r="G31" s="14" t="s">
        <v>475</v>
      </c>
      <c r="H31" s="14" t="s">
        <v>475</v>
      </c>
      <c r="I31" s="14" t="s">
        <v>475</v>
      </c>
      <c r="J31" s="14" t="s">
        <v>475</v>
      </c>
      <c r="K31" s="14" t="s">
        <v>475</v>
      </c>
      <c r="L31" s="14" t="s">
        <v>475</v>
      </c>
      <c r="M31" s="14" t="s">
        <v>475</v>
      </c>
      <c r="N31" s="14" t="s">
        <v>475</v>
      </c>
      <c r="O31" s="14" t="s">
        <v>475</v>
      </c>
      <c r="P31" s="14" t="s">
        <v>475</v>
      </c>
      <c r="Q31" s="14" t="s">
        <v>475</v>
      </c>
      <c r="R31" s="14" t="s">
        <v>475</v>
      </c>
      <c r="S31" s="14" t="s">
        <v>475</v>
      </c>
      <c r="T31" s="14" t="s">
        <v>475</v>
      </c>
      <c r="U31" s="14" t="s">
        <v>475</v>
      </c>
      <c r="V31" s="14" t="s">
        <v>475</v>
      </c>
      <c r="W31" s="14" t="s">
        <v>475</v>
      </c>
      <c r="X31" s="14" t="s">
        <v>475</v>
      </c>
      <c r="Y31" s="14" t="s">
        <v>475</v>
      </c>
      <c r="Z31" s="14" t="s">
        <v>475</v>
      </c>
      <c r="AA31" s="14" t="s">
        <v>475</v>
      </c>
      <c r="AB31" s="14" t="s">
        <v>475</v>
      </c>
      <c r="AC31" s="14" t="s">
        <v>475</v>
      </c>
      <c r="AD31" s="14" t="s">
        <v>475</v>
      </c>
      <c r="AE31" s="14" t="s">
        <v>475</v>
      </c>
      <c r="AF31" s="14" t="s">
        <v>475</v>
      </c>
      <c r="AG31" s="14" t="s">
        <v>475</v>
      </c>
      <c r="AH31" s="14" t="s">
        <v>475</v>
      </c>
      <c r="AI31" s="14" t="s">
        <v>475</v>
      </c>
      <c r="AJ31" s="14" t="s">
        <v>475</v>
      </c>
      <c r="AK31" s="14" t="s">
        <v>475</v>
      </c>
      <c r="AL31" s="14" t="s">
        <v>475</v>
      </c>
      <c r="AM31" s="14" t="s">
        <v>475</v>
      </c>
      <c r="AN31" s="14" t="s">
        <v>475</v>
      </c>
      <c r="AO31" s="14" t="s">
        <v>475</v>
      </c>
      <c r="AP31" s="14" t="s">
        <v>475</v>
      </c>
      <c r="AQ31" s="14" t="s">
        <v>475</v>
      </c>
    </row>
    <row r="32" spans="1:43" ht="21.5" x14ac:dyDescent="0.35">
      <c r="A32" s="19"/>
      <c r="B32" s="11" t="s">
        <v>1566</v>
      </c>
      <c r="C32" s="12">
        <v>8</v>
      </c>
      <c r="D32" s="12">
        <v>0</v>
      </c>
      <c r="E32" s="12">
        <v>0</v>
      </c>
      <c r="F32" s="12">
        <v>0</v>
      </c>
      <c r="G32" s="12">
        <v>0</v>
      </c>
      <c r="H32" s="12">
        <v>2</v>
      </c>
      <c r="I32" s="12">
        <v>2</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1</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row>
    <row r="33" spans="1:43" ht="21.5" x14ac:dyDescent="0.35">
      <c r="A33" s="19"/>
      <c r="B33" s="13" t="s">
        <v>1567</v>
      </c>
      <c r="C33" s="14" t="s">
        <v>475</v>
      </c>
      <c r="D33" s="14" t="s">
        <v>475</v>
      </c>
      <c r="E33" s="14" t="s">
        <v>475</v>
      </c>
      <c r="F33" s="14" t="s">
        <v>475</v>
      </c>
      <c r="G33" s="14" t="s">
        <v>475</v>
      </c>
      <c r="H33" s="14" t="s">
        <v>475</v>
      </c>
      <c r="I33" s="14" t="s">
        <v>475</v>
      </c>
      <c r="J33" s="14" t="s">
        <v>475</v>
      </c>
      <c r="K33" s="14" t="s">
        <v>475</v>
      </c>
      <c r="L33" s="14" t="s">
        <v>475</v>
      </c>
      <c r="M33" s="14" t="s">
        <v>475</v>
      </c>
      <c r="N33" s="14" t="s">
        <v>475</v>
      </c>
      <c r="O33" s="14" t="s">
        <v>475</v>
      </c>
      <c r="P33" s="14" t="s">
        <v>475</v>
      </c>
      <c r="Q33" s="14" t="s">
        <v>475</v>
      </c>
      <c r="R33" s="14" t="s">
        <v>475</v>
      </c>
      <c r="S33" s="14" t="s">
        <v>475</v>
      </c>
      <c r="T33" s="14" t="s">
        <v>475</v>
      </c>
      <c r="U33" s="14" t="s">
        <v>475</v>
      </c>
      <c r="V33" s="14" t="s">
        <v>475</v>
      </c>
      <c r="W33" s="14" t="s">
        <v>475</v>
      </c>
      <c r="X33" s="14" t="s">
        <v>475</v>
      </c>
      <c r="Y33" s="14" t="s">
        <v>475</v>
      </c>
      <c r="Z33" s="14" t="s">
        <v>475</v>
      </c>
      <c r="AA33" s="14" t="s">
        <v>475</v>
      </c>
      <c r="AB33" s="14" t="s">
        <v>475</v>
      </c>
      <c r="AC33" s="14" t="s">
        <v>475</v>
      </c>
      <c r="AD33" s="14" t="s">
        <v>475</v>
      </c>
      <c r="AE33" s="14" t="s">
        <v>475</v>
      </c>
      <c r="AF33" s="14" t="s">
        <v>475</v>
      </c>
      <c r="AG33" s="14" t="s">
        <v>475</v>
      </c>
      <c r="AH33" s="14" t="s">
        <v>475</v>
      </c>
      <c r="AI33" s="14" t="s">
        <v>475</v>
      </c>
      <c r="AJ33" s="14" t="s">
        <v>475</v>
      </c>
      <c r="AK33" s="14" t="s">
        <v>475</v>
      </c>
      <c r="AL33" s="14" t="s">
        <v>475</v>
      </c>
      <c r="AM33" s="14" t="s">
        <v>475</v>
      </c>
      <c r="AN33" s="14" t="s">
        <v>475</v>
      </c>
      <c r="AO33" s="14" t="s">
        <v>475</v>
      </c>
      <c r="AP33" s="14" t="s">
        <v>475</v>
      </c>
      <c r="AQ33" s="14" t="s">
        <v>475</v>
      </c>
    </row>
    <row r="34" spans="1:43" x14ac:dyDescent="0.35">
      <c r="A34" s="19"/>
      <c r="B34" s="11" t="s">
        <v>750</v>
      </c>
      <c r="C34" s="12">
        <v>11</v>
      </c>
      <c r="D34" s="12">
        <v>0</v>
      </c>
      <c r="E34" s="12">
        <v>1</v>
      </c>
      <c r="F34" s="12">
        <v>4</v>
      </c>
      <c r="G34" s="12">
        <v>0</v>
      </c>
      <c r="H34" s="12">
        <v>1</v>
      </c>
      <c r="I34" s="12">
        <v>1</v>
      </c>
      <c r="J34" s="12">
        <v>0</v>
      </c>
      <c r="K34" s="12">
        <v>1</v>
      </c>
      <c r="L34" s="12">
        <v>3</v>
      </c>
      <c r="M34" s="12">
        <v>0</v>
      </c>
      <c r="N34" s="12">
        <v>0</v>
      </c>
      <c r="O34" s="12">
        <v>0</v>
      </c>
      <c r="P34" s="12">
        <v>0</v>
      </c>
      <c r="Q34" s="12">
        <v>0</v>
      </c>
      <c r="R34" s="12">
        <v>0</v>
      </c>
      <c r="S34" s="12">
        <v>1</v>
      </c>
      <c r="T34" s="12">
        <v>3</v>
      </c>
      <c r="U34" s="12">
        <v>0</v>
      </c>
      <c r="V34" s="12">
        <v>1</v>
      </c>
      <c r="W34" s="12">
        <v>0</v>
      </c>
      <c r="X34" s="12">
        <v>1</v>
      </c>
      <c r="Y34" s="12">
        <v>0</v>
      </c>
      <c r="Z34" s="12">
        <v>0</v>
      </c>
      <c r="AA34" s="12">
        <v>0</v>
      </c>
      <c r="AB34" s="12">
        <v>1</v>
      </c>
      <c r="AC34" s="12">
        <v>0</v>
      </c>
      <c r="AD34" s="12">
        <v>0</v>
      </c>
      <c r="AE34" s="12">
        <v>1</v>
      </c>
      <c r="AF34" s="12">
        <v>0</v>
      </c>
      <c r="AG34" s="12">
        <v>0</v>
      </c>
      <c r="AH34" s="12">
        <v>0</v>
      </c>
      <c r="AI34" s="12">
        <v>0</v>
      </c>
      <c r="AJ34" s="12">
        <v>1</v>
      </c>
      <c r="AK34" s="12">
        <v>0</v>
      </c>
      <c r="AL34" s="12">
        <v>0</v>
      </c>
      <c r="AM34" s="12">
        <v>11</v>
      </c>
      <c r="AN34" s="12">
        <v>0</v>
      </c>
      <c r="AO34" s="12">
        <v>2</v>
      </c>
      <c r="AP34" s="12">
        <v>0</v>
      </c>
      <c r="AQ34" s="12">
        <v>1</v>
      </c>
    </row>
    <row r="35" spans="1:43" x14ac:dyDescent="0.35">
      <c r="A35" s="19"/>
      <c r="B35" s="13" t="s">
        <v>751</v>
      </c>
      <c r="C35" s="14" t="s">
        <v>475</v>
      </c>
      <c r="D35" s="14" t="s">
        <v>475</v>
      </c>
      <c r="E35" s="14" t="s">
        <v>475</v>
      </c>
      <c r="F35" s="14" t="s">
        <v>475</v>
      </c>
      <c r="G35" s="14" t="s">
        <v>475</v>
      </c>
      <c r="H35" s="14" t="s">
        <v>475</v>
      </c>
      <c r="I35" s="14" t="s">
        <v>475</v>
      </c>
      <c r="J35" s="14" t="s">
        <v>475</v>
      </c>
      <c r="K35" s="14" t="s">
        <v>475</v>
      </c>
      <c r="L35" s="14" t="s">
        <v>475</v>
      </c>
      <c r="M35" s="14" t="s">
        <v>475</v>
      </c>
      <c r="N35" s="14" t="s">
        <v>475</v>
      </c>
      <c r="O35" s="14" t="s">
        <v>475</v>
      </c>
      <c r="P35" s="14" t="s">
        <v>475</v>
      </c>
      <c r="Q35" s="14" t="s">
        <v>475</v>
      </c>
      <c r="R35" s="14" t="s">
        <v>475</v>
      </c>
      <c r="S35" s="14" t="s">
        <v>475</v>
      </c>
      <c r="T35" s="14" t="s">
        <v>475</v>
      </c>
      <c r="U35" s="14" t="s">
        <v>475</v>
      </c>
      <c r="V35" s="14" t="s">
        <v>475</v>
      </c>
      <c r="W35" s="14" t="s">
        <v>475</v>
      </c>
      <c r="X35" s="14" t="s">
        <v>475</v>
      </c>
      <c r="Y35" s="14" t="s">
        <v>475</v>
      </c>
      <c r="Z35" s="14" t="s">
        <v>475</v>
      </c>
      <c r="AA35" s="14" t="s">
        <v>475</v>
      </c>
      <c r="AB35" s="14" t="s">
        <v>475</v>
      </c>
      <c r="AC35" s="14" t="s">
        <v>475</v>
      </c>
      <c r="AD35" s="14" t="s">
        <v>475</v>
      </c>
      <c r="AE35" s="14" t="s">
        <v>475</v>
      </c>
      <c r="AF35" s="14" t="s">
        <v>475</v>
      </c>
      <c r="AG35" s="14" t="s">
        <v>475</v>
      </c>
      <c r="AH35" s="14" t="s">
        <v>475</v>
      </c>
      <c r="AI35" s="14" t="s">
        <v>475</v>
      </c>
      <c r="AJ35" s="14" t="s">
        <v>475</v>
      </c>
      <c r="AK35" s="14" t="s">
        <v>475</v>
      </c>
      <c r="AL35" s="14" t="s">
        <v>475</v>
      </c>
      <c r="AM35" s="15">
        <v>0.01</v>
      </c>
      <c r="AN35" s="14" t="s">
        <v>475</v>
      </c>
      <c r="AO35" s="14" t="s">
        <v>475</v>
      </c>
      <c r="AP35" s="14" t="s">
        <v>475</v>
      </c>
      <c r="AQ35" s="14" t="s">
        <v>475</v>
      </c>
    </row>
    <row r="36" spans="1:43" x14ac:dyDescent="0.35">
      <c r="A36" s="19"/>
      <c r="B36" s="11" t="s">
        <v>485</v>
      </c>
      <c r="C36" s="12">
        <v>12</v>
      </c>
      <c r="D36" s="12">
        <v>0</v>
      </c>
      <c r="E36" s="12">
        <v>0</v>
      </c>
      <c r="F36" s="12">
        <v>0</v>
      </c>
      <c r="G36" s="12">
        <v>0</v>
      </c>
      <c r="H36" s="12">
        <v>1</v>
      </c>
      <c r="I36" s="12">
        <v>2</v>
      </c>
      <c r="J36" s="12">
        <v>1</v>
      </c>
      <c r="K36" s="12">
        <v>0</v>
      </c>
      <c r="L36" s="12">
        <v>3</v>
      </c>
      <c r="M36" s="12">
        <v>0</v>
      </c>
      <c r="N36" s="12">
        <v>0</v>
      </c>
      <c r="O36" s="12">
        <v>1</v>
      </c>
      <c r="P36" s="12">
        <v>0</v>
      </c>
      <c r="Q36" s="12">
        <v>0</v>
      </c>
      <c r="R36" s="12">
        <v>0</v>
      </c>
      <c r="S36" s="12">
        <v>0</v>
      </c>
      <c r="T36" s="12">
        <v>0</v>
      </c>
      <c r="U36" s="12">
        <v>3</v>
      </c>
      <c r="V36" s="12">
        <v>0</v>
      </c>
      <c r="W36" s="12">
        <v>0</v>
      </c>
      <c r="X36" s="12">
        <v>0</v>
      </c>
      <c r="Y36" s="12">
        <v>0</v>
      </c>
      <c r="Z36" s="12">
        <v>0</v>
      </c>
      <c r="AA36" s="12">
        <v>0</v>
      </c>
      <c r="AB36" s="12">
        <v>0</v>
      </c>
      <c r="AC36" s="12">
        <v>0</v>
      </c>
      <c r="AD36" s="12">
        <v>0</v>
      </c>
      <c r="AE36" s="12">
        <v>0</v>
      </c>
      <c r="AF36" s="12">
        <v>0</v>
      </c>
      <c r="AG36" s="12">
        <v>0</v>
      </c>
      <c r="AH36" s="12">
        <v>0</v>
      </c>
      <c r="AI36" s="12">
        <v>0</v>
      </c>
      <c r="AJ36" s="12">
        <v>0</v>
      </c>
      <c r="AK36" s="12">
        <v>0</v>
      </c>
      <c r="AL36" s="12">
        <v>0</v>
      </c>
      <c r="AM36" s="12">
        <v>6</v>
      </c>
      <c r="AN36" s="12">
        <v>0</v>
      </c>
      <c r="AO36" s="12">
        <v>5</v>
      </c>
      <c r="AP36" s="12">
        <v>0</v>
      </c>
      <c r="AQ36" s="12">
        <v>0</v>
      </c>
    </row>
    <row r="37" spans="1:43" x14ac:dyDescent="0.35">
      <c r="A37" s="19"/>
      <c r="B37" s="13" t="s">
        <v>486</v>
      </c>
      <c r="C37" s="14" t="s">
        <v>475</v>
      </c>
      <c r="D37" s="14" t="s">
        <v>475</v>
      </c>
      <c r="E37" s="14" t="s">
        <v>475</v>
      </c>
      <c r="F37" s="14" t="s">
        <v>475</v>
      </c>
      <c r="G37" s="14" t="s">
        <v>475</v>
      </c>
      <c r="H37" s="14" t="s">
        <v>475</v>
      </c>
      <c r="I37" s="14" t="s">
        <v>475</v>
      </c>
      <c r="J37" s="14" t="s">
        <v>475</v>
      </c>
      <c r="K37" s="14" t="s">
        <v>475</v>
      </c>
      <c r="L37" s="14" t="s">
        <v>475</v>
      </c>
      <c r="M37" s="14" t="s">
        <v>475</v>
      </c>
      <c r="N37" s="14" t="s">
        <v>475</v>
      </c>
      <c r="O37" s="14" t="s">
        <v>475</v>
      </c>
      <c r="P37" s="14" t="s">
        <v>475</v>
      </c>
      <c r="Q37" s="14" t="s">
        <v>475</v>
      </c>
      <c r="R37" s="14" t="s">
        <v>475</v>
      </c>
      <c r="S37" s="14" t="s">
        <v>475</v>
      </c>
      <c r="T37" s="14" t="s">
        <v>475</v>
      </c>
      <c r="U37" s="15">
        <v>0.01</v>
      </c>
      <c r="V37" s="14" t="s">
        <v>475</v>
      </c>
      <c r="W37" s="14" t="s">
        <v>475</v>
      </c>
      <c r="X37" s="14" t="s">
        <v>475</v>
      </c>
      <c r="Y37" s="14" t="s">
        <v>475</v>
      </c>
      <c r="Z37" s="14" t="s">
        <v>475</v>
      </c>
      <c r="AA37" s="14" t="s">
        <v>475</v>
      </c>
      <c r="AB37" s="14" t="s">
        <v>475</v>
      </c>
      <c r="AC37" s="14" t="s">
        <v>475</v>
      </c>
      <c r="AD37" s="14" t="s">
        <v>475</v>
      </c>
      <c r="AE37" s="14" t="s">
        <v>475</v>
      </c>
      <c r="AF37" s="14" t="s">
        <v>475</v>
      </c>
      <c r="AG37" s="14" t="s">
        <v>475</v>
      </c>
      <c r="AH37" s="14" t="s">
        <v>475</v>
      </c>
      <c r="AI37" s="14" t="s">
        <v>475</v>
      </c>
      <c r="AJ37" s="14" t="s">
        <v>475</v>
      </c>
      <c r="AK37" s="14" t="s">
        <v>475</v>
      </c>
      <c r="AL37" s="14" t="s">
        <v>475</v>
      </c>
      <c r="AM37" s="14" t="s">
        <v>475</v>
      </c>
      <c r="AN37" s="14" t="s">
        <v>475</v>
      </c>
      <c r="AO37" s="14" t="s">
        <v>475</v>
      </c>
      <c r="AP37" s="14" t="s">
        <v>475</v>
      </c>
      <c r="AQ37" s="14" t="s">
        <v>475</v>
      </c>
    </row>
  </sheetData>
  <mergeCells count="9">
    <mergeCell ref="B4:F4"/>
    <mergeCell ref="H3:L3"/>
    <mergeCell ref="B3:F3"/>
    <mergeCell ref="B5:F5"/>
    <mergeCell ref="A10:A37"/>
    <mergeCell ref="C8:AQ8"/>
    <mergeCell ref="H5:L5"/>
    <mergeCell ref="B10:B11"/>
    <mergeCell ref="H4:L4"/>
  </mergeCell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381</v>
      </c>
      <c r="C3" s="18"/>
      <c r="D3" s="18"/>
      <c r="E3" s="18"/>
      <c r="F3" s="18"/>
      <c r="H3" s="18" t="s">
        <v>382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1568</v>
      </c>
      <c r="C12" s="12">
        <v>12809</v>
      </c>
      <c r="D12" s="12">
        <v>494</v>
      </c>
      <c r="E12" s="12">
        <v>489</v>
      </c>
      <c r="F12" s="12">
        <v>536</v>
      </c>
      <c r="G12" s="12">
        <v>508</v>
      </c>
      <c r="H12" s="12">
        <v>599</v>
      </c>
      <c r="I12" s="12">
        <v>743</v>
      </c>
      <c r="J12" s="12">
        <v>144</v>
      </c>
      <c r="K12" s="12">
        <v>464</v>
      </c>
      <c r="L12" s="12">
        <v>490</v>
      </c>
      <c r="M12" s="12">
        <v>491</v>
      </c>
      <c r="N12" s="12">
        <v>487</v>
      </c>
      <c r="O12" s="12">
        <v>479</v>
      </c>
      <c r="P12" s="12">
        <v>483</v>
      </c>
      <c r="Q12" s="12">
        <v>498</v>
      </c>
      <c r="R12" s="12">
        <v>246</v>
      </c>
      <c r="S12" s="12">
        <v>455</v>
      </c>
      <c r="T12" s="12">
        <v>469</v>
      </c>
      <c r="U12" s="12">
        <v>253</v>
      </c>
      <c r="V12" s="12">
        <v>484</v>
      </c>
      <c r="W12" s="12">
        <v>270</v>
      </c>
      <c r="X12" s="12">
        <v>491</v>
      </c>
      <c r="Y12" s="12">
        <v>491</v>
      </c>
      <c r="Z12" s="12">
        <v>492</v>
      </c>
      <c r="AA12" s="12">
        <v>488</v>
      </c>
      <c r="AB12" s="12">
        <v>504</v>
      </c>
      <c r="AC12" s="12">
        <v>502</v>
      </c>
      <c r="AD12" s="12">
        <v>487</v>
      </c>
      <c r="AE12" s="12">
        <v>498</v>
      </c>
      <c r="AF12" s="12">
        <v>518</v>
      </c>
      <c r="AG12" s="12">
        <v>515</v>
      </c>
      <c r="AH12" s="12">
        <v>497</v>
      </c>
      <c r="AI12" s="12">
        <v>285</v>
      </c>
      <c r="AJ12" s="12">
        <v>499</v>
      </c>
      <c r="AK12" s="12">
        <v>496</v>
      </c>
      <c r="AL12" s="12">
        <v>470</v>
      </c>
      <c r="AM12" s="12">
        <v>504</v>
      </c>
      <c r="AN12" s="12">
        <v>515</v>
      </c>
      <c r="AO12" s="12">
        <v>499</v>
      </c>
      <c r="AP12" s="12">
        <v>276</v>
      </c>
      <c r="AQ12" s="12">
        <v>472</v>
      </c>
    </row>
    <row r="13" spans="1:43" x14ac:dyDescent="0.35">
      <c r="A13" s="19"/>
      <c r="B13" s="13" t="s">
        <v>1569</v>
      </c>
      <c r="C13" s="15">
        <v>0.49</v>
      </c>
      <c r="D13" s="15">
        <v>0.49</v>
      </c>
      <c r="E13" s="15">
        <v>0.48</v>
      </c>
      <c r="F13" s="15">
        <v>0.49</v>
      </c>
      <c r="G13" s="15">
        <v>0.51</v>
      </c>
      <c r="H13" s="15">
        <v>0.49</v>
      </c>
      <c r="I13" s="15">
        <v>0.49</v>
      </c>
      <c r="J13" s="15">
        <v>0.49</v>
      </c>
      <c r="K13" s="15">
        <v>0.46</v>
      </c>
      <c r="L13" s="15">
        <v>0.49</v>
      </c>
      <c r="M13" s="15">
        <v>0.49</v>
      </c>
      <c r="N13" s="15">
        <v>0.49</v>
      </c>
      <c r="O13" s="15">
        <v>0.48</v>
      </c>
      <c r="P13" s="15">
        <v>0.48</v>
      </c>
      <c r="Q13" s="15">
        <v>0.49</v>
      </c>
      <c r="R13" s="15">
        <v>0.49</v>
      </c>
      <c r="S13" s="15">
        <v>0.45</v>
      </c>
      <c r="T13" s="15">
        <v>0.47</v>
      </c>
      <c r="U13" s="15">
        <v>0.5</v>
      </c>
      <c r="V13" s="15">
        <v>0.48</v>
      </c>
      <c r="W13" s="15">
        <v>0.53</v>
      </c>
      <c r="X13" s="15">
        <v>0.48</v>
      </c>
      <c r="Y13" s="15">
        <v>0.49</v>
      </c>
      <c r="Z13" s="15">
        <v>0.48</v>
      </c>
      <c r="AA13" s="15">
        <v>0.47</v>
      </c>
      <c r="AB13" s="15">
        <v>0.48</v>
      </c>
      <c r="AC13" s="15">
        <v>0.5</v>
      </c>
      <c r="AD13" s="15">
        <v>0.48</v>
      </c>
      <c r="AE13" s="15">
        <v>0.49</v>
      </c>
      <c r="AF13" s="15">
        <v>0.5</v>
      </c>
      <c r="AG13" s="15">
        <v>0.5</v>
      </c>
      <c r="AH13" s="15">
        <v>0.49</v>
      </c>
      <c r="AI13" s="15">
        <v>0.55000000000000004</v>
      </c>
      <c r="AJ13" s="15">
        <v>0.48</v>
      </c>
      <c r="AK13" s="15">
        <v>0.49</v>
      </c>
      <c r="AL13" s="15">
        <v>0.47</v>
      </c>
      <c r="AM13" s="15">
        <v>0.49</v>
      </c>
      <c r="AN13" s="15">
        <v>0.51</v>
      </c>
      <c r="AO13" s="15">
        <v>0.5</v>
      </c>
      <c r="AP13" s="15">
        <v>0.53</v>
      </c>
      <c r="AQ13" s="15">
        <v>0.47</v>
      </c>
    </row>
    <row r="14" spans="1:43" x14ac:dyDescent="0.35">
      <c r="A14" s="19"/>
      <c r="B14" s="11" t="s">
        <v>1570</v>
      </c>
      <c r="C14" s="12">
        <v>13591</v>
      </c>
      <c r="D14" s="12">
        <v>513</v>
      </c>
      <c r="E14" s="12">
        <v>541</v>
      </c>
      <c r="F14" s="12">
        <v>566</v>
      </c>
      <c r="G14" s="12">
        <v>496</v>
      </c>
      <c r="H14" s="12">
        <v>622</v>
      </c>
      <c r="I14" s="12">
        <v>773</v>
      </c>
      <c r="J14" s="12">
        <v>151</v>
      </c>
      <c r="K14" s="12">
        <v>531</v>
      </c>
      <c r="L14" s="12">
        <v>510</v>
      </c>
      <c r="M14" s="12">
        <v>518</v>
      </c>
      <c r="N14" s="12">
        <v>515</v>
      </c>
      <c r="O14" s="12">
        <v>521</v>
      </c>
      <c r="P14" s="12">
        <v>521</v>
      </c>
      <c r="Q14" s="12">
        <v>527</v>
      </c>
      <c r="R14" s="12">
        <v>258</v>
      </c>
      <c r="S14" s="12">
        <v>547</v>
      </c>
      <c r="T14" s="12">
        <v>537</v>
      </c>
      <c r="U14" s="12">
        <v>251</v>
      </c>
      <c r="V14" s="12">
        <v>531</v>
      </c>
      <c r="W14" s="12">
        <v>238</v>
      </c>
      <c r="X14" s="12">
        <v>502</v>
      </c>
      <c r="Y14" s="12">
        <v>512</v>
      </c>
      <c r="Z14" s="12">
        <v>537</v>
      </c>
      <c r="AA14" s="12">
        <v>545</v>
      </c>
      <c r="AB14" s="12">
        <v>544</v>
      </c>
      <c r="AC14" s="12">
        <v>501</v>
      </c>
      <c r="AD14" s="12">
        <v>517</v>
      </c>
      <c r="AE14" s="12">
        <v>514</v>
      </c>
      <c r="AF14" s="12">
        <v>522</v>
      </c>
      <c r="AG14" s="12">
        <v>520</v>
      </c>
      <c r="AH14" s="12">
        <v>515</v>
      </c>
      <c r="AI14" s="12">
        <v>238</v>
      </c>
      <c r="AJ14" s="12">
        <v>538</v>
      </c>
      <c r="AK14" s="12">
        <v>511</v>
      </c>
      <c r="AL14" s="12">
        <v>541</v>
      </c>
      <c r="AM14" s="12">
        <v>534</v>
      </c>
      <c r="AN14" s="12">
        <v>488</v>
      </c>
      <c r="AO14" s="12">
        <v>506</v>
      </c>
      <c r="AP14" s="12">
        <v>247</v>
      </c>
      <c r="AQ14" s="12">
        <v>530</v>
      </c>
    </row>
    <row r="15" spans="1:43" x14ac:dyDescent="0.35">
      <c r="A15" s="19"/>
      <c r="B15" s="13" t="s">
        <v>1571</v>
      </c>
      <c r="C15" s="15">
        <v>0.51</v>
      </c>
      <c r="D15" s="15">
        <v>0.51</v>
      </c>
      <c r="E15" s="15">
        <v>0.52</v>
      </c>
      <c r="F15" s="15">
        <v>0.51</v>
      </c>
      <c r="G15" s="15">
        <v>0.49</v>
      </c>
      <c r="H15" s="15">
        <v>0.51</v>
      </c>
      <c r="I15" s="15">
        <v>0.51</v>
      </c>
      <c r="J15" s="15">
        <v>0.51</v>
      </c>
      <c r="K15" s="15">
        <v>0.53</v>
      </c>
      <c r="L15" s="15">
        <v>0.51</v>
      </c>
      <c r="M15" s="15">
        <v>0.51</v>
      </c>
      <c r="N15" s="15">
        <v>0.51</v>
      </c>
      <c r="O15" s="15">
        <v>0.52</v>
      </c>
      <c r="P15" s="15">
        <v>0.52</v>
      </c>
      <c r="Q15" s="15">
        <v>0.51</v>
      </c>
      <c r="R15" s="15">
        <v>0.51</v>
      </c>
      <c r="S15" s="15">
        <v>0.55000000000000004</v>
      </c>
      <c r="T15" s="15">
        <v>0.53</v>
      </c>
      <c r="U15" s="15">
        <v>0.5</v>
      </c>
      <c r="V15" s="15">
        <v>0.52</v>
      </c>
      <c r="W15" s="15">
        <v>0.47</v>
      </c>
      <c r="X15" s="15">
        <v>0.5</v>
      </c>
      <c r="Y15" s="15">
        <v>0.51</v>
      </c>
      <c r="Z15" s="15">
        <v>0.52</v>
      </c>
      <c r="AA15" s="15">
        <v>0.53</v>
      </c>
      <c r="AB15" s="15">
        <v>0.52</v>
      </c>
      <c r="AC15" s="15">
        <v>0.5</v>
      </c>
      <c r="AD15" s="15">
        <v>0.52</v>
      </c>
      <c r="AE15" s="15">
        <v>0.51</v>
      </c>
      <c r="AF15" s="15">
        <v>0.5</v>
      </c>
      <c r="AG15" s="15">
        <v>0.5</v>
      </c>
      <c r="AH15" s="15">
        <v>0.51</v>
      </c>
      <c r="AI15" s="15">
        <v>0.45</v>
      </c>
      <c r="AJ15" s="15">
        <v>0.52</v>
      </c>
      <c r="AK15" s="15">
        <v>0.51</v>
      </c>
      <c r="AL15" s="15">
        <v>0.53</v>
      </c>
      <c r="AM15" s="15">
        <v>0.51</v>
      </c>
      <c r="AN15" s="15">
        <v>0.49</v>
      </c>
      <c r="AO15" s="15">
        <v>0.5</v>
      </c>
      <c r="AP15" s="15">
        <v>0.47</v>
      </c>
      <c r="AQ15" s="15">
        <v>0.53</v>
      </c>
    </row>
    <row r="16" spans="1:43" ht="31.5" x14ac:dyDescent="0.35">
      <c r="A16" s="19"/>
      <c r="B16" s="11" t="s">
        <v>1572</v>
      </c>
      <c r="C16" s="12">
        <v>18</v>
      </c>
      <c r="D16" s="12">
        <v>1</v>
      </c>
      <c r="E16" s="12">
        <v>0</v>
      </c>
      <c r="F16" s="12">
        <v>0</v>
      </c>
      <c r="G16" s="12">
        <v>2</v>
      </c>
      <c r="H16" s="12">
        <v>0</v>
      </c>
      <c r="I16" s="12">
        <v>0</v>
      </c>
      <c r="J16" s="12">
        <v>0</v>
      </c>
      <c r="K16" s="12">
        <v>3</v>
      </c>
      <c r="L16" s="12">
        <v>2</v>
      </c>
      <c r="M16" s="12">
        <v>1</v>
      </c>
      <c r="N16" s="12">
        <v>0</v>
      </c>
      <c r="O16" s="12">
        <v>0</v>
      </c>
      <c r="P16" s="12">
        <v>0</v>
      </c>
      <c r="Q16" s="12">
        <v>1</v>
      </c>
      <c r="R16" s="12">
        <v>0</v>
      </c>
      <c r="S16" s="12">
        <v>0</v>
      </c>
      <c r="T16" s="12">
        <v>0</v>
      </c>
      <c r="U16" s="12">
        <v>0</v>
      </c>
      <c r="V16" s="12">
        <v>0</v>
      </c>
      <c r="W16" s="12">
        <v>0</v>
      </c>
      <c r="X16" s="12">
        <v>8</v>
      </c>
      <c r="Y16" s="12">
        <v>0</v>
      </c>
      <c r="Z16" s="12">
        <v>0</v>
      </c>
      <c r="AA16" s="12">
        <v>0</v>
      </c>
      <c r="AB16" s="12">
        <v>1</v>
      </c>
      <c r="AC16" s="12">
        <v>0</v>
      </c>
      <c r="AD16" s="12">
        <v>0</v>
      </c>
      <c r="AE16" s="12">
        <v>0</v>
      </c>
      <c r="AF16" s="12">
        <v>2</v>
      </c>
      <c r="AG16" s="12">
        <v>0</v>
      </c>
      <c r="AH16" s="12">
        <v>0</v>
      </c>
      <c r="AI16" s="12">
        <v>0</v>
      </c>
      <c r="AJ16" s="12">
        <v>0</v>
      </c>
      <c r="AK16" s="12">
        <v>0</v>
      </c>
      <c r="AL16" s="12">
        <v>0</v>
      </c>
      <c r="AM16" s="12">
        <v>1</v>
      </c>
      <c r="AN16" s="12">
        <v>0</v>
      </c>
      <c r="AO16" s="12">
        <v>0</v>
      </c>
      <c r="AP16" s="12">
        <v>2</v>
      </c>
      <c r="AQ16" s="12">
        <v>0</v>
      </c>
    </row>
    <row r="17" spans="1:43" ht="31.5" x14ac:dyDescent="0.35">
      <c r="A17" s="19"/>
      <c r="B17" s="13" t="s">
        <v>1573</v>
      </c>
      <c r="C17" s="14" t="s">
        <v>475</v>
      </c>
      <c r="D17" s="14" t="s">
        <v>475</v>
      </c>
      <c r="E17" s="14" t="s">
        <v>475</v>
      </c>
      <c r="F17" s="14" t="s">
        <v>475</v>
      </c>
      <c r="G17" s="14" t="s">
        <v>475</v>
      </c>
      <c r="H17" s="14" t="s">
        <v>475</v>
      </c>
      <c r="I17" s="14" t="s">
        <v>475</v>
      </c>
      <c r="J17" s="14" t="s">
        <v>475</v>
      </c>
      <c r="K17" s="14" t="s">
        <v>475</v>
      </c>
      <c r="L17" s="14" t="s">
        <v>475</v>
      </c>
      <c r="M17" s="14" t="s">
        <v>475</v>
      </c>
      <c r="N17" s="14" t="s">
        <v>475</v>
      </c>
      <c r="O17" s="14" t="s">
        <v>475</v>
      </c>
      <c r="P17" s="14" t="s">
        <v>475</v>
      </c>
      <c r="Q17" s="14" t="s">
        <v>475</v>
      </c>
      <c r="R17" s="14" t="s">
        <v>475</v>
      </c>
      <c r="S17" s="14" t="s">
        <v>475</v>
      </c>
      <c r="T17" s="14" t="s">
        <v>475</v>
      </c>
      <c r="U17" s="14" t="s">
        <v>475</v>
      </c>
      <c r="V17" s="14" t="s">
        <v>475</v>
      </c>
      <c r="W17" s="14" t="s">
        <v>475</v>
      </c>
      <c r="X17" s="15">
        <v>0.01</v>
      </c>
      <c r="Y17" s="14" t="s">
        <v>475</v>
      </c>
      <c r="Z17" s="14" t="s">
        <v>475</v>
      </c>
      <c r="AA17" s="14" t="s">
        <v>475</v>
      </c>
      <c r="AB17" s="14" t="s">
        <v>475</v>
      </c>
      <c r="AC17" s="14" t="s">
        <v>475</v>
      </c>
      <c r="AD17" s="14" t="s">
        <v>475</v>
      </c>
      <c r="AE17" s="14" t="s">
        <v>475</v>
      </c>
      <c r="AF17" s="14" t="s">
        <v>475</v>
      </c>
      <c r="AG17" s="14" t="s">
        <v>475</v>
      </c>
      <c r="AH17" s="14" t="s">
        <v>475</v>
      </c>
      <c r="AI17" s="14" t="s">
        <v>475</v>
      </c>
      <c r="AJ17" s="14" t="s">
        <v>475</v>
      </c>
      <c r="AK17" s="14" t="s">
        <v>475</v>
      </c>
      <c r="AL17" s="14" t="s">
        <v>475</v>
      </c>
      <c r="AM17" s="14" t="s">
        <v>475</v>
      </c>
      <c r="AN17" s="14" t="s">
        <v>475</v>
      </c>
      <c r="AO17" s="14" t="s">
        <v>475</v>
      </c>
      <c r="AP17" s="14" t="s">
        <v>475</v>
      </c>
      <c r="AQ17" s="14" t="s">
        <v>475</v>
      </c>
    </row>
    <row r="18" spans="1:43" x14ac:dyDescent="0.35">
      <c r="A18" s="19"/>
      <c r="B18" s="11" t="s">
        <v>1574</v>
      </c>
      <c r="C18" s="12">
        <v>28</v>
      </c>
      <c r="D18" s="12">
        <v>5</v>
      </c>
      <c r="E18" s="12">
        <v>0</v>
      </c>
      <c r="F18" s="12">
        <v>0</v>
      </c>
      <c r="G18" s="12">
        <v>0</v>
      </c>
      <c r="H18" s="12">
        <v>0</v>
      </c>
      <c r="I18" s="12">
        <v>0</v>
      </c>
      <c r="J18" s="12">
        <v>0</v>
      </c>
      <c r="K18" s="12">
        <v>4</v>
      </c>
      <c r="L18" s="12">
        <v>0</v>
      </c>
      <c r="M18" s="12">
        <v>0</v>
      </c>
      <c r="N18" s="12">
        <v>1</v>
      </c>
      <c r="O18" s="12">
        <v>1</v>
      </c>
      <c r="P18" s="12">
        <v>0</v>
      </c>
      <c r="Q18" s="12">
        <v>1</v>
      </c>
      <c r="R18" s="12">
        <v>0</v>
      </c>
      <c r="S18" s="12">
        <v>0</v>
      </c>
      <c r="T18" s="12">
        <v>0</v>
      </c>
      <c r="U18" s="12">
        <v>0</v>
      </c>
      <c r="V18" s="12">
        <v>0</v>
      </c>
      <c r="W18" s="12">
        <v>0</v>
      </c>
      <c r="X18" s="12">
        <v>7</v>
      </c>
      <c r="Y18" s="12">
        <v>0</v>
      </c>
      <c r="Z18" s="12">
        <v>2</v>
      </c>
      <c r="AA18" s="12">
        <v>0</v>
      </c>
      <c r="AB18" s="12">
        <v>1</v>
      </c>
      <c r="AC18" s="12">
        <v>0</v>
      </c>
      <c r="AD18" s="12">
        <v>1</v>
      </c>
      <c r="AE18" s="12">
        <v>0</v>
      </c>
      <c r="AF18" s="12">
        <v>1</v>
      </c>
      <c r="AG18" s="12">
        <v>0</v>
      </c>
      <c r="AH18" s="12">
        <v>1</v>
      </c>
      <c r="AI18" s="12">
        <v>0</v>
      </c>
      <c r="AJ18" s="12">
        <v>0</v>
      </c>
      <c r="AK18" s="12">
        <v>0</v>
      </c>
      <c r="AL18" s="12">
        <v>1</v>
      </c>
      <c r="AM18" s="12">
        <v>1</v>
      </c>
      <c r="AN18" s="12">
        <v>0</v>
      </c>
      <c r="AO18" s="12">
        <v>0</v>
      </c>
      <c r="AP18" s="12">
        <v>0</v>
      </c>
      <c r="AQ18" s="12">
        <v>0</v>
      </c>
    </row>
    <row r="19" spans="1:43" x14ac:dyDescent="0.35">
      <c r="A19" s="19"/>
      <c r="B19" s="13" t="s">
        <v>1575</v>
      </c>
      <c r="C19" s="14" t="s">
        <v>475</v>
      </c>
      <c r="D19" s="14" t="s">
        <v>475</v>
      </c>
      <c r="E19" s="14" t="s">
        <v>475</v>
      </c>
      <c r="F19" s="14" t="s">
        <v>475</v>
      </c>
      <c r="G19" s="14" t="s">
        <v>475</v>
      </c>
      <c r="H19" s="14" t="s">
        <v>475</v>
      </c>
      <c r="I19" s="14" t="s">
        <v>475</v>
      </c>
      <c r="J19" s="14" t="s">
        <v>475</v>
      </c>
      <c r="K19" s="15">
        <v>0.01</v>
      </c>
      <c r="L19" s="14" t="s">
        <v>475</v>
      </c>
      <c r="M19" s="14" t="s">
        <v>475</v>
      </c>
      <c r="N19" s="14" t="s">
        <v>475</v>
      </c>
      <c r="O19" s="14" t="s">
        <v>475</v>
      </c>
      <c r="P19" s="14" t="s">
        <v>475</v>
      </c>
      <c r="Q19" s="14" t="s">
        <v>475</v>
      </c>
      <c r="R19" s="14" t="s">
        <v>475</v>
      </c>
      <c r="S19" s="14" t="s">
        <v>475</v>
      </c>
      <c r="T19" s="14" t="s">
        <v>475</v>
      </c>
      <c r="U19" s="14" t="s">
        <v>475</v>
      </c>
      <c r="V19" s="14" t="s">
        <v>475</v>
      </c>
      <c r="W19" s="14" t="s">
        <v>475</v>
      </c>
      <c r="X19" s="15">
        <v>0.01</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Q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383</v>
      </c>
      <c r="C3" s="18"/>
      <c r="D3" s="18"/>
      <c r="E3" s="18"/>
      <c r="F3" s="18"/>
      <c r="H3" s="18" t="s">
        <v>384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41.5" x14ac:dyDescent="0.35">
      <c r="A12" s="19"/>
      <c r="B12" s="11" t="s">
        <v>1576</v>
      </c>
      <c r="C12" s="12">
        <v>1075</v>
      </c>
      <c r="D12" s="12">
        <v>19</v>
      </c>
      <c r="E12" s="12">
        <v>37</v>
      </c>
      <c r="F12" s="12">
        <v>22</v>
      </c>
      <c r="G12" s="12">
        <v>4</v>
      </c>
      <c r="H12" s="12">
        <v>38</v>
      </c>
      <c r="I12" s="12">
        <v>40</v>
      </c>
      <c r="J12" s="12">
        <v>1</v>
      </c>
      <c r="K12" s="12">
        <v>32</v>
      </c>
      <c r="L12" s="12">
        <v>78</v>
      </c>
      <c r="M12" s="12">
        <v>71</v>
      </c>
      <c r="N12" s="12">
        <v>64</v>
      </c>
      <c r="O12" s="12">
        <v>34</v>
      </c>
      <c r="P12" s="12">
        <v>21</v>
      </c>
      <c r="Q12" s="12">
        <v>75</v>
      </c>
      <c r="R12" s="12">
        <v>22</v>
      </c>
      <c r="S12" s="12">
        <v>21</v>
      </c>
      <c r="T12" s="12">
        <v>22</v>
      </c>
      <c r="U12" s="12">
        <v>5</v>
      </c>
      <c r="V12" s="12">
        <v>10</v>
      </c>
      <c r="W12" s="12">
        <v>67</v>
      </c>
      <c r="X12" s="12">
        <v>28</v>
      </c>
      <c r="Y12" s="12">
        <v>35</v>
      </c>
      <c r="Z12" s="12">
        <v>28</v>
      </c>
      <c r="AA12" s="12">
        <v>23</v>
      </c>
      <c r="AB12" s="12">
        <v>91</v>
      </c>
      <c r="AC12" s="12">
        <v>12</v>
      </c>
      <c r="AD12" s="12">
        <v>40</v>
      </c>
      <c r="AE12" s="12">
        <v>6</v>
      </c>
      <c r="AF12" s="12">
        <v>3</v>
      </c>
      <c r="AG12" s="12">
        <v>234</v>
      </c>
      <c r="AH12" s="12">
        <v>78</v>
      </c>
      <c r="AI12" s="12">
        <v>9</v>
      </c>
      <c r="AJ12" s="12">
        <v>31</v>
      </c>
      <c r="AK12" s="12">
        <v>20</v>
      </c>
      <c r="AL12" s="12">
        <v>58</v>
      </c>
      <c r="AM12" s="12">
        <v>79</v>
      </c>
      <c r="AN12" s="12">
        <v>85</v>
      </c>
      <c r="AO12" s="12">
        <v>158</v>
      </c>
      <c r="AP12" s="12">
        <v>27</v>
      </c>
      <c r="AQ12" s="12">
        <v>152</v>
      </c>
    </row>
    <row r="13" spans="1:43" ht="51.5" x14ac:dyDescent="0.35">
      <c r="A13" s="19"/>
      <c r="B13" s="13" t="s">
        <v>1577</v>
      </c>
      <c r="C13" s="15">
        <v>0.04</v>
      </c>
      <c r="D13" s="15">
        <v>0.02</v>
      </c>
      <c r="E13" s="15">
        <v>0.04</v>
      </c>
      <c r="F13" s="15">
        <v>0.02</v>
      </c>
      <c r="G13" s="14" t="s">
        <v>475</v>
      </c>
      <c r="H13" s="15">
        <v>0.03</v>
      </c>
      <c r="I13" s="15">
        <v>0.02</v>
      </c>
      <c r="J13" s="14" t="s">
        <v>475</v>
      </c>
      <c r="K13" s="15">
        <v>0.03</v>
      </c>
      <c r="L13" s="15">
        <v>0.08</v>
      </c>
      <c r="M13" s="15">
        <v>7.0000000000000007E-2</v>
      </c>
      <c r="N13" s="15">
        <v>0.06</v>
      </c>
      <c r="O13" s="15">
        <v>0.03</v>
      </c>
      <c r="P13" s="15">
        <v>0.02</v>
      </c>
      <c r="Q13" s="15">
        <v>7.0000000000000007E-2</v>
      </c>
      <c r="R13" s="15">
        <v>0.04</v>
      </c>
      <c r="S13" s="15">
        <v>0.02</v>
      </c>
      <c r="T13" s="15">
        <v>0.02</v>
      </c>
      <c r="U13" s="15">
        <v>0.01</v>
      </c>
      <c r="V13" s="15">
        <v>0.01</v>
      </c>
      <c r="W13" s="15">
        <v>0.13</v>
      </c>
      <c r="X13" s="15">
        <v>0.03</v>
      </c>
      <c r="Y13" s="15">
        <v>0.03</v>
      </c>
      <c r="Z13" s="15">
        <v>0.03</v>
      </c>
      <c r="AA13" s="15">
        <v>0.02</v>
      </c>
      <c r="AB13" s="15">
        <v>0.09</v>
      </c>
      <c r="AC13" s="15">
        <v>0.01</v>
      </c>
      <c r="AD13" s="15">
        <v>0.04</v>
      </c>
      <c r="AE13" s="15">
        <v>0.01</v>
      </c>
      <c r="AF13" s="14" t="s">
        <v>475</v>
      </c>
      <c r="AG13" s="15">
        <v>0.23</v>
      </c>
      <c r="AH13" s="15">
        <v>0.08</v>
      </c>
      <c r="AI13" s="15">
        <v>0.02</v>
      </c>
      <c r="AJ13" s="15">
        <v>0.03</v>
      </c>
      <c r="AK13" s="15">
        <v>0.02</v>
      </c>
      <c r="AL13" s="15">
        <v>0.06</v>
      </c>
      <c r="AM13" s="15">
        <v>0.08</v>
      </c>
      <c r="AN13" s="15">
        <v>0.08</v>
      </c>
      <c r="AO13" s="15">
        <v>0.16</v>
      </c>
      <c r="AP13" s="15">
        <v>0.05</v>
      </c>
      <c r="AQ13" s="15">
        <v>0.15</v>
      </c>
    </row>
    <row r="14" spans="1:43" x14ac:dyDescent="0.35">
      <c r="A14" s="19"/>
      <c r="B14" s="11" t="s">
        <v>1578</v>
      </c>
      <c r="C14" s="12">
        <v>2376</v>
      </c>
      <c r="D14" s="12">
        <v>128</v>
      </c>
      <c r="E14" s="12">
        <v>64</v>
      </c>
      <c r="F14" s="12">
        <v>103</v>
      </c>
      <c r="G14" s="12">
        <v>95</v>
      </c>
      <c r="H14" s="12">
        <v>144</v>
      </c>
      <c r="I14" s="12">
        <v>165</v>
      </c>
      <c r="J14" s="12">
        <v>21</v>
      </c>
      <c r="K14" s="12">
        <v>96</v>
      </c>
      <c r="L14" s="12">
        <v>99</v>
      </c>
      <c r="M14" s="12">
        <v>70</v>
      </c>
      <c r="N14" s="12">
        <v>83</v>
      </c>
      <c r="O14" s="12">
        <v>85</v>
      </c>
      <c r="P14" s="12">
        <v>55</v>
      </c>
      <c r="Q14" s="12">
        <v>101</v>
      </c>
      <c r="R14" s="12">
        <v>20</v>
      </c>
      <c r="S14" s="12">
        <v>61</v>
      </c>
      <c r="T14" s="12">
        <v>77</v>
      </c>
      <c r="U14" s="12">
        <v>51</v>
      </c>
      <c r="V14" s="12">
        <v>57</v>
      </c>
      <c r="W14" s="12">
        <v>42</v>
      </c>
      <c r="X14" s="12">
        <v>128</v>
      </c>
      <c r="Y14" s="12">
        <v>83</v>
      </c>
      <c r="Z14" s="12">
        <v>76</v>
      </c>
      <c r="AA14" s="12">
        <v>93</v>
      </c>
      <c r="AB14" s="12">
        <v>58</v>
      </c>
      <c r="AC14" s="12">
        <v>83</v>
      </c>
      <c r="AD14" s="12">
        <v>89</v>
      </c>
      <c r="AE14" s="12">
        <v>114</v>
      </c>
      <c r="AF14" s="12">
        <v>44</v>
      </c>
      <c r="AG14" s="12">
        <v>128</v>
      </c>
      <c r="AH14" s="12">
        <v>71</v>
      </c>
      <c r="AI14" s="12">
        <v>25</v>
      </c>
      <c r="AJ14" s="12">
        <v>79</v>
      </c>
      <c r="AK14" s="12">
        <v>102</v>
      </c>
      <c r="AL14" s="12">
        <v>75</v>
      </c>
      <c r="AM14" s="12">
        <v>67</v>
      </c>
      <c r="AN14" s="12">
        <v>114</v>
      </c>
      <c r="AO14" s="12">
        <v>127</v>
      </c>
      <c r="AP14" s="12">
        <v>71</v>
      </c>
      <c r="AQ14" s="12">
        <v>72</v>
      </c>
    </row>
    <row r="15" spans="1:43" x14ac:dyDescent="0.35">
      <c r="A15" s="19"/>
      <c r="B15" s="13" t="s">
        <v>1579</v>
      </c>
      <c r="C15" s="15">
        <v>0.09</v>
      </c>
      <c r="D15" s="15">
        <v>0.13</v>
      </c>
      <c r="E15" s="15">
        <v>0.06</v>
      </c>
      <c r="F15" s="15">
        <v>0.09</v>
      </c>
      <c r="G15" s="15">
        <v>0.09</v>
      </c>
      <c r="H15" s="15">
        <v>0.12</v>
      </c>
      <c r="I15" s="15">
        <v>0.11</v>
      </c>
      <c r="J15" s="15">
        <v>7.0000000000000007E-2</v>
      </c>
      <c r="K15" s="15">
        <v>0.1</v>
      </c>
      <c r="L15" s="15">
        <v>0.1</v>
      </c>
      <c r="M15" s="15">
        <v>7.0000000000000007E-2</v>
      </c>
      <c r="N15" s="15">
        <v>0.08</v>
      </c>
      <c r="O15" s="15">
        <v>0.09</v>
      </c>
      <c r="P15" s="15">
        <v>0.06</v>
      </c>
      <c r="Q15" s="15">
        <v>0.1</v>
      </c>
      <c r="R15" s="15">
        <v>0.04</v>
      </c>
      <c r="S15" s="15">
        <v>0.06</v>
      </c>
      <c r="T15" s="15">
        <v>0.08</v>
      </c>
      <c r="U15" s="15">
        <v>0.1</v>
      </c>
      <c r="V15" s="15">
        <v>0.06</v>
      </c>
      <c r="W15" s="15">
        <v>0.08</v>
      </c>
      <c r="X15" s="15">
        <v>0.13</v>
      </c>
      <c r="Y15" s="15">
        <v>0.08</v>
      </c>
      <c r="Z15" s="15">
        <v>7.0000000000000007E-2</v>
      </c>
      <c r="AA15" s="15">
        <v>0.09</v>
      </c>
      <c r="AB15" s="15">
        <v>0.06</v>
      </c>
      <c r="AC15" s="15">
        <v>0.08</v>
      </c>
      <c r="AD15" s="15">
        <v>0.09</v>
      </c>
      <c r="AE15" s="15">
        <v>0.11</v>
      </c>
      <c r="AF15" s="15">
        <v>0.04</v>
      </c>
      <c r="AG15" s="15">
        <v>0.12</v>
      </c>
      <c r="AH15" s="15">
        <v>7.0000000000000007E-2</v>
      </c>
      <c r="AI15" s="15">
        <v>0.05</v>
      </c>
      <c r="AJ15" s="15">
        <v>0.08</v>
      </c>
      <c r="AK15" s="15">
        <v>0.1</v>
      </c>
      <c r="AL15" s="15">
        <v>7.0000000000000007E-2</v>
      </c>
      <c r="AM15" s="15">
        <v>0.06</v>
      </c>
      <c r="AN15" s="15">
        <v>0.11</v>
      </c>
      <c r="AO15" s="15">
        <v>0.13</v>
      </c>
      <c r="AP15" s="15">
        <v>0.13</v>
      </c>
      <c r="AQ15" s="15">
        <v>7.0000000000000007E-2</v>
      </c>
    </row>
    <row r="16" spans="1:43" ht="21.5" x14ac:dyDescent="0.35">
      <c r="A16" s="19"/>
      <c r="B16" s="11" t="s">
        <v>1580</v>
      </c>
      <c r="C16" s="12">
        <v>1314</v>
      </c>
      <c r="D16" s="12">
        <v>90</v>
      </c>
      <c r="E16" s="12">
        <v>54</v>
      </c>
      <c r="F16" s="12">
        <v>30</v>
      </c>
      <c r="G16" s="12">
        <v>49</v>
      </c>
      <c r="H16" s="12">
        <v>52</v>
      </c>
      <c r="I16" s="12">
        <v>62</v>
      </c>
      <c r="J16" s="12">
        <v>10</v>
      </c>
      <c r="K16" s="12">
        <v>58</v>
      </c>
      <c r="L16" s="12">
        <v>22</v>
      </c>
      <c r="M16" s="12">
        <v>67</v>
      </c>
      <c r="N16" s="12">
        <v>88</v>
      </c>
      <c r="O16" s="12">
        <v>83</v>
      </c>
      <c r="P16" s="12">
        <v>50</v>
      </c>
      <c r="Q16" s="12">
        <v>37</v>
      </c>
      <c r="R16" s="12">
        <v>19</v>
      </c>
      <c r="S16" s="12">
        <v>78</v>
      </c>
      <c r="T16" s="12">
        <v>72</v>
      </c>
      <c r="U16" s="12">
        <v>31</v>
      </c>
      <c r="V16" s="12">
        <v>26</v>
      </c>
      <c r="W16" s="12">
        <v>2</v>
      </c>
      <c r="X16" s="12">
        <v>42</v>
      </c>
      <c r="Y16" s="12">
        <v>43</v>
      </c>
      <c r="Z16" s="12">
        <v>15</v>
      </c>
      <c r="AA16" s="12">
        <v>29</v>
      </c>
      <c r="AB16" s="12">
        <v>11</v>
      </c>
      <c r="AC16" s="12">
        <v>37</v>
      </c>
      <c r="AD16" s="12">
        <v>45</v>
      </c>
      <c r="AE16" s="12">
        <v>60</v>
      </c>
      <c r="AF16" s="12">
        <v>33</v>
      </c>
      <c r="AG16" s="12">
        <v>49</v>
      </c>
      <c r="AH16" s="12">
        <v>96</v>
      </c>
      <c r="AI16" s="12">
        <v>31</v>
      </c>
      <c r="AJ16" s="12">
        <v>52</v>
      </c>
      <c r="AK16" s="12">
        <v>148</v>
      </c>
      <c r="AL16" s="12">
        <v>147</v>
      </c>
      <c r="AM16" s="12">
        <v>89</v>
      </c>
      <c r="AN16" s="12">
        <v>176</v>
      </c>
      <c r="AO16" s="12">
        <v>174</v>
      </c>
      <c r="AP16" s="12">
        <v>42</v>
      </c>
      <c r="AQ16" s="12">
        <v>143</v>
      </c>
    </row>
    <row r="17" spans="1:43" ht="21.5" x14ac:dyDescent="0.35">
      <c r="A17" s="19"/>
      <c r="B17" s="13" t="s">
        <v>1581</v>
      </c>
      <c r="C17" s="15">
        <v>0.05</v>
      </c>
      <c r="D17" s="15">
        <v>0.09</v>
      </c>
      <c r="E17" s="15">
        <v>0.05</v>
      </c>
      <c r="F17" s="15">
        <v>0.03</v>
      </c>
      <c r="G17" s="15">
        <v>0.05</v>
      </c>
      <c r="H17" s="15">
        <v>0.04</v>
      </c>
      <c r="I17" s="15">
        <v>0.04</v>
      </c>
      <c r="J17" s="15">
        <v>0.03</v>
      </c>
      <c r="K17" s="15">
        <v>0.06</v>
      </c>
      <c r="L17" s="15">
        <v>0.02</v>
      </c>
      <c r="M17" s="15">
        <v>7.0000000000000007E-2</v>
      </c>
      <c r="N17" s="15">
        <v>0.09</v>
      </c>
      <c r="O17" s="15">
        <v>0.08</v>
      </c>
      <c r="P17" s="15">
        <v>0.05</v>
      </c>
      <c r="Q17" s="15">
        <v>0.04</v>
      </c>
      <c r="R17" s="15">
        <v>0.04</v>
      </c>
      <c r="S17" s="15">
        <v>0.08</v>
      </c>
      <c r="T17" s="15">
        <v>7.0000000000000007E-2</v>
      </c>
      <c r="U17" s="15">
        <v>0.06</v>
      </c>
      <c r="V17" s="15">
        <v>0.03</v>
      </c>
      <c r="W17" s="14" t="s">
        <v>475</v>
      </c>
      <c r="X17" s="15">
        <v>0.04</v>
      </c>
      <c r="Y17" s="15">
        <v>0.04</v>
      </c>
      <c r="Z17" s="15">
        <v>0.01</v>
      </c>
      <c r="AA17" s="15">
        <v>0.03</v>
      </c>
      <c r="AB17" s="15">
        <v>0.01</v>
      </c>
      <c r="AC17" s="15">
        <v>0.04</v>
      </c>
      <c r="AD17" s="15">
        <v>0.05</v>
      </c>
      <c r="AE17" s="15">
        <v>0.06</v>
      </c>
      <c r="AF17" s="15">
        <v>0.03</v>
      </c>
      <c r="AG17" s="15">
        <v>0.05</v>
      </c>
      <c r="AH17" s="15">
        <v>0.09</v>
      </c>
      <c r="AI17" s="15">
        <v>0.06</v>
      </c>
      <c r="AJ17" s="15">
        <v>0.05</v>
      </c>
      <c r="AK17" s="15">
        <v>0.15</v>
      </c>
      <c r="AL17" s="15">
        <v>0.15</v>
      </c>
      <c r="AM17" s="15">
        <v>0.09</v>
      </c>
      <c r="AN17" s="15">
        <v>0.18</v>
      </c>
      <c r="AO17" s="15">
        <v>0.17</v>
      </c>
      <c r="AP17" s="15">
        <v>0.08</v>
      </c>
      <c r="AQ17" s="15">
        <v>0.14000000000000001</v>
      </c>
    </row>
    <row r="18" spans="1:43" ht="21.5" x14ac:dyDescent="0.35">
      <c r="A18" s="19"/>
      <c r="B18" s="11" t="s">
        <v>1582</v>
      </c>
      <c r="C18" s="12">
        <v>6810</v>
      </c>
      <c r="D18" s="12">
        <v>301</v>
      </c>
      <c r="E18" s="12">
        <v>271</v>
      </c>
      <c r="F18" s="12">
        <v>265</v>
      </c>
      <c r="G18" s="12">
        <v>288</v>
      </c>
      <c r="H18" s="12">
        <v>328</v>
      </c>
      <c r="I18" s="12">
        <v>420</v>
      </c>
      <c r="J18" s="12">
        <v>93</v>
      </c>
      <c r="K18" s="12">
        <v>242</v>
      </c>
      <c r="L18" s="12">
        <v>170</v>
      </c>
      <c r="M18" s="12">
        <v>234</v>
      </c>
      <c r="N18" s="12">
        <v>214</v>
      </c>
      <c r="O18" s="12">
        <v>285</v>
      </c>
      <c r="P18" s="12">
        <v>286</v>
      </c>
      <c r="Q18" s="12">
        <v>240</v>
      </c>
      <c r="R18" s="12">
        <v>95</v>
      </c>
      <c r="S18" s="12">
        <v>275</v>
      </c>
      <c r="T18" s="12">
        <v>251</v>
      </c>
      <c r="U18" s="12">
        <v>125</v>
      </c>
      <c r="V18" s="12">
        <v>247</v>
      </c>
      <c r="W18" s="12">
        <v>61</v>
      </c>
      <c r="X18" s="12">
        <v>245</v>
      </c>
      <c r="Y18" s="12">
        <v>244</v>
      </c>
      <c r="Z18" s="12">
        <v>279</v>
      </c>
      <c r="AA18" s="12">
        <v>269</v>
      </c>
      <c r="AB18" s="12">
        <v>285</v>
      </c>
      <c r="AC18" s="12">
        <v>306</v>
      </c>
      <c r="AD18" s="12">
        <v>243</v>
      </c>
      <c r="AE18" s="12">
        <v>278</v>
      </c>
      <c r="AF18" s="12">
        <v>282</v>
      </c>
      <c r="AG18" s="12">
        <v>117</v>
      </c>
      <c r="AH18" s="12">
        <v>216</v>
      </c>
      <c r="AI18" s="12">
        <v>73</v>
      </c>
      <c r="AJ18" s="12">
        <v>262</v>
      </c>
      <c r="AK18" s="12">
        <v>205</v>
      </c>
      <c r="AL18" s="12">
        <v>240</v>
      </c>
      <c r="AM18" s="12">
        <v>255</v>
      </c>
      <c r="AN18" s="12">
        <v>199</v>
      </c>
      <c r="AO18" s="12">
        <v>128</v>
      </c>
      <c r="AP18" s="12">
        <v>78</v>
      </c>
      <c r="AQ18" s="12">
        <v>173</v>
      </c>
    </row>
    <row r="19" spans="1:43" ht="21.5" x14ac:dyDescent="0.35">
      <c r="A19" s="19"/>
      <c r="B19" s="13" t="s">
        <v>1583</v>
      </c>
      <c r="C19" s="15">
        <v>0.26</v>
      </c>
      <c r="D19" s="15">
        <v>0.3</v>
      </c>
      <c r="E19" s="15">
        <v>0.26</v>
      </c>
      <c r="F19" s="15">
        <v>0.24</v>
      </c>
      <c r="G19" s="15">
        <v>0.28999999999999998</v>
      </c>
      <c r="H19" s="15">
        <v>0.27</v>
      </c>
      <c r="I19" s="15">
        <v>0.28000000000000003</v>
      </c>
      <c r="J19" s="15">
        <v>0.32</v>
      </c>
      <c r="K19" s="15">
        <v>0.24</v>
      </c>
      <c r="L19" s="15">
        <v>0.17</v>
      </c>
      <c r="M19" s="15">
        <v>0.23</v>
      </c>
      <c r="N19" s="15">
        <v>0.21</v>
      </c>
      <c r="O19" s="15">
        <v>0.28000000000000003</v>
      </c>
      <c r="P19" s="15">
        <v>0.28000000000000003</v>
      </c>
      <c r="Q19" s="15">
        <v>0.23</v>
      </c>
      <c r="R19" s="15">
        <v>0.19</v>
      </c>
      <c r="S19" s="15">
        <v>0.27</v>
      </c>
      <c r="T19" s="15">
        <v>0.25</v>
      </c>
      <c r="U19" s="15">
        <v>0.25</v>
      </c>
      <c r="V19" s="15">
        <v>0.24</v>
      </c>
      <c r="W19" s="15">
        <v>0.12</v>
      </c>
      <c r="X19" s="15">
        <v>0.24</v>
      </c>
      <c r="Y19" s="15">
        <v>0.24</v>
      </c>
      <c r="Z19" s="15">
        <v>0.27</v>
      </c>
      <c r="AA19" s="15">
        <v>0.26</v>
      </c>
      <c r="AB19" s="15">
        <v>0.27</v>
      </c>
      <c r="AC19" s="15">
        <v>0.3</v>
      </c>
      <c r="AD19" s="15">
        <v>0.24</v>
      </c>
      <c r="AE19" s="15">
        <v>0.27</v>
      </c>
      <c r="AF19" s="15">
        <v>0.27</v>
      </c>
      <c r="AG19" s="15">
        <v>0.11</v>
      </c>
      <c r="AH19" s="15">
        <v>0.21</v>
      </c>
      <c r="AI19" s="15">
        <v>0.14000000000000001</v>
      </c>
      <c r="AJ19" s="15">
        <v>0.25</v>
      </c>
      <c r="AK19" s="15">
        <v>0.2</v>
      </c>
      <c r="AL19" s="15">
        <v>0.24</v>
      </c>
      <c r="AM19" s="15">
        <v>0.25</v>
      </c>
      <c r="AN19" s="15">
        <v>0.2</v>
      </c>
      <c r="AO19" s="15">
        <v>0.13</v>
      </c>
      <c r="AP19" s="15">
        <v>0.15</v>
      </c>
      <c r="AQ19" s="15">
        <v>0.17</v>
      </c>
    </row>
    <row r="20" spans="1:43" x14ac:dyDescent="0.35">
      <c r="A20" s="19"/>
      <c r="B20" s="11" t="s">
        <v>1584</v>
      </c>
      <c r="C20" s="12">
        <v>182</v>
      </c>
      <c r="D20" s="12">
        <v>4</v>
      </c>
      <c r="E20" s="12">
        <v>11</v>
      </c>
      <c r="F20" s="12">
        <v>12</v>
      </c>
      <c r="G20" s="12">
        <v>1</v>
      </c>
      <c r="H20" s="12">
        <v>6</v>
      </c>
      <c r="I20" s="12">
        <v>6</v>
      </c>
      <c r="J20" s="12">
        <v>0</v>
      </c>
      <c r="K20" s="12">
        <v>0</v>
      </c>
      <c r="L20" s="12">
        <v>11</v>
      </c>
      <c r="M20" s="12">
        <v>37</v>
      </c>
      <c r="N20" s="12">
        <v>6</v>
      </c>
      <c r="O20" s="12">
        <v>0</v>
      </c>
      <c r="P20" s="12">
        <v>8</v>
      </c>
      <c r="Q20" s="12">
        <v>11</v>
      </c>
      <c r="R20" s="12">
        <v>8</v>
      </c>
      <c r="S20" s="12">
        <v>13</v>
      </c>
      <c r="T20" s="12">
        <v>6</v>
      </c>
      <c r="U20" s="12">
        <v>2</v>
      </c>
      <c r="V20" s="12">
        <v>2</v>
      </c>
      <c r="W20" s="12">
        <v>2</v>
      </c>
      <c r="X20" s="12">
        <v>5</v>
      </c>
      <c r="Y20" s="12">
        <v>9</v>
      </c>
      <c r="Z20" s="12">
        <v>17</v>
      </c>
      <c r="AA20" s="12">
        <v>8</v>
      </c>
      <c r="AB20" s="12">
        <v>2</v>
      </c>
      <c r="AC20" s="12">
        <v>21</v>
      </c>
      <c r="AD20" s="12">
        <v>4</v>
      </c>
      <c r="AE20" s="12">
        <v>16</v>
      </c>
      <c r="AF20" s="12">
        <v>4</v>
      </c>
      <c r="AG20" s="12">
        <v>13</v>
      </c>
      <c r="AH20" s="12">
        <v>22</v>
      </c>
      <c r="AI20" s="12">
        <v>14</v>
      </c>
      <c r="AJ20" s="12">
        <v>23</v>
      </c>
      <c r="AK20" s="12">
        <v>56</v>
      </c>
      <c r="AL20" s="12">
        <v>15</v>
      </c>
      <c r="AM20" s="12">
        <v>2</v>
      </c>
      <c r="AN20" s="12">
        <v>8</v>
      </c>
      <c r="AO20" s="12">
        <v>23</v>
      </c>
      <c r="AP20" s="12">
        <v>9</v>
      </c>
      <c r="AQ20" s="12">
        <v>40</v>
      </c>
    </row>
    <row r="21" spans="1:43" x14ac:dyDescent="0.35">
      <c r="A21" s="19"/>
      <c r="B21" s="13" t="s">
        <v>1585</v>
      </c>
      <c r="C21" s="15">
        <v>0.01</v>
      </c>
      <c r="D21" s="14" t="s">
        <v>475</v>
      </c>
      <c r="E21" s="15">
        <v>0.01</v>
      </c>
      <c r="F21" s="15">
        <v>0.01</v>
      </c>
      <c r="G21" s="14" t="s">
        <v>475</v>
      </c>
      <c r="H21" s="14" t="s">
        <v>475</v>
      </c>
      <c r="I21" s="14" t="s">
        <v>475</v>
      </c>
      <c r="J21" s="14" t="s">
        <v>475</v>
      </c>
      <c r="K21" s="14" t="s">
        <v>475</v>
      </c>
      <c r="L21" s="15">
        <v>0.01</v>
      </c>
      <c r="M21" s="15">
        <v>0.04</v>
      </c>
      <c r="N21" s="15">
        <v>0.01</v>
      </c>
      <c r="O21" s="14" t="s">
        <v>475</v>
      </c>
      <c r="P21" s="15">
        <v>0.01</v>
      </c>
      <c r="Q21" s="15">
        <v>0.01</v>
      </c>
      <c r="R21" s="15">
        <v>0.02</v>
      </c>
      <c r="S21" s="15">
        <v>0.01</v>
      </c>
      <c r="T21" s="15">
        <v>0.01</v>
      </c>
      <c r="U21" s="14" t="s">
        <v>475</v>
      </c>
      <c r="V21" s="14" t="s">
        <v>475</v>
      </c>
      <c r="W21" s="15">
        <v>0.01</v>
      </c>
      <c r="X21" s="15">
        <v>0.01</v>
      </c>
      <c r="Y21" s="15">
        <v>0.01</v>
      </c>
      <c r="Z21" s="15">
        <v>0.02</v>
      </c>
      <c r="AA21" s="15">
        <v>0.01</v>
      </c>
      <c r="AB21" s="14" t="s">
        <v>475</v>
      </c>
      <c r="AC21" s="15">
        <v>0.02</v>
      </c>
      <c r="AD21" s="14" t="s">
        <v>475</v>
      </c>
      <c r="AE21" s="15">
        <v>0.02</v>
      </c>
      <c r="AF21" s="14" t="s">
        <v>475</v>
      </c>
      <c r="AG21" s="15">
        <v>0.01</v>
      </c>
      <c r="AH21" s="15">
        <v>0.02</v>
      </c>
      <c r="AI21" s="15">
        <v>0.03</v>
      </c>
      <c r="AJ21" s="15">
        <v>0.02</v>
      </c>
      <c r="AK21" s="15">
        <v>0.06</v>
      </c>
      <c r="AL21" s="15">
        <v>0.02</v>
      </c>
      <c r="AM21" s="14" t="s">
        <v>475</v>
      </c>
      <c r="AN21" s="15">
        <v>0.01</v>
      </c>
      <c r="AO21" s="15">
        <v>0.02</v>
      </c>
      <c r="AP21" s="15">
        <v>0.02</v>
      </c>
      <c r="AQ21" s="15">
        <v>0.04</v>
      </c>
    </row>
    <row r="22" spans="1:43" x14ac:dyDescent="0.35">
      <c r="A22" s="19"/>
      <c r="B22" s="11" t="s">
        <v>1586</v>
      </c>
      <c r="C22" s="12">
        <v>8</v>
      </c>
      <c r="D22" s="12">
        <v>0</v>
      </c>
      <c r="E22" s="12">
        <v>1</v>
      </c>
      <c r="F22" s="12">
        <v>1</v>
      </c>
      <c r="G22" s="12">
        <v>1</v>
      </c>
      <c r="H22" s="12">
        <v>0</v>
      </c>
      <c r="I22" s="12">
        <v>0</v>
      </c>
      <c r="J22" s="12">
        <v>0</v>
      </c>
      <c r="K22" s="12">
        <v>0</v>
      </c>
      <c r="L22" s="12">
        <v>0</v>
      </c>
      <c r="M22" s="12">
        <v>2</v>
      </c>
      <c r="N22" s="12">
        <v>0</v>
      </c>
      <c r="O22" s="12">
        <v>0</v>
      </c>
      <c r="P22" s="12">
        <v>1</v>
      </c>
      <c r="Q22" s="12">
        <v>0</v>
      </c>
      <c r="R22" s="12">
        <v>3</v>
      </c>
      <c r="S22" s="12">
        <v>0</v>
      </c>
      <c r="T22" s="12">
        <v>0</v>
      </c>
      <c r="U22" s="12">
        <v>0</v>
      </c>
      <c r="V22" s="12">
        <v>0</v>
      </c>
      <c r="W22" s="12">
        <v>0</v>
      </c>
      <c r="X22" s="12">
        <v>2</v>
      </c>
      <c r="Y22" s="12">
        <v>0</v>
      </c>
      <c r="Z22" s="12">
        <v>0</v>
      </c>
      <c r="AA22" s="12">
        <v>2</v>
      </c>
      <c r="AB22" s="12">
        <v>1</v>
      </c>
      <c r="AC22" s="12">
        <v>0</v>
      </c>
      <c r="AD22" s="12">
        <v>0</v>
      </c>
      <c r="AE22" s="12">
        <v>0</v>
      </c>
      <c r="AF22" s="12">
        <v>0</v>
      </c>
      <c r="AG22" s="12">
        <v>4</v>
      </c>
      <c r="AH22" s="12">
        <v>0</v>
      </c>
      <c r="AI22" s="12">
        <v>0</v>
      </c>
      <c r="AJ22" s="12">
        <v>0</v>
      </c>
      <c r="AK22" s="12">
        <v>1</v>
      </c>
      <c r="AL22" s="12">
        <v>1</v>
      </c>
      <c r="AM22" s="12">
        <v>0</v>
      </c>
      <c r="AN22" s="12">
        <v>0</v>
      </c>
      <c r="AO22" s="12">
        <v>0</v>
      </c>
      <c r="AP22" s="12">
        <v>1</v>
      </c>
      <c r="AQ22" s="12">
        <v>1</v>
      </c>
    </row>
    <row r="23" spans="1:43" x14ac:dyDescent="0.35">
      <c r="A23" s="19"/>
      <c r="B23" s="13" t="s">
        <v>1587</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5">
        <v>0.01</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row r="24" spans="1:43" ht="41.5" x14ac:dyDescent="0.35">
      <c r="A24" s="19"/>
      <c r="B24" s="11" t="s">
        <v>1588</v>
      </c>
      <c r="C24" s="12">
        <v>566</v>
      </c>
      <c r="D24" s="12">
        <v>10</v>
      </c>
      <c r="E24" s="12">
        <v>11</v>
      </c>
      <c r="F24" s="12">
        <v>34</v>
      </c>
      <c r="G24" s="12">
        <v>17</v>
      </c>
      <c r="H24" s="12">
        <v>21</v>
      </c>
      <c r="I24" s="12">
        <v>25</v>
      </c>
      <c r="J24" s="12">
        <v>5</v>
      </c>
      <c r="K24" s="12">
        <v>22</v>
      </c>
      <c r="L24" s="12">
        <v>21</v>
      </c>
      <c r="M24" s="12">
        <v>19</v>
      </c>
      <c r="N24" s="12">
        <v>15</v>
      </c>
      <c r="O24" s="12">
        <v>15</v>
      </c>
      <c r="P24" s="12">
        <v>8</v>
      </c>
      <c r="Q24" s="12">
        <v>43</v>
      </c>
      <c r="R24" s="12">
        <v>20</v>
      </c>
      <c r="S24" s="12">
        <v>29</v>
      </c>
      <c r="T24" s="12">
        <v>31</v>
      </c>
      <c r="U24" s="12">
        <v>16</v>
      </c>
      <c r="V24" s="12">
        <v>4</v>
      </c>
      <c r="W24" s="12">
        <v>28</v>
      </c>
      <c r="X24" s="12">
        <v>32</v>
      </c>
      <c r="Y24" s="12">
        <v>16</v>
      </c>
      <c r="Z24" s="12">
        <v>23</v>
      </c>
      <c r="AA24" s="12">
        <v>22</v>
      </c>
      <c r="AB24" s="12">
        <v>13</v>
      </c>
      <c r="AC24" s="12">
        <v>28</v>
      </c>
      <c r="AD24" s="12">
        <v>24</v>
      </c>
      <c r="AE24" s="12">
        <v>25</v>
      </c>
      <c r="AF24" s="12">
        <v>37</v>
      </c>
      <c r="AG24" s="12">
        <v>23</v>
      </c>
      <c r="AH24" s="12">
        <v>28</v>
      </c>
      <c r="AI24" s="12">
        <v>20</v>
      </c>
      <c r="AJ24" s="12">
        <v>20</v>
      </c>
      <c r="AK24" s="12">
        <v>22</v>
      </c>
      <c r="AL24" s="12">
        <v>26</v>
      </c>
      <c r="AM24" s="12">
        <v>45</v>
      </c>
      <c r="AN24" s="12">
        <v>19</v>
      </c>
      <c r="AO24" s="12">
        <v>38</v>
      </c>
      <c r="AP24" s="12">
        <v>55</v>
      </c>
      <c r="AQ24" s="12">
        <v>60</v>
      </c>
    </row>
    <row r="25" spans="1:43" ht="31.5" x14ac:dyDescent="0.35">
      <c r="A25" s="19"/>
      <c r="B25" s="13" t="s">
        <v>1589</v>
      </c>
      <c r="C25" s="15">
        <v>0.02</v>
      </c>
      <c r="D25" s="15">
        <v>0.01</v>
      </c>
      <c r="E25" s="15">
        <v>0.01</v>
      </c>
      <c r="F25" s="15">
        <v>0.03</v>
      </c>
      <c r="G25" s="15">
        <v>0.02</v>
      </c>
      <c r="H25" s="15">
        <v>0.02</v>
      </c>
      <c r="I25" s="15">
        <v>0.02</v>
      </c>
      <c r="J25" s="15">
        <v>0.02</v>
      </c>
      <c r="K25" s="15">
        <v>0.02</v>
      </c>
      <c r="L25" s="15">
        <v>0.02</v>
      </c>
      <c r="M25" s="15">
        <v>0.02</v>
      </c>
      <c r="N25" s="15">
        <v>0.02</v>
      </c>
      <c r="O25" s="15">
        <v>0.02</v>
      </c>
      <c r="P25" s="15">
        <v>0.01</v>
      </c>
      <c r="Q25" s="15">
        <v>0.04</v>
      </c>
      <c r="R25" s="15">
        <v>0.04</v>
      </c>
      <c r="S25" s="15">
        <v>0.03</v>
      </c>
      <c r="T25" s="15">
        <v>0.03</v>
      </c>
      <c r="U25" s="15">
        <v>0.03</v>
      </c>
      <c r="V25" s="14" t="s">
        <v>475</v>
      </c>
      <c r="W25" s="15">
        <v>0.06</v>
      </c>
      <c r="X25" s="15">
        <v>0.03</v>
      </c>
      <c r="Y25" s="15">
        <v>0.02</v>
      </c>
      <c r="Z25" s="15">
        <v>0.02</v>
      </c>
      <c r="AA25" s="15">
        <v>0.02</v>
      </c>
      <c r="AB25" s="15">
        <v>0.01</v>
      </c>
      <c r="AC25" s="15">
        <v>0.03</v>
      </c>
      <c r="AD25" s="15">
        <v>0.02</v>
      </c>
      <c r="AE25" s="15">
        <v>0.02</v>
      </c>
      <c r="AF25" s="15">
        <v>0.04</v>
      </c>
      <c r="AG25" s="15">
        <v>0.02</v>
      </c>
      <c r="AH25" s="15">
        <v>0.03</v>
      </c>
      <c r="AI25" s="15">
        <v>0.04</v>
      </c>
      <c r="AJ25" s="15">
        <v>0.02</v>
      </c>
      <c r="AK25" s="15">
        <v>0.02</v>
      </c>
      <c r="AL25" s="15">
        <v>0.03</v>
      </c>
      <c r="AM25" s="15">
        <v>0.04</v>
      </c>
      <c r="AN25" s="15">
        <v>0.02</v>
      </c>
      <c r="AO25" s="15">
        <v>0.04</v>
      </c>
      <c r="AP25" s="15">
        <v>0.11</v>
      </c>
      <c r="AQ25" s="15">
        <v>0.06</v>
      </c>
    </row>
    <row r="26" spans="1:43" ht="31.5" x14ac:dyDescent="0.35">
      <c r="A26" s="19"/>
      <c r="B26" s="11" t="s">
        <v>1590</v>
      </c>
      <c r="C26" s="12">
        <v>716</v>
      </c>
      <c r="D26" s="12">
        <v>33</v>
      </c>
      <c r="E26" s="12">
        <v>40</v>
      </c>
      <c r="F26" s="12">
        <v>42</v>
      </c>
      <c r="G26" s="12">
        <v>15</v>
      </c>
      <c r="H26" s="12">
        <v>10</v>
      </c>
      <c r="I26" s="12">
        <v>16</v>
      </c>
      <c r="J26" s="12">
        <v>5</v>
      </c>
      <c r="K26" s="12">
        <v>20</v>
      </c>
      <c r="L26" s="12">
        <v>11</v>
      </c>
      <c r="M26" s="12">
        <v>82</v>
      </c>
      <c r="N26" s="12">
        <v>19</v>
      </c>
      <c r="O26" s="12">
        <v>31</v>
      </c>
      <c r="P26" s="12">
        <v>33</v>
      </c>
      <c r="Q26" s="12">
        <v>53</v>
      </c>
      <c r="R26" s="12">
        <v>19</v>
      </c>
      <c r="S26" s="12">
        <v>25</v>
      </c>
      <c r="T26" s="12">
        <v>31</v>
      </c>
      <c r="U26" s="12">
        <v>14</v>
      </c>
      <c r="V26" s="12">
        <v>28</v>
      </c>
      <c r="W26" s="12">
        <v>9</v>
      </c>
      <c r="X26" s="12">
        <v>14</v>
      </c>
      <c r="Y26" s="12">
        <v>15</v>
      </c>
      <c r="Z26" s="12">
        <v>28</v>
      </c>
      <c r="AA26" s="12">
        <v>51</v>
      </c>
      <c r="AB26" s="12">
        <v>11</v>
      </c>
      <c r="AC26" s="12">
        <v>18</v>
      </c>
      <c r="AD26" s="12">
        <v>53</v>
      </c>
      <c r="AE26" s="12">
        <v>3</v>
      </c>
      <c r="AF26" s="12">
        <v>8</v>
      </c>
      <c r="AG26" s="12">
        <v>58</v>
      </c>
      <c r="AH26" s="12">
        <v>27</v>
      </c>
      <c r="AI26" s="12">
        <v>18</v>
      </c>
      <c r="AJ26" s="12">
        <v>42</v>
      </c>
      <c r="AK26" s="12">
        <v>39</v>
      </c>
      <c r="AL26" s="12">
        <v>12</v>
      </c>
      <c r="AM26" s="12">
        <v>19</v>
      </c>
      <c r="AN26" s="12">
        <v>11</v>
      </c>
      <c r="AO26" s="12">
        <v>28</v>
      </c>
      <c r="AP26" s="12">
        <v>50</v>
      </c>
      <c r="AQ26" s="12">
        <v>28</v>
      </c>
    </row>
    <row r="27" spans="1:43" ht="21.5" x14ac:dyDescent="0.35">
      <c r="A27" s="19"/>
      <c r="B27" s="13" t="s">
        <v>1591</v>
      </c>
      <c r="C27" s="15">
        <v>0.03</v>
      </c>
      <c r="D27" s="15">
        <v>0.03</v>
      </c>
      <c r="E27" s="15">
        <v>0.04</v>
      </c>
      <c r="F27" s="15">
        <v>0.04</v>
      </c>
      <c r="G27" s="15">
        <v>0.01</v>
      </c>
      <c r="H27" s="15">
        <v>0.01</v>
      </c>
      <c r="I27" s="15">
        <v>0.01</v>
      </c>
      <c r="J27" s="15">
        <v>0.02</v>
      </c>
      <c r="K27" s="15">
        <v>0.02</v>
      </c>
      <c r="L27" s="15">
        <v>0.01</v>
      </c>
      <c r="M27" s="15">
        <v>0.08</v>
      </c>
      <c r="N27" s="15">
        <v>0.02</v>
      </c>
      <c r="O27" s="15">
        <v>0.03</v>
      </c>
      <c r="P27" s="15">
        <v>0.03</v>
      </c>
      <c r="Q27" s="15">
        <v>0.05</v>
      </c>
      <c r="R27" s="15">
        <v>0.04</v>
      </c>
      <c r="S27" s="15">
        <v>0.03</v>
      </c>
      <c r="T27" s="15">
        <v>0.03</v>
      </c>
      <c r="U27" s="15">
        <v>0.03</v>
      </c>
      <c r="V27" s="15">
        <v>0.03</v>
      </c>
      <c r="W27" s="15">
        <v>0.02</v>
      </c>
      <c r="X27" s="15">
        <v>0.01</v>
      </c>
      <c r="Y27" s="15">
        <v>0.02</v>
      </c>
      <c r="Z27" s="15">
        <v>0.03</v>
      </c>
      <c r="AA27" s="15">
        <v>0.05</v>
      </c>
      <c r="AB27" s="15">
        <v>0.01</v>
      </c>
      <c r="AC27" s="15">
        <v>0.02</v>
      </c>
      <c r="AD27" s="15">
        <v>0.05</v>
      </c>
      <c r="AE27" s="14" t="s">
        <v>475</v>
      </c>
      <c r="AF27" s="15">
        <v>0.01</v>
      </c>
      <c r="AG27" s="15">
        <v>0.06</v>
      </c>
      <c r="AH27" s="15">
        <v>0.03</v>
      </c>
      <c r="AI27" s="15">
        <v>0.03</v>
      </c>
      <c r="AJ27" s="15">
        <v>0.04</v>
      </c>
      <c r="AK27" s="15">
        <v>0.04</v>
      </c>
      <c r="AL27" s="15">
        <v>0.01</v>
      </c>
      <c r="AM27" s="15">
        <v>0.02</v>
      </c>
      <c r="AN27" s="15">
        <v>0.01</v>
      </c>
      <c r="AO27" s="15">
        <v>0.03</v>
      </c>
      <c r="AP27" s="15">
        <v>0.1</v>
      </c>
      <c r="AQ27" s="15">
        <v>0.03</v>
      </c>
    </row>
    <row r="28" spans="1:43" ht="31.5" x14ac:dyDescent="0.35">
      <c r="A28" s="19"/>
      <c r="B28" s="11" t="s">
        <v>1592</v>
      </c>
      <c r="C28" s="12">
        <v>395</v>
      </c>
      <c r="D28" s="12">
        <v>19</v>
      </c>
      <c r="E28" s="12">
        <v>28</v>
      </c>
      <c r="F28" s="12">
        <v>42</v>
      </c>
      <c r="G28" s="12">
        <v>16</v>
      </c>
      <c r="H28" s="12">
        <v>24</v>
      </c>
      <c r="I28" s="12">
        <v>30</v>
      </c>
      <c r="J28" s="12">
        <v>6</v>
      </c>
      <c r="K28" s="12">
        <v>64</v>
      </c>
      <c r="L28" s="12">
        <v>9</v>
      </c>
      <c r="M28" s="12">
        <v>12</v>
      </c>
      <c r="N28" s="12">
        <v>17</v>
      </c>
      <c r="O28" s="12">
        <v>3</v>
      </c>
      <c r="P28" s="12">
        <v>18</v>
      </c>
      <c r="Q28" s="12">
        <v>5</v>
      </c>
      <c r="R28" s="12">
        <v>17</v>
      </c>
      <c r="S28" s="12">
        <v>24</v>
      </c>
      <c r="T28" s="12">
        <v>19</v>
      </c>
      <c r="U28" s="12">
        <v>4</v>
      </c>
      <c r="V28" s="12">
        <v>21</v>
      </c>
      <c r="W28" s="12">
        <v>14</v>
      </c>
      <c r="X28" s="12">
        <v>29</v>
      </c>
      <c r="Y28" s="12">
        <v>17</v>
      </c>
      <c r="Z28" s="12">
        <v>10</v>
      </c>
      <c r="AA28" s="12">
        <v>17</v>
      </c>
      <c r="AB28" s="12">
        <v>9</v>
      </c>
      <c r="AC28" s="12">
        <v>24</v>
      </c>
      <c r="AD28" s="12">
        <v>36</v>
      </c>
      <c r="AE28" s="12">
        <v>41</v>
      </c>
      <c r="AF28" s="12">
        <v>24</v>
      </c>
      <c r="AG28" s="12">
        <v>35</v>
      </c>
      <c r="AH28" s="12">
        <v>8</v>
      </c>
      <c r="AI28" s="12">
        <v>5</v>
      </c>
      <c r="AJ28" s="12">
        <v>12</v>
      </c>
      <c r="AK28" s="12">
        <v>21</v>
      </c>
      <c r="AL28" s="12">
        <v>11</v>
      </c>
      <c r="AM28" s="12">
        <v>11</v>
      </c>
      <c r="AN28" s="12">
        <v>9</v>
      </c>
      <c r="AO28" s="12">
        <v>34</v>
      </c>
      <c r="AP28" s="12">
        <v>22</v>
      </c>
      <c r="AQ28" s="12">
        <v>3</v>
      </c>
    </row>
    <row r="29" spans="1:43" ht="21.5" x14ac:dyDescent="0.35">
      <c r="A29" s="19"/>
      <c r="B29" s="13" t="s">
        <v>1593</v>
      </c>
      <c r="C29" s="15">
        <v>0.02</v>
      </c>
      <c r="D29" s="15">
        <v>0.02</v>
      </c>
      <c r="E29" s="15">
        <v>0.03</v>
      </c>
      <c r="F29" s="15">
        <v>0.04</v>
      </c>
      <c r="G29" s="15">
        <v>0.02</v>
      </c>
      <c r="H29" s="15">
        <v>0.02</v>
      </c>
      <c r="I29" s="15">
        <v>0.02</v>
      </c>
      <c r="J29" s="15">
        <v>0.02</v>
      </c>
      <c r="K29" s="15">
        <v>0.06</v>
      </c>
      <c r="L29" s="15">
        <v>0.01</v>
      </c>
      <c r="M29" s="15">
        <v>0.01</v>
      </c>
      <c r="N29" s="15">
        <v>0.02</v>
      </c>
      <c r="O29" s="14" t="s">
        <v>475</v>
      </c>
      <c r="P29" s="15">
        <v>0.02</v>
      </c>
      <c r="Q29" s="14" t="s">
        <v>475</v>
      </c>
      <c r="R29" s="15">
        <v>0.03</v>
      </c>
      <c r="S29" s="15">
        <v>0.02</v>
      </c>
      <c r="T29" s="15">
        <v>0.02</v>
      </c>
      <c r="U29" s="15">
        <v>0.01</v>
      </c>
      <c r="V29" s="15">
        <v>0.02</v>
      </c>
      <c r="W29" s="15">
        <v>0.03</v>
      </c>
      <c r="X29" s="15">
        <v>0.03</v>
      </c>
      <c r="Y29" s="15">
        <v>0.02</v>
      </c>
      <c r="Z29" s="15">
        <v>0.01</v>
      </c>
      <c r="AA29" s="15">
        <v>0.02</v>
      </c>
      <c r="AB29" s="15">
        <v>0.01</v>
      </c>
      <c r="AC29" s="15">
        <v>0.02</v>
      </c>
      <c r="AD29" s="15">
        <v>0.04</v>
      </c>
      <c r="AE29" s="15">
        <v>0.04</v>
      </c>
      <c r="AF29" s="15">
        <v>0.02</v>
      </c>
      <c r="AG29" s="15">
        <v>0.04</v>
      </c>
      <c r="AH29" s="15">
        <v>0.01</v>
      </c>
      <c r="AI29" s="15">
        <v>0.01</v>
      </c>
      <c r="AJ29" s="15">
        <v>0.01</v>
      </c>
      <c r="AK29" s="15">
        <v>0.02</v>
      </c>
      <c r="AL29" s="15">
        <v>0.01</v>
      </c>
      <c r="AM29" s="15">
        <v>0.01</v>
      </c>
      <c r="AN29" s="15">
        <v>0.01</v>
      </c>
      <c r="AO29" s="15">
        <v>0.03</v>
      </c>
      <c r="AP29" s="15">
        <v>0.04</v>
      </c>
      <c r="AQ29" s="14" t="s">
        <v>475</v>
      </c>
    </row>
    <row r="30" spans="1:43" ht="31.5" x14ac:dyDescent="0.35">
      <c r="A30" s="19"/>
      <c r="B30" s="11" t="s">
        <v>1594</v>
      </c>
      <c r="C30" s="12">
        <v>649</v>
      </c>
      <c r="D30" s="12">
        <v>5</v>
      </c>
      <c r="E30" s="12">
        <v>21</v>
      </c>
      <c r="F30" s="12">
        <v>30</v>
      </c>
      <c r="G30" s="12">
        <v>16</v>
      </c>
      <c r="H30" s="12">
        <v>8</v>
      </c>
      <c r="I30" s="12">
        <v>15</v>
      </c>
      <c r="J30" s="12">
        <v>7</v>
      </c>
      <c r="K30" s="12">
        <v>66</v>
      </c>
      <c r="L30" s="12">
        <v>67</v>
      </c>
      <c r="M30" s="12">
        <v>14</v>
      </c>
      <c r="N30" s="12">
        <v>40</v>
      </c>
      <c r="O30" s="12">
        <v>12</v>
      </c>
      <c r="P30" s="12">
        <v>32</v>
      </c>
      <c r="Q30" s="12">
        <v>18</v>
      </c>
      <c r="R30" s="12">
        <v>26</v>
      </c>
      <c r="S30" s="12">
        <v>78</v>
      </c>
      <c r="T30" s="12">
        <v>60</v>
      </c>
      <c r="U30" s="12">
        <v>4</v>
      </c>
      <c r="V30" s="12">
        <v>28</v>
      </c>
      <c r="W30" s="12">
        <v>44</v>
      </c>
      <c r="X30" s="12">
        <v>13</v>
      </c>
      <c r="Y30" s="12">
        <v>10</v>
      </c>
      <c r="Z30" s="12">
        <v>40</v>
      </c>
      <c r="AA30" s="12">
        <v>43</v>
      </c>
      <c r="AB30" s="12">
        <v>49</v>
      </c>
      <c r="AC30" s="12">
        <v>54</v>
      </c>
      <c r="AD30" s="12">
        <v>35</v>
      </c>
      <c r="AE30" s="12">
        <v>50</v>
      </c>
      <c r="AF30" s="12">
        <v>75</v>
      </c>
      <c r="AG30" s="12">
        <v>32</v>
      </c>
      <c r="AH30" s="12">
        <v>41</v>
      </c>
      <c r="AI30" s="12">
        <v>8</v>
      </c>
      <c r="AJ30" s="12">
        <v>32</v>
      </c>
      <c r="AK30" s="12">
        <v>31</v>
      </c>
      <c r="AL30" s="12">
        <v>62</v>
      </c>
      <c r="AM30" s="12">
        <v>75</v>
      </c>
      <c r="AN30" s="12">
        <v>33</v>
      </c>
      <c r="AO30" s="12">
        <v>28</v>
      </c>
      <c r="AP30" s="12">
        <v>13</v>
      </c>
      <c r="AQ30" s="12">
        <v>62</v>
      </c>
    </row>
    <row r="31" spans="1:43" ht="31.5" x14ac:dyDescent="0.35">
      <c r="A31" s="19"/>
      <c r="B31" s="13" t="s">
        <v>1595</v>
      </c>
      <c r="C31" s="15">
        <v>0.02</v>
      </c>
      <c r="D31" s="14" t="s">
        <v>475</v>
      </c>
      <c r="E31" s="15">
        <v>0.02</v>
      </c>
      <c r="F31" s="15">
        <v>0.03</v>
      </c>
      <c r="G31" s="15">
        <v>0.02</v>
      </c>
      <c r="H31" s="15">
        <v>0.01</v>
      </c>
      <c r="I31" s="15">
        <v>0.01</v>
      </c>
      <c r="J31" s="15">
        <v>0.02</v>
      </c>
      <c r="K31" s="15">
        <v>7.0000000000000007E-2</v>
      </c>
      <c r="L31" s="15">
        <v>7.0000000000000007E-2</v>
      </c>
      <c r="M31" s="15">
        <v>0.01</v>
      </c>
      <c r="N31" s="15">
        <v>0.04</v>
      </c>
      <c r="O31" s="15">
        <v>0.01</v>
      </c>
      <c r="P31" s="15">
        <v>0.03</v>
      </c>
      <c r="Q31" s="15">
        <v>0.02</v>
      </c>
      <c r="R31" s="15">
        <v>0.05</v>
      </c>
      <c r="S31" s="15">
        <v>0.08</v>
      </c>
      <c r="T31" s="15">
        <v>0.06</v>
      </c>
      <c r="U31" s="15">
        <v>0.01</v>
      </c>
      <c r="V31" s="15">
        <v>0.03</v>
      </c>
      <c r="W31" s="15">
        <v>0.09</v>
      </c>
      <c r="X31" s="15">
        <v>0.01</v>
      </c>
      <c r="Y31" s="15">
        <v>0.01</v>
      </c>
      <c r="Z31" s="15">
        <v>0.04</v>
      </c>
      <c r="AA31" s="15">
        <v>0.04</v>
      </c>
      <c r="AB31" s="15">
        <v>0.05</v>
      </c>
      <c r="AC31" s="15">
        <v>0.05</v>
      </c>
      <c r="AD31" s="15">
        <v>0.04</v>
      </c>
      <c r="AE31" s="15">
        <v>0.05</v>
      </c>
      <c r="AF31" s="15">
        <v>7.0000000000000007E-2</v>
      </c>
      <c r="AG31" s="15">
        <v>0.03</v>
      </c>
      <c r="AH31" s="15">
        <v>0.04</v>
      </c>
      <c r="AI31" s="15">
        <v>0.02</v>
      </c>
      <c r="AJ31" s="15">
        <v>0.03</v>
      </c>
      <c r="AK31" s="15">
        <v>0.03</v>
      </c>
      <c r="AL31" s="15">
        <v>0.06</v>
      </c>
      <c r="AM31" s="15">
        <v>7.0000000000000007E-2</v>
      </c>
      <c r="AN31" s="15">
        <v>0.03</v>
      </c>
      <c r="AO31" s="15">
        <v>0.03</v>
      </c>
      <c r="AP31" s="15">
        <v>0.03</v>
      </c>
      <c r="AQ31" s="15">
        <v>0.06</v>
      </c>
    </row>
    <row r="32" spans="1:43" ht="41.5" x14ac:dyDescent="0.35">
      <c r="A32" s="19"/>
      <c r="B32" s="11" t="s">
        <v>1596</v>
      </c>
      <c r="C32" s="12">
        <v>385</v>
      </c>
      <c r="D32" s="12">
        <v>12</v>
      </c>
      <c r="E32" s="12">
        <v>8</v>
      </c>
      <c r="F32" s="12">
        <v>5</v>
      </c>
      <c r="G32" s="12">
        <v>12</v>
      </c>
      <c r="H32" s="12">
        <v>16</v>
      </c>
      <c r="I32" s="12">
        <v>18</v>
      </c>
      <c r="J32" s="12">
        <v>2</v>
      </c>
      <c r="K32" s="12">
        <v>9</v>
      </c>
      <c r="L32" s="12">
        <v>41</v>
      </c>
      <c r="M32" s="12">
        <v>10</v>
      </c>
      <c r="N32" s="12">
        <v>5</v>
      </c>
      <c r="O32" s="12">
        <v>24</v>
      </c>
      <c r="P32" s="12">
        <v>13</v>
      </c>
      <c r="Q32" s="12">
        <v>28</v>
      </c>
      <c r="R32" s="12">
        <v>17</v>
      </c>
      <c r="S32" s="12">
        <v>6</v>
      </c>
      <c r="T32" s="12">
        <v>3</v>
      </c>
      <c r="U32" s="12">
        <v>19</v>
      </c>
      <c r="V32" s="12">
        <v>3</v>
      </c>
      <c r="W32" s="12">
        <v>32</v>
      </c>
      <c r="X32" s="12">
        <v>22</v>
      </c>
      <c r="Y32" s="12">
        <v>27</v>
      </c>
      <c r="Z32" s="12">
        <v>7</v>
      </c>
      <c r="AA32" s="12">
        <v>8</v>
      </c>
      <c r="AB32" s="12">
        <v>1</v>
      </c>
      <c r="AC32" s="12">
        <v>16</v>
      </c>
      <c r="AD32" s="12">
        <v>12</v>
      </c>
      <c r="AE32" s="12">
        <v>19</v>
      </c>
      <c r="AF32" s="12">
        <v>8</v>
      </c>
      <c r="AG32" s="12">
        <v>23</v>
      </c>
      <c r="AH32" s="12">
        <v>25</v>
      </c>
      <c r="AI32" s="12">
        <v>13</v>
      </c>
      <c r="AJ32" s="12">
        <v>7</v>
      </c>
      <c r="AK32" s="12">
        <v>23</v>
      </c>
      <c r="AL32" s="12">
        <v>11</v>
      </c>
      <c r="AM32" s="12">
        <v>37</v>
      </c>
      <c r="AN32" s="12">
        <v>2</v>
      </c>
      <c r="AO32" s="12">
        <v>16</v>
      </c>
      <c r="AP32" s="12">
        <v>9</v>
      </c>
      <c r="AQ32" s="12">
        <v>5</v>
      </c>
    </row>
    <row r="33" spans="1:43" ht="51.5" x14ac:dyDescent="0.35">
      <c r="A33" s="19"/>
      <c r="B33" s="13" t="s">
        <v>1597</v>
      </c>
      <c r="C33" s="15">
        <v>0.01</v>
      </c>
      <c r="D33" s="15">
        <v>0.01</v>
      </c>
      <c r="E33" s="15">
        <v>0.01</v>
      </c>
      <c r="F33" s="15">
        <v>0.01</v>
      </c>
      <c r="G33" s="15">
        <v>0.01</v>
      </c>
      <c r="H33" s="15">
        <v>0.01</v>
      </c>
      <c r="I33" s="15">
        <v>0.01</v>
      </c>
      <c r="J33" s="15">
        <v>0.01</v>
      </c>
      <c r="K33" s="15">
        <v>0.01</v>
      </c>
      <c r="L33" s="15">
        <v>0.04</v>
      </c>
      <c r="M33" s="15">
        <v>0.01</v>
      </c>
      <c r="N33" s="15">
        <v>0.01</v>
      </c>
      <c r="O33" s="15">
        <v>0.02</v>
      </c>
      <c r="P33" s="15">
        <v>0.01</v>
      </c>
      <c r="Q33" s="15">
        <v>0.03</v>
      </c>
      <c r="R33" s="15">
        <v>0.03</v>
      </c>
      <c r="S33" s="15">
        <v>0.01</v>
      </c>
      <c r="T33" s="14" t="s">
        <v>475</v>
      </c>
      <c r="U33" s="15">
        <v>0.04</v>
      </c>
      <c r="V33" s="14" t="s">
        <v>475</v>
      </c>
      <c r="W33" s="15">
        <v>0.06</v>
      </c>
      <c r="X33" s="15">
        <v>0.02</v>
      </c>
      <c r="Y33" s="15">
        <v>0.03</v>
      </c>
      <c r="Z33" s="15">
        <v>0.01</v>
      </c>
      <c r="AA33" s="15">
        <v>0.01</v>
      </c>
      <c r="AB33" s="14" t="s">
        <v>475</v>
      </c>
      <c r="AC33" s="15">
        <v>0.02</v>
      </c>
      <c r="AD33" s="15">
        <v>0.01</v>
      </c>
      <c r="AE33" s="15">
        <v>0.02</v>
      </c>
      <c r="AF33" s="15">
        <v>0.01</v>
      </c>
      <c r="AG33" s="15">
        <v>0.02</v>
      </c>
      <c r="AH33" s="15">
        <v>0.02</v>
      </c>
      <c r="AI33" s="15">
        <v>0.02</v>
      </c>
      <c r="AJ33" s="15">
        <v>0.01</v>
      </c>
      <c r="AK33" s="15">
        <v>0.02</v>
      </c>
      <c r="AL33" s="15">
        <v>0.01</v>
      </c>
      <c r="AM33" s="15">
        <v>0.04</v>
      </c>
      <c r="AN33" s="14" t="s">
        <v>475</v>
      </c>
      <c r="AO33" s="15">
        <v>0.02</v>
      </c>
      <c r="AP33" s="15">
        <v>0.02</v>
      </c>
      <c r="AQ33" s="15">
        <v>0.01</v>
      </c>
    </row>
    <row r="34" spans="1:43" ht="31.5" x14ac:dyDescent="0.35">
      <c r="A34" s="19"/>
      <c r="B34" s="11" t="s">
        <v>1598</v>
      </c>
      <c r="C34" s="12">
        <v>2341</v>
      </c>
      <c r="D34" s="12">
        <v>76</v>
      </c>
      <c r="E34" s="12">
        <v>62</v>
      </c>
      <c r="F34" s="12">
        <v>69</v>
      </c>
      <c r="G34" s="12">
        <v>121</v>
      </c>
      <c r="H34" s="12">
        <v>187</v>
      </c>
      <c r="I34" s="12">
        <v>223</v>
      </c>
      <c r="J34" s="12">
        <v>36</v>
      </c>
      <c r="K34" s="12">
        <v>58</v>
      </c>
      <c r="L34" s="12">
        <v>111</v>
      </c>
      <c r="M34" s="12">
        <v>36</v>
      </c>
      <c r="N34" s="12">
        <v>43</v>
      </c>
      <c r="O34" s="12">
        <v>89</v>
      </c>
      <c r="P34" s="12">
        <v>49</v>
      </c>
      <c r="Q34" s="12">
        <v>76</v>
      </c>
      <c r="R34" s="12">
        <v>53</v>
      </c>
      <c r="S34" s="12">
        <v>92</v>
      </c>
      <c r="T34" s="12">
        <v>86</v>
      </c>
      <c r="U34" s="12">
        <v>47</v>
      </c>
      <c r="V34" s="12">
        <v>59</v>
      </c>
      <c r="W34" s="12">
        <v>78</v>
      </c>
      <c r="X34" s="12">
        <v>153</v>
      </c>
      <c r="Y34" s="12">
        <v>134</v>
      </c>
      <c r="Z34" s="12">
        <v>68</v>
      </c>
      <c r="AA34" s="12">
        <v>77</v>
      </c>
      <c r="AB34" s="12">
        <v>10</v>
      </c>
      <c r="AC34" s="12">
        <v>91</v>
      </c>
      <c r="AD34" s="12">
        <v>90</v>
      </c>
      <c r="AE34" s="12">
        <v>132</v>
      </c>
      <c r="AF34" s="12">
        <v>113</v>
      </c>
      <c r="AG34" s="12">
        <v>55</v>
      </c>
      <c r="AH34" s="12">
        <v>59</v>
      </c>
      <c r="AI34" s="12">
        <v>40</v>
      </c>
      <c r="AJ34" s="12">
        <v>49</v>
      </c>
      <c r="AK34" s="12">
        <v>52</v>
      </c>
      <c r="AL34" s="12">
        <v>28</v>
      </c>
      <c r="AM34" s="12">
        <v>90</v>
      </c>
      <c r="AN34" s="12">
        <v>52</v>
      </c>
      <c r="AO34" s="12">
        <v>23</v>
      </c>
      <c r="AP34" s="12">
        <v>33</v>
      </c>
      <c r="AQ34" s="12">
        <v>75</v>
      </c>
    </row>
    <row r="35" spans="1:43" ht="51.5" x14ac:dyDescent="0.35">
      <c r="A35" s="19"/>
      <c r="B35" s="13" t="s">
        <v>1599</v>
      </c>
      <c r="C35" s="15">
        <v>0.09</v>
      </c>
      <c r="D35" s="15">
        <v>0.08</v>
      </c>
      <c r="E35" s="15">
        <v>0.06</v>
      </c>
      <c r="F35" s="15">
        <v>0.06</v>
      </c>
      <c r="G35" s="15">
        <v>0.12</v>
      </c>
      <c r="H35" s="15">
        <v>0.15</v>
      </c>
      <c r="I35" s="15">
        <v>0.15</v>
      </c>
      <c r="J35" s="15">
        <v>0.12</v>
      </c>
      <c r="K35" s="15">
        <v>0.06</v>
      </c>
      <c r="L35" s="15">
        <v>0.11</v>
      </c>
      <c r="M35" s="15">
        <v>0.04</v>
      </c>
      <c r="N35" s="15">
        <v>0.04</v>
      </c>
      <c r="O35" s="15">
        <v>0.09</v>
      </c>
      <c r="P35" s="15">
        <v>0.05</v>
      </c>
      <c r="Q35" s="15">
        <v>7.0000000000000007E-2</v>
      </c>
      <c r="R35" s="15">
        <v>0.1</v>
      </c>
      <c r="S35" s="15">
        <v>0.09</v>
      </c>
      <c r="T35" s="15">
        <v>0.08</v>
      </c>
      <c r="U35" s="15">
        <v>0.09</v>
      </c>
      <c r="V35" s="15">
        <v>0.06</v>
      </c>
      <c r="W35" s="15">
        <v>0.15</v>
      </c>
      <c r="X35" s="15">
        <v>0.15</v>
      </c>
      <c r="Y35" s="15">
        <v>0.13</v>
      </c>
      <c r="Z35" s="15">
        <v>7.0000000000000007E-2</v>
      </c>
      <c r="AA35" s="15">
        <v>7.0000000000000007E-2</v>
      </c>
      <c r="AB35" s="15">
        <v>0.01</v>
      </c>
      <c r="AC35" s="15">
        <v>0.09</v>
      </c>
      <c r="AD35" s="15">
        <v>0.09</v>
      </c>
      <c r="AE35" s="15">
        <v>0.13</v>
      </c>
      <c r="AF35" s="15">
        <v>0.11</v>
      </c>
      <c r="AG35" s="15">
        <v>0.05</v>
      </c>
      <c r="AH35" s="15">
        <v>0.06</v>
      </c>
      <c r="AI35" s="15">
        <v>0.08</v>
      </c>
      <c r="AJ35" s="15">
        <v>0.05</v>
      </c>
      <c r="AK35" s="15">
        <v>0.05</v>
      </c>
      <c r="AL35" s="15">
        <v>0.03</v>
      </c>
      <c r="AM35" s="15">
        <v>0.09</v>
      </c>
      <c r="AN35" s="15">
        <v>0.05</v>
      </c>
      <c r="AO35" s="15">
        <v>0.02</v>
      </c>
      <c r="AP35" s="15">
        <v>0.06</v>
      </c>
      <c r="AQ35" s="15">
        <v>7.0000000000000007E-2</v>
      </c>
    </row>
    <row r="36" spans="1:43" ht="21.5" x14ac:dyDescent="0.35">
      <c r="A36" s="19"/>
      <c r="B36" s="11" t="s">
        <v>1600</v>
      </c>
      <c r="C36" s="12">
        <v>2744</v>
      </c>
      <c r="D36" s="12">
        <v>132</v>
      </c>
      <c r="E36" s="12">
        <v>105</v>
      </c>
      <c r="F36" s="12">
        <v>235</v>
      </c>
      <c r="G36" s="12">
        <v>141</v>
      </c>
      <c r="H36" s="12">
        <v>131</v>
      </c>
      <c r="I36" s="12">
        <v>146</v>
      </c>
      <c r="J36" s="12">
        <v>15</v>
      </c>
      <c r="K36" s="12">
        <v>67</v>
      </c>
      <c r="L36" s="12">
        <v>119</v>
      </c>
      <c r="M36" s="12">
        <v>107</v>
      </c>
      <c r="N36" s="12">
        <v>92</v>
      </c>
      <c r="O36" s="12">
        <v>65</v>
      </c>
      <c r="P36" s="12">
        <v>128</v>
      </c>
      <c r="Q36" s="12">
        <v>133</v>
      </c>
      <c r="R36" s="12">
        <v>74</v>
      </c>
      <c r="S36" s="12">
        <v>64</v>
      </c>
      <c r="T36" s="12">
        <v>79</v>
      </c>
      <c r="U36" s="12">
        <v>69</v>
      </c>
      <c r="V36" s="12">
        <v>154</v>
      </c>
      <c r="W36" s="12">
        <v>63</v>
      </c>
      <c r="X36" s="12">
        <v>143</v>
      </c>
      <c r="Y36" s="12">
        <v>90</v>
      </c>
      <c r="Z36" s="12">
        <v>83</v>
      </c>
      <c r="AA36" s="12">
        <v>63</v>
      </c>
      <c r="AB36" s="12">
        <v>120</v>
      </c>
      <c r="AC36" s="12">
        <v>88</v>
      </c>
      <c r="AD36" s="12">
        <v>115</v>
      </c>
      <c r="AE36" s="12">
        <v>70</v>
      </c>
      <c r="AF36" s="12">
        <v>190</v>
      </c>
      <c r="AG36" s="12">
        <v>86</v>
      </c>
      <c r="AH36" s="12">
        <v>71</v>
      </c>
      <c r="AI36" s="12">
        <v>48</v>
      </c>
      <c r="AJ36" s="12">
        <v>126</v>
      </c>
      <c r="AK36" s="12">
        <v>63</v>
      </c>
      <c r="AL36" s="12">
        <v>35</v>
      </c>
      <c r="AM36" s="12">
        <v>87</v>
      </c>
      <c r="AN36" s="12">
        <v>95</v>
      </c>
      <c r="AO36" s="12">
        <v>34</v>
      </c>
      <c r="AP36" s="12">
        <v>23</v>
      </c>
      <c r="AQ36" s="12">
        <v>18</v>
      </c>
    </row>
    <row r="37" spans="1:43" ht="21.5" x14ac:dyDescent="0.35">
      <c r="A37" s="19"/>
      <c r="B37" s="13" t="s">
        <v>1601</v>
      </c>
      <c r="C37" s="15">
        <v>0.1</v>
      </c>
      <c r="D37" s="15">
        <v>0.13</v>
      </c>
      <c r="E37" s="15">
        <v>0.1</v>
      </c>
      <c r="F37" s="15">
        <v>0.21</v>
      </c>
      <c r="G37" s="15">
        <v>0.14000000000000001</v>
      </c>
      <c r="H37" s="15">
        <v>0.11</v>
      </c>
      <c r="I37" s="15">
        <v>0.09</v>
      </c>
      <c r="J37" s="15">
        <v>0.05</v>
      </c>
      <c r="K37" s="15">
        <v>7.0000000000000007E-2</v>
      </c>
      <c r="L37" s="15">
        <v>0.12</v>
      </c>
      <c r="M37" s="15">
        <v>0.11</v>
      </c>
      <c r="N37" s="15">
        <v>0.09</v>
      </c>
      <c r="O37" s="15">
        <v>7.0000000000000007E-2</v>
      </c>
      <c r="P37" s="15">
        <v>0.13</v>
      </c>
      <c r="Q37" s="15">
        <v>0.13</v>
      </c>
      <c r="R37" s="15">
        <v>0.15</v>
      </c>
      <c r="S37" s="15">
        <v>0.06</v>
      </c>
      <c r="T37" s="15">
        <v>0.08</v>
      </c>
      <c r="U37" s="15">
        <v>0.14000000000000001</v>
      </c>
      <c r="V37" s="15">
        <v>0.15</v>
      </c>
      <c r="W37" s="15">
        <v>0.12</v>
      </c>
      <c r="X37" s="15">
        <v>0.14000000000000001</v>
      </c>
      <c r="Y37" s="15">
        <v>0.09</v>
      </c>
      <c r="Z37" s="15">
        <v>0.08</v>
      </c>
      <c r="AA37" s="15">
        <v>0.06</v>
      </c>
      <c r="AB37" s="15">
        <v>0.11</v>
      </c>
      <c r="AC37" s="15">
        <v>0.09</v>
      </c>
      <c r="AD37" s="15">
        <v>0.11</v>
      </c>
      <c r="AE37" s="15">
        <v>7.0000000000000007E-2</v>
      </c>
      <c r="AF37" s="15">
        <v>0.18</v>
      </c>
      <c r="AG37" s="15">
        <v>0.08</v>
      </c>
      <c r="AH37" s="15">
        <v>7.0000000000000007E-2</v>
      </c>
      <c r="AI37" s="15">
        <v>0.09</v>
      </c>
      <c r="AJ37" s="15">
        <v>0.12</v>
      </c>
      <c r="AK37" s="15">
        <v>0.06</v>
      </c>
      <c r="AL37" s="15">
        <v>0.03</v>
      </c>
      <c r="AM37" s="15">
        <v>0.08</v>
      </c>
      <c r="AN37" s="15">
        <v>0.09</v>
      </c>
      <c r="AO37" s="15">
        <v>0.03</v>
      </c>
      <c r="AP37" s="15">
        <v>0.04</v>
      </c>
      <c r="AQ37" s="15">
        <v>0.02</v>
      </c>
    </row>
    <row r="38" spans="1:43" ht="41.5" x14ac:dyDescent="0.35">
      <c r="A38" s="19"/>
      <c r="B38" s="11" t="s">
        <v>1602</v>
      </c>
      <c r="C38" s="12">
        <v>1086</v>
      </c>
      <c r="D38" s="12">
        <v>34</v>
      </c>
      <c r="E38" s="12">
        <v>52</v>
      </c>
      <c r="F38" s="12">
        <v>60</v>
      </c>
      <c r="G38" s="12">
        <v>11</v>
      </c>
      <c r="H38" s="12">
        <v>36</v>
      </c>
      <c r="I38" s="12">
        <v>40</v>
      </c>
      <c r="J38" s="12">
        <v>4</v>
      </c>
      <c r="K38" s="12">
        <v>46</v>
      </c>
      <c r="L38" s="12">
        <v>22</v>
      </c>
      <c r="M38" s="12">
        <v>71</v>
      </c>
      <c r="N38" s="12">
        <v>35</v>
      </c>
      <c r="O38" s="12">
        <v>52</v>
      </c>
      <c r="P38" s="12">
        <v>47</v>
      </c>
      <c r="Q38" s="12">
        <v>26</v>
      </c>
      <c r="R38" s="12">
        <v>28</v>
      </c>
      <c r="S38" s="12">
        <v>39</v>
      </c>
      <c r="T38" s="12">
        <v>37</v>
      </c>
      <c r="U38" s="12">
        <v>27</v>
      </c>
      <c r="V38" s="12">
        <v>81</v>
      </c>
      <c r="W38" s="12">
        <v>16</v>
      </c>
      <c r="X38" s="12">
        <v>20</v>
      </c>
      <c r="Y38" s="12">
        <v>31</v>
      </c>
      <c r="Z38" s="12">
        <v>85</v>
      </c>
      <c r="AA38" s="12">
        <v>30</v>
      </c>
      <c r="AB38" s="12">
        <v>55</v>
      </c>
      <c r="AC38" s="12">
        <v>40</v>
      </c>
      <c r="AD38" s="12">
        <v>55</v>
      </c>
      <c r="AE38" s="12">
        <v>13</v>
      </c>
      <c r="AF38" s="12">
        <v>65</v>
      </c>
      <c r="AG38" s="12">
        <v>32</v>
      </c>
      <c r="AH38" s="12">
        <v>29</v>
      </c>
      <c r="AI38" s="12">
        <v>55</v>
      </c>
      <c r="AJ38" s="12">
        <v>80</v>
      </c>
      <c r="AK38" s="12">
        <v>16</v>
      </c>
      <c r="AL38" s="12">
        <v>49</v>
      </c>
      <c r="AM38" s="12">
        <v>33</v>
      </c>
      <c r="AN38" s="12">
        <v>46</v>
      </c>
      <c r="AO38" s="12">
        <v>14</v>
      </c>
      <c r="AP38" s="12">
        <v>16</v>
      </c>
      <c r="AQ38" s="12">
        <v>38</v>
      </c>
    </row>
    <row r="39" spans="1:43" ht="31.5" x14ac:dyDescent="0.35">
      <c r="A39" s="19"/>
      <c r="B39" s="13" t="s">
        <v>1603</v>
      </c>
      <c r="C39" s="15">
        <v>0.04</v>
      </c>
      <c r="D39" s="15">
        <v>0.03</v>
      </c>
      <c r="E39" s="15">
        <v>0.05</v>
      </c>
      <c r="F39" s="15">
        <v>0.05</v>
      </c>
      <c r="G39" s="15">
        <v>0.01</v>
      </c>
      <c r="H39" s="15">
        <v>0.03</v>
      </c>
      <c r="I39" s="15">
        <v>0.03</v>
      </c>
      <c r="J39" s="15">
        <v>0.02</v>
      </c>
      <c r="K39" s="15">
        <v>0.04</v>
      </c>
      <c r="L39" s="15">
        <v>0.02</v>
      </c>
      <c r="M39" s="15">
        <v>7.0000000000000007E-2</v>
      </c>
      <c r="N39" s="15">
        <v>0.03</v>
      </c>
      <c r="O39" s="15">
        <v>0.05</v>
      </c>
      <c r="P39" s="15">
        <v>0.05</v>
      </c>
      <c r="Q39" s="15">
        <v>0.03</v>
      </c>
      <c r="R39" s="15">
        <v>0.06</v>
      </c>
      <c r="S39" s="15">
        <v>0.04</v>
      </c>
      <c r="T39" s="15">
        <v>0.04</v>
      </c>
      <c r="U39" s="15">
        <v>0.05</v>
      </c>
      <c r="V39" s="15">
        <v>0.08</v>
      </c>
      <c r="W39" s="15">
        <v>0.03</v>
      </c>
      <c r="X39" s="15">
        <v>0.02</v>
      </c>
      <c r="Y39" s="15">
        <v>0.03</v>
      </c>
      <c r="Z39" s="15">
        <v>0.08</v>
      </c>
      <c r="AA39" s="15">
        <v>0.03</v>
      </c>
      <c r="AB39" s="15">
        <v>0.05</v>
      </c>
      <c r="AC39" s="15">
        <v>0.04</v>
      </c>
      <c r="AD39" s="15">
        <v>0.05</v>
      </c>
      <c r="AE39" s="15">
        <v>0.01</v>
      </c>
      <c r="AF39" s="15">
        <v>0.06</v>
      </c>
      <c r="AG39" s="15">
        <v>0.03</v>
      </c>
      <c r="AH39" s="15">
        <v>0.03</v>
      </c>
      <c r="AI39" s="15">
        <v>0.1</v>
      </c>
      <c r="AJ39" s="15">
        <v>0.08</v>
      </c>
      <c r="AK39" s="15">
        <v>0.02</v>
      </c>
      <c r="AL39" s="15">
        <v>0.05</v>
      </c>
      <c r="AM39" s="15">
        <v>0.03</v>
      </c>
      <c r="AN39" s="15">
        <v>0.05</v>
      </c>
      <c r="AO39" s="15">
        <v>0.01</v>
      </c>
      <c r="AP39" s="15">
        <v>0.03</v>
      </c>
      <c r="AQ39" s="15">
        <v>0.04</v>
      </c>
    </row>
    <row r="40" spans="1:43" ht="51.5" x14ac:dyDescent="0.35">
      <c r="A40" s="19"/>
      <c r="B40" s="11" t="s">
        <v>1604</v>
      </c>
      <c r="C40" s="12">
        <v>1894</v>
      </c>
      <c r="D40" s="12">
        <v>81</v>
      </c>
      <c r="E40" s="12">
        <v>54</v>
      </c>
      <c r="F40" s="12">
        <v>42</v>
      </c>
      <c r="G40" s="12">
        <v>78</v>
      </c>
      <c r="H40" s="12">
        <v>61</v>
      </c>
      <c r="I40" s="12">
        <v>86</v>
      </c>
      <c r="J40" s="12">
        <v>25</v>
      </c>
      <c r="K40" s="12">
        <v>71</v>
      </c>
      <c r="L40" s="12">
        <v>72</v>
      </c>
      <c r="M40" s="12">
        <v>73</v>
      </c>
      <c r="N40" s="12">
        <v>77</v>
      </c>
      <c r="O40" s="12">
        <v>119</v>
      </c>
      <c r="P40" s="12">
        <v>84</v>
      </c>
      <c r="Q40" s="12">
        <v>38</v>
      </c>
      <c r="R40" s="12">
        <v>35</v>
      </c>
      <c r="S40" s="12">
        <v>69</v>
      </c>
      <c r="T40" s="12">
        <v>75</v>
      </c>
      <c r="U40" s="12">
        <v>46</v>
      </c>
      <c r="V40" s="12">
        <v>38</v>
      </c>
      <c r="W40" s="12">
        <v>26</v>
      </c>
      <c r="X40" s="12">
        <v>99</v>
      </c>
      <c r="Y40" s="12">
        <v>62</v>
      </c>
      <c r="Z40" s="12">
        <v>70</v>
      </c>
      <c r="AA40" s="12">
        <v>104</v>
      </c>
      <c r="AB40" s="12">
        <v>69</v>
      </c>
      <c r="AC40" s="12">
        <v>66</v>
      </c>
      <c r="AD40" s="12">
        <v>84</v>
      </c>
      <c r="AE40" s="12">
        <v>101</v>
      </c>
      <c r="AF40" s="12">
        <v>72</v>
      </c>
      <c r="AG40" s="12">
        <v>38</v>
      </c>
      <c r="AH40" s="12">
        <v>51</v>
      </c>
      <c r="AI40" s="12">
        <v>64</v>
      </c>
      <c r="AJ40" s="12">
        <v>78</v>
      </c>
      <c r="AK40" s="12">
        <v>20</v>
      </c>
      <c r="AL40" s="12">
        <v>40</v>
      </c>
      <c r="AM40" s="12">
        <v>68</v>
      </c>
      <c r="AN40" s="12">
        <v>57</v>
      </c>
      <c r="AO40" s="12">
        <v>40</v>
      </c>
      <c r="AP40" s="12">
        <v>29</v>
      </c>
      <c r="AQ40" s="12">
        <v>40</v>
      </c>
    </row>
    <row r="41" spans="1:43" ht="41.5" x14ac:dyDescent="0.35">
      <c r="A41" s="19"/>
      <c r="B41" s="13" t="s">
        <v>1605</v>
      </c>
      <c r="C41" s="15">
        <v>7.0000000000000007E-2</v>
      </c>
      <c r="D41" s="15">
        <v>0.08</v>
      </c>
      <c r="E41" s="15">
        <v>0.05</v>
      </c>
      <c r="F41" s="15">
        <v>0.04</v>
      </c>
      <c r="G41" s="15">
        <v>0.08</v>
      </c>
      <c r="H41" s="15">
        <v>0.05</v>
      </c>
      <c r="I41" s="15">
        <v>0.06</v>
      </c>
      <c r="J41" s="15">
        <v>0.08</v>
      </c>
      <c r="K41" s="15">
        <v>7.0000000000000007E-2</v>
      </c>
      <c r="L41" s="15">
        <v>7.0000000000000007E-2</v>
      </c>
      <c r="M41" s="15">
        <v>7.0000000000000007E-2</v>
      </c>
      <c r="N41" s="15">
        <v>0.08</v>
      </c>
      <c r="O41" s="15">
        <v>0.12</v>
      </c>
      <c r="P41" s="15">
        <v>0.08</v>
      </c>
      <c r="Q41" s="15">
        <v>0.04</v>
      </c>
      <c r="R41" s="15">
        <v>7.0000000000000007E-2</v>
      </c>
      <c r="S41" s="15">
        <v>7.0000000000000007E-2</v>
      </c>
      <c r="T41" s="15">
        <v>7.0000000000000007E-2</v>
      </c>
      <c r="U41" s="15">
        <v>0.09</v>
      </c>
      <c r="V41" s="15">
        <v>0.04</v>
      </c>
      <c r="W41" s="15">
        <v>0.05</v>
      </c>
      <c r="X41" s="15">
        <v>0.1</v>
      </c>
      <c r="Y41" s="15">
        <v>0.06</v>
      </c>
      <c r="Z41" s="15">
        <v>7.0000000000000007E-2</v>
      </c>
      <c r="AA41" s="15">
        <v>0.1</v>
      </c>
      <c r="AB41" s="15">
        <v>7.0000000000000007E-2</v>
      </c>
      <c r="AC41" s="15">
        <v>7.0000000000000007E-2</v>
      </c>
      <c r="AD41" s="15">
        <v>0.08</v>
      </c>
      <c r="AE41" s="15">
        <v>0.1</v>
      </c>
      <c r="AF41" s="15">
        <v>7.0000000000000007E-2</v>
      </c>
      <c r="AG41" s="15">
        <v>0.04</v>
      </c>
      <c r="AH41" s="15">
        <v>0.05</v>
      </c>
      <c r="AI41" s="15">
        <v>0.12</v>
      </c>
      <c r="AJ41" s="15">
        <v>7.0000000000000007E-2</v>
      </c>
      <c r="AK41" s="15">
        <v>0.02</v>
      </c>
      <c r="AL41" s="15">
        <v>0.04</v>
      </c>
      <c r="AM41" s="15">
        <v>0.06</v>
      </c>
      <c r="AN41" s="15">
        <v>0.06</v>
      </c>
      <c r="AO41" s="15">
        <v>0.04</v>
      </c>
      <c r="AP41" s="15">
        <v>0.05</v>
      </c>
      <c r="AQ41" s="15">
        <v>0.04</v>
      </c>
    </row>
    <row r="42" spans="1:43" ht="21.5" x14ac:dyDescent="0.35">
      <c r="A42" s="19"/>
      <c r="B42" s="11" t="s">
        <v>1606</v>
      </c>
      <c r="C42" s="12">
        <v>409</v>
      </c>
      <c r="D42" s="12">
        <v>12</v>
      </c>
      <c r="E42" s="12">
        <v>31</v>
      </c>
      <c r="F42" s="12">
        <v>24</v>
      </c>
      <c r="G42" s="12">
        <v>12</v>
      </c>
      <c r="H42" s="12">
        <v>28</v>
      </c>
      <c r="I42" s="12">
        <v>33</v>
      </c>
      <c r="J42" s="12">
        <v>5</v>
      </c>
      <c r="K42" s="12">
        <v>32</v>
      </c>
      <c r="L42" s="12">
        <v>13</v>
      </c>
      <c r="M42" s="12">
        <v>2</v>
      </c>
      <c r="N42" s="12">
        <v>8</v>
      </c>
      <c r="O42" s="12">
        <v>15</v>
      </c>
      <c r="P42" s="12">
        <v>34</v>
      </c>
      <c r="Q42" s="12">
        <v>9</v>
      </c>
      <c r="R42" s="12">
        <v>2</v>
      </c>
      <c r="S42" s="12">
        <v>18</v>
      </c>
      <c r="T42" s="12">
        <v>16</v>
      </c>
      <c r="U42" s="12">
        <v>1</v>
      </c>
      <c r="V42" s="12">
        <v>24</v>
      </c>
      <c r="W42" s="12">
        <v>6</v>
      </c>
      <c r="X42" s="12">
        <v>8</v>
      </c>
      <c r="Y42" s="12">
        <v>20</v>
      </c>
      <c r="Z42" s="12">
        <v>12</v>
      </c>
      <c r="AA42" s="12">
        <v>16</v>
      </c>
      <c r="AB42" s="12">
        <v>44</v>
      </c>
      <c r="AC42" s="12">
        <v>17</v>
      </c>
      <c r="AD42" s="12">
        <v>15</v>
      </c>
      <c r="AE42" s="12">
        <v>9</v>
      </c>
      <c r="AF42" s="12">
        <v>9</v>
      </c>
      <c r="AG42" s="12">
        <v>10</v>
      </c>
      <c r="AH42" s="12">
        <v>18</v>
      </c>
      <c r="AI42" s="12">
        <v>17</v>
      </c>
      <c r="AJ42" s="12">
        <v>16</v>
      </c>
      <c r="AK42" s="12">
        <v>11</v>
      </c>
      <c r="AL42" s="12">
        <v>21</v>
      </c>
      <c r="AM42" s="12">
        <v>10</v>
      </c>
      <c r="AN42" s="12">
        <v>17</v>
      </c>
      <c r="AO42" s="12">
        <v>26</v>
      </c>
      <c r="AP42" s="12">
        <v>6</v>
      </c>
      <c r="AQ42" s="12">
        <v>10</v>
      </c>
    </row>
    <row r="43" spans="1:43" ht="21.5" x14ac:dyDescent="0.35">
      <c r="A43" s="19"/>
      <c r="B43" s="13" t="s">
        <v>1607</v>
      </c>
      <c r="C43" s="15">
        <v>0.02</v>
      </c>
      <c r="D43" s="15">
        <v>0.01</v>
      </c>
      <c r="E43" s="15">
        <v>0.03</v>
      </c>
      <c r="F43" s="15">
        <v>0.02</v>
      </c>
      <c r="G43" s="15">
        <v>0.01</v>
      </c>
      <c r="H43" s="15">
        <v>0.02</v>
      </c>
      <c r="I43" s="15">
        <v>0.02</v>
      </c>
      <c r="J43" s="15">
        <v>0.02</v>
      </c>
      <c r="K43" s="15">
        <v>0.03</v>
      </c>
      <c r="L43" s="15">
        <v>0.01</v>
      </c>
      <c r="M43" s="14" t="s">
        <v>475</v>
      </c>
      <c r="N43" s="15">
        <v>0.01</v>
      </c>
      <c r="O43" s="15">
        <v>0.02</v>
      </c>
      <c r="P43" s="15">
        <v>0.03</v>
      </c>
      <c r="Q43" s="15">
        <v>0.01</v>
      </c>
      <c r="R43" s="14" t="s">
        <v>475</v>
      </c>
      <c r="S43" s="15">
        <v>0.02</v>
      </c>
      <c r="T43" s="15">
        <v>0.02</v>
      </c>
      <c r="U43" s="14" t="s">
        <v>475</v>
      </c>
      <c r="V43" s="15">
        <v>0.02</v>
      </c>
      <c r="W43" s="15">
        <v>0.01</v>
      </c>
      <c r="X43" s="15">
        <v>0.01</v>
      </c>
      <c r="Y43" s="15">
        <v>0.02</v>
      </c>
      <c r="Z43" s="15">
        <v>0.01</v>
      </c>
      <c r="AA43" s="15">
        <v>0.02</v>
      </c>
      <c r="AB43" s="15">
        <v>0.04</v>
      </c>
      <c r="AC43" s="15">
        <v>0.02</v>
      </c>
      <c r="AD43" s="15">
        <v>0.02</v>
      </c>
      <c r="AE43" s="15">
        <v>0.01</v>
      </c>
      <c r="AF43" s="15">
        <v>0.01</v>
      </c>
      <c r="AG43" s="15">
        <v>0.01</v>
      </c>
      <c r="AH43" s="15">
        <v>0.02</v>
      </c>
      <c r="AI43" s="15">
        <v>0.03</v>
      </c>
      <c r="AJ43" s="15">
        <v>0.01</v>
      </c>
      <c r="AK43" s="15">
        <v>0.01</v>
      </c>
      <c r="AL43" s="15">
        <v>0.02</v>
      </c>
      <c r="AM43" s="15">
        <v>0.01</v>
      </c>
      <c r="AN43" s="15">
        <v>0.02</v>
      </c>
      <c r="AO43" s="15">
        <v>0.03</v>
      </c>
      <c r="AP43" s="15">
        <v>0.01</v>
      </c>
      <c r="AQ43" s="15">
        <v>0.01</v>
      </c>
    </row>
    <row r="44" spans="1:43" x14ac:dyDescent="0.35">
      <c r="A44" s="19"/>
      <c r="B44" s="11" t="s">
        <v>1608</v>
      </c>
      <c r="C44" s="12">
        <v>2863</v>
      </c>
      <c r="D44" s="12">
        <v>42</v>
      </c>
      <c r="E44" s="12">
        <v>131</v>
      </c>
      <c r="F44" s="12">
        <v>71</v>
      </c>
      <c r="G44" s="12">
        <v>84</v>
      </c>
      <c r="H44" s="12">
        <v>105</v>
      </c>
      <c r="I44" s="12">
        <v>150</v>
      </c>
      <c r="J44" s="12">
        <v>45</v>
      </c>
      <c r="K44" s="12">
        <v>87</v>
      </c>
      <c r="L44" s="12">
        <v>88</v>
      </c>
      <c r="M44" s="12">
        <v>66</v>
      </c>
      <c r="N44" s="12">
        <v>173</v>
      </c>
      <c r="O44" s="12">
        <v>80</v>
      </c>
      <c r="P44" s="12">
        <v>121</v>
      </c>
      <c r="Q44" s="12">
        <v>88</v>
      </c>
      <c r="R44" s="12">
        <v>34</v>
      </c>
      <c r="S44" s="12">
        <v>87</v>
      </c>
      <c r="T44" s="12">
        <v>122</v>
      </c>
      <c r="U44" s="12">
        <v>30</v>
      </c>
      <c r="V44" s="12">
        <v>190</v>
      </c>
      <c r="W44" s="12">
        <v>14</v>
      </c>
      <c r="X44" s="12">
        <v>18</v>
      </c>
      <c r="Y44" s="12">
        <v>137</v>
      </c>
      <c r="Z44" s="12">
        <v>188</v>
      </c>
      <c r="AA44" s="12">
        <v>133</v>
      </c>
      <c r="AB44" s="12">
        <v>197</v>
      </c>
      <c r="AC44" s="12">
        <v>76</v>
      </c>
      <c r="AD44" s="12">
        <v>60</v>
      </c>
      <c r="AE44" s="12">
        <v>71</v>
      </c>
      <c r="AF44" s="12">
        <v>59</v>
      </c>
      <c r="AG44" s="12">
        <v>83</v>
      </c>
      <c r="AH44" s="12">
        <v>136</v>
      </c>
      <c r="AI44" s="12">
        <v>67</v>
      </c>
      <c r="AJ44" s="12">
        <v>101</v>
      </c>
      <c r="AK44" s="12">
        <v>101</v>
      </c>
      <c r="AL44" s="12">
        <v>126</v>
      </c>
      <c r="AM44" s="12">
        <v>43</v>
      </c>
      <c r="AN44" s="12">
        <v>70</v>
      </c>
      <c r="AO44" s="12">
        <v>55</v>
      </c>
      <c r="AP44" s="12">
        <v>31</v>
      </c>
      <c r="AQ44" s="12">
        <v>55</v>
      </c>
    </row>
    <row r="45" spans="1:43" ht="21.5" x14ac:dyDescent="0.35">
      <c r="A45" s="19"/>
      <c r="B45" s="13" t="s">
        <v>1609</v>
      </c>
      <c r="C45" s="15">
        <v>0.11</v>
      </c>
      <c r="D45" s="15">
        <v>0.04</v>
      </c>
      <c r="E45" s="15">
        <v>0.13</v>
      </c>
      <c r="F45" s="15">
        <v>7.0000000000000007E-2</v>
      </c>
      <c r="G45" s="15">
        <v>0.08</v>
      </c>
      <c r="H45" s="15">
        <v>0.09</v>
      </c>
      <c r="I45" s="15">
        <v>0.1</v>
      </c>
      <c r="J45" s="15">
        <v>0.15</v>
      </c>
      <c r="K45" s="15">
        <v>0.09</v>
      </c>
      <c r="L45" s="15">
        <v>0.09</v>
      </c>
      <c r="M45" s="15">
        <v>0.06</v>
      </c>
      <c r="N45" s="15">
        <v>0.17</v>
      </c>
      <c r="O45" s="15">
        <v>0.08</v>
      </c>
      <c r="P45" s="15">
        <v>0.12</v>
      </c>
      <c r="Q45" s="15">
        <v>0.09</v>
      </c>
      <c r="R45" s="15">
        <v>7.0000000000000007E-2</v>
      </c>
      <c r="S45" s="15">
        <v>0.09</v>
      </c>
      <c r="T45" s="15">
        <v>0.12</v>
      </c>
      <c r="U45" s="15">
        <v>0.06</v>
      </c>
      <c r="V45" s="15">
        <v>0.19</v>
      </c>
      <c r="W45" s="15">
        <v>0.03</v>
      </c>
      <c r="X45" s="15">
        <v>0.02</v>
      </c>
      <c r="Y45" s="15">
        <v>0.14000000000000001</v>
      </c>
      <c r="Z45" s="15">
        <v>0.18</v>
      </c>
      <c r="AA45" s="15">
        <v>0.13</v>
      </c>
      <c r="AB45" s="15">
        <v>0.19</v>
      </c>
      <c r="AC45" s="15">
        <v>7.0000000000000007E-2</v>
      </c>
      <c r="AD45" s="15">
        <v>0.06</v>
      </c>
      <c r="AE45" s="15">
        <v>7.0000000000000007E-2</v>
      </c>
      <c r="AF45" s="15">
        <v>0.06</v>
      </c>
      <c r="AG45" s="15">
        <v>0.08</v>
      </c>
      <c r="AH45" s="15">
        <v>0.13</v>
      </c>
      <c r="AI45" s="15">
        <v>0.13</v>
      </c>
      <c r="AJ45" s="15">
        <v>0.1</v>
      </c>
      <c r="AK45" s="15">
        <v>0.1</v>
      </c>
      <c r="AL45" s="15">
        <v>0.12</v>
      </c>
      <c r="AM45" s="15">
        <v>0.04</v>
      </c>
      <c r="AN45" s="15">
        <v>7.0000000000000007E-2</v>
      </c>
      <c r="AO45" s="15">
        <v>0.05</v>
      </c>
      <c r="AP45" s="15">
        <v>0.06</v>
      </c>
      <c r="AQ45" s="15">
        <v>0.06</v>
      </c>
    </row>
    <row r="46" spans="1:43" ht="31.5" x14ac:dyDescent="0.35">
      <c r="A46" s="19"/>
      <c r="B46" s="11" t="s">
        <v>1610</v>
      </c>
      <c r="C46" s="12">
        <v>631</v>
      </c>
      <c r="D46" s="12">
        <v>15</v>
      </c>
      <c r="E46" s="12">
        <v>46</v>
      </c>
      <c r="F46" s="12">
        <v>15</v>
      </c>
      <c r="G46" s="12">
        <v>46</v>
      </c>
      <c r="H46" s="12">
        <v>26</v>
      </c>
      <c r="I46" s="12">
        <v>41</v>
      </c>
      <c r="J46" s="12">
        <v>14</v>
      </c>
      <c r="K46" s="12">
        <v>30</v>
      </c>
      <c r="L46" s="12">
        <v>48</v>
      </c>
      <c r="M46" s="12">
        <v>37</v>
      </c>
      <c r="N46" s="12">
        <v>25</v>
      </c>
      <c r="O46" s="12">
        <v>11</v>
      </c>
      <c r="P46" s="12">
        <v>16</v>
      </c>
      <c r="Q46" s="12">
        <v>44</v>
      </c>
      <c r="R46" s="12">
        <v>12</v>
      </c>
      <c r="S46" s="12">
        <v>21</v>
      </c>
      <c r="T46" s="12">
        <v>20</v>
      </c>
      <c r="U46" s="12">
        <v>13</v>
      </c>
      <c r="V46" s="12">
        <v>43</v>
      </c>
      <c r="W46" s="12">
        <v>5</v>
      </c>
      <c r="X46" s="12">
        <v>8</v>
      </c>
      <c r="Y46" s="12">
        <v>32</v>
      </c>
      <c r="Z46" s="12">
        <v>2</v>
      </c>
      <c r="AA46" s="12">
        <v>44</v>
      </c>
      <c r="AB46" s="12">
        <v>25</v>
      </c>
      <c r="AC46" s="12">
        <v>28</v>
      </c>
      <c r="AD46" s="12">
        <v>7</v>
      </c>
      <c r="AE46" s="12">
        <v>5</v>
      </c>
      <c r="AF46" s="12">
        <v>19</v>
      </c>
      <c r="AG46" s="12">
        <v>16</v>
      </c>
      <c r="AH46" s="12">
        <v>37</v>
      </c>
      <c r="AI46" s="12">
        <v>17</v>
      </c>
      <c r="AJ46" s="12">
        <v>28</v>
      </c>
      <c r="AK46" s="12">
        <v>76</v>
      </c>
      <c r="AL46" s="12">
        <v>55</v>
      </c>
      <c r="AM46" s="12">
        <v>32</v>
      </c>
      <c r="AN46" s="12">
        <v>10</v>
      </c>
      <c r="AO46" s="12">
        <v>59</v>
      </c>
      <c r="AP46" s="12">
        <v>9</v>
      </c>
      <c r="AQ46" s="12">
        <v>27</v>
      </c>
    </row>
    <row r="47" spans="1:43" ht="21.5" x14ac:dyDescent="0.35">
      <c r="A47" s="19"/>
      <c r="B47" s="13" t="s">
        <v>1611</v>
      </c>
      <c r="C47" s="15">
        <v>0.02</v>
      </c>
      <c r="D47" s="15">
        <v>0.02</v>
      </c>
      <c r="E47" s="15">
        <v>0.05</v>
      </c>
      <c r="F47" s="15">
        <v>0.01</v>
      </c>
      <c r="G47" s="15">
        <v>0.05</v>
      </c>
      <c r="H47" s="15">
        <v>0.02</v>
      </c>
      <c r="I47" s="15">
        <v>0.03</v>
      </c>
      <c r="J47" s="15">
        <v>0.05</v>
      </c>
      <c r="K47" s="15">
        <v>0.03</v>
      </c>
      <c r="L47" s="15">
        <v>0.05</v>
      </c>
      <c r="M47" s="15">
        <v>0.04</v>
      </c>
      <c r="N47" s="15">
        <v>0.02</v>
      </c>
      <c r="O47" s="15">
        <v>0.01</v>
      </c>
      <c r="P47" s="15">
        <v>0.02</v>
      </c>
      <c r="Q47" s="15">
        <v>0.04</v>
      </c>
      <c r="R47" s="15">
        <v>0.02</v>
      </c>
      <c r="S47" s="15">
        <v>0.02</v>
      </c>
      <c r="T47" s="15">
        <v>0.02</v>
      </c>
      <c r="U47" s="15">
        <v>0.03</v>
      </c>
      <c r="V47" s="15">
        <v>0.04</v>
      </c>
      <c r="W47" s="15">
        <v>0.01</v>
      </c>
      <c r="X47" s="15">
        <v>0.01</v>
      </c>
      <c r="Y47" s="15">
        <v>0.03</v>
      </c>
      <c r="Z47" s="14" t="s">
        <v>475</v>
      </c>
      <c r="AA47" s="15">
        <v>0.04</v>
      </c>
      <c r="AB47" s="15">
        <v>0.02</v>
      </c>
      <c r="AC47" s="15">
        <v>0.03</v>
      </c>
      <c r="AD47" s="15">
        <v>0.01</v>
      </c>
      <c r="AE47" s="15">
        <v>0.01</v>
      </c>
      <c r="AF47" s="15">
        <v>0.02</v>
      </c>
      <c r="AG47" s="15">
        <v>0.02</v>
      </c>
      <c r="AH47" s="15">
        <v>0.04</v>
      </c>
      <c r="AI47" s="15">
        <v>0.03</v>
      </c>
      <c r="AJ47" s="15">
        <v>0.03</v>
      </c>
      <c r="AK47" s="15">
        <v>0.08</v>
      </c>
      <c r="AL47" s="15">
        <v>0.05</v>
      </c>
      <c r="AM47" s="15">
        <v>0.03</v>
      </c>
      <c r="AN47" s="15">
        <v>0.01</v>
      </c>
      <c r="AO47" s="15">
        <v>0.06</v>
      </c>
      <c r="AP47" s="15">
        <v>0.02</v>
      </c>
      <c r="AQ47" s="15">
        <v>0.03</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385</v>
      </c>
      <c r="C3" s="18"/>
      <c r="D3" s="18"/>
      <c r="E3" s="18"/>
      <c r="F3" s="18"/>
      <c r="H3" s="18" t="s">
        <v>386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1612</v>
      </c>
      <c r="C12" s="12">
        <v>1867</v>
      </c>
      <c r="D12" s="12">
        <v>66</v>
      </c>
      <c r="E12" s="12">
        <v>92</v>
      </c>
      <c r="F12" s="12">
        <v>131</v>
      </c>
      <c r="G12" s="12">
        <v>49</v>
      </c>
      <c r="H12" s="12">
        <v>60</v>
      </c>
      <c r="I12" s="12">
        <v>77</v>
      </c>
      <c r="J12" s="12">
        <v>16</v>
      </c>
      <c r="K12" s="12">
        <v>106</v>
      </c>
      <c r="L12" s="12">
        <v>52</v>
      </c>
      <c r="M12" s="12">
        <v>151</v>
      </c>
      <c r="N12" s="12">
        <v>57</v>
      </c>
      <c r="O12" s="12">
        <v>49</v>
      </c>
      <c r="P12" s="12">
        <v>69</v>
      </c>
      <c r="Q12" s="12">
        <v>112</v>
      </c>
      <c r="R12" s="12">
        <v>67</v>
      </c>
      <c r="S12" s="12">
        <v>92</v>
      </c>
      <c r="T12" s="12">
        <v>87</v>
      </c>
      <c r="U12" s="12">
        <v>35</v>
      </c>
      <c r="V12" s="12">
        <v>54</v>
      </c>
      <c r="W12" s="12">
        <v>53</v>
      </c>
      <c r="X12" s="12">
        <v>83</v>
      </c>
      <c r="Y12" s="12">
        <v>56</v>
      </c>
      <c r="Z12" s="12">
        <v>78</v>
      </c>
      <c r="AA12" s="12">
        <v>100</v>
      </c>
      <c r="AB12" s="12">
        <v>36</v>
      </c>
      <c r="AC12" s="12">
        <v>91</v>
      </c>
      <c r="AD12" s="12">
        <v>117</v>
      </c>
      <c r="AE12" s="12">
        <v>84</v>
      </c>
      <c r="AF12" s="12">
        <v>73</v>
      </c>
      <c r="AG12" s="12">
        <v>133</v>
      </c>
      <c r="AH12" s="12">
        <v>85</v>
      </c>
      <c r="AI12" s="12">
        <v>57</v>
      </c>
      <c r="AJ12" s="12">
        <v>96</v>
      </c>
      <c r="AK12" s="12">
        <v>139</v>
      </c>
      <c r="AL12" s="12">
        <v>65</v>
      </c>
      <c r="AM12" s="12">
        <v>77</v>
      </c>
      <c r="AN12" s="12">
        <v>47</v>
      </c>
      <c r="AO12" s="12">
        <v>123</v>
      </c>
      <c r="AP12" s="12">
        <v>138</v>
      </c>
      <c r="AQ12" s="12">
        <v>132</v>
      </c>
    </row>
    <row r="13" spans="1:43" x14ac:dyDescent="0.35">
      <c r="A13" s="19"/>
      <c r="B13" s="13" t="s">
        <v>1613</v>
      </c>
      <c r="C13" s="15">
        <v>7.0000000000000007E-2</v>
      </c>
      <c r="D13" s="15">
        <v>7.0000000000000007E-2</v>
      </c>
      <c r="E13" s="15">
        <v>0.09</v>
      </c>
      <c r="F13" s="15">
        <v>0.12</v>
      </c>
      <c r="G13" s="15">
        <v>0.05</v>
      </c>
      <c r="H13" s="15">
        <v>0.05</v>
      </c>
      <c r="I13" s="15">
        <v>0.05</v>
      </c>
      <c r="J13" s="15">
        <v>0.06</v>
      </c>
      <c r="K13" s="15">
        <v>0.1</v>
      </c>
      <c r="L13" s="15">
        <v>0.05</v>
      </c>
      <c r="M13" s="15">
        <v>0.15</v>
      </c>
      <c r="N13" s="15">
        <v>0.06</v>
      </c>
      <c r="O13" s="15">
        <v>0.05</v>
      </c>
      <c r="P13" s="15">
        <v>7.0000000000000007E-2</v>
      </c>
      <c r="Q13" s="15">
        <v>0.11</v>
      </c>
      <c r="R13" s="15">
        <v>0.13</v>
      </c>
      <c r="S13" s="15">
        <v>0.09</v>
      </c>
      <c r="T13" s="15">
        <v>0.09</v>
      </c>
      <c r="U13" s="15">
        <v>7.0000000000000007E-2</v>
      </c>
      <c r="V13" s="15">
        <v>0.05</v>
      </c>
      <c r="W13" s="15">
        <v>0.1</v>
      </c>
      <c r="X13" s="15">
        <v>0.08</v>
      </c>
      <c r="Y13" s="15">
        <v>0.06</v>
      </c>
      <c r="Z13" s="15">
        <v>0.08</v>
      </c>
      <c r="AA13" s="15">
        <v>0.1</v>
      </c>
      <c r="AB13" s="15">
        <v>0.04</v>
      </c>
      <c r="AC13" s="15">
        <v>0.09</v>
      </c>
      <c r="AD13" s="15">
        <v>0.12</v>
      </c>
      <c r="AE13" s="15">
        <v>0.08</v>
      </c>
      <c r="AF13" s="15">
        <v>7.0000000000000007E-2</v>
      </c>
      <c r="AG13" s="15">
        <v>0.13</v>
      </c>
      <c r="AH13" s="15">
        <v>0.08</v>
      </c>
      <c r="AI13" s="15">
        <v>0.11</v>
      </c>
      <c r="AJ13" s="15">
        <v>0.09</v>
      </c>
      <c r="AK13" s="15">
        <v>0.14000000000000001</v>
      </c>
      <c r="AL13" s="15">
        <v>7.0000000000000007E-2</v>
      </c>
      <c r="AM13" s="15">
        <v>7.0000000000000007E-2</v>
      </c>
      <c r="AN13" s="15">
        <v>0.05</v>
      </c>
      <c r="AO13" s="15">
        <v>0.12</v>
      </c>
      <c r="AP13" s="15">
        <v>0.26</v>
      </c>
      <c r="AQ13" s="15">
        <v>0.13</v>
      </c>
    </row>
    <row r="14" spans="1:43" x14ac:dyDescent="0.35">
      <c r="A14" s="19"/>
      <c r="B14" s="11" t="s">
        <v>1614</v>
      </c>
      <c r="C14" s="12">
        <v>13003</v>
      </c>
      <c r="D14" s="12">
        <v>409</v>
      </c>
      <c r="E14" s="12">
        <v>511</v>
      </c>
      <c r="F14" s="12">
        <v>551</v>
      </c>
      <c r="G14" s="12">
        <v>521</v>
      </c>
      <c r="H14" s="12">
        <v>598</v>
      </c>
      <c r="I14" s="12">
        <v>751</v>
      </c>
      <c r="J14" s="12">
        <v>153</v>
      </c>
      <c r="K14" s="12">
        <v>467</v>
      </c>
      <c r="L14" s="12">
        <v>580</v>
      </c>
      <c r="M14" s="12">
        <v>417</v>
      </c>
      <c r="N14" s="12">
        <v>497</v>
      </c>
      <c r="O14" s="12">
        <v>466</v>
      </c>
      <c r="P14" s="12">
        <v>523</v>
      </c>
      <c r="Q14" s="12">
        <v>461</v>
      </c>
      <c r="R14" s="12">
        <v>281</v>
      </c>
      <c r="S14" s="12">
        <v>475</v>
      </c>
      <c r="T14" s="12">
        <v>497</v>
      </c>
      <c r="U14" s="12">
        <v>257</v>
      </c>
      <c r="V14" s="12">
        <v>621</v>
      </c>
      <c r="W14" s="12">
        <v>283</v>
      </c>
      <c r="X14" s="12">
        <v>483</v>
      </c>
      <c r="Y14" s="12">
        <v>542</v>
      </c>
      <c r="Z14" s="12">
        <v>555</v>
      </c>
      <c r="AA14" s="12">
        <v>518</v>
      </c>
      <c r="AB14" s="12">
        <v>570</v>
      </c>
      <c r="AC14" s="12">
        <v>475</v>
      </c>
      <c r="AD14" s="12">
        <v>472</v>
      </c>
      <c r="AE14" s="12">
        <v>470</v>
      </c>
      <c r="AF14" s="12">
        <v>609</v>
      </c>
      <c r="AG14" s="12">
        <v>374</v>
      </c>
      <c r="AH14" s="12">
        <v>467</v>
      </c>
      <c r="AI14" s="12">
        <v>328</v>
      </c>
      <c r="AJ14" s="12">
        <v>517</v>
      </c>
      <c r="AK14" s="12">
        <v>393</v>
      </c>
      <c r="AL14" s="12">
        <v>426</v>
      </c>
      <c r="AM14" s="12">
        <v>474</v>
      </c>
      <c r="AN14" s="12">
        <v>382</v>
      </c>
      <c r="AO14" s="12">
        <v>295</v>
      </c>
      <c r="AP14" s="12">
        <v>168</v>
      </c>
      <c r="AQ14" s="12">
        <v>331</v>
      </c>
    </row>
    <row r="15" spans="1:43" x14ac:dyDescent="0.35">
      <c r="A15" s="19"/>
      <c r="B15" s="13" t="s">
        <v>1615</v>
      </c>
      <c r="C15" s="15">
        <v>0.49</v>
      </c>
      <c r="D15" s="15">
        <v>0.4</v>
      </c>
      <c r="E15" s="15">
        <v>0.5</v>
      </c>
      <c r="F15" s="15">
        <v>0.5</v>
      </c>
      <c r="G15" s="15">
        <v>0.52</v>
      </c>
      <c r="H15" s="15">
        <v>0.49</v>
      </c>
      <c r="I15" s="15">
        <v>0.5</v>
      </c>
      <c r="J15" s="15">
        <v>0.52</v>
      </c>
      <c r="K15" s="15">
        <v>0.47</v>
      </c>
      <c r="L15" s="15">
        <v>0.57999999999999996</v>
      </c>
      <c r="M15" s="15">
        <v>0.41</v>
      </c>
      <c r="N15" s="15">
        <v>0.49</v>
      </c>
      <c r="O15" s="15">
        <v>0.47</v>
      </c>
      <c r="P15" s="15">
        <v>0.52</v>
      </c>
      <c r="Q15" s="15">
        <v>0.45</v>
      </c>
      <c r="R15" s="15">
        <v>0.56000000000000005</v>
      </c>
      <c r="S15" s="15">
        <v>0.48</v>
      </c>
      <c r="T15" s="15">
        <v>0.49</v>
      </c>
      <c r="U15" s="15">
        <v>0.51</v>
      </c>
      <c r="V15" s="15">
        <v>0.61</v>
      </c>
      <c r="W15" s="15">
        <v>0.56000000000000005</v>
      </c>
      <c r="X15" s="15">
        <v>0.48</v>
      </c>
      <c r="Y15" s="15">
        <v>0.54</v>
      </c>
      <c r="Z15" s="15">
        <v>0.54</v>
      </c>
      <c r="AA15" s="15">
        <v>0.5</v>
      </c>
      <c r="AB15" s="15">
        <v>0.54</v>
      </c>
      <c r="AC15" s="15">
        <v>0.47</v>
      </c>
      <c r="AD15" s="15">
        <v>0.47</v>
      </c>
      <c r="AE15" s="15">
        <v>0.47</v>
      </c>
      <c r="AF15" s="15">
        <v>0.57999999999999996</v>
      </c>
      <c r="AG15" s="15">
        <v>0.36</v>
      </c>
      <c r="AH15" s="15">
        <v>0.46</v>
      </c>
      <c r="AI15" s="15">
        <v>0.63</v>
      </c>
      <c r="AJ15" s="15">
        <v>0.5</v>
      </c>
      <c r="AK15" s="15">
        <v>0.39</v>
      </c>
      <c r="AL15" s="15">
        <v>0.42</v>
      </c>
      <c r="AM15" s="15">
        <v>0.46</v>
      </c>
      <c r="AN15" s="15">
        <v>0.38</v>
      </c>
      <c r="AO15" s="15">
        <v>0.28999999999999998</v>
      </c>
      <c r="AP15" s="15">
        <v>0.32</v>
      </c>
      <c r="AQ15" s="15">
        <v>0.33</v>
      </c>
    </row>
    <row r="16" spans="1:43" x14ac:dyDescent="0.35">
      <c r="A16" s="19"/>
      <c r="B16" s="11" t="s">
        <v>1616</v>
      </c>
      <c r="C16" s="12">
        <v>11575</v>
      </c>
      <c r="D16" s="12">
        <v>538</v>
      </c>
      <c r="E16" s="12">
        <v>427</v>
      </c>
      <c r="F16" s="12">
        <v>420</v>
      </c>
      <c r="G16" s="12">
        <v>436</v>
      </c>
      <c r="H16" s="12">
        <v>562</v>
      </c>
      <c r="I16" s="12">
        <v>688</v>
      </c>
      <c r="J16" s="12">
        <v>125</v>
      </c>
      <c r="K16" s="12">
        <v>428</v>
      </c>
      <c r="L16" s="12">
        <v>370</v>
      </c>
      <c r="M16" s="12">
        <v>442</v>
      </c>
      <c r="N16" s="12">
        <v>449</v>
      </c>
      <c r="O16" s="12">
        <v>486</v>
      </c>
      <c r="P16" s="12">
        <v>412</v>
      </c>
      <c r="Q16" s="12">
        <v>454</v>
      </c>
      <c r="R16" s="12">
        <v>156</v>
      </c>
      <c r="S16" s="12">
        <v>435</v>
      </c>
      <c r="T16" s="12">
        <v>422</v>
      </c>
      <c r="U16" s="12">
        <v>212</v>
      </c>
      <c r="V16" s="12">
        <v>340</v>
      </c>
      <c r="W16" s="12">
        <v>172</v>
      </c>
      <c r="X16" s="12">
        <v>443</v>
      </c>
      <c r="Y16" s="12">
        <v>404</v>
      </c>
      <c r="Z16" s="12">
        <v>398</v>
      </c>
      <c r="AA16" s="12">
        <v>415</v>
      </c>
      <c r="AB16" s="12">
        <v>445</v>
      </c>
      <c r="AC16" s="12">
        <v>437</v>
      </c>
      <c r="AD16" s="12">
        <v>416</v>
      </c>
      <c r="AE16" s="12">
        <v>458</v>
      </c>
      <c r="AF16" s="12">
        <v>361</v>
      </c>
      <c r="AG16" s="12">
        <v>528</v>
      </c>
      <c r="AH16" s="12">
        <v>461</v>
      </c>
      <c r="AI16" s="12">
        <v>138</v>
      </c>
      <c r="AJ16" s="12">
        <v>424</v>
      </c>
      <c r="AK16" s="12">
        <v>475</v>
      </c>
      <c r="AL16" s="12">
        <v>521</v>
      </c>
      <c r="AM16" s="12">
        <v>489</v>
      </c>
      <c r="AN16" s="12">
        <v>574</v>
      </c>
      <c r="AO16" s="12">
        <v>588</v>
      </c>
      <c r="AP16" s="12">
        <v>217</v>
      </c>
      <c r="AQ16" s="12">
        <v>539</v>
      </c>
    </row>
    <row r="17" spans="1:43" x14ac:dyDescent="0.35">
      <c r="A17" s="19"/>
      <c r="B17" s="13" t="s">
        <v>1617</v>
      </c>
      <c r="C17" s="15">
        <v>0.44</v>
      </c>
      <c r="D17" s="15">
        <v>0.53</v>
      </c>
      <c r="E17" s="15">
        <v>0.41</v>
      </c>
      <c r="F17" s="15">
        <v>0.38</v>
      </c>
      <c r="G17" s="15">
        <v>0.43</v>
      </c>
      <c r="H17" s="15">
        <v>0.46</v>
      </c>
      <c r="I17" s="15">
        <v>0.45</v>
      </c>
      <c r="J17" s="15">
        <v>0.42</v>
      </c>
      <c r="K17" s="15">
        <v>0.43</v>
      </c>
      <c r="L17" s="15">
        <v>0.37</v>
      </c>
      <c r="M17" s="15">
        <v>0.44</v>
      </c>
      <c r="N17" s="15">
        <v>0.45</v>
      </c>
      <c r="O17" s="15">
        <v>0.48</v>
      </c>
      <c r="P17" s="15">
        <v>0.41</v>
      </c>
      <c r="Q17" s="15">
        <v>0.44</v>
      </c>
      <c r="R17" s="15">
        <v>0.31</v>
      </c>
      <c r="S17" s="15">
        <v>0.43</v>
      </c>
      <c r="T17" s="15">
        <v>0.42</v>
      </c>
      <c r="U17" s="15">
        <v>0.42</v>
      </c>
      <c r="V17" s="15">
        <v>0.34</v>
      </c>
      <c r="W17" s="15">
        <v>0.34</v>
      </c>
      <c r="X17" s="15">
        <v>0.44</v>
      </c>
      <c r="Y17" s="15">
        <v>0.4</v>
      </c>
      <c r="Z17" s="15">
        <v>0.38</v>
      </c>
      <c r="AA17" s="15">
        <v>0.4</v>
      </c>
      <c r="AB17" s="15">
        <v>0.42</v>
      </c>
      <c r="AC17" s="15">
        <v>0.44</v>
      </c>
      <c r="AD17" s="15">
        <v>0.41</v>
      </c>
      <c r="AE17" s="15">
        <v>0.45</v>
      </c>
      <c r="AF17" s="15">
        <v>0.35</v>
      </c>
      <c r="AG17" s="15">
        <v>0.51</v>
      </c>
      <c r="AH17" s="15">
        <v>0.46</v>
      </c>
      <c r="AI17" s="15">
        <v>0.26</v>
      </c>
      <c r="AJ17" s="15">
        <v>0.41</v>
      </c>
      <c r="AK17" s="15">
        <v>0.47</v>
      </c>
      <c r="AL17" s="15">
        <v>0.51</v>
      </c>
      <c r="AM17" s="15">
        <v>0.47</v>
      </c>
      <c r="AN17" s="15">
        <v>0.57000000000000006</v>
      </c>
      <c r="AO17" s="15">
        <v>0.59</v>
      </c>
      <c r="AP17" s="15">
        <v>0.42</v>
      </c>
      <c r="AQ17" s="15">
        <v>0.54</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387</v>
      </c>
      <c r="C3" s="18"/>
      <c r="D3" s="18"/>
      <c r="E3" s="18"/>
      <c r="F3" s="18"/>
      <c r="H3" s="18" t="s">
        <v>388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1612</v>
      </c>
      <c r="C12" s="12">
        <v>1867</v>
      </c>
      <c r="D12" s="12">
        <v>66</v>
      </c>
      <c r="E12" s="12">
        <v>92</v>
      </c>
      <c r="F12" s="12">
        <v>131</v>
      </c>
      <c r="G12" s="12">
        <v>49</v>
      </c>
      <c r="H12" s="12">
        <v>60</v>
      </c>
      <c r="I12" s="12">
        <v>77</v>
      </c>
      <c r="J12" s="12">
        <v>16</v>
      </c>
      <c r="K12" s="12">
        <v>106</v>
      </c>
      <c r="L12" s="12">
        <v>52</v>
      </c>
      <c r="M12" s="12">
        <v>151</v>
      </c>
      <c r="N12" s="12">
        <v>57</v>
      </c>
      <c r="O12" s="12">
        <v>49</v>
      </c>
      <c r="P12" s="12">
        <v>69</v>
      </c>
      <c r="Q12" s="12">
        <v>112</v>
      </c>
      <c r="R12" s="12">
        <v>67</v>
      </c>
      <c r="S12" s="12">
        <v>92</v>
      </c>
      <c r="T12" s="12">
        <v>87</v>
      </c>
      <c r="U12" s="12">
        <v>35</v>
      </c>
      <c r="V12" s="12">
        <v>54</v>
      </c>
      <c r="W12" s="12">
        <v>53</v>
      </c>
      <c r="X12" s="12">
        <v>83</v>
      </c>
      <c r="Y12" s="12">
        <v>56</v>
      </c>
      <c r="Z12" s="12">
        <v>78</v>
      </c>
      <c r="AA12" s="12">
        <v>100</v>
      </c>
      <c r="AB12" s="12">
        <v>36</v>
      </c>
      <c r="AC12" s="12">
        <v>91</v>
      </c>
      <c r="AD12" s="12">
        <v>117</v>
      </c>
      <c r="AE12" s="12">
        <v>84</v>
      </c>
      <c r="AF12" s="12">
        <v>73</v>
      </c>
      <c r="AG12" s="12">
        <v>133</v>
      </c>
      <c r="AH12" s="12">
        <v>85</v>
      </c>
      <c r="AI12" s="12">
        <v>57</v>
      </c>
      <c r="AJ12" s="12">
        <v>96</v>
      </c>
      <c r="AK12" s="12">
        <v>139</v>
      </c>
      <c r="AL12" s="12">
        <v>65</v>
      </c>
      <c r="AM12" s="12">
        <v>77</v>
      </c>
      <c r="AN12" s="12">
        <v>47</v>
      </c>
      <c r="AO12" s="12">
        <v>123</v>
      </c>
      <c r="AP12" s="12">
        <v>138</v>
      </c>
      <c r="AQ12" s="12">
        <v>132</v>
      </c>
    </row>
    <row r="13" spans="1:43" x14ac:dyDescent="0.35">
      <c r="A13" s="19"/>
      <c r="B13" s="13" t="s">
        <v>1613</v>
      </c>
      <c r="C13" s="15">
        <v>7.0000000000000007E-2</v>
      </c>
      <c r="D13" s="15">
        <v>0.06</v>
      </c>
      <c r="E13" s="15">
        <v>0.09</v>
      </c>
      <c r="F13" s="15">
        <v>0.12</v>
      </c>
      <c r="G13" s="15">
        <v>0.05</v>
      </c>
      <c r="H13" s="15">
        <v>0.05</v>
      </c>
      <c r="I13" s="15">
        <v>0.05</v>
      </c>
      <c r="J13" s="15">
        <v>0.06</v>
      </c>
      <c r="K13" s="15">
        <v>0.11</v>
      </c>
      <c r="L13" s="15">
        <v>0.05</v>
      </c>
      <c r="M13" s="15">
        <v>0.15</v>
      </c>
      <c r="N13" s="15">
        <v>0.06</v>
      </c>
      <c r="O13" s="15">
        <v>0.05</v>
      </c>
      <c r="P13" s="15">
        <v>7.0000000000000007E-2</v>
      </c>
      <c r="Q13" s="15">
        <v>0.11</v>
      </c>
      <c r="R13" s="15">
        <v>0.13</v>
      </c>
      <c r="S13" s="15">
        <v>0.09</v>
      </c>
      <c r="T13" s="15">
        <v>0.09</v>
      </c>
      <c r="U13" s="15">
        <v>7.0000000000000007E-2</v>
      </c>
      <c r="V13" s="15">
        <v>0.05</v>
      </c>
      <c r="W13" s="15">
        <v>0.11</v>
      </c>
      <c r="X13" s="15">
        <v>0.08</v>
      </c>
      <c r="Y13" s="15">
        <v>0.06</v>
      </c>
      <c r="Z13" s="15">
        <v>0.08</v>
      </c>
      <c r="AA13" s="15">
        <v>0.1</v>
      </c>
      <c r="AB13" s="15">
        <v>0.03</v>
      </c>
      <c r="AC13" s="15">
        <v>0.09</v>
      </c>
      <c r="AD13" s="15">
        <v>0.12</v>
      </c>
      <c r="AE13" s="15">
        <v>0.08</v>
      </c>
      <c r="AF13" s="15">
        <v>7.0000000000000007E-2</v>
      </c>
      <c r="AG13" s="15">
        <v>0.13</v>
      </c>
      <c r="AH13" s="15">
        <v>0.08</v>
      </c>
      <c r="AI13" s="15">
        <v>0.11</v>
      </c>
      <c r="AJ13" s="15">
        <v>0.09</v>
      </c>
      <c r="AK13" s="15">
        <v>0.14000000000000001</v>
      </c>
      <c r="AL13" s="15">
        <v>0.06</v>
      </c>
      <c r="AM13" s="15">
        <v>7.0000000000000007E-2</v>
      </c>
      <c r="AN13" s="15">
        <v>0.05</v>
      </c>
      <c r="AO13" s="15">
        <v>0.12</v>
      </c>
      <c r="AP13" s="15">
        <v>0.26</v>
      </c>
      <c r="AQ13" s="15">
        <v>0.13</v>
      </c>
    </row>
    <row r="14" spans="1:43" x14ac:dyDescent="0.35">
      <c r="A14" s="19"/>
      <c r="B14" s="11" t="s">
        <v>1618</v>
      </c>
      <c r="C14" s="12">
        <v>3375</v>
      </c>
      <c r="D14" s="12">
        <v>93</v>
      </c>
      <c r="E14" s="12">
        <v>92</v>
      </c>
      <c r="F14" s="12">
        <v>105</v>
      </c>
      <c r="G14" s="12">
        <v>149</v>
      </c>
      <c r="H14" s="12">
        <v>211</v>
      </c>
      <c r="I14" s="12">
        <v>255</v>
      </c>
      <c r="J14" s="12">
        <v>44</v>
      </c>
      <c r="K14" s="12">
        <v>134</v>
      </c>
      <c r="L14" s="12">
        <v>218</v>
      </c>
      <c r="M14" s="12">
        <v>60</v>
      </c>
      <c r="N14" s="12">
        <v>88</v>
      </c>
      <c r="O14" s="12">
        <v>125</v>
      </c>
      <c r="P14" s="12">
        <v>94</v>
      </c>
      <c r="Q14" s="12">
        <v>123</v>
      </c>
      <c r="R14" s="12">
        <v>96</v>
      </c>
      <c r="S14" s="12">
        <v>177</v>
      </c>
      <c r="T14" s="12">
        <v>149</v>
      </c>
      <c r="U14" s="12">
        <v>71</v>
      </c>
      <c r="V14" s="12">
        <v>90</v>
      </c>
      <c r="W14" s="12">
        <v>154</v>
      </c>
      <c r="X14" s="12">
        <v>187</v>
      </c>
      <c r="Y14" s="12">
        <v>170</v>
      </c>
      <c r="Z14" s="12">
        <v>115</v>
      </c>
      <c r="AA14" s="12">
        <v>128</v>
      </c>
      <c r="AB14" s="12">
        <v>60</v>
      </c>
      <c r="AC14" s="12">
        <v>160</v>
      </c>
      <c r="AD14" s="12">
        <v>137</v>
      </c>
      <c r="AE14" s="12">
        <v>201</v>
      </c>
      <c r="AF14" s="12">
        <v>196</v>
      </c>
      <c r="AG14" s="12">
        <v>110</v>
      </c>
      <c r="AH14" s="12">
        <v>124</v>
      </c>
      <c r="AI14" s="12">
        <v>61</v>
      </c>
      <c r="AJ14" s="12">
        <v>88</v>
      </c>
      <c r="AK14" s="12">
        <v>106</v>
      </c>
      <c r="AL14" s="12">
        <v>101</v>
      </c>
      <c r="AM14" s="12">
        <v>202</v>
      </c>
      <c r="AN14" s="12">
        <v>87</v>
      </c>
      <c r="AO14" s="12">
        <v>67</v>
      </c>
      <c r="AP14" s="12">
        <v>56</v>
      </c>
      <c r="AQ14" s="12">
        <v>142</v>
      </c>
    </row>
    <row r="15" spans="1:43" x14ac:dyDescent="0.35">
      <c r="A15" s="19"/>
      <c r="B15" s="13" t="s">
        <v>1619</v>
      </c>
      <c r="C15" s="15">
        <v>0.13</v>
      </c>
      <c r="D15" s="15">
        <v>0.09</v>
      </c>
      <c r="E15" s="15">
        <v>0.09</v>
      </c>
      <c r="F15" s="15">
        <v>0.09</v>
      </c>
      <c r="G15" s="15">
        <v>0.15</v>
      </c>
      <c r="H15" s="15">
        <v>0.17</v>
      </c>
      <c r="I15" s="15">
        <v>0.17</v>
      </c>
      <c r="J15" s="15">
        <v>0.15</v>
      </c>
      <c r="K15" s="15">
        <v>0.13</v>
      </c>
      <c r="L15" s="15">
        <v>0.22</v>
      </c>
      <c r="M15" s="15">
        <v>0.06</v>
      </c>
      <c r="N15" s="15">
        <v>0.09</v>
      </c>
      <c r="O15" s="15">
        <v>0.13</v>
      </c>
      <c r="P15" s="15">
        <v>0.09</v>
      </c>
      <c r="Q15" s="15">
        <v>0.12</v>
      </c>
      <c r="R15" s="15">
        <v>0.19</v>
      </c>
      <c r="S15" s="15">
        <v>0.18</v>
      </c>
      <c r="T15" s="15">
        <v>0.15</v>
      </c>
      <c r="U15" s="15">
        <v>0.14000000000000001</v>
      </c>
      <c r="V15" s="15">
        <v>0.09</v>
      </c>
      <c r="W15" s="15">
        <v>0.3</v>
      </c>
      <c r="X15" s="15">
        <v>0.19</v>
      </c>
      <c r="Y15" s="15">
        <v>0.17</v>
      </c>
      <c r="Z15" s="15">
        <v>0.11</v>
      </c>
      <c r="AA15" s="15">
        <v>0.12</v>
      </c>
      <c r="AB15" s="15">
        <v>0.06</v>
      </c>
      <c r="AC15" s="15">
        <v>0.16</v>
      </c>
      <c r="AD15" s="15">
        <v>0.14000000000000001</v>
      </c>
      <c r="AE15" s="15">
        <v>0.2</v>
      </c>
      <c r="AF15" s="15">
        <v>0.19</v>
      </c>
      <c r="AG15" s="15">
        <v>0.11</v>
      </c>
      <c r="AH15" s="15">
        <v>0.12</v>
      </c>
      <c r="AI15" s="15">
        <v>0.11</v>
      </c>
      <c r="AJ15" s="15">
        <v>0.08</v>
      </c>
      <c r="AK15" s="15">
        <v>0.1</v>
      </c>
      <c r="AL15" s="15">
        <v>0.1</v>
      </c>
      <c r="AM15" s="15">
        <v>0.19</v>
      </c>
      <c r="AN15" s="15">
        <v>0.09</v>
      </c>
      <c r="AO15" s="15">
        <v>0.06</v>
      </c>
      <c r="AP15" s="15">
        <v>0.11</v>
      </c>
      <c r="AQ15" s="15">
        <v>0.14000000000000001</v>
      </c>
    </row>
    <row r="16" spans="1:43" x14ac:dyDescent="0.35">
      <c r="A16" s="19"/>
      <c r="B16" s="11" t="s">
        <v>1620</v>
      </c>
      <c r="C16" s="12">
        <v>3831</v>
      </c>
      <c r="D16" s="12">
        <v>166</v>
      </c>
      <c r="E16" s="12">
        <v>157</v>
      </c>
      <c r="F16" s="12">
        <v>294</v>
      </c>
      <c r="G16" s="12">
        <v>152</v>
      </c>
      <c r="H16" s="12">
        <v>167</v>
      </c>
      <c r="I16" s="12">
        <v>186</v>
      </c>
      <c r="J16" s="12">
        <v>19</v>
      </c>
      <c r="K16" s="12">
        <v>112</v>
      </c>
      <c r="L16" s="12">
        <v>141</v>
      </c>
      <c r="M16" s="12">
        <v>178</v>
      </c>
      <c r="N16" s="12">
        <v>127</v>
      </c>
      <c r="O16" s="12">
        <v>116</v>
      </c>
      <c r="P16" s="12">
        <v>175</v>
      </c>
      <c r="Q16" s="12">
        <v>159</v>
      </c>
      <c r="R16" s="12">
        <v>102</v>
      </c>
      <c r="S16" s="12">
        <v>103</v>
      </c>
      <c r="T16" s="12">
        <v>116</v>
      </c>
      <c r="U16" s="12">
        <v>96</v>
      </c>
      <c r="V16" s="12">
        <v>235</v>
      </c>
      <c r="W16" s="12">
        <v>78</v>
      </c>
      <c r="X16" s="12">
        <v>163</v>
      </c>
      <c r="Y16" s="12">
        <v>122</v>
      </c>
      <c r="Z16" s="12">
        <v>168</v>
      </c>
      <c r="AA16" s="12">
        <v>92</v>
      </c>
      <c r="AB16" s="12">
        <v>175</v>
      </c>
      <c r="AC16" s="12">
        <v>128</v>
      </c>
      <c r="AD16" s="12">
        <v>169</v>
      </c>
      <c r="AE16" s="12">
        <v>83</v>
      </c>
      <c r="AF16" s="12">
        <v>255</v>
      </c>
      <c r="AG16" s="12">
        <v>118</v>
      </c>
      <c r="AH16" s="12">
        <v>101</v>
      </c>
      <c r="AI16" s="12">
        <v>103</v>
      </c>
      <c r="AJ16" s="12">
        <v>206</v>
      </c>
      <c r="AK16" s="12">
        <v>79</v>
      </c>
      <c r="AL16" s="12">
        <v>84</v>
      </c>
      <c r="AM16" s="12">
        <v>120</v>
      </c>
      <c r="AN16" s="12">
        <v>141</v>
      </c>
      <c r="AO16" s="12">
        <v>48</v>
      </c>
      <c r="AP16" s="12">
        <v>38</v>
      </c>
      <c r="AQ16" s="12">
        <v>56</v>
      </c>
    </row>
    <row r="17" spans="1:43" x14ac:dyDescent="0.35">
      <c r="A17" s="19"/>
      <c r="B17" s="13" t="s">
        <v>1621</v>
      </c>
      <c r="C17" s="15">
        <v>0.14000000000000001</v>
      </c>
      <c r="D17" s="15">
        <v>0.16</v>
      </c>
      <c r="E17" s="15">
        <v>0.15</v>
      </c>
      <c r="F17" s="15">
        <v>0.27</v>
      </c>
      <c r="G17" s="15">
        <v>0.15</v>
      </c>
      <c r="H17" s="15">
        <v>0.14000000000000001</v>
      </c>
      <c r="I17" s="15">
        <v>0.12</v>
      </c>
      <c r="J17" s="15">
        <v>7.0000000000000007E-2</v>
      </c>
      <c r="K17" s="15">
        <v>0.11</v>
      </c>
      <c r="L17" s="15">
        <v>0.14000000000000001</v>
      </c>
      <c r="M17" s="15">
        <v>0.18</v>
      </c>
      <c r="N17" s="15">
        <v>0.13</v>
      </c>
      <c r="O17" s="15">
        <v>0.12</v>
      </c>
      <c r="P17" s="15">
        <v>0.17</v>
      </c>
      <c r="Q17" s="15">
        <v>0.15</v>
      </c>
      <c r="R17" s="15">
        <v>0.2</v>
      </c>
      <c r="S17" s="15">
        <v>0.1</v>
      </c>
      <c r="T17" s="15">
        <v>0.11</v>
      </c>
      <c r="U17" s="15">
        <v>0.19</v>
      </c>
      <c r="V17" s="15">
        <v>0.23</v>
      </c>
      <c r="W17" s="15">
        <v>0.16</v>
      </c>
      <c r="X17" s="15">
        <v>0.16</v>
      </c>
      <c r="Y17" s="15">
        <v>0.12</v>
      </c>
      <c r="Z17" s="15">
        <v>0.16</v>
      </c>
      <c r="AA17" s="15">
        <v>0.09</v>
      </c>
      <c r="AB17" s="15">
        <v>0.17</v>
      </c>
      <c r="AC17" s="15">
        <v>0.13</v>
      </c>
      <c r="AD17" s="15">
        <v>0.17</v>
      </c>
      <c r="AE17" s="15">
        <v>0.08</v>
      </c>
      <c r="AF17" s="15">
        <v>0.25</v>
      </c>
      <c r="AG17" s="15">
        <v>0.11</v>
      </c>
      <c r="AH17" s="15">
        <v>0.1</v>
      </c>
      <c r="AI17" s="15">
        <v>0.2</v>
      </c>
      <c r="AJ17" s="15">
        <v>0.2</v>
      </c>
      <c r="AK17" s="15">
        <v>0.08</v>
      </c>
      <c r="AL17" s="15">
        <v>0.08</v>
      </c>
      <c r="AM17" s="15">
        <v>0.12</v>
      </c>
      <c r="AN17" s="15">
        <v>0.14000000000000001</v>
      </c>
      <c r="AO17" s="15">
        <v>0.05</v>
      </c>
      <c r="AP17" s="15">
        <v>7.0000000000000007E-2</v>
      </c>
      <c r="AQ17" s="15">
        <v>0.06</v>
      </c>
    </row>
    <row r="18" spans="1:43" x14ac:dyDescent="0.35">
      <c r="A18" s="19"/>
      <c r="B18" s="11" t="s">
        <v>1622</v>
      </c>
      <c r="C18" s="12">
        <v>5797</v>
      </c>
      <c r="D18" s="12">
        <v>150</v>
      </c>
      <c r="E18" s="12">
        <v>263</v>
      </c>
      <c r="F18" s="12">
        <v>152</v>
      </c>
      <c r="G18" s="12">
        <v>220</v>
      </c>
      <c r="H18" s="12">
        <v>220</v>
      </c>
      <c r="I18" s="12">
        <v>310</v>
      </c>
      <c r="J18" s="12">
        <v>90</v>
      </c>
      <c r="K18" s="12">
        <v>221</v>
      </c>
      <c r="L18" s="12">
        <v>220</v>
      </c>
      <c r="M18" s="12">
        <v>178</v>
      </c>
      <c r="N18" s="12">
        <v>282</v>
      </c>
      <c r="O18" s="12">
        <v>225</v>
      </c>
      <c r="P18" s="12">
        <v>254</v>
      </c>
      <c r="Q18" s="12">
        <v>180</v>
      </c>
      <c r="R18" s="12">
        <v>83</v>
      </c>
      <c r="S18" s="12">
        <v>195</v>
      </c>
      <c r="T18" s="12">
        <v>232</v>
      </c>
      <c r="U18" s="12">
        <v>90</v>
      </c>
      <c r="V18" s="12">
        <v>295</v>
      </c>
      <c r="W18" s="12">
        <v>51</v>
      </c>
      <c r="X18" s="12">
        <v>133</v>
      </c>
      <c r="Y18" s="12">
        <v>251</v>
      </c>
      <c r="Z18" s="12">
        <v>272</v>
      </c>
      <c r="AA18" s="12">
        <v>298</v>
      </c>
      <c r="AB18" s="12">
        <v>335</v>
      </c>
      <c r="AC18" s="12">
        <v>186</v>
      </c>
      <c r="AD18" s="12">
        <v>166</v>
      </c>
      <c r="AE18" s="12">
        <v>185</v>
      </c>
      <c r="AF18" s="12">
        <v>158</v>
      </c>
      <c r="AG18" s="12">
        <v>147</v>
      </c>
      <c r="AH18" s="12">
        <v>242</v>
      </c>
      <c r="AI18" s="12">
        <v>164</v>
      </c>
      <c r="AJ18" s="12">
        <v>223</v>
      </c>
      <c r="AK18" s="12">
        <v>207</v>
      </c>
      <c r="AL18" s="12">
        <v>241</v>
      </c>
      <c r="AM18" s="12">
        <v>152</v>
      </c>
      <c r="AN18" s="12">
        <v>154</v>
      </c>
      <c r="AO18" s="12">
        <v>180</v>
      </c>
      <c r="AP18" s="12">
        <v>75</v>
      </c>
      <c r="AQ18" s="12">
        <v>132</v>
      </c>
    </row>
    <row r="19" spans="1:43" x14ac:dyDescent="0.35">
      <c r="A19" s="19"/>
      <c r="B19" s="13" t="s">
        <v>1623</v>
      </c>
      <c r="C19" s="15">
        <v>0.22</v>
      </c>
      <c r="D19" s="15">
        <v>0.15</v>
      </c>
      <c r="E19" s="15">
        <v>0.26</v>
      </c>
      <c r="F19" s="15">
        <v>0.14000000000000001</v>
      </c>
      <c r="G19" s="15">
        <v>0.22</v>
      </c>
      <c r="H19" s="15">
        <v>0.18</v>
      </c>
      <c r="I19" s="15">
        <v>0.2</v>
      </c>
      <c r="J19" s="15">
        <v>0.3</v>
      </c>
      <c r="K19" s="15">
        <v>0.22</v>
      </c>
      <c r="L19" s="15">
        <v>0.22</v>
      </c>
      <c r="M19" s="15">
        <v>0.18</v>
      </c>
      <c r="N19" s="15">
        <v>0.28000000000000003</v>
      </c>
      <c r="O19" s="15">
        <v>0.23</v>
      </c>
      <c r="P19" s="15">
        <v>0.25</v>
      </c>
      <c r="Q19" s="15">
        <v>0.18</v>
      </c>
      <c r="R19" s="15">
        <v>0.17</v>
      </c>
      <c r="S19" s="15">
        <v>0.2</v>
      </c>
      <c r="T19" s="15">
        <v>0.23</v>
      </c>
      <c r="U19" s="15">
        <v>0.18</v>
      </c>
      <c r="V19" s="15">
        <v>0.28999999999999998</v>
      </c>
      <c r="W19" s="15">
        <v>0.1</v>
      </c>
      <c r="X19" s="15">
        <v>0.13</v>
      </c>
      <c r="Y19" s="15">
        <v>0.25</v>
      </c>
      <c r="Z19" s="15">
        <v>0.26</v>
      </c>
      <c r="AA19" s="15">
        <v>0.28999999999999998</v>
      </c>
      <c r="AB19" s="15">
        <v>0.32</v>
      </c>
      <c r="AC19" s="15">
        <v>0.19</v>
      </c>
      <c r="AD19" s="15">
        <v>0.16</v>
      </c>
      <c r="AE19" s="15">
        <v>0.18</v>
      </c>
      <c r="AF19" s="15">
        <v>0.15</v>
      </c>
      <c r="AG19" s="15">
        <v>0.14000000000000001</v>
      </c>
      <c r="AH19" s="15">
        <v>0.24</v>
      </c>
      <c r="AI19" s="15">
        <v>0.31</v>
      </c>
      <c r="AJ19" s="15">
        <v>0.22</v>
      </c>
      <c r="AK19" s="15">
        <v>0.21</v>
      </c>
      <c r="AL19" s="15">
        <v>0.24</v>
      </c>
      <c r="AM19" s="15">
        <v>0.15</v>
      </c>
      <c r="AN19" s="15">
        <v>0.15</v>
      </c>
      <c r="AO19" s="15">
        <v>0.18</v>
      </c>
      <c r="AP19" s="15">
        <v>0.14000000000000001</v>
      </c>
      <c r="AQ19" s="15">
        <v>0.13</v>
      </c>
    </row>
    <row r="20" spans="1:43" x14ac:dyDescent="0.35">
      <c r="A20" s="19"/>
      <c r="B20" s="11" t="s">
        <v>1624</v>
      </c>
      <c r="C20" s="12">
        <v>1075</v>
      </c>
      <c r="D20" s="12">
        <v>19</v>
      </c>
      <c r="E20" s="12">
        <v>37</v>
      </c>
      <c r="F20" s="12">
        <v>22</v>
      </c>
      <c r="G20" s="12">
        <v>4</v>
      </c>
      <c r="H20" s="12">
        <v>38</v>
      </c>
      <c r="I20" s="12">
        <v>40</v>
      </c>
      <c r="J20" s="12">
        <v>1</v>
      </c>
      <c r="K20" s="12">
        <v>32</v>
      </c>
      <c r="L20" s="12">
        <v>78</v>
      </c>
      <c r="M20" s="12">
        <v>71</v>
      </c>
      <c r="N20" s="12">
        <v>64</v>
      </c>
      <c r="O20" s="12">
        <v>34</v>
      </c>
      <c r="P20" s="12">
        <v>21</v>
      </c>
      <c r="Q20" s="12">
        <v>75</v>
      </c>
      <c r="R20" s="12">
        <v>22</v>
      </c>
      <c r="S20" s="12">
        <v>21</v>
      </c>
      <c r="T20" s="12">
        <v>22</v>
      </c>
      <c r="U20" s="12">
        <v>5</v>
      </c>
      <c r="V20" s="12">
        <v>10</v>
      </c>
      <c r="W20" s="12">
        <v>67</v>
      </c>
      <c r="X20" s="12">
        <v>28</v>
      </c>
      <c r="Y20" s="12">
        <v>35</v>
      </c>
      <c r="Z20" s="12">
        <v>28</v>
      </c>
      <c r="AA20" s="12">
        <v>23</v>
      </c>
      <c r="AB20" s="12">
        <v>91</v>
      </c>
      <c r="AC20" s="12">
        <v>12</v>
      </c>
      <c r="AD20" s="12">
        <v>40</v>
      </c>
      <c r="AE20" s="12">
        <v>6</v>
      </c>
      <c r="AF20" s="12">
        <v>3</v>
      </c>
      <c r="AG20" s="12">
        <v>234</v>
      </c>
      <c r="AH20" s="12">
        <v>78</v>
      </c>
      <c r="AI20" s="12">
        <v>9</v>
      </c>
      <c r="AJ20" s="12">
        <v>31</v>
      </c>
      <c r="AK20" s="12">
        <v>20</v>
      </c>
      <c r="AL20" s="12">
        <v>58</v>
      </c>
      <c r="AM20" s="12">
        <v>79</v>
      </c>
      <c r="AN20" s="12">
        <v>85</v>
      </c>
      <c r="AO20" s="12">
        <v>158</v>
      </c>
      <c r="AP20" s="12">
        <v>27</v>
      </c>
      <c r="AQ20" s="12">
        <v>152</v>
      </c>
    </row>
    <row r="21" spans="1:43" x14ac:dyDescent="0.35">
      <c r="A21" s="19"/>
      <c r="B21" s="13" t="s">
        <v>1625</v>
      </c>
      <c r="C21" s="15">
        <v>0.04</v>
      </c>
      <c r="D21" s="15">
        <v>0.02</v>
      </c>
      <c r="E21" s="15">
        <v>0.04</v>
      </c>
      <c r="F21" s="15">
        <v>0.02</v>
      </c>
      <c r="G21" s="14" t="s">
        <v>475</v>
      </c>
      <c r="H21" s="15">
        <v>0.03</v>
      </c>
      <c r="I21" s="15">
        <v>0.03</v>
      </c>
      <c r="J21" s="14" t="s">
        <v>475</v>
      </c>
      <c r="K21" s="15">
        <v>0.03</v>
      </c>
      <c r="L21" s="15">
        <v>0.08</v>
      </c>
      <c r="M21" s="15">
        <v>7.0000000000000007E-2</v>
      </c>
      <c r="N21" s="15">
        <v>0.06</v>
      </c>
      <c r="O21" s="15">
        <v>0.03</v>
      </c>
      <c r="P21" s="15">
        <v>0.02</v>
      </c>
      <c r="Q21" s="15">
        <v>7.0000000000000007E-2</v>
      </c>
      <c r="R21" s="15">
        <v>0.04</v>
      </c>
      <c r="S21" s="15">
        <v>0.02</v>
      </c>
      <c r="T21" s="15">
        <v>0.02</v>
      </c>
      <c r="U21" s="15">
        <v>0.01</v>
      </c>
      <c r="V21" s="15">
        <v>0.01</v>
      </c>
      <c r="W21" s="15">
        <v>0.13</v>
      </c>
      <c r="X21" s="15">
        <v>0.03</v>
      </c>
      <c r="Y21" s="15">
        <v>0.04</v>
      </c>
      <c r="Z21" s="15">
        <v>0.03</v>
      </c>
      <c r="AA21" s="15">
        <v>0.02</v>
      </c>
      <c r="AB21" s="15">
        <v>0.09</v>
      </c>
      <c r="AC21" s="15">
        <v>0.01</v>
      </c>
      <c r="AD21" s="15">
        <v>0.04</v>
      </c>
      <c r="AE21" s="15">
        <v>0.01</v>
      </c>
      <c r="AF21" s="14" t="s">
        <v>475</v>
      </c>
      <c r="AG21" s="15">
        <v>0.23</v>
      </c>
      <c r="AH21" s="15">
        <v>0.08</v>
      </c>
      <c r="AI21" s="15">
        <v>0.02</v>
      </c>
      <c r="AJ21" s="15">
        <v>0.03</v>
      </c>
      <c r="AK21" s="15">
        <v>0.02</v>
      </c>
      <c r="AL21" s="15">
        <v>0.06</v>
      </c>
      <c r="AM21" s="15">
        <v>0.08</v>
      </c>
      <c r="AN21" s="15">
        <v>0.08</v>
      </c>
      <c r="AO21" s="15">
        <v>0.16</v>
      </c>
      <c r="AP21" s="15">
        <v>0.05</v>
      </c>
      <c r="AQ21" s="15">
        <v>0.15</v>
      </c>
    </row>
    <row r="22" spans="1:43" x14ac:dyDescent="0.35">
      <c r="A22" s="19"/>
      <c r="B22" s="11" t="s">
        <v>1626</v>
      </c>
      <c r="C22" s="12">
        <v>1314</v>
      </c>
      <c r="D22" s="12">
        <v>90</v>
      </c>
      <c r="E22" s="12">
        <v>54</v>
      </c>
      <c r="F22" s="12">
        <v>30</v>
      </c>
      <c r="G22" s="12">
        <v>49</v>
      </c>
      <c r="H22" s="12">
        <v>52</v>
      </c>
      <c r="I22" s="12">
        <v>62</v>
      </c>
      <c r="J22" s="12">
        <v>10</v>
      </c>
      <c r="K22" s="12">
        <v>58</v>
      </c>
      <c r="L22" s="12">
        <v>22</v>
      </c>
      <c r="M22" s="12">
        <v>67</v>
      </c>
      <c r="N22" s="12">
        <v>88</v>
      </c>
      <c r="O22" s="12">
        <v>83</v>
      </c>
      <c r="P22" s="12">
        <v>50</v>
      </c>
      <c r="Q22" s="12">
        <v>37</v>
      </c>
      <c r="R22" s="12">
        <v>19</v>
      </c>
      <c r="S22" s="12">
        <v>78</v>
      </c>
      <c r="T22" s="12">
        <v>72</v>
      </c>
      <c r="U22" s="12">
        <v>31</v>
      </c>
      <c r="V22" s="12">
        <v>26</v>
      </c>
      <c r="W22" s="12">
        <v>2</v>
      </c>
      <c r="X22" s="12">
        <v>42</v>
      </c>
      <c r="Y22" s="12">
        <v>43</v>
      </c>
      <c r="Z22" s="12">
        <v>15</v>
      </c>
      <c r="AA22" s="12">
        <v>29</v>
      </c>
      <c r="AB22" s="12">
        <v>11</v>
      </c>
      <c r="AC22" s="12">
        <v>37</v>
      </c>
      <c r="AD22" s="12">
        <v>45</v>
      </c>
      <c r="AE22" s="12">
        <v>60</v>
      </c>
      <c r="AF22" s="12">
        <v>33</v>
      </c>
      <c r="AG22" s="12">
        <v>49</v>
      </c>
      <c r="AH22" s="12">
        <v>96</v>
      </c>
      <c r="AI22" s="12">
        <v>31</v>
      </c>
      <c r="AJ22" s="12">
        <v>52</v>
      </c>
      <c r="AK22" s="12">
        <v>148</v>
      </c>
      <c r="AL22" s="12">
        <v>147</v>
      </c>
      <c r="AM22" s="12">
        <v>89</v>
      </c>
      <c r="AN22" s="12">
        <v>176</v>
      </c>
      <c r="AO22" s="12">
        <v>174</v>
      </c>
      <c r="AP22" s="12">
        <v>42</v>
      </c>
      <c r="AQ22" s="12">
        <v>143</v>
      </c>
    </row>
    <row r="23" spans="1:43" x14ac:dyDescent="0.35">
      <c r="A23" s="19"/>
      <c r="B23" s="13" t="s">
        <v>1627</v>
      </c>
      <c r="C23" s="15">
        <v>0.05</v>
      </c>
      <c r="D23" s="15">
        <v>0.09</v>
      </c>
      <c r="E23" s="15">
        <v>0.05</v>
      </c>
      <c r="F23" s="15">
        <v>0.03</v>
      </c>
      <c r="G23" s="15">
        <v>0.05</v>
      </c>
      <c r="H23" s="15">
        <v>0.04</v>
      </c>
      <c r="I23" s="15">
        <v>0.04</v>
      </c>
      <c r="J23" s="15">
        <v>0.03</v>
      </c>
      <c r="K23" s="15">
        <v>0.06</v>
      </c>
      <c r="L23" s="15">
        <v>0.02</v>
      </c>
      <c r="M23" s="15">
        <v>0.06</v>
      </c>
      <c r="N23" s="15">
        <v>0.09</v>
      </c>
      <c r="O23" s="15">
        <v>0.08</v>
      </c>
      <c r="P23" s="15">
        <v>0.05</v>
      </c>
      <c r="Q23" s="15">
        <v>0.04</v>
      </c>
      <c r="R23" s="15">
        <v>0.04</v>
      </c>
      <c r="S23" s="15">
        <v>0.08</v>
      </c>
      <c r="T23" s="15">
        <v>7.0000000000000007E-2</v>
      </c>
      <c r="U23" s="15">
        <v>0.06</v>
      </c>
      <c r="V23" s="15">
        <v>0.03</v>
      </c>
      <c r="W23" s="14" t="s">
        <v>475</v>
      </c>
      <c r="X23" s="15">
        <v>0.04</v>
      </c>
      <c r="Y23" s="15">
        <v>0.04</v>
      </c>
      <c r="Z23" s="15">
        <v>0.02</v>
      </c>
      <c r="AA23" s="15">
        <v>0.03</v>
      </c>
      <c r="AB23" s="15">
        <v>0.01</v>
      </c>
      <c r="AC23" s="15">
        <v>0.04</v>
      </c>
      <c r="AD23" s="15">
        <v>0.04</v>
      </c>
      <c r="AE23" s="15">
        <v>0.06</v>
      </c>
      <c r="AF23" s="15">
        <v>0.03</v>
      </c>
      <c r="AG23" s="15">
        <v>0.05</v>
      </c>
      <c r="AH23" s="15">
        <v>0.1</v>
      </c>
      <c r="AI23" s="15">
        <v>0.06</v>
      </c>
      <c r="AJ23" s="15">
        <v>0.05</v>
      </c>
      <c r="AK23" s="15">
        <v>0.15</v>
      </c>
      <c r="AL23" s="15">
        <v>0.15</v>
      </c>
      <c r="AM23" s="15">
        <v>0.09</v>
      </c>
      <c r="AN23" s="15">
        <v>0.18</v>
      </c>
      <c r="AO23" s="15">
        <v>0.17</v>
      </c>
      <c r="AP23" s="15">
        <v>0.08</v>
      </c>
      <c r="AQ23" s="15">
        <v>0.15</v>
      </c>
    </row>
    <row r="24" spans="1:43" x14ac:dyDescent="0.35">
      <c r="A24" s="19"/>
      <c r="B24" s="11" t="s">
        <v>1628</v>
      </c>
      <c r="C24" s="12">
        <v>6810</v>
      </c>
      <c r="D24" s="12">
        <v>301</v>
      </c>
      <c r="E24" s="12">
        <v>271</v>
      </c>
      <c r="F24" s="12">
        <v>265</v>
      </c>
      <c r="G24" s="12">
        <v>288</v>
      </c>
      <c r="H24" s="12">
        <v>328</v>
      </c>
      <c r="I24" s="12">
        <v>420</v>
      </c>
      <c r="J24" s="12">
        <v>93</v>
      </c>
      <c r="K24" s="12">
        <v>242</v>
      </c>
      <c r="L24" s="12">
        <v>170</v>
      </c>
      <c r="M24" s="12">
        <v>234</v>
      </c>
      <c r="N24" s="12">
        <v>214</v>
      </c>
      <c r="O24" s="12">
        <v>285</v>
      </c>
      <c r="P24" s="12">
        <v>286</v>
      </c>
      <c r="Q24" s="12">
        <v>240</v>
      </c>
      <c r="R24" s="12">
        <v>95</v>
      </c>
      <c r="S24" s="12">
        <v>275</v>
      </c>
      <c r="T24" s="12">
        <v>251</v>
      </c>
      <c r="U24" s="12">
        <v>125</v>
      </c>
      <c r="V24" s="12">
        <v>247</v>
      </c>
      <c r="W24" s="12">
        <v>61</v>
      </c>
      <c r="X24" s="12">
        <v>245</v>
      </c>
      <c r="Y24" s="12">
        <v>244</v>
      </c>
      <c r="Z24" s="12">
        <v>279</v>
      </c>
      <c r="AA24" s="12">
        <v>269</v>
      </c>
      <c r="AB24" s="12">
        <v>285</v>
      </c>
      <c r="AC24" s="12">
        <v>306</v>
      </c>
      <c r="AD24" s="12">
        <v>243</v>
      </c>
      <c r="AE24" s="12">
        <v>278</v>
      </c>
      <c r="AF24" s="12">
        <v>282</v>
      </c>
      <c r="AG24" s="12">
        <v>117</v>
      </c>
      <c r="AH24" s="12">
        <v>216</v>
      </c>
      <c r="AI24" s="12">
        <v>73</v>
      </c>
      <c r="AJ24" s="12">
        <v>262</v>
      </c>
      <c r="AK24" s="12">
        <v>205</v>
      </c>
      <c r="AL24" s="12">
        <v>240</v>
      </c>
      <c r="AM24" s="12">
        <v>255</v>
      </c>
      <c r="AN24" s="12">
        <v>199</v>
      </c>
      <c r="AO24" s="12">
        <v>128</v>
      </c>
      <c r="AP24" s="12">
        <v>78</v>
      </c>
      <c r="AQ24" s="12">
        <v>173</v>
      </c>
    </row>
    <row r="25" spans="1:43" x14ac:dyDescent="0.35">
      <c r="A25" s="19"/>
      <c r="B25" s="13" t="s">
        <v>1629</v>
      </c>
      <c r="C25" s="15">
        <v>0.26</v>
      </c>
      <c r="D25" s="15">
        <v>0.3</v>
      </c>
      <c r="E25" s="15">
        <v>0.26</v>
      </c>
      <c r="F25" s="15">
        <v>0.24</v>
      </c>
      <c r="G25" s="15">
        <v>0.28999999999999998</v>
      </c>
      <c r="H25" s="15">
        <v>0.27</v>
      </c>
      <c r="I25" s="15">
        <v>0.28000000000000003</v>
      </c>
      <c r="J25" s="15">
        <v>0.32</v>
      </c>
      <c r="K25" s="15">
        <v>0.24</v>
      </c>
      <c r="L25" s="15">
        <v>0.17</v>
      </c>
      <c r="M25" s="15">
        <v>0.23</v>
      </c>
      <c r="N25" s="15">
        <v>0.21</v>
      </c>
      <c r="O25" s="15">
        <v>0.28000000000000003</v>
      </c>
      <c r="P25" s="15">
        <v>0.28999999999999998</v>
      </c>
      <c r="Q25" s="15">
        <v>0.23</v>
      </c>
      <c r="R25" s="15">
        <v>0.19</v>
      </c>
      <c r="S25" s="15">
        <v>0.27</v>
      </c>
      <c r="T25" s="15">
        <v>0.25</v>
      </c>
      <c r="U25" s="15">
        <v>0.25</v>
      </c>
      <c r="V25" s="15">
        <v>0.24</v>
      </c>
      <c r="W25" s="15">
        <v>0.12</v>
      </c>
      <c r="X25" s="15">
        <v>0.24</v>
      </c>
      <c r="Y25" s="15">
        <v>0.24</v>
      </c>
      <c r="Z25" s="15">
        <v>0.27</v>
      </c>
      <c r="AA25" s="15">
        <v>0.26</v>
      </c>
      <c r="AB25" s="15">
        <v>0.27</v>
      </c>
      <c r="AC25" s="15">
        <v>0.3</v>
      </c>
      <c r="AD25" s="15">
        <v>0.24</v>
      </c>
      <c r="AE25" s="15">
        <v>0.28000000000000003</v>
      </c>
      <c r="AF25" s="15">
        <v>0.27</v>
      </c>
      <c r="AG25" s="15">
        <v>0.11</v>
      </c>
      <c r="AH25" s="15">
        <v>0.21</v>
      </c>
      <c r="AI25" s="15">
        <v>0.14000000000000001</v>
      </c>
      <c r="AJ25" s="15">
        <v>0.25</v>
      </c>
      <c r="AK25" s="15">
        <v>0.2</v>
      </c>
      <c r="AL25" s="15">
        <v>0.24</v>
      </c>
      <c r="AM25" s="15">
        <v>0.24</v>
      </c>
      <c r="AN25" s="15">
        <v>0.2</v>
      </c>
      <c r="AO25" s="15">
        <v>0.13</v>
      </c>
      <c r="AP25" s="15">
        <v>0.15</v>
      </c>
      <c r="AQ25" s="15">
        <v>0.17</v>
      </c>
    </row>
    <row r="26" spans="1:43" x14ac:dyDescent="0.35">
      <c r="A26" s="19"/>
      <c r="B26" s="11" t="s">
        <v>1630</v>
      </c>
      <c r="C26" s="12">
        <v>2376</v>
      </c>
      <c r="D26" s="12">
        <v>128</v>
      </c>
      <c r="E26" s="12">
        <v>64</v>
      </c>
      <c r="F26" s="12">
        <v>103</v>
      </c>
      <c r="G26" s="12">
        <v>95</v>
      </c>
      <c r="H26" s="12">
        <v>144</v>
      </c>
      <c r="I26" s="12">
        <v>165</v>
      </c>
      <c r="J26" s="12">
        <v>21</v>
      </c>
      <c r="K26" s="12">
        <v>96</v>
      </c>
      <c r="L26" s="12">
        <v>99</v>
      </c>
      <c r="M26" s="12">
        <v>70</v>
      </c>
      <c r="N26" s="12">
        <v>83</v>
      </c>
      <c r="O26" s="12">
        <v>85</v>
      </c>
      <c r="P26" s="12">
        <v>55</v>
      </c>
      <c r="Q26" s="12">
        <v>101</v>
      </c>
      <c r="R26" s="12">
        <v>20</v>
      </c>
      <c r="S26" s="12">
        <v>61</v>
      </c>
      <c r="T26" s="12">
        <v>77</v>
      </c>
      <c r="U26" s="12">
        <v>51</v>
      </c>
      <c r="V26" s="12">
        <v>57</v>
      </c>
      <c r="W26" s="12">
        <v>42</v>
      </c>
      <c r="X26" s="12">
        <v>128</v>
      </c>
      <c r="Y26" s="12">
        <v>83</v>
      </c>
      <c r="Z26" s="12">
        <v>76</v>
      </c>
      <c r="AA26" s="12">
        <v>93</v>
      </c>
      <c r="AB26" s="12">
        <v>58</v>
      </c>
      <c r="AC26" s="12">
        <v>83</v>
      </c>
      <c r="AD26" s="12">
        <v>89</v>
      </c>
      <c r="AE26" s="12">
        <v>114</v>
      </c>
      <c r="AF26" s="12">
        <v>44</v>
      </c>
      <c r="AG26" s="12">
        <v>128</v>
      </c>
      <c r="AH26" s="12">
        <v>71</v>
      </c>
      <c r="AI26" s="12">
        <v>25</v>
      </c>
      <c r="AJ26" s="12">
        <v>79</v>
      </c>
      <c r="AK26" s="12">
        <v>102</v>
      </c>
      <c r="AL26" s="12">
        <v>75</v>
      </c>
      <c r="AM26" s="12">
        <v>67</v>
      </c>
      <c r="AN26" s="12">
        <v>114</v>
      </c>
      <c r="AO26" s="12">
        <v>127</v>
      </c>
      <c r="AP26" s="12">
        <v>71</v>
      </c>
      <c r="AQ26" s="12">
        <v>72</v>
      </c>
    </row>
    <row r="27" spans="1:43" x14ac:dyDescent="0.35">
      <c r="A27" s="19"/>
      <c r="B27" s="13" t="s">
        <v>1631</v>
      </c>
      <c r="C27" s="15">
        <v>0.09</v>
      </c>
      <c r="D27" s="15">
        <v>0.13</v>
      </c>
      <c r="E27" s="15">
        <v>0.06</v>
      </c>
      <c r="F27" s="15">
        <v>0.09</v>
      </c>
      <c r="G27" s="15">
        <v>0.09</v>
      </c>
      <c r="H27" s="15">
        <v>0.12</v>
      </c>
      <c r="I27" s="15">
        <v>0.11</v>
      </c>
      <c r="J27" s="15">
        <v>7.0000000000000007E-2</v>
      </c>
      <c r="K27" s="15">
        <v>0.1</v>
      </c>
      <c r="L27" s="15">
        <v>0.1</v>
      </c>
      <c r="M27" s="15">
        <v>7.0000000000000007E-2</v>
      </c>
      <c r="N27" s="15">
        <v>0.08</v>
      </c>
      <c r="O27" s="15">
        <v>0.08</v>
      </c>
      <c r="P27" s="15">
        <v>0.06</v>
      </c>
      <c r="Q27" s="15">
        <v>0.1</v>
      </c>
      <c r="R27" s="15">
        <v>0.04</v>
      </c>
      <c r="S27" s="15">
        <v>0.06</v>
      </c>
      <c r="T27" s="15">
        <v>0.08</v>
      </c>
      <c r="U27" s="15">
        <v>0.1</v>
      </c>
      <c r="V27" s="15">
        <v>0.06</v>
      </c>
      <c r="W27" s="15">
        <v>0.08</v>
      </c>
      <c r="X27" s="15">
        <v>0.13</v>
      </c>
      <c r="Y27" s="15">
        <v>0.08</v>
      </c>
      <c r="Z27" s="15">
        <v>7.0000000000000007E-2</v>
      </c>
      <c r="AA27" s="15">
        <v>0.09</v>
      </c>
      <c r="AB27" s="15">
        <v>0.05</v>
      </c>
      <c r="AC27" s="15">
        <v>0.08</v>
      </c>
      <c r="AD27" s="15">
        <v>0.09</v>
      </c>
      <c r="AE27" s="15">
        <v>0.11</v>
      </c>
      <c r="AF27" s="15">
        <v>0.04</v>
      </c>
      <c r="AG27" s="15">
        <v>0.12</v>
      </c>
      <c r="AH27" s="15">
        <v>7.0000000000000007E-2</v>
      </c>
      <c r="AI27" s="15">
        <v>0.05</v>
      </c>
      <c r="AJ27" s="15">
        <v>0.08</v>
      </c>
      <c r="AK27" s="15">
        <v>0.1</v>
      </c>
      <c r="AL27" s="15">
        <v>7.0000000000000007E-2</v>
      </c>
      <c r="AM27" s="15">
        <v>0.06</v>
      </c>
      <c r="AN27" s="15">
        <v>0.11</v>
      </c>
      <c r="AO27" s="15">
        <v>0.13</v>
      </c>
      <c r="AP27" s="15">
        <v>0.14000000000000001</v>
      </c>
      <c r="AQ27" s="15">
        <v>7.0000000000000007E-2</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Q4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389</v>
      </c>
      <c r="C3" s="18"/>
      <c r="D3" s="18"/>
      <c r="E3" s="18"/>
      <c r="F3" s="18"/>
      <c r="H3" s="18" t="s">
        <v>390</v>
      </c>
      <c r="I3" s="18"/>
      <c r="J3" s="18"/>
      <c r="K3" s="18"/>
      <c r="L3" s="18"/>
    </row>
    <row r="4" spans="1:43" ht="27" customHeight="1" x14ac:dyDescent="0.35">
      <c r="B4" s="18"/>
      <c r="C4" s="18"/>
      <c r="D4" s="18"/>
      <c r="E4" s="18"/>
      <c r="F4" s="18"/>
      <c r="H4" s="18"/>
      <c r="I4" s="18"/>
      <c r="J4" s="18"/>
      <c r="K4" s="18"/>
      <c r="L4" s="18"/>
    </row>
    <row r="5" spans="1:43" ht="12" customHeight="1" x14ac:dyDescent="0.35">
      <c r="B5" s="18" t="s">
        <v>1632</v>
      </c>
      <c r="C5" s="18"/>
      <c r="D5" s="18"/>
      <c r="E5" s="18"/>
      <c r="F5" s="18"/>
      <c r="H5" s="18" t="s">
        <v>1633</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11575</v>
      </c>
      <c r="D10" s="10">
        <v>538</v>
      </c>
      <c r="E10" s="10">
        <v>427</v>
      </c>
      <c r="F10" s="10">
        <v>420</v>
      </c>
      <c r="G10" s="10">
        <v>436</v>
      </c>
      <c r="H10" s="10">
        <v>562</v>
      </c>
      <c r="I10" s="10">
        <v>688</v>
      </c>
      <c r="J10" s="10">
        <v>125</v>
      </c>
      <c r="K10" s="10">
        <v>428</v>
      </c>
      <c r="L10" s="10">
        <v>370</v>
      </c>
      <c r="M10" s="10">
        <v>442</v>
      </c>
      <c r="N10" s="10">
        <v>449</v>
      </c>
      <c r="O10" s="10">
        <v>486</v>
      </c>
      <c r="P10" s="10">
        <v>412</v>
      </c>
      <c r="Q10" s="10">
        <v>454</v>
      </c>
      <c r="R10" s="10">
        <v>156</v>
      </c>
      <c r="S10" s="10">
        <v>435</v>
      </c>
      <c r="T10" s="10">
        <v>422</v>
      </c>
      <c r="U10" s="10">
        <v>212</v>
      </c>
      <c r="V10" s="10">
        <v>340</v>
      </c>
      <c r="W10" s="10">
        <v>172</v>
      </c>
      <c r="X10" s="10">
        <v>443</v>
      </c>
      <c r="Y10" s="10">
        <v>404</v>
      </c>
      <c r="Z10" s="10">
        <v>398</v>
      </c>
      <c r="AA10" s="10">
        <v>415</v>
      </c>
      <c r="AB10" s="10">
        <v>445</v>
      </c>
      <c r="AC10" s="10">
        <v>437</v>
      </c>
      <c r="AD10" s="10">
        <v>416</v>
      </c>
      <c r="AE10" s="10">
        <v>458</v>
      </c>
      <c r="AF10" s="10">
        <v>361</v>
      </c>
      <c r="AG10" s="10">
        <v>528</v>
      </c>
      <c r="AH10" s="10">
        <v>461</v>
      </c>
      <c r="AI10" s="10">
        <v>138</v>
      </c>
      <c r="AJ10" s="10">
        <v>424</v>
      </c>
      <c r="AK10" s="10">
        <v>475</v>
      </c>
      <c r="AL10" s="10">
        <v>521</v>
      </c>
      <c r="AM10" s="10">
        <v>489</v>
      </c>
      <c r="AN10" s="10">
        <v>574</v>
      </c>
      <c r="AO10" s="10">
        <v>588</v>
      </c>
      <c r="AP10" s="10">
        <v>217</v>
      </c>
      <c r="AQ10" s="10">
        <v>539</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1584</v>
      </c>
      <c r="C12" s="12">
        <v>261</v>
      </c>
      <c r="D12" s="12">
        <v>2</v>
      </c>
      <c r="E12" s="12">
        <v>11</v>
      </c>
      <c r="F12" s="12">
        <v>3</v>
      </c>
      <c r="G12" s="12">
        <v>3</v>
      </c>
      <c r="H12" s="12">
        <v>3</v>
      </c>
      <c r="I12" s="12">
        <v>3</v>
      </c>
      <c r="J12" s="12">
        <v>1</v>
      </c>
      <c r="K12" s="12">
        <v>1</v>
      </c>
      <c r="L12" s="12">
        <v>5</v>
      </c>
      <c r="M12" s="12">
        <v>45</v>
      </c>
      <c r="N12" s="12">
        <v>7</v>
      </c>
      <c r="O12" s="12">
        <v>5</v>
      </c>
      <c r="P12" s="12">
        <v>9</v>
      </c>
      <c r="Q12" s="12">
        <v>23</v>
      </c>
      <c r="R12" s="12">
        <v>2</v>
      </c>
      <c r="S12" s="12">
        <v>0</v>
      </c>
      <c r="T12" s="12">
        <v>3</v>
      </c>
      <c r="U12" s="12">
        <v>1</v>
      </c>
      <c r="V12" s="12">
        <v>5</v>
      </c>
      <c r="W12" s="12">
        <v>2</v>
      </c>
      <c r="X12" s="12">
        <v>0</v>
      </c>
      <c r="Y12" s="12">
        <v>5</v>
      </c>
      <c r="Z12" s="12">
        <v>29</v>
      </c>
      <c r="AA12" s="12">
        <v>9</v>
      </c>
      <c r="AB12" s="12">
        <v>10</v>
      </c>
      <c r="AC12" s="12">
        <v>17</v>
      </c>
      <c r="AD12" s="12">
        <v>2</v>
      </c>
      <c r="AE12" s="12">
        <v>16</v>
      </c>
      <c r="AF12" s="12">
        <v>1</v>
      </c>
      <c r="AG12" s="12">
        <v>7</v>
      </c>
      <c r="AH12" s="12">
        <v>8</v>
      </c>
      <c r="AI12" s="12">
        <v>4</v>
      </c>
      <c r="AJ12" s="12">
        <v>26</v>
      </c>
      <c r="AK12" s="12">
        <v>37</v>
      </c>
      <c r="AL12" s="12">
        <v>11</v>
      </c>
      <c r="AM12" s="12">
        <v>0</v>
      </c>
      <c r="AN12" s="12">
        <v>6</v>
      </c>
      <c r="AO12" s="12">
        <v>19</v>
      </c>
      <c r="AP12" s="12">
        <v>10</v>
      </c>
      <c r="AQ12" s="12">
        <v>14</v>
      </c>
    </row>
    <row r="13" spans="1:43" x14ac:dyDescent="0.35">
      <c r="A13" s="19"/>
      <c r="B13" s="13" t="s">
        <v>1585</v>
      </c>
      <c r="C13" s="15">
        <v>0.02</v>
      </c>
      <c r="D13" s="14" t="s">
        <v>475</v>
      </c>
      <c r="E13" s="15">
        <v>0.03</v>
      </c>
      <c r="F13" s="15">
        <v>0.01</v>
      </c>
      <c r="G13" s="15">
        <v>0.01</v>
      </c>
      <c r="H13" s="14" t="s">
        <v>475</v>
      </c>
      <c r="I13" s="14" t="s">
        <v>475</v>
      </c>
      <c r="J13" s="15">
        <v>0.01</v>
      </c>
      <c r="K13" s="14" t="s">
        <v>475</v>
      </c>
      <c r="L13" s="15">
        <v>0.01</v>
      </c>
      <c r="M13" s="15">
        <v>0.1</v>
      </c>
      <c r="N13" s="15">
        <v>0.02</v>
      </c>
      <c r="O13" s="15">
        <v>0.01</v>
      </c>
      <c r="P13" s="15">
        <v>0.02</v>
      </c>
      <c r="Q13" s="15">
        <v>0.05</v>
      </c>
      <c r="R13" s="15">
        <v>0.01</v>
      </c>
      <c r="S13" s="14" t="s">
        <v>475</v>
      </c>
      <c r="T13" s="15">
        <v>0.01</v>
      </c>
      <c r="U13" s="14" t="s">
        <v>475</v>
      </c>
      <c r="V13" s="15">
        <v>0.01</v>
      </c>
      <c r="W13" s="15">
        <v>0.01</v>
      </c>
      <c r="X13" s="14" t="s">
        <v>475</v>
      </c>
      <c r="Y13" s="15">
        <v>0.01</v>
      </c>
      <c r="Z13" s="15">
        <v>7.0000000000000007E-2</v>
      </c>
      <c r="AA13" s="15">
        <v>0.02</v>
      </c>
      <c r="AB13" s="15">
        <v>0.02</v>
      </c>
      <c r="AC13" s="15">
        <v>0.04</v>
      </c>
      <c r="AD13" s="14" t="s">
        <v>475</v>
      </c>
      <c r="AE13" s="15">
        <v>0.03</v>
      </c>
      <c r="AF13" s="14" t="s">
        <v>475</v>
      </c>
      <c r="AG13" s="15">
        <v>0.01</v>
      </c>
      <c r="AH13" s="15">
        <v>0.02</v>
      </c>
      <c r="AI13" s="15">
        <v>0.03</v>
      </c>
      <c r="AJ13" s="15">
        <v>0.06</v>
      </c>
      <c r="AK13" s="15">
        <v>0.08</v>
      </c>
      <c r="AL13" s="15">
        <v>0.02</v>
      </c>
      <c r="AM13" s="14" t="s">
        <v>475</v>
      </c>
      <c r="AN13" s="15">
        <v>0.01</v>
      </c>
      <c r="AO13" s="15">
        <v>0.03</v>
      </c>
      <c r="AP13" s="15">
        <v>0.05</v>
      </c>
      <c r="AQ13" s="15">
        <v>0.03</v>
      </c>
    </row>
    <row r="14" spans="1:43" x14ac:dyDescent="0.35">
      <c r="A14" s="19"/>
      <c r="B14" s="11" t="s">
        <v>1586</v>
      </c>
      <c r="C14" s="12">
        <v>12</v>
      </c>
      <c r="D14" s="12">
        <v>3</v>
      </c>
      <c r="E14" s="12">
        <v>0</v>
      </c>
      <c r="F14" s="12">
        <v>1</v>
      </c>
      <c r="G14" s="12">
        <v>0</v>
      </c>
      <c r="H14" s="12">
        <v>0</v>
      </c>
      <c r="I14" s="12">
        <v>0</v>
      </c>
      <c r="J14" s="12">
        <v>0</v>
      </c>
      <c r="K14" s="12">
        <v>0</v>
      </c>
      <c r="L14" s="12">
        <v>0</v>
      </c>
      <c r="M14" s="12">
        <v>0</v>
      </c>
      <c r="N14" s="12">
        <v>2</v>
      </c>
      <c r="O14" s="12">
        <v>0</v>
      </c>
      <c r="P14" s="12">
        <v>0</v>
      </c>
      <c r="Q14" s="12">
        <v>0</v>
      </c>
      <c r="R14" s="12">
        <v>1</v>
      </c>
      <c r="S14" s="12">
        <v>0</v>
      </c>
      <c r="T14" s="12">
        <v>1</v>
      </c>
      <c r="U14" s="12">
        <v>0</v>
      </c>
      <c r="V14" s="12">
        <v>0</v>
      </c>
      <c r="W14" s="12">
        <v>0</v>
      </c>
      <c r="X14" s="12">
        <v>1</v>
      </c>
      <c r="Y14" s="12">
        <v>0</v>
      </c>
      <c r="Z14" s="12">
        <v>1</v>
      </c>
      <c r="AA14" s="12">
        <v>1</v>
      </c>
      <c r="AB14" s="12">
        <v>0</v>
      </c>
      <c r="AC14" s="12">
        <v>0</v>
      </c>
      <c r="AD14" s="12">
        <v>0</v>
      </c>
      <c r="AE14" s="12">
        <v>0</v>
      </c>
      <c r="AF14" s="12">
        <v>0</v>
      </c>
      <c r="AG14" s="12">
        <v>1</v>
      </c>
      <c r="AH14" s="12">
        <v>0</v>
      </c>
      <c r="AI14" s="12">
        <v>0</v>
      </c>
      <c r="AJ14" s="12">
        <v>0</v>
      </c>
      <c r="AK14" s="12">
        <v>1</v>
      </c>
      <c r="AL14" s="12">
        <v>2</v>
      </c>
      <c r="AM14" s="12">
        <v>0</v>
      </c>
      <c r="AN14" s="12">
        <v>0</v>
      </c>
      <c r="AO14" s="12">
        <v>0</v>
      </c>
      <c r="AP14" s="12">
        <v>0</v>
      </c>
      <c r="AQ14" s="12">
        <v>1</v>
      </c>
    </row>
    <row r="15" spans="1:43" x14ac:dyDescent="0.35">
      <c r="A15" s="19"/>
      <c r="B15" s="13" t="s">
        <v>1587</v>
      </c>
      <c r="C15" s="14" t="s">
        <v>475</v>
      </c>
      <c r="D15" s="15">
        <v>0.01</v>
      </c>
      <c r="E15" s="14" t="s">
        <v>475</v>
      </c>
      <c r="F15" s="14" t="s">
        <v>475</v>
      </c>
      <c r="G15" s="14" t="s">
        <v>475</v>
      </c>
      <c r="H15" s="14" t="s">
        <v>475</v>
      </c>
      <c r="I15" s="14" t="s">
        <v>475</v>
      </c>
      <c r="J15" s="14" t="s">
        <v>475</v>
      </c>
      <c r="K15" s="14" t="s">
        <v>475</v>
      </c>
      <c r="L15" s="14" t="s">
        <v>475</v>
      </c>
      <c r="M15" s="14" t="s">
        <v>475</v>
      </c>
      <c r="N15" s="14" t="s">
        <v>475</v>
      </c>
      <c r="O15" s="14" t="s">
        <v>475</v>
      </c>
      <c r="P15" s="14" t="s">
        <v>475</v>
      </c>
      <c r="Q15" s="14" t="s">
        <v>475</v>
      </c>
      <c r="R15" s="14" t="s">
        <v>475</v>
      </c>
      <c r="S15" s="14" t="s">
        <v>475</v>
      </c>
      <c r="T15" s="14" t="s">
        <v>475</v>
      </c>
      <c r="U15" s="14" t="s">
        <v>475</v>
      </c>
      <c r="V15" s="14" t="s">
        <v>475</v>
      </c>
      <c r="W15" s="14" t="s">
        <v>475</v>
      </c>
      <c r="X15" s="14" t="s">
        <v>475</v>
      </c>
      <c r="Y15" s="14" t="s">
        <v>475</v>
      </c>
      <c r="Z15" s="14" t="s">
        <v>475</v>
      </c>
      <c r="AA15" s="14" t="s">
        <v>475</v>
      </c>
      <c r="AB15" s="14" t="s">
        <v>475</v>
      </c>
      <c r="AC15" s="14" t="s">
        <v>475</v>
      </c>
      <c r="AD15" s="14" t="s">
        <v>475</v>
      </c>
      <c r="AE15" s="14" t="s">
        <v>475</v>
      </c>
      <c r="AF15" s="14" t="s">
        <v>475</v>
      </c>
      <c r="AG15" s="14" t="s">
        <v>475</v>
      </c>
      <c r="AH15" s="14" t="s">
        <v>475</v>
      </c>
      <c r="AI15" s="14" t="s">
        <v>475</v>
      </c>
      <c r="AJ15" s="14" t="s">
        <v>475</v>
      </c>
      <c r="AK15" s="14" t="s">
        <v>475</v>
      </c>
      <c r="AL15" s="14" t="s">
        <v>475</v>
      </c>
      <c r="AM15" s="14" t="s">
        <v>475</v>
      </c>
      <c r="AN15" s="14" t="s">
        <v>475</v>
      </c>
      <c r="AO15" s="14" t="s">
        <v>475</v>
      </c>
      <c r="AP15" s="14" t="s">
        <v>475</v>
      </c>
      <c r="AQ15" s="14" t="s">
        <v>475</v>
      </c>
    </row>
    <row r="16" spans="1:43" ht="41.5" x14ac:dyDescent="0.35">
      <c r="A16" s="19"/>
      <c r="B16" s="11" t="s">
        <v>1588</v>
      </c>
      <c r="C16" s="12">
        <v>106</v>
      </c>
      <c r="D16" s="12">
        <v>2</v>
      </c>
      <c r="E16" s="12">
        <v>2</v>
      </c>
      <c r="F16" s="12">
        <v>7</v>
      </c>
      <c r="G16" s="12">
        <v>8</v>
      </c>
      <c r="H16" s="12">
        <v>8</v>
      </c>
      <c r="I16" s="12">
        <v>10</v>
      </c>
      <c r="J16" s="12">
        <v>1</v>
      </c>
      <c r="K16" s="12">
        <v>3</v>
      </c>
      <c r="L16" s="12">
        <v>3</v>
      </c>
      <c r="M16" s="12">
        <v>12</v>
      </c>
      <c r="N16" s="12">
        <v>4</v>
      </c>
      <c r="O16" s="12">
        <v>3</v>
      </c>
      <c r="P16" s="12">
        <v>1</v>
      </c>
      <c r="Q16" s="12">
        <v>1</v>
      </c>
      <c r="R16" s="12">
        <v>1</v>
      </c>
      <c r="S16" s="12">
        <v>4</v>
      </c>
      <c r="T16" s="12">
        <v>7</v>
      </c>
      <c r="U16" s="12">
        <v>4</v>
      </c>
      <c r="V16" s="12">
        <v>0</v>
      </c>
      <c r="W16" s="12">
        <v>2</v>
      </c>
      <c r="X16" s="12">
        <v>13</v>
      </c>
      <c r="Y16" s="12">
        <v>3</v>
      </c>
      <c r="Z16" s="12">
        <v>1</v>
      </c>
      <c r="AA16" s="12">
        <v>0</v>
      </c>
      <c r="AB16" s="12">
        <v>0</v>
      </c>
      <c r="AC16" s="12">
        <v>2</v>
      </c>
      <c r="AD16" s="12">
        <v>2</v>
      </c>
      <c r="AE16" s="12">
        <v>8</v>
      </c>
      <c r="AF16" s="12">
        <v>13</v>
      </c>
      <c r="AG16" s="12">
        <v>0</v>
      </c>
      <c r="AH16" s="12">
        <v>3</v>
      </c>
      <c r="AI16" s="12">
        <v>0</v>
      </c>
      <c r="AJ16" s="12">
        <v>4</v>
      </c>
      <c r="AK16" s="12">
        <v>5</v>
      </c>
      <c r="AL16" s="12">
        <v>8</v>
      </c>
      <c r="AM16" s="12">
        <v>14</v>
      </c>
      <c r="AN16" s="12">
        <v>1</v>
      </c>
      <c r="AO16" s="12">
        <v>1</v>
      </c>
      <c r="AP16" s="12">
        <v>16</v>
      </c>
      <c r="AQ16" s="12">
        <v>20</v>
      </c>
    </row>
    <row r="17" spans="1:43" ht="31.5" x14ac:dyDescent="0.35">
      <c r="A17" s="19"/>
      <c r="B17" s="13" t="s">
        <v>1589</v>
      </c>
      <c r="C17" s="15">
        <v>0.01</v>
      </c>
      <c r="D17" s="14" t="s">
        <v>475</v>
      </c>
      <c r="E17" s="14" t="s">
        <v>475</v>
      </c>
      <c r="F17" s="15">
        <v>0.02</v>
      </c>
      <c r="G17" s="15">
        <v>0.02</v>
      </c>
      <c r="H17" s="15">
        <v>0.02</v>
      </c>
      <c r="I17" s="15">
        <v>0.01</v>
      </c>
      <c r="J17" s="15">
        <v>0.01</v>
      </c>
      <c r="K17" s="15">
        <v>0.01</v>
      </c>
      <c r="L17" s="15">
        <v>0.01</v>
      </c>
      <c r="M17" s="15">
        <v>0.03</v>
      </c>
      <c r="N17" s="15">
        <v>0.01</v>
      </c>
      <c r="O17" s="14" t="s">
        <v>475</v>
      </c>
      <c r="P17" s="14" t="s">
        <v>475</v>
      </c>
      <c r="Q17" s="14" t="s">
        <v>475</v>
      </c>
      <c r="R17" s="15">
        <v>0.01</v>
      </c>
      <c r="S17" s="15">
        <v>0.01</v>
      </c>
      <c r="T17" s="15">
        <v>0.02</v>
      </c>
      <c r="U17" s="15">
        <v>0.02</v>
      </c>
      <c r="V17" s="14" t="s">
        <v>475</v>
      </c>
      <c r="W17" s="15">
        <v>0.01</v>
      </c>
      <c r="X17" s="15">
        <v>0.03</v>
      </c>
      <c r="Y17" s="15">
        <v>0.01</v>
      </c>
      <c r="Z17" s="14" t="s">
        <v>475</v>
      </c>
      <c r="AA17" s="14" t="s">
        <v>475</v>
      </c>
      <c r="AB17" s="14" t="s">
        <v>475</v>
      </c>
      <c r="AC17" s="14" t="s">
        <v>475</v>
      </c>
      <c r="AD17" s="15">
        <v>0.01</v>
      </c>
      <c r="AE17" s="15">
        <v>0.02</v>
      </c>
      <c r="AF17" s="15">
        <v>0.04</v>
      </c>
      <c r="AG17" s="14" t="s">
        <v>475</v>
      </c>
      <c r="AH17" s="15">
        <v>0.01</v>
      </c>
      <c r="AI17" s="14" t="s">
        <v>475</v>
      </c>
      <c r="AJ17" s="15">
        <v>0.01</v>
      </c>
      <c r="AK17" s="15">
        <v>0.01</v>
      </c>
      <c r="AL17" s="15">
        <v>0.01</v>
      </c>
      <c r="AM17" s="15">
        <v>0.03</v>
      </c>
      <c r="AN17" s="14" t="s">
        <v>475</v>
      </c>
      <c r="AO17" s="14" t="s">
        <v>475</v>
      </c>
      <c r="AP17" s="15">
        <v>7.0000000000000007E-2</v>
      </c>
      <c r="AQ17" s="15">
        <v>0.04</v>
      </c>
    </row>
    <row r="18" spans="1:43" ht="31.5" x14ac:dyDescent="0.35">
      <c r="A18" s="19"/>
      <c r="B18" s="11" t="s">
        <v>1590</v>
      </c>
      <c r="C18" s="12">
        <v>310</v>
      </c>
      <c r="D18" s="12">
        <v>17</v>
      </c>
      <c r="E18" s="12">
        <v>8</v>
      </c>
      <c r="F18" s="12">
        <v>12</v>
      </c>
      <c r="G18" s="12">
        <v>4</v>
      </c>
      <c r="H18" s="12">
        <v>6</v>
      </c>
      <c r="I18" s="12">
        <v>7</v>
      </c>
      <c r="J18" s="12">
        <v>1</v>
      </c>
      <c r="K18" s="12">
        <v>3</v>
      </c>
      <c r="L18" s="12">
        <v>4</v>
      </c>
      <c r="M18" s="12">
        <v>27</v>
      </c>
      <c r="N18" s="12">
        <v>7</v>
      </c>
      <c r="O18" s="12">
        <v>19</v>
      </c>
      <c r="P18" s="12">
        <v>11</v>
      </c>
      <c r="Q18" s="12">
        <v>31</v>
      </c>
      <c r="R18" s="12">
        <v>5</v>
      </c>
      <c r="S18" s="12">
        <v>1</v>
      </c>
      <c r="T18" s="12">
        <v>3</v>
      </c>
      <c r="U18" s="12">
        <v>14</v>
      </c>
      <c r="V18" s="12">
        <v>5</v>
      </c>
      <c r="W18" s="12">
        <v>2</v>
      </c>
      <c r="X18" s="12">
        <v>5</v>
      </c>
      <c r="Y18" s="12">
        <v>10</v>
      </c>
      <c r="Z18" s="12">
        <v>3</v>
      </c>
      <c r="AA18" s="12">
        <v>14</v>
      </c>
      <c r="AB18" s="12">
        <v>3</v>
      </c>
      <c r="AC18" s="12">
        <v>5</v>
      </c>
      <c r="AD18" s="12">
        <v>8</v>
      </c>
      <c r="AE18" s="12">
        <v>3</v>
      </c>
      <c r="AF18" s="12">
        <v>5</v>
      </c>
      <c r="AG18" s="12">
        <v>12</v>
      </c>
      <c r="AH18" s="12">
        <v>5</v>
      </c>
      <c r="AI18" s="12">
        <v>6</v>
      </c>
      <c r="AJ18" s="12">
        <v>5</v>
      </c>
      <c r="AK18" s="12">
        <v>9</v>
      </c>
      <c r="AL18" s="12">
        <v>7</v>
      </c>
      <c r="AM18" s="12">
        <v>17</v>
      </c>
      <c r="AN18" s="12">
        <v>4</v>
      </c>
      <c r="AO18" s="12">
        <v>14</v>
      </c>
      <c r="AP18" s="12">
        <v>10</v>
      </c>
      <c r="AQ18" s="12">
        <v>9</v>
      </c>
    </row>
    <row r="19" spans="1:43" ht="21.5" x14ac:dyDescent="0.35">
      <c r="A19" s="19"/>
      <c r="B19" s="13" t="s">
        <v>1591</v>
      </c>
      <c r="C19" s="15">
        <v>0.03</v>
      </c>
      <c r="D19" s="15">
        <v>0.03</v>
      </c>
      <c r="E19" s="15">
        <v>0.02</v>
      </c>
      <c r="F19" s="15">
        <v>0.03</v>
      </c>
      <c r="G19" s="15">
        <v>0.01</v>
      </c>
      <c r="H19" s="15">
        <v>0.01</v>
      </c>
      <c r="I19" s="15">
        <v>0.01</v>
      </c>
      <c r="J19" s="15">
        <v>0.01</v>
      </c>
      <c r="K19" s="15">
        <v>0.01</v>
      </c>
      <c r="L19" s="15">
        <v>0.01</v>
      </c>
      <c r="M19" s="15">
        <v>0.06</v>
      </c>
      <c r="N19" s="15">
        <v>0.01</v>
      </c>
      <c r="O19" s="15">
        <v>0.04</v>
      </c>
      <c r="P19" s="15">
        <v>0.03</v>
      </c>
      <c r="Q19" s="15">
        <v>7.0000000000000007E-2</v>
      </c>
      <c r="R19" s="15">
        <v>0.03</v>
      </c>
      <c r="S19" s="14" t="s">
        <v>475</v>
      </c>
      <c r="T19" s="15">
        <v>0.01</v>
      </c>
      <c r="U19" s="15">
        <v>0.06</v>
      </c>
      <c r="V19" s="15">
        <v>0.02</v>
      </c>
      <c r="W19" s="15">
        <v>0.01</v>
      </c>
      <c r="X19" s="15">
        <v>0.01</v>
      </c>
      <c r="Y19" s="15">
        <v>0.02</v>
      </c>
      <c r="Z19" s="15">
        <v>0.01</v>
      </c>
      <c r="AA19" s="15">
        <v>0.03</v>
      </c>
      <c r="AB19" s="15">
        <v>0.01</v>
      </c>
      <c r="AC19" s="15">
        <v>0.01</v>
      </c>
      <c r="AD19" s="15">
        <v>0.02</v>
      </c>
      <c r="AE19" s="15">
        <v>0.01</v>
      </c>
      <c r="AF19" s="15">
        <v>0.01</v>
      </c>
      <c r="AG19" s="15">
        <v>0.02</v>
      </c>
      <c r="AH19" s="15">
        <v>0.01</v>
      </c>
      <c r="AI19" s="15">
        <v>0.05</v>
      </c>
      <c r="AJ19" s="15">
        <v>0.01</v>
      </c>
      <c r="AK19" s="15">
        <v>0.02</v>
      </c>
      <c r="AL19" s="15">
        <v>0.01</v>
      </c>
      <c r="AM19" s="15">
        <v>0.03</v>
      </c>
      <c r="AN19" s="15">
        <v>0.01</v>
      </c>
      <c r="AO19" s="15">
        <v>0.02</v>
      </c>
      <c r="AP19" s="15">
        <v>0.05</v>
      </c>
      <c r="AQ19" s="15">
        <v>0.02</v>
      </c>
    </row>
    <row r="20" spans="1:43" ht="31.5" x14ac:dyDescent="0.35">
      <c r="A20" s="19"/>
      <c r="B20" s="11" t="s">
        <v>1592</v>
      </c>
      <c r="C20" s="12">
        <v>119</v>
      </c>
      <c r="D20" s="12">
        <v>8</v>
      </c>
      <c r="E20" s="12">
        <v>1</v>
      </c>
      <c r="F20" s="12">
        <v>3</v>
      </c>
      <c r="G20" s="12">
        <v>6</v>
      </c>
      <c r="H20" s="12">
        <v>10</v>
      </c>
      <c r="I20" s="12">
        <v>12</v>
      </c>
      <c r="J20" s="12">
        <v>1</v>
      </c>
      <c r="K20" s="12">
        <v>10</v>
      </c>
      <c r="L20" s="12">
        <v>4</v>
      </c>
      <c r="M20" s="12">
        <v>4</v>
      </c>
      <c r="N20" s="12">
        <v>8</v>
      </c>
      <c r="O20" s="12">
        <v>0</v>
      </c>
      <c r="P20" s="12">
        <v>2</v>
      </c>
      <c r="Q20" s="12">
        <v>1</v>
      </c>
      <c r="R20" s="12">
        <v>5</v>
      </c>
      <c r="S20" s="12">
        <v>3</v>
      </c>
      <c r="T20" s="12">
        <v>1</v>
      </c>
      <c r="U20" s="12">
        <v>1</v>
      </c>
      <c r="V20" s="12">
        <v>7</v>
      </c>
      <c r="W20" s="12">
        <v>1</v>
      </c>
      <c r="X20" s="12">
        <v>14</v>
      </c>
      <c r="Y20" s="12">
        <v>11</v>
      </c>
      <c r="Z20" s="12">
        <v>0</v>
      </c>
      <c r="AA20" s="12">
        <v>2</v>
      </c>
      <c r="AB20" s="12">
        <v>1</v>
      </c>
      <c r="AC20" s="12">
        <v>7</v>
      </c>
      <c r="AD20" s="12">
        <v>3</v>
      </c>
      <c r="AE20" s="12">
        <v>24</v>
      </c>
      <c r="AF20" s="12">
        <v>9</v>
      </c>
      <c r="AG20" s="12">
        <v>3</v>
      </c>
      <c r="AH20" s="12">
        <v>3</v>
      </c>
      <c r="AI20" s="12">
        <v>0</v>
      </c>
      <c r="AJ20" s="12">
        <v>1</v>
      </c>
      <c r="AK20" s="12">
        <v>2</v>
      </c>
      <c r="AL20" s="12">
        <v>1</v>
      </c>
      <c r="AM20" s="12">
        <v>9</v>
      </c>
      <c r="AN20" s="12">
        <v>1</v>
      </c>
      <c r="AO20" s="12">
        <v>1</v>
      </c>
      <c r="AP20" s="12">
        <v>4</v>
      </c>
      <c r="AQ20" s="12">
        <v>1</v>
      </c>
    </row>
    <row r="21" spans="1:43" ht="21.5" x14ac:dyDescent="0.35">
      <c r="A21" s="19"/>
      <c r="B21" s="13" t="s">
        <v>1593</v>
      </c>
      <c r="C21" s="15">
        <v>0.01</v>
      </c>
      <c r="D21" s="15">
        <v>0.02</v>
      </c>
      <c r="E21" s="14" t="s">
        <v>475</v>
      </c>
      <c r="F21" s="15">
        <v>0.01</v>
      </c>
      <c r="G21" s="15">
        <v>0.01</v>
      </c>
      <c r="H21" s="15">
        <v>0.02</v>
      </c>
      <c r="I21" s="15">
        <v>0.02</v>
      </c>
      <c r="J21" s="15">
        <v>0.01</v>
      </c>
      <c r="K21" s="15">
        <v>0.03</v>
      </c>
      <c r="L21" s="15">
        <v>0.01</v>
      </c>
      <c r="M21" s="15">
        <v>0.01</v>
      </c>
      <c r="N21" s="15">
        <v>0.02</v>
      </c>
      <c r="O21" s="14" t="s">
        <v>475</v>
      </c>
      <c r="P21" s="15">
        <v>0.01</v>
      </c>
      <c r="Q21" s="14" t="s">
        <v>475</v>
      </c>
      <c r="R21" s="15">
        <v>0.03</v>
      </c>
      <c r="S21" s="15">
        <v>0.01</v>
      </c>
      <c r="T21" s="14" t="s">
        <v>475</v>
      </c>
      <c r="U21" s="15">
        <v>0.01</v>
      </c>
      <c r="V21" s="15">
        <v>0.02</v>
      </c>
      <c r="W21" s="14" t="s">
        <v>475</v>
      </c>
      <c r="X21" s="15">
        <v>0.03</v>
      </c>
      <c r="Y21" s="15">
        <v>0.03</v>
      </c>
      <c r="Z21" s="14" t="s">
        <v>475</v>
      </c>
      <c r="AA21" s="15">
        <v>0.01</v>
      </c>
      <c r="AB21" s="14" t="s">
        <v>475</v>
      </c>
      <c r="AC21" s="15">
        <v>0.01</v>
      </c>
      <c r="AD21" s="15">
        <v>0.01</v>
      </c>
      <c r="AE21" s="15">
        <v>0.05</v>
      </c>
      <c r="AF21" s="15">
        <v>0.02</v>
      </c>
      <c r="AG21" s="14" t="s">
        <v>475</v>
      </c>
      <c r="AH21" s="15">
        <v>0.01</v>
      </c>
      <c r="AI21" s="14" t="s">
        <v>475</v>
      </c>
      <c r="AJ21" s="14" t="s">
        <v>475</v>
      </c>
      <c r="AK21" s="15">
        <v>0.01</v>
      </c>
      <c r="AL21" s="14" t="s">
        <v>475</v>
      </c>
      <c r="AM21" s="15">
        <v>0.02</v>
      </c>
      <c r="AN21" s="14" t="s">
        <v>475</v>
      </c>
      <c r="AO21" s="14" t="s">
        <v>475</v>
      </c>
      <c r="AP21" s="15">
        <v>0.02</v>
      </c>
      <c r="AQ21" s="14" t="s">
        <v>475</v>
      </c>
    </row>
    <row r="22" spans="1:43" ht="31.5" x14ac:dyDescent="0.35">
      <c r="A22" s="19"/>
      <c r="B22" s="11" t="s">
        <v>1594</v>
      </c>
      <c r="C22" s="12">
        <v>155</v>
      </c>
      <c r="D22" s="12">
        <v>5</v>
      </c>
      <c r="E22" s="12">
        <v>4</v>
      </c>
      <c r="F22" s="12">
        <v>10</v>
      </c>
      <c r="G22" s="12">
        <v>5</v>
      </c>
      <c r="H22" s="12">
        <v>5</v>
      </c>
      <c r="I22" s="12">
        <v>6</v>
      </c>
      <c r="J22" s="12">
        <v>1</v>
      </c>
      <c r="K22" s="12">
        <v>36</v>
      </c>
      <c r="L22" s="12">
        <v>7</v>
      </c>
      <c r="M22" s="12">
        <v>4</v>
      </c>
      <c r="N22" s="12">
        <v>6</v>
      </c>
      <c r="O22" s="12">
        <v>4</v>
      </c>
      <c r="P22" s="12">
        <v>1</v>
      </c>
      <c r="Q22" s="12">
        <v>3</v>
      </c>
      <c r="R22" s="12">
        <v>3</v>
      </c>
      <c r="S22" s="12">
        <v>24</v>
      </c>
      <c r="T22" s="12">
        <v>26</v>
      </c>
      <c r="U22" s="12">
        <v>5</v>
      </c>
      <c r="V22" s="12">
        <v>2</v>
      </c>
      <c r="W22" s="12">
        <v>4</v>
      </c>
      <c r="X22" s="12">
        <v>7</v>
      </c>
      <c r="Y22" s="12">
        <v>3</v>
      </c>
      <c r="Z22" s="12">
        <v>4</v>
      </c>
      <c r="AA22" s="12">
        <v>6</v>
      </c>
      <c r="AB22" s="12">
        <v>9</v>
      </c>
      <c r="AC22" s="12">
        <v>21</v>
      </c>
      <c r="AD22" s="12">
        <v>15</v>
      </c>
      <c r="AE22" s="12">
        <v>16</v>
      </c>
      <c r="AF22" s="12">
        <v>36</v>
      </c>
      <c r="AG22" s="12">
        <v>3</v>
      </c>
      <c r="AH22" s="12">
        <v>6</v>
      </c>
      <c r="AI22" s="12">
        <v>0</v>
      </c>
      <c r="AJ22" s="12">
        <v>6</v>
      </c>
      <c r="AK22" s="12">
        <v>10</v>
      </c>
      <c r="AL22" s="12">
        <v>32</v>
      </c>
      <c r="AM22" s="12">
        <v>30</v>
      </c>
      <c r="AN22" s="12">
        <v>4</v>
      </c>
      <c r="AO22" s="12">
        <v>9</v>
      </c>
      <c r="AP22" s="12">
        <v>6</v>
      </c>
      <c r="AQ22" s="12">
        <v>65</v>
      </c>
    </row>
    <row r="23" spans="1:43" ht="31.5" x14ac:dyDescent="0.35">
      <c r="A23" s="19"/>
      <c r="B23" s="13" t="s">
        <v>1595</v>
      </c>
      <c r="C23" s="15">
        <v>0.01</v>
      </c>
      <c r="D23" s="15">
        <v>0.01</v>
      </c>
      <c r="E23" s="15">
        <v>0.01</v>
      </c>
      <c r="F23" s="15">
        <v>0.02</v>
      </c>
      <c r="G23" s="15">
        <v>0.01</v>
      </c>
      <c r="H23" s="15">
        <v>0.01</v>
      </c>
      <c r="I23" s="15">
        <v>0.01</v>
      </c>
      <c r="J23" s="15">
        <v>0.01</v>
      </c>
      <c r="K23" s="15">
        <v>0.08</v>
      </c>
      <c r="L23" s="15">
        <v>0.02</v>
      </c>
      <c r="M23" s="15">
        <v>0.01</v>
      </c>
      <c r="N23" s="15">
        <v>0.01</v>
      </c>
      <c r="O23" s="15">
        <v>0.01</v>
      </c>
      <c r="P23" s="14" t="s">
        <v>475</v>
      </c>
      <c r="Q23" s="15">
        <v>0.01</v>
      </c>
      <c r="R23" s="15">
        <v>0.02</v>
      </c>
      <c r="S23" s="15">
        <v>0.06</v>
      </c>
      <c r="T23" s="15">
        <v>0.06</v>
      </c>
      <c r="U23" s="15">
        <v>0.02</v>
      </c>
      <c r="V23" s="15">
        <v>0.01</v>
      </c>
      <c r="W23" s="15">
        <v>0.02</v>
      </c>
      <c r="X23" s="15">
        <v>0.02</v>
      </c>
      <c r="Y23" s="15">
        <v>0.01</v>
      </c>
      <c r="Z23" s="15">
        <v>0.01</v>
      </c>
      <c r="AA23" s="15">
        <v>0.02</v>
      </c>
      <c r="AB23" s="15">
        <v>0.02</v>
      </c>
      <c r="AC23" s="15">
        <v>0.05</v>
      </c>
      <c r="AD23" s="15">
        <v>0.04</v>
      </c>
      <c r="AE23" s="15">
        <v>0.04</v>
      </c>
      <c r="AF23" s="15">
        <v>0.1</v>
      </c>
      <c r="AG23" s="15">
        <v>0.01</v>
      </c>
      <c r="AH23" s="15">
        <v>0.01</v>
      </c>
      <c r="AI23" s="14" t="s">
        <v>475</v>
      </c>
      <c r="AJ23" s="15">
        <v>0.01</v>
      </c>
      <c r="AK23" s="15">
        <v>0.02</v>
      </c>
      <c r="AL23" s="15">
        <v>0.06</v>
      </c>
      <c r="AM23" s="15">
        <v>0.06</v>
      </c>
      <c r="AN23" s="15">
        <v>0.01</v>
      </c>
      <c r="AO23" s="15">
        <v>0.02</v>
      </c>
      <c r="AP23" s="15">
        <v>0.03</v>
      </c>
      <c r="AQ23" s="15">
        <v>0.12</v>
      </c>
    </row>
    <row r="24" spans="1:43" ht="41.5" x14ac:dyDescent="0.35">
      <c r="A24" s="19"/>
      <c r="B24" s="11" t="s">
        <v>1596</v>
      </c>
      <c r="C24" s="12">
        <v>275</v>
      </c>
      <c r="D24" s="12">
        <v>14</v>
      </c>
      <c r="E24" s="12">
        <v>0</v>
      </c>
      <c r="F24" s="12">
        <v>4</v>
      </c>
      <c r="G24" s="12">
        <v>23</v>
      </c>
      <c r="H24" s="12">
        <v>17</v>
      </c>
      <c r="I24" s="12">
        <v>20</v>
      </c>
      <c r="J24" s="12">
        <v>4</v>
      </c>
      <c r="K24" s="12">
        <v>6</v>
      </c>
      <c r="L24" s="12">
        <v>10</v>
      </c>
      <c r="M24" s="12">
        <v>4</v>
      </c>
      <c r="N24" s="12">
        <v>5</v>
      </c>
      <c r="O24" s="12">
        <v>19</v>
      </c>
      <c r="P24" s="12">
        <v>4</v>
      </c>
      <c r="Q24" s="12">
        <v>12</v>
      </c>
      <c r="R24" s="12">
        <v>3</v>
      </c>
      <c r="S24" s="12">
        <v>4</v>
      </c>
      <c r="T24" s="12">
        <v>5</v>
      </c>
      <c r="U24" s="12">
        <v>15</v>
      </c>
      <c r="V24" s="12">
        <v>3</v>
      </c>
      <c r="W24" s="12">
        <v>7</v>
      </c>
      <c r="X24" s="12">
        <v>19</v>
      </c>
      <c r="Y24" s="12">
        <v>14</v>
      </c>
      <c r="Z24" s="12">
        <v>2</v>
      </c>
      <c r="AA24" s="12">
        <v>2</v>
      </c>
      <c r="AB24" s="12">
        <v>4</v>
      </c>
      <c r="AC24" s="12">
        <v>7</v>
      </c>
      <c r="AD24" s="12">
        <v>1</v>
      </c>
      <c r="AE24" s="12">
        <v>15</v>
      </c>
      <c r="AF24" s="12">
        <v>12</v>
      </c>
      <c r="AG24" s="12">
        <v>3</v>
      </c>
      <c r="AH24" s="12">
        <v>2</v>
      </c>
      <c r="AI24" s="12">
        <v>0</v>
      </c>
      <c r="AJ24" s="12">
        <v>2</v>
      </c>
      <c r="AK24" s="12">
        <v>7</v>
      </c>
      <c r="AL24" s="12">
        <v>6</v>
      </c>
      <c r="AM24" s="12">
        <v>21</v>
      </c>
      <c r="AN24" s="12">
        <v>4</v>
      </c>
      <c r="AO24" s="12">
        <v>10</v>
      </c>
      <c r="AP24" s="12">
        <v>10</v>
      </c>
      <c r="AQ24" s="12">
        <v>13</v>
      </c>
    </row>
    <row r="25" spans="1:43" ht="51.5" x14ac:dyDescent="0.35">
      <c r="A25" s="19"/>
      <c r="B25" s="13" t="s">
        <v>1597</v>
      </c>
      <c r="C25" s="15">
        <v>0.03</v>
      </c>
      <c r="D25" s="15">
        <v>0.03</v>
      </c>
      <c r="E25" s="14" t="s">
        <v>475</v>
      </c>
      <c r="F25" s="15">
        <v>0.01</v>
      </c>
      <c r="G25" s="15">
        <v>0.05</v>
      </c>
      <c r="H25" s="15">
        <v>0.03</v>
      </c>
      <c r="I25" s="15">
        <v>0.03</v>
      </c>
      <c r="J25" s="15">
        <v>0.03</v>
      </c>
      <c r="K25" s="15">
        <v>0.01</v>
      </c>
      <c r="L25" s="15">
        <v>0.03</v>
      </c>
      <c r="M25" s="15">
        <v>0.01</v>
      </c>
      <c r="N25" s="15">
        <v>0.01</v>
      </c>
      <c r="O25" s="15">
        <v>0.04</v>
      </c>
      <c r="P25" s="15">
        <v>0.01</v>
      </c>
      <c r="Q25" s="15">
        <v>0.03</v>
      </c>
      <c r="R25" s="15">
        <v>0.02</v>
      </c>
      <c r="S25" s="15">
        <v>0.01</v>
      </c>
      <c r="T25" s="15">
        <v>0.01</v>
      </c>
      <c r="U25" s="15">
        <v>7.0000000000000007E-2</v>
      </c>
      <c r="V25" s="15">
        <v>0.01</v>
      </c>
      <c r="W25" s="15">
        <v>0.04</v>
      </c>
      <c r="X25" s="15">
        <v>0.04</v>
      </c>
      <c r="Y25" s="15">
        <v>0.04</v>
      </c>
      <c r="Z25" s="14" t="s">
        <v>475</v>
      </c>
      <c r="AA25" s="14" t="s">
        <v>475</v>
      </c>
      <c r="AB25" s="15">
        <v>0.01</v>
      </c>
      <c r="AC25" s="15">
        <v>0.02</v>
      </c>
      <c r="AD25" s="14" t="s">
        <v>475</v>
      </c>
      <c r="AE25" s="15">
        <v>0.03</v>
      </c>
      <c r="AF25" s="15">
        <v>0.03</v>
      </c>
      <c r="AG25" s="15">
        <v>0.01</v>
      </c>
      <c r="AH25" s="14" t="s">
        <v>475</v>
      </c>
      <c r="AI25" s="14" t="s">
        <v>475</v>
      </c>
      <c r="AJ25" s="14" t="s">
        <v>475</v>
      </c>
      <c r="AK25" s="15">
        <v>0.01</v>
      </c>
      <c r="AL25" s="15">
        <v>0.01</v>
      </c>
      <c r="AM25" s="15">
        <v>0.04</v>
      </c>
      <c r="AN25" s="15">
        <v>0.01</v>
      </c>
      <c r="AO25" s="15">
        <v>0.02</v>
      </c>
      <c r="AP25" s="15">
        <v>0.04</v>
      </c>
      <c r="AQ25" s="15">
        <v>0.02</v>
      </c>
    </row>
    <row r="26" spans="1:43" ht="31.5" x14ac:dyDescent="0.35">
      <c r="A26" s="19"/>
      <c r="B26" s="11" t="s">
        <v>1598</v>
      </c>
      <c r="C26" s="12">
        <v>1152</v>
      </c>
      <c r="D26" s="12">
        <v>62</v>
      </c>
      <c r="E26" s="12">
        <v>20</v>
      </c>
      <c r="F26" s="12">
        <v>27</v>
      </c>
      <c r="G26" s="12">
        <v>74</v>
      </c>
      <c r="H26" s="12">
        <v>90</v>
      </c>
      <c r="I26" s="12">
        <v>114</v>
      </c>
      <c r="J26" s="12">
        <v>24</v>
      </c>
      <c r="K26" s="12">
        <v>35</v>
      </c>
      <c r="L26" s="12">
        <v>34</v>
      </c>
      <c r="M26" s="12">
        <v>12</v>
      </c>
      <c r="N26" s="12">
        <v>17</v>
      </c>
      <c r="O26" s="12">
        <v>71</v>
      </c>
      <c r="P26" s="12">
        <v>17</v>
      </c>
      <c r="Q26" s="12">
        <v>20</v>
      </c>
      <c r="R26" s="12">
        <v>10</v>
      </c>
      <c r="S26" s="12">
        <v>46</v>
      </c>
      <c r="T26" s="12">
        <v>32</v>
      </c>
      <c r="U26" s="12">
        <v>23</v>
      </c>
      <c r="V26" s="12">
        <v>11</v>
      </c>
      <c r="W26" s="12">
        <v>13</v>
      </c>
      <c r="X26" s="12">
        <v>102</v>
      </c>
      <c r="Y26" s="12">
        <v>21</v>
      </c>
      <c r="Z26" s="12">
        <v>16</v>
      </c>
      <c r="AA26" s="12">
        <v>9</v>
      </c>
      <c r="AB26" s="12">
        <v>4</v>
      </c>
      <c r="AC26" s="12">
        <v>29</v>
      </c>
      <c r="AD26" s="12">
        <v>29</v>
      </c>
      <c r="AE26" s="12">
        <v>73</v>
      </c>
      <c r="AF26" s="12">
        <v>89</v>
      </c>
      <c r="AG26" s="12">
        <v>4</v>
      </c>
      <c r="AH26" s="12">
        <v>15</v>
      </c>
      <c r="AI26" s="12">
        <v>10</v>
      </c>
      <c r="AJ26" s="12">
        <v>15</v>
      </c>
      <c r="AK26" s="12">
        <v>19</v>
      </c>
      <c r="AL26" s="12">
        <v>31</v>
      </c>
      <c r="AM26" s="12">
        <v>53</v>
      </c>
      <c r="AN26" s="12">
        <v>8</v>
      </c>
      <c r="AO26" s="12">
        <v>20</v>
      </c>
      <c r="AP26" s="12">
        <v>5</v>
      </c>
      <c r="AQ26" s="12">
        <v>58</v>
      </c>
    </row>
    <row r="27" spans="1:43" ht="51.5" x14ac:dyDescent="0.35">
      <c r="A27" s="19"/>
      <c r="B27" s="13" t="s">
        <v>1599</v>
      </c>
      <c r="C27" s="15">
        <v>0.1</v>
      </c>
      <c r="D27" s="15">
        <v>0.11</v>
      </c>
      <c r="E27" s="15">
        <v>0.05</v>
      </c>
      <c r="F27" s="15">
        <v>0.06</v>
      </c>
      <c r="G27" s="15">
        <v>0.17</v>
      </c>
      <c r="H27" s="15">
        <v>0.16</v>
      </c>
      <c r="I27" s="15">
        <v>0.17</v>
      </c>
      <c r="J27" s="15">
        <v>0.19</v>
      </c>
      <c r="K27" s="15">
        <v>0.08</v>
      </c>
      <c r="L27" s="15">
        <v>0.09</v>
      </c>
      <c r="M27" s="15">
        <v>0.03</v>
      </c>
      <c r="N27" s="15">
        <v>0.04</v>
      </c>
      <c r="O27" s="15">
        <v>0.14000000000000001</v>
      </c>
      <c r="P27" s="15">
        <v>0.04</v>
      </c>
      <c r="Q27" s="15">
        <v>0.04</v>
      </c>
      <c r="R27" s="15">
        <v>0.06</v>
      </c>
      <c r="S27" s="15">
        <v>0.11</v>
      </c>
      <c r="T27" s="15">
        <v>0.08</v>
      </c>
      <c r="U27" s="15">
        <v>0.11</v>
      </c>
      <c r="V27" s="15">
        <v>0.03</v>
      </c>
      <c r="W27" s="15">
        <v>0.08</v>
      </c>
      <c r="X27" s="15">
        <v>0.23</v>
      </c>
      <c r="Y27" s="15">
        <v>0.05</v>
      </c>
      <c r="Z27" s="15">
        <v>0.04</v>
      </c>
      <c r="AA27" s="15">
        <v>0.02</v>
      </c>
      <c r="AB27" s="15">
        <v>0.01</v>
      </c>
      <c r="AC27" s="15">
        <v>7.0000000000000007E-2</v>
      </c>
      <c r="AD27" s="15">
        <v>7.0000000000000007E-2</v>
      </c>
      <c r="AE27" s="15">
        <v>0.16</v>
      </c>
      <c r="AF27" s="15">
        <v>0.25</v>
      </c>
      <c r="AG27" s="15">
        <v>0.01</v>
      </c>
      <c r="AH27" s="15">
        <v>0.03</v>
      </c>
      <c r="AI27" s="15">
        <v>7.0000000000000007E-2</v>
      </c>
      <c r="AJ27" s="15">
        <v>0.04</v>
      </c>
      <c r="AK27" s="15">
        <v>0.04</v>
      </c>
      <c r="AL27" s="15">
        <v>0.06</v>
      </c>
      <c r="AM27" s="15">
        <v>0.11</v>
      </c>
      <c r="AN27" s="15">
        <v>0.01</v>
      </c>
      <c r="AO27" s="15">
        <v>0.04</v>
      </c>
      <c r="AP27" s="15">
        <v>0.02</v>
      </c>
      <c r="AQ27" s="15">
        <v>0.11</v>
      </c>
    </row>
    <row r="28" spans="1:43" ht="21.5" x14ac:dyDescent="0.35">
      <c r="A28" s="19"/>
      <c r="B28" s="11" t="s">
        <v>1600</v>
      </c>
      <c r="C28" s="12">
        <v>1301</v>
      </c>
      <c r="D28" s="12">
        <v>81</v>
      </c>
      <c r="E28" s="12">
        <v>48</v>
      </c>
      <c r="F28" s="12">
        <v>96</v>
      </c>
      <c r="G28" s="12">
        <v>63</v>
      </c>
      <c r="H28" s="12">
        <v>74</v>
      </c>
      <c r="I28" s="12">
        <v>91</v>
      </c>
      <c r="J28" s="12">
        <v>18</v>
      </c>
      <c r="K28" s="12">
        <v>29</v>
      </c>
      <c r="L28" s="12">
        <v>55</v>
      </c>
      <c r="M28" s="12">
        <v>47</v>
      </c>
      <c r="N28" s="12">
        <v>24</v>
      </c>
      <c r="O28" s="12">
        <v>60</v>
      </c>
      <c r="P28" s="12">
        <v>63</v>
      </c>
      <c r="Q28" s="12">
        <v>52</v>
      </c>
      <c r="R28" s="12">
        <v>23</v>
      </c>
      <c r="S28" s="12">
        <v>26</v>
      </c>
      <c r="T28" s="12">
        <v>23</v>
      </c>
      <c r="U28" s="12">
        <v>30</v>
      </c>
      <c r="V28" s="12">
        <v>55</v>
      </c>
      <c r="W28" s="12">
        <v>33</v>
      </c>
      <c r="X28" s="12">
        <v>59</v>
      </c>
      <c r="Y28" s="12">
        <v>65</v>
      </c>
      <c r="Z28" s="12">
        <v>24</v>
      </c>
      <c r="AA28" s="12">
        <v>17</v>
      </c>
      <c r="AB28" s="12">
        <v>25</v>
      </c>
      <c r="AC28" s="12">
        <v>45</v>
      </c>
      <c r="AD28" s="12">
        <v>46</v>
      </c>
      <c r="AE28" s="12">
        <v>61</v>
      </c>
      <c r="AF28" s="12">
        <v>60</v>
      </c>
      <c r="AG28" s="12">
        <v>35</v>
      </c>
      <c r="AH28" s="12">
        <v>31</v>
      </c>
      <c r="AI28" s="12">
        <v>1</v>
      </c>
      <c r="AJ28" s="12">
        <v>28</v>
      </c>
      <c r="AK28" s="12">
        <v>14</v>
      </c>
      <c r="AL28" s="12">
        <v>20</v>
      </c>
      <c r="AM28" s="12">
        <v>61</v>
      </c>
      <c r="AN28" s="12">
        <v>20</v>
      </c>
      <c r="AO28" s="12">
        <v>12</v>
      </c>
      <c r="AP28" s="12">
        <v>22</v>
      </c>
      <c r="AQ28" s="12">
        <v>25</v>
      </c>
    </row>
    <row r="29" spans="1:43" ht="21.5" x14ac:dyDescent="0.35">
      <c r="A29" s="19"/>
      <c r="B29" s="13" t="s">
        <v>1601</v>
      </c>
      <c r="C29" s="15">
        <v>0.11</v>
      </c>
      <c r="D29" s="15">
        <v>0.15</v>
      </c>
      <c r="E29" s="15">
        <v>0.11</v>
      </c>
      <c r="F29" s="15">
        <v>0.23</v>
      </c>
      <c r="G29" s="15">
        <v>0.14000000000000001</v>
      </c>
      <c r="H29" s="15">
        <v>0.13</v>
      </c>
      <c r="I29" s="15">
        <v>0.13</v>
      </c>
      <c r="J29" s="15">
        <v>0.14000000000000001</v>
      </c>
      <c r="K29" s="15">
        <v>7.0000000000000007E-2</v>
      </c>
      <c r="L29" s="15">
        <v>0.15</v>
      </c>
      <c r="M29" s="15">
        <v>0.11</v>
      </c>
      <c r="N29" s="15">
        <v>0.05</v>
      </c>
      <c r="O29" s="15">
        <v>0.12</v>
      </c>
      <c r="P29" s="15">
        <v>0.15</v>
      </c>
      <c r="Q29" s="15">
        <v>0.12</v>
      </c>
      <c r="R29" s="15">
        <v>0.15</v>
      </c>
      <c r="S29" s="15">
        <v>0.06</v>
      </c>
      <c r="T29" s="15">
        <v>0.05</v>
      </c>
      <c r="U29" s="15">
        <v>0.14000000000000001</v>
      </c>
      <c r="V29" s="15">
        <v>0.16</v>
      </c>
      <c r="W29" s="15">
        <v>0.19</v>
      </c>
      <c r="X29" s="15">
        <v>0.13</v>
      </c>
      <c r="Y29" s="15">
        <v>0.16</v>
      </c>
      <c r="Z29" s="15">
        <v>0.06</v>
      </c>
      <c r="AA29" s="15">
        <v>0.04</v>
      </c>
      <c r="AB29" s="15">
        <v>0.05</v>
      </c>
      <c r="AC29" s="15">
        <v>0.1</v>
      </c>
      <c r="AD29" s="15">
        <v>0.11</v>
      </c>
      <c r="AE29" s="15">
        <v>0.13</v>
      </c>
      <c r="AF29" s="15">
        <v>0.17</v>
      </c>
      <c r="AG29" s="15">
        <v>7.0000000000000007E-2</v>
      </c>
      <c r="AH29" s="15">
        <v>7.0000000000000007E-2</v>
      </c>
      <c r="AI29" s="14" t="s">
        <v>475</v>
      </c>
      <c r="AJ29" s="15">
        <v>7.0000000000000007E-2</v>
      </c>
      <c r="AK29" s="15">
        <v>0.03</v>
      </c>
      <c r="AL29" s="15">
        <v>0.04</v>
      </c>
      <c r="AM29" s="15">
        <v>0.12</v>
      </c>
      <c r="AN29" s="15">
        <v>0.04</v>
      </c>
      <c r="AO29" s="15">
        <v>0.02</v>
      </c>
      <c r="AP29" s="15">
        <v>0.1</v>
      </c>
      <c r="AQ29" s="15">
        <v>0.05</v>
      </c>
    </row>
    <row r="30" spans="1:43" ht="41.5" x14ac:dyDescent="0.35">
      <c r="A30" s="19"/>
      <c r="B30" s="11" t="s">
        <v>1602</v>
      </c>
      <c r="C30" s="12">
        <v>556</v>
      </c>
      <c r="D30" s="12">
        <v>39</v>
      </c>
      <c r="E30" s="12">
        <v>16</v>
      </c>
      <c r="F30" s="12">
        <v>17</v>
      </c>
      <c r="G30" s="12">
        <v>11</v>
      </c>
      <c r="H30" s="12">
        <v>31</v>
      </c>
      <c r="I30" s="12">
        <v>33</v>
      </c>
      <c r="J30" s="12">
        <v>3</v>
      </c>
      <c r="K30" s="12">
        <v>25</v>
      </c>
      <c r="L30" s="12">
        <v>8</v>
      </c>
      <c r="M30" s="12">
        <v>37</v>
      </c>
      <c r="N30" s="12">
        <v>13</v>
      </c>
      <c r="O30" s="12">
        <v>33</v>
      </c>
      <c r="P30" s="12">
        <v>10</v>
      </c>
      <c r="Q30" s="12">
        <v>17</v>
      </c>
      <c r="R30" s="12">
        <v>12</v>
      </c>
      <c r="S30" s="12">
        <v>28</v>
      </c>
      <c r="T30" s="12">
        <v>15</v>
      </c>
      <c r="U30" s="12">
        <v>17</v>
      </c>
      <c r="V30" s="12">
        <v>12</v>
      </c>
      <c r="W30" s="12">
        <v>4</v>
      </c>
      <c r="X30" s="12">
        <v>20</v>
      </c>
      <c r="Y30" s="12">
        <v>10</v>
      </c>
      <c r="Z30" s="12">
        <v>27</v>
      </c>
      <c r="AA30" s="12">
        <v>15</v>
      </c>
      <c r="AB30" s="12">
        <v>13</v>
      </c>
      <c r="AC30" s="12">
        <v>39</v>
      </c>
      <c r="AD30" s="12">
        <v>11</v>
      </c>
      <c r="AE30" s="12">
        <v>8</v>
      </c>
      <c r="AF30" s="12">
        <v>22</v>
      </c>
      <c r="AG30" s="12">
        <v>5</v>
      </c>
      <c r="AH30" s="12">
        <v>14</v>
      </c>
      <c r="AI30" s="12">
        <v>14</v>
      </c>
      <c r="AJ30" s="12">
        <v>26</v>
      </c>
      <c r="AK30" s="12">
        <v>10</v>
      </c>
      <c r="AL30" s="12">
        <v>52</v>
      </c>
      <c r="AM30" s="12">
        <v>22</v>
      </c>
      <c r="AN30" s="12">
        <v>29</v>
      </c>
      <c r="AO30" s="12">
        <v>8</v>
      </c>
      <c r="AP30" s="12">
        <v>2</v>
      </c>
      <c r="AQ30" s="12">
        <v>38</v>
      </c>
    </row>
    <row r="31" spans="1:43" ht="31.5" x14ac:dyDescent="0.35">
      <c r="A31" s="19"/>
      <c r="B31" s="13" t="s">
        <v>1603</v>
      </c>
      <c r="C31" s="15">
        <v>0.05</v>
      </c>
      <c r="D31" s="15">
        <v>7.0000000000000007E-2</v>
      </c>
      <c r="E31" s="15">
        <v>0.04</v>
      </c>
      <c r="F31" s="15">
        <v>0.04</v>
      </c>
      <c r="G31" s="15">
        <v>0.03</v>
      </c>
      <c r="H31" s="15">
        <v>0.05</v>
      </c>
      <c r="I31" s="15">
        <v>0.05</v>
      </c>
      <c r="J31" s="15">
        <v>0.02</v>
      </c>
      <c r="K31" s="15">
        <v>0.06</v>
      </c>
      <c r="L31" s="15">
        <v>0.02</v>
      </c>
      <c r="M31" s="15">
        <v>0.08</v>
      </c>
      <c r="N31" s="15">
        <v>0.03</v>
      </c>
      <c r="O31" s="15">
        <v>7.0000000000000007E-2</v>
      </c>
      <c r="P31" s="15">
        <v>0.03</v>
      </c>
      <c r="Q31" s="15">
        <v>0.04</v>
      </c>
      <c r="R31" s="15">
        <v>0.08</v>
      </c>
      <c r="S31" s="15">
        <v>0.06</v>
      </c>
      <c r="T31" s="15">
        <v>0.04</v>
      </c>
      <c r="U31" s="15">
        <v>0.08</v>
      </c>
      <c r="V31" s="15">
        <v>0.04</v>
      </c>
      <c r="W31" s="15">
        <v>0.03</v>
      </c>
      <c r="X31" s="15">
        <v>0.05</v>
      </c>
      <c r="Y31" s="15">
        <v>0.02</v>
      </c>
      <c r="Z31" s="15">
        <v>7.0000000000000007E-2</v>
      </c>
      <c r="AA31" s="15">
        <v>0.04</v>
      </c>
      <c r="AB31" s="15">
        <v>0.03</v>
      </c>
      <c r="AC31" s="15">
        <v>0.09</v>
      </c>
      <c r="AD31" s="15">
        <v>0.03</v>
      </c>
      <c r="AE31" s="15">
        <v>0.02</v>
      </c>
      <c r="AF31" s="15">
        <v>0.06</v>
      </c>
      <c r="AG31" s="15">
        <v>0.01</v>
      </c>
      <c r="AH31" s="15">
        <v>0.03</v>
      </c>
      <c r="AI31" s="15">
        <v>0.1</v>
      </c>
      <c r="AJ31" s="15">
        <v>0.06</v>
      </c>
      <c r="AK31" s="15">
        <v>0.02</v>
      </c>
      <c r="AL31" s="15">
        <v>0.1</v>
      </c>
      <c r="AM31" s="15">
        <v>0.04</v>
      </c>
      <c r="AN31" s="15">
        <v>0.05</v>
      </c>
      <c r="AO31" s="15">
        <v>0.01</v>
      </c>
      <c r="AP31" s="15">
        <v>0.01</v>
      </c>
      <c r="AQ31" s="15">
        <v>7.0000000000000007E-2</v>
      </c>
    </row>
    <row r="32" spans="1:43" ht="51.5" x14ac:dyDescent="0.35">
      <c r="A32" s="19"/>
      <c r="B32" s="11" t="s">
        <v>1604</v>
      </c>
      <c r="C32" s="12">
        <v>1186</v>
      </c>
      <c r="D32" s="12">
        <v>65</v>
      </c>
      <c r="E32" s="12">
        <v>46</v>
      </c>
      <c r="F32" s="12">
        <v>20</v>
      </c>
      <c r="G32" s="12">
        <v>61</v>
      </c>
      <c r="H32" s="12">
        <v>62</v>
      </c>
      <c r="I32" s="12">
        <v>70</v>
      </c>
      <c r="J32" s="12">
        <v>9</v>
      </c>
      <c r="K32" s="12">
        <v>55</v>
      </c>
      <c r="L32" s="12">
        <v>47</v>
      </c>
      <c r="M32" s="12">
        <v>38</v>
      </c>
      <c r="N32" s="12">
        <v>45</v>
      </c>
      <c r="O32" s="12">
        <v>76</v>
      </c>
      <c r="P32" s="12">
        <v>55</v>
      </c>
      <c r="Q32" s="12">
        <v>16</v>
      </c>
      <c r="R32" s="12">
        <v>18</v>
      </c>
      <c r="S32" s="12">
        <v>76</v>
      </c>
      <c r="T32" s="12">
        <v>60</v>
      </c>
      <c r="U32" s="12">
        <v>35</v>
      </c>
      <c r="V32" s="12">
        <v>22</v>
      </c>
      <c r="W32" s="12">
        <v>17</v>
      </c>
      <c r="X32" s="12">
        <v>99</v>
      </c>
      <c r="Y32" s="12">
        <v>40</v>
      </c>
      <c r="Z32" s="12">
        <v>22</v>
      </c>
      <c r="AA32" s="12">
        <v>42</v>
      </c>
      <c r="AB32" s="12">
        <v>13</v>
      </c>
      <c r="AC32" s="12">
        <v>44</v>
      </c>
      <c r="AD32" s="12">
        <v>69</v>
      </c>
      <c r="AE32" s="12">
        <v>83</v>
      </c>
      <c r="AF32" s="12">
        <v>47</v>
      </c>
      <c r="AG32" s="12">
        <v>7</v>
      </c>
      <c r="AH32" s="12">
        <v>35</v>
      </c>
      <c r="AI32" s="12">
        <v>27</v>
      </c>
      <c r="AJ32" s="12">
        <v>27</v>
      </c>
      <c r="AK32" s="12">
        <v>20</v>
      </c>
      <c r="AL32" s="12">
        <v>29</v>
      </c>
      <c r="AM32" s="12">
        <v>56</v>
      </c>
      <c r="AN32" s="12">
        <v>59</v>
      </c>
      <c r="AO32" s="12">
        <v>24</v>
      </c>
      <c r="AP32" s="12">
        <v>10</v>
      </c>
      <c r="AQ32" s="12">
        <v>29</v>
      </c>
    </row>
    <row r="33" spans="1:43" ht="41.5" x14ac:dyDescent="0.35">
      <c r="A33" s="19"/>
      <c r="B33" s="13" t="s">
        <v>1605</v>
      </c>
      <c r="C33" s="15">
        <v>0.1</v>
      </c>
      <c r="D33" s="15">
        <v>0.12</v>
      </c>
      <c r="E33" s="15">
        <v>0.11</v>
      </c>
      <c r="F33" s="15">
        <v>0.05</v>
      </c>
      <c r="G33" s="15">
        <v>0.14000000000000001</v>
      </c>
      <c r="H33" s="15">
        <v>0.11</v>
      </c>
      <c r="I33" s="15">
        <v>0.1</v>
      </c>
      <c r="J33" s="15">
        <v>7.0000000000000007E-2</v>
      </c>
      <c r="K33" s="15">
        <v>0.13</v>
      </c>
      <c r="L33" s="15">
        <v>0.13</v>
      </c>
      <c r="M33" s="15">
        <v>0.09</v>
      </c>
      <c r="N33" s="15">
        <v>0.1</v>
      </c>
      <c r="O33" s="15">
        <v>0.16</v>
      </c>
      <c r="P33" s="15">
        <v>0.13</v>
      </c>
      <c r="Q33" s="15">
        <v>0.03</v>
      </c>
      <c r="R33" s="15">
        <v>0.12</v>
      </c>
      <c r="S33" s="15">
        <v>0.17</v>
      </c>
      <c r="T33" s="15">
        <v>0.14000000000000001</v>
      </c>
      <c r="U33" s="15">
        <v>0.17</v>
      </c>
      <c r="V33" s="15">
        <v>0.06</v>
      </c>
      <c r="W33" s="15">
        <v>0.1</v>
      </c>
      <c r="X33" s="15">
        <v>0.22</v>
      </c>
      <c r="Y33" s="15">
        <v>0.1</v>
      </c>
      <c r="Z33" s="15">
        <v>0.06</v>
      </c>
      <c r="AA33" s="15">
        <v>0.1</v>
      </c>
      <c r="AB33" s="15">
        <v>0.03</v>
      </c>
      <c r="AC33" s="15">
        <v>0.1</v>
      </c>
      <c r="AD33" s="15">
        <v>0.16</v>
      </c>
      <c r="AE33" s="15">
        <v>0.18</v>
      </c>
      <c r="AF33" s="15">
        <v>0.13</v>
      </c>
      <c r="AG33" s="15">
        <v>0.01</v>
      </c>
      <c r="AH33" s="15">
        <v>0.08</v>
      </c>
      <c r="AI33" s="15">
        <v>0.2</v>
      </c>
      <c r="AJ33" s="15">
        <v>0.06</v>
      </c>
      <c r="AK33" s="15">
        <v>0.04</v>
      </c>
      <c r="AL33" s="15">
        <v>0.06</v>
      </c>
      <c r="AM33" s="15">
        <v>0.12</v>
      </c>
      <c r="AN33" s="15">
        <v>0.1</v>
      </c>
      <c r="AO33" s="15">
        <v>0.04</v>
      </c>
      <c r="AP33" s="15">
        <v>0.04</v>
      </c>
      <c r="AQ33" s="15">
        <v>0.05</v>
      </c>
    </row>
    <row r="34" spans="1:43" ht="21.5" x14ac:dyDescent="0.35">
      <c r="A34" s="19"/>
      <c r="B34" s="11" t="s">
        <v>1606</v>
      </c>
      <c r="C34" s="12">
        <v>268</v>
      </c>
      <c r="D34" s="12">
        <v>21</v>
      </c>
      <c r="E34" s="12">
        <v>18</v>
      </c>
      <c r="F34" s="12">
        <v>7</v>
      </c>
      <c r="G34" s="12">
        <v>4</v>
      </c>
      <c r="H34" s="12">
        <v>15</v>
      </c>
      <c r="I34" s="12">
        <v>19</v>
      </c>
      <c r="J34" s="12">
        <v>4</v>
      </c>
      <c r="K34" s="12">
        <v>10</v>
      </c>
      <c r="L34" s="12">
        <v>12</v>
      </c>
      <c r="M34" s="12">
        <v>7</v>
      </c>
      <c r="N34" s="12">
        <v>5</v>
      </c>
      <c r="O34" s="12">
        <v>19</v>
      </c>
      <c r="P34" s="12">
        <v>20</v>
      </c>
      <c r="Q34" s="12">
        <v>3</v>
      </c>
      <c r="R34" s="12">
        <v>3</v>
      </c>
      <c r="S34" s="12">
        <v>17</v>
      </c>
      <c r="T34" s="12">
        <v>16</v>
      </c>
      <c r="U34" s="12">
        <v>4</v>
      </c>
      <c r="V34" s="12">
        <v>10</v>
      </c>
      <c r="W34" s="12">
        <v>5</v>
      </c>
      <c r="X34" s="12">
        <v>16</v>
      </c>
      <c r="Y34" s="12">
        <v>10</v>
      </c>
      <c r="Z34" s="12">
        <v>5</v>
      </c>
      <c r="AA34" s="12">
        <v>3</v>
      </c>
      <c r="AB34" s="12">
        <v>12</v>
      </c>
      <c r="AC34" s="12">
        <v>16</v>
      </c>
      <c r="AD34" s="12">
        <v>13</v>
      </c>
      <c r="AE34" s="12">
        <v>7</v>
      </c>
      <c r="AF34" s="12">
        <v>6</v>
      </c>
      <c r="AG34" s="12">
        <v>4</v>
      </c>
      <c r="AH34" s="12">
        <v>13</v>
      </c>
      <c r="AI34" s="12">
        <v>3</v>
      </c>
      <c r="AJ34" s="12">
        <v>2</v>
      </c>
      <c r="AK34" s="12">
        <v>12</v>
      </c>
      <c r="AL34" s="12">
        <v>6</v>
      </c>
      <c r="AM34" s="12">
        <v>7</v>
      </c>
      <c r="AN34" s="12">
        <v>18</v>
      </c>
      <c r="AO34" s="12">
        <v>20</v>
      </c>
      <c r="AP34" s="12">
        <v>5</v>
      </c>
      <c r="AQ34" s="12">
        <v>7</v>
      </c>
    </row>
    <row r="35" spans="1:43" ht="21.5" x14ac:dyDescent="0.35">
      <c r="A35" s="19"/>
      <c r="B35" s="13" t="s">
        <v>1607</v>
      </c>
      <c r="C35" s="15">
        <v>0.02</v>
      </c>
      <c r="D35" s="15">
        <v>0.04</v>
      </c>
      <c r="E35" s="15">
        <v>0.04</v>
      </c>
      <c r="F35" s="15">
        <v>0.01</v>
      </c>
      <c r="G35" s="15">
        <v>0.01</v>
      </c>
      <c r="H35" s="15">
        <v>0.03</v>
      </c>
      <c r="I35" s="15">
        <v>0.03</v>
      </c>
      <c r="J35" s="15">
        <v>0.03</v>
      </c>
      <c r="K35" s="15">
        <v>0.02</v>
      </c>
      <c r="L35" s="15">
        <v>0.03</v>
      </c>
      <c r="M35" s="15">
        <v>0.01</v>
      </c>
      <c r="N35" s="15">
        <v>0.01</v>
      </c>
      <c r="O35" s="15">
        <v>0.04</v>
      </c>
      <c r="P35" s="15">
        <v>0.05</v>
      </c>
      <c r="Q35" s="15">
        <v>0.01</v>
      </c>
      <c r="R35" s="15">
        <v>0.02</v>
      </c>
      <c r="S35" s="15">
        <v>0.04</v>
      </c>
      <c r="T35" s="15">
        <v>0.04</v>
      </c>
      <c r="U35" s="15">
        <v>0.02</v>
      </c>
      <c r="V35" s="15">
        <v>0.03</v>
      </c>
      <c r="W35" s="15">
        <v>0.03</v>
      </c>
      <c r="X35" s="15">
        <v>0.04</v>
      </c>
      <c r="Y35" s="15">
        <v>0.02</v>
      </c>
      <c r="Z35" s="15">
        <v>0.01</v>
      </c>
      <c r="AA35" s="15">
        <v>0.01</v>
      </c>
      <c r="AB35" s="15">
        <v>0.03</v>
      </c>
      <c r="AC35" s="15">
        <v>0.04</v>
      </c>
      <c r="AD35" s="15">
        <v>0.03</v>
      </c>
      <c r="AE35" s="15">
        <v>0.02</v>
      </c>
      <c r="AF35" s="15">
        <v>0.02</v>
      </c>
      <c r="AG35" s="15">
        <v>0.01</v>
      </c>
      <c r="AH35" s="15">
        <v>0.03</v>
      </c>
      <c r="AI35" s="15">
        <v>0.02</v>
      </c>
      <c r="AJ35" s="15">
        <v>0.01</v>
      </c>
      <c r="AK35" s="15">
        <v>0.02</v>
      </c>
      <c r="AL35" s="15">
        <v>0.01</v>
      </c>
      <c r="AM35" s="15">
        <v>0.01</v>
      </c>
      <c r="AN35" s="15">
        <v>0.03</v>
      </c>
      <c r="AO35" s="15">
        <v>0.03</v>
      </c>
      <c r="AP35" s="15">
        <v>0.02</v>
      </c>
      <c r="AQ35" s="15">
        <v>0.01</v>
      </c>
    </row>
    <row r="36" spans="1:43" x14ac:dyDescent="0.35">
      <c r="A36" s="19"/>
      <c r="B36" s="11" t="s">
        <v>1608</v>
      </c>
      <c r="C36" s="12">
        <v>2204</v>
      </c>
      <c r="D36" s="12">
        <v>63</v>
      </c>
      <c r="E36" s="12">
        <v>110</v>
      </c>
      <c r="F36" s="12">
        <v>88</v>
      </c>
      <c r="G36" s="12">
        <v>42</v>
      </c>
      <c r="H36" s="12">
        <v>80</v>
      </c>
      <c r="I36" s="12">
        <v>106</v>
      </c>
      <c r="J36" s="12">
        <v>26</v>
      </c>
      <c r="K36" s="12">
        <v>91</v>
      </c>
      <c r="L36" s="12">
        <v>55</v>
      </c>
      <c r="M36" s="12">
        <v>59</v>
      </c>
      <c r="N36" s="12">
        <v>129</v>
      </c>
      <c r="O36" s="12">
        <v>66</v>
      </c>
      <c r="P36" s="12">
        <v>92</v>
      </c>
      <c r="Q36" s="12">
        <v>53</v>
      </c>
      <c r="R36" s="12">
        <v>27</v>
      </c>
      <c r="S36" s="12">
        <v>105</v>
      </c>
      <c r="T36" s="12">
        <v>93</v>
      </c>
      <c r="U36" s="12">
        <v>15</v>
      </c>
      <c r="V36" s="12">
        <v>110</v>
      </c>
      <c r="W36" s="12">
        <v>27</v>
      </c>
      <c r="X36" s="12">
        <v>19</v>
      </c>
      <c r="Y36" s="12">
        <v>72</v>
      </c>
      <c r="Z36" s="12">
        <v>173</v>
      </c>
      <c r="AA36" s="12">
        <v>111</v>
      </c>
      <c r="AB36" s="12">
        <v>147</v>
      </c>
      <c r="AC36" s="12">
        <v>68</v>
      </c>
      <c r="AD36" s="12">
        <v>79</v>
      </c>
      <c r="AE36" s="12">
        <v>79</v>
      </c>
      <c r="AF36" s="12">
        <v>28</v>
      </c>
      <c r="AG36" s="12">
        <v>56</v>
      </c>
      <c r="AH36" s="12">
        <v>109</v>
      </c>
      <c r="AI36" s="12">
        <v>18</v>
      </c>
      <c r="AJ36" s="12">
        <v>93</v>
      </c>
      <c r="AK36" s="12">
        <v>58</v>
      </c>
      <c r="AL36" s="12">
        <v>123</v>
      </c>
      <c r="AM36" s="12">
        <v>77</v>
      </c>
      <c r="AN36" s="12">
        <v>125</v>
      </c>
      <c r="AO36" s="12">
        <v>35</v>
      </c>
      <c r="AP36" s="12">
        <v>21</v>
      </c>
      <c r="AQ36" s="12">
        <v>51</v>
      </c>
    </row>
    <row r="37" spans="1:43" ht="21.5" x14ac:dyDescent="0.35">
      <c r="A37" s="19"/>
      <c r="B37" s="13" t="s">
        <v>1609</v>
      </c>
      <c r="C37" s="15">
        <v>0.19</v>
      </c>
      <c r="D37" s="15">
        <v>0.12</v>
      </c>
      <c r="E37" s="15">
        <v>0.26</v>
      </c>
      <c r="F37" s="15">
        <v>0.21</v>
      </c>
      <c r="G37" s="15">
        <v>0.1</v>
      </c>
      <c r="H37" s="15">
        <v>0.14000000000000001</v>
      </c>
      <c r="I37" s="15">
        <v>0.15</v>
      </c>
      <c r="J37" s="15">
        <v>0.21</v>
      </c>
      <c r="K37" s="15">
        <v>0.21</v>
      </c>
      <c r="L37" s="15">
        <v>0.15</v>
      </c>
      <c r="M37" s="15">
        <v>0.13</v>
      </c>
      <c r="N37" s="15">
        <v>0.28999999999999998</v>
      </c>
      <c r="O37" s="15">
        <v>0.14000000000000001</v>
      </c>
      <c r="P37" s="15">
        <v>0.22</v>
      </c>
      <c r="Q37" s="15">
        <v>0.12</v>
      </c>
      <c r="R37" s="15">
        <v>0.17</v>
      </c>
      <c r="S37" s="15">
        <v>0.24</v>
      </c>
      <c r="T37" s="15">
        <v>0.22</v>
      </c>
      <c r="U37" s="15">
        <v>7.0000000000000007E-2</v>
      </c>
      <c r="V37" s="15">
        <v>0.32</v>
      </c>
      <c r="W37" s="15">
        <v>0.16</v>
      </c>
      <c r="X37" s="15">
        <v>0.04</v>
      </c>
      <c r="Y37" s="15">
        <v>0.18</v>
      </c>
      <c r="Z37" s="15">
        <v>0.44</v>
      </c>
      <c r="AA37" s="15">
        <v>0.27</v>
      </c>
      <c r="AB37" s="15">
        <v>0.33</v>
      </c>
      <c r="AC37" s="15">
        <v>0.16</v>
      </c>
      <c r="AD37" s="15">
        <v>0.19</v>
      </c>
      <c r="AE37" s="15">
        <v>0.17</v>
      </c>
      <c r="AF37" s="15">
        <v>0.08</v>
      </c>
      <c r="AG37" s="15">
        <v>0.1</v>
      </c>
      <c r="AH37" s="15">
        <v>0.23</v>
      </c>
      <c r="AI37" s="15">
        <v>0.13</v>
      </c>
      <c r="AJ37" s="15">
        <v>0.22</v>
      </c>
      <c r="AK37" s="15">
        <v>0.12</v>
      </c>
      <c r="AL37" s="15">
        <v>0.24</v>
      </c>
      <c r="AM37" s="15">
        <v>0.16</v>
      </c>
      <c r="AN37" s="15">
        <v>0.22</v>
      </c>
      <c r="AO37" s="15">
        <v>0.06</v>
      </c>
      <c r="AP37" s="15">
        <v>0.1</v>
      </c>
      <c r="AQ37" s="15">
        <v>0.09</v>
      </c>
    </row>
    <row r="38" spans="1:43" ht="31.5" x14ac:dyDescent="0.35">
      <c r="A38" s="19"/>
      <c r="B38" s="11" t="s">
        <v>1610</v>
      </c>
      <c r="C38" s="12">
        <v>1353</v>
      </c>
      <c r="D38" s="12">
        <v>47</v>
      </c>
      <c r="E38" s="12">
        <v>88</v>
      </c>
      <c r="F38" s="12">
        <v>48</v>
      </c>
      <c r="G38" s="12">
        <v>108</v>
      </c>
      <c r="H38" s="12">
        <v>62</v>
      </c>
      <c r="I38" s="12">
        <v>74</v>
      </c>
      <c r="J38" s="12">
        <v>13</v>
      </c>
      <c r="K38" s="12">
        <v>50</v>
      </c>
      <c r="L38" s="12">
        <v>68</v>
      </c>
      <c r="M38" s="12">
        <v>44</v>
      </c>
      <c r="N38" s="12">
        <v>85</v>
      </c>
      <c r="O38" s="12">
        <v>25</v>
      </c>
      <c r="P38" s="12">
        <v>61</v>
      </c>
      <c r="Q38" s="12">
        <v>57</v>
      </c>
      <c r="R38" s="12">
        <v>14</v>
      </c>
      <c r="S38" s="12">
        <v>77</v>
      </c>
      <c r="T38" s="12">
        <v>65</v>
      </c>
      <c r="U38" s="12">
        <v>17</v>
      </c>
      <c r="V38" s="12">
        <v>48</v>
      </c>
      <c r="W38" s="12">
        <v>31</v>
      </c>
      <c r="X38" s="12">
        <v>57</v>
      </c>
      <c r="Y38" s="12">
        <v>67</v>
      </c>
      <c r="Z38" s="12">
        <v>15</v>
      </c>
      <c r="AA38" s="12">
        <v>93</v>
      </c>
      <c r="AB38" s="12">
        <v>89</v>
      </c>
      <c r="AC38" s="12">
        <v>66</v>
      </c>
      <c r="AD38" s="12">
        <v>63</v>
      </c>
      <c r="AE38" s="12">
        <v>34</v>
      </c>
      <c r="AF38" s="12">
        <v>18</v>
      </c>
      <c r="AG38" s="12">
        <v>47</v>
      </c>
      <c r="AH38" s="12">
        <v>46</v>
      </c>
      <c r="AI38" s="12">
        <v>7</v>
      </c>
      <c r="AJ38" s="12">
        <v>75</v>
      </c>
      <c r="AK38" s="12">
        <v>116</v>
      </c>
      <c r="AL38" s="12">
        <v>92</v>
      </c>
      <c r="AM38" s="12">
        <v>72</v>
      </c>
      <c r="AN38" s="12">
        <v>82</v>
      </c>
      <c r="AO38" s="12">
        <v>58</v>
      </c>
      <c r="AP38" s="12">
        <v>14</v>
      </c>
      <c r="AQ38" s="12">
        <v>58</v>
      </c>
    </row>
    <row r="39" spans="1:43" ht="21.5" x14ac:dyDescent="0.35">
      <c r="A39" s="19"/>
      <c r="B39" s="13" t="s">
        <v>1611</v>
      </c>
      <c r="C39" s="15">
        <v>0.12</v>
      </c>
      <c r="D39" s="15">
        <v>0.09</v>
      </c>
      <c r="E39" s="15">
        <v>0.2</v>
      </c>
      <c r="F39" s="15">
        <v>0.11</v>
      </c>
      <c r="G39" s="15">
        <v>0.25</v>
      </c>
      <c r="H39" s="15">
        <v>0.11</v>
      </c>
      <c r="I39" s="15">
        <v>0.11</v>
      </c>
      <c r="J39" s="15">
        <v>0.1</v>
      </c>
      <c r="K39" s="15">
        <v>0.12</v>
      </c>
      <c r="L39" s="15">
        <v>0.19</v>
      </c>
      <c r="M39" s="15">
        <v>0.1</v>
      </c>
      <c r="N39" s="15">
        <v>0.19</v>
      </c>
      <c r="O39" s="15">
        <v>0.05</v>
      </c>
      <c r="P39" s="15">
        <v>0.15</v>
      </c>
      <c r="Q39" s="15">
        <v>0.12</v>
      </c>
      <c r="R39" s="15">
        <v>0.09</v>
      </c>
      <c r="S39" s="15">
        <v>0.18</v>
      </c>
      <c r="T39" s="15">
        <v>0.15</v>
      </c>
      <c r="U39" s="15">
        <v>0.08</v>
      </c>
      <c r="V39" s="15">
        <v>0.14000000000000001</v>
      </c>
      <c r="W39" s="15">
        <v>0.18</v>
      </c>
      <c r="X39" s="15">
        <v>0.13</v>
      </c>
      <c r="Y39" s="15">
        <v>0.17</v>
      </c>
      <c r="Z39" s="15">
        <v>0.04</v>
      </c>
      <c r="AA39" s="15">
        <v>0.22</v>
      </c>
      <c r="AB39" s="15">
        <v>0.2</v>
      </c>
      <c r="AC39" s="15">
        <v>0.15</v>
      </c>
      <c r="AD39" s="15">
        <v>0.15</v>
      </c>
      <c r="AE39" s="15">
        <v>7.0000000000000007E-2</v>
      </c>
      <c r="AF39" s="15">
        <v>0.05</v>
      </c>
      <c r="AG39" s="15">
        <v>0.09</v>
      </c>
      <c r="AH39" s="15">
        <v>0.1</v>
      </c>
      <c r="AI39" s="15">
        <v>0.05</v>
      </c>
      <c r="AJ39" s="15">
        <v>0.18</v>
      </c>
      <c r="AK39" s="15">
        <v>0.25</v>
      </c>
      <c r="AL39" s="15">
        <v>0.18</v>
      </c>
      <c r="AM39" s="15">
        <v>0.15</v>
      </c>
      <c r="AN39" s="15">
        <v>0.14000000000000001</v>
      </c>
      <c r="AO39" s="15">
        <v>0.1</v>
      </c>
      <c r="AP39" s="15">
        <v>7.0000000000000007E-2</v>
      </c>
      <c r="AQ39" s="15">
        <v>0.11</v>
      </c>
    </row>
    <row r="40" spans="1:43" ht="21.5" x14ac:dyDescent="0.35">
      <c r="A40" s="19"/>
      <c r="B40" s="11" t="s">
        <v>1634</v>
      </c>
      <c r="C40" s="12">
        <v>2316</v>
      </c>
      <c r="D40" s="12">
        <v>110</v>
      </c>
      <c r="E40" s="12">
        <v>56</v>
      </c>
      <c r="F40" s="12">
        <v>78</v>
      </c>
      <c r="G40" s="12">
        <v>24</v>
      </c>
      <c r="H40" s="12">
        <v>103</v>
      </c>
      <c r="I40" s="12">
        <v>123</v>
      </c>
      <c r="J40" s="12">
        <v>20</v>
      </c>
      <c r="K40" s="12">
        <v>74</v>
      </c>
      <c r="L40" s="12">
        <v>57</v>
      </c>
      <c r="M40" s="12">
        <v>101</v>
      </c>
      <c r="N40" s="12">
        <v>92</v>
      </c>
      <c r="O40" s="12">
        <v>87</v>
      </c>
      <c r="P40" s="12">
        <v>67</v>
      </c>
      <c r="Q40" s="12">
        <v>164</v>
      </c>
      <c r="R40" s="12">
        <v>29</v>
      </c>
      <c r="S40" s="12">
        <v>23</v>
      </c>
      <c r="T40" s="12">
        <v>70</v>
      </c>
      <c r="U40" s="12">
        <v>31</v>
      </c>
      <c r="V40" s="12">
        <v>51</v>
      </c>
      <c r="W40" s="12">
        <v>25</v>
      </c>
      <c r="X40" s="12">
        <v>13</v>
      </c>
      <c r="Y40" s="12">
        <v>73</v>
      </c>
      <c r="Z40" s="12">
        <v>75</v>
      </c>
      <c r="AA40" s="12">
        <v>92</v>
      </c>
      <c r="AB40" s="12">
        <v>115</v>
      </c>
      <c r="AC40" s="12">
        <v>71</v>
      </c>
      <c r="AD40" s="12">
        <v>75</v>
      </c>
      <c r="AE40" s="12">
        <v>30</v>
      </c>
      <c r="AF40" s="12">
        <v>16</v>
      </c>
      <c r="AG40" s="12">
        <v>343</v>
      </c>
      <c r="AH40" s="12">
        <v>170</v>
      </c>
      <c r="AI40" s="12">
        <v>48</v>
      </c>
      <c r="AJ40" s="12">
        <v>114</v>
      </c>
      <c r="AK40" s="12">
        <v>155</v>
      </c>
      <c r="AL40" s="12">
        <v>103</v>
      </c>
      <c r="AM40" s="12">
        <v>52</v>
      </c>
      <c r="AN40" s="12">
        <v>213</v>
      </c>
      <c r="AO40" s="12">
        <v>356</v>
      </c>
      <c r="AP40" s="12">
        <v>82</v>
      </c>
      <c r="AQ40" s="12">
        <v>151</v>
      </c>
    </row>
    <row r="41" spans="1:43" x14ac:dyDescent="0.35">
      <c r="A41" s="19"/>
      <c r="B41" s="13" t="s">
        <v>1635</v>
      </c>
      <c r="C41" s="15">
        <v>0.2</v>
      </c>
      <c r="D41" s="15">
        <v>0.2</v>
      </c>
      <c r="E41" s="15">
        <v>0.13</v>
      </c>
      <c r="F41" s="15">
        <v>0.19</v>
      </c>
      <c r="G41" s="15">
        <v>0.05</v>
      </c>
      <c r="H41" s="15">
        <v>0.18</v>
      </c>
      <c r="I41" s="15">
        <v>0.18</v>
      </c>
      <c r="J41" s="15">
        <v>0.16</v>
      </c>
      <c r="K41" s="15">
        <v>0.17</v>
      </c>
      <c r="L41" s="15">
        <v>0.15</v>
      </c>
      <c r="M41" s="15">
        <v>0.23</v>
      </c>
      <c r="N41" s="15">
        <v>0.21</v>
      </c>
      <c r="O41" s="15">
        <v>0.18</v>
      </c>
      <c r="P41" s="15">
        <v>0.16</v>
      </c>
      <c r="Q41" s="15">
        <v>0.36</v>
      </c>
      <c r="R41" s="15">
        <v>0.19</v>
      </c>
      <c r="S41" s="15">
        <v>0.05</v>
      </c>
      <c r="T41" s="15">
        <v>0.17</v>
      </c>
      <c r="U41" s="15">
        <v>0.15</v>
      </c>
      <c r="V41" s="15">
        <v>0.15</v>
      </c>
      <c r="W41" s="15">
        <v>0.14000000000000001</v>
      </c>
      <c r="X41" s="15">
        <v>0.03</v>
      </c>
      <c r="Y41" s="15">
        <v>0.18</v>
      </c>
      <c r="Z41" s="15">
        <v>0.19</v>
      </c>
      <c r="AA41" s="15">
        <v>0.22</v>
      </c>
      <c r="AB41" s="15">
        <v>0.26</v>
      </c>
      <c r="AC41" s="15">
        <v>0.16</v>
      </c>
      <c r="AD41" s="15">
        <v>0.18</v>
      </c>
      <c r="AE41" s="15">
        <v>7.0000000000000007E-2</v>
      </c>
      <c r="AF41" s="15">
        <v>0.04</v>
      </c>
      <c r="AG41" s="15">
        <v>0.65</v>
      </c>
      <c r="AH41" s="15">
        <v>0.37</v>
      </c>
      <c r="AI41" s="15">
        <v>0.35</v>
      </c>
      <c r="AJ41" s="15">
        <v>0.27</v>
      </c>
      <c r="AK41" s="15">
        <v>0.33</v>
      </c>
      <c r="AL41" s="15">
        <v>0.2</v>
      </c>
      <c r="AM41" s="15">
        <v>0.11</v>
      </c>
      <c r="AN41" s="15">
        <v>0.37</v>
      </c>
      <c r="AO41" s="15">
        <v>0.61</v>
      </c>
      <c r="AP41" s="15">
        <v>0.38</v>
      </c>
      <c r="AQ41" s="15">
        <v>0.28000000000000003</v>
      </c>
    </row>
  </sheetData>
  <mergeCells count="9">
    <mergeCell ref="B4:F4"/>
    <mergeCell ref="H3:L3"/>
    <mergeCell ref="B3:F3"/>
    <mergeCell ref="B5:F5"/>
    <mergeCell ref="A10:A41"/>
    <mergeCell ref="C8:AQ8"/>
    <mergeCell ref="H5:L5"/>
    <mergeCell ref="B10:B11"/>
    <mergeCell ref="H4:L4"/>
  </mergeCells>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391</v>
      </c>
      <c r="C3" s="18"/>
      <c r="D3" s="18"/>
      <c r="E3" s="18"/>
      <c r="F3" s="18"/>
      <c r="H3" s="18" t="s">
        <v>392</v>
      </c>
      <c r="I3" s="18"/>
      <c r="J3" s="18"/>
      <c r="K3" s="18"/>
      <c r="L3" s="18"/>
    </row>
    <row r="4" spans="1:43" ht="27" customHeight="1" x14ac:dyDescent="0.35">
      <c r="B4" s="18"/>
      <c r="C4" s="18"/>
      <c r="D4" s="18"/>
      <c r="E4" s="18"/>
      <c r="F4" s="18"/>
      <c r="H4" s="18"/>
      <c r="I4" s="18"/>
      <c r="J4" s="18"/>
      <c r="K4" s="18"/>
      <c r="L4" s="18"/>
    </row>
    <row r="5" spans="1:43" ht="12" customHeight="1" x14ac:dyDescent="0.35">
      <c r="B5" s="18" t="s">
        <v>1632</v>
      </c>
      <c r="C5" s="18"/>
      <c r="D5" s="18"/>
      <c r="E5" s="18"/>
      <c r="F5" s="18"/>
      <c r="H5" s="18" t="s">
        <v>1633</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11575</v>
      </c>
      <c r="D10" s="10">
        <v>538</v>
      </c>
      <c r="E10" s="10">
        <v>427</v>
      </c>
      <c r="F10" s="10">
        <v>420</v>
      </c>
      <c r="G10" s="10">
        <v>436</v>
      </c>
      <c r="H10" s="10">
        <v>562</v>
      </c>
      <c r="I10" s="10">
        <v>688</v>
      </c>
      <c r="J10" s="10">
        <v>125</v>
      </c>
      <c r="K10" s="10">
        <v>428</v>
      </c>
      <c r="L10" s="10">
        <v>370</v>
      </c>
      <c r="M10" s="10">
        <v>442</v>
      </c>
      <c r="N10" s="10">
        <v>449</v>
      </c>
      <c r="O10" s="10">
        <v>486</v>
      </c>
      <c r="P10" s="10">
        <v>412</v>
      </c>
      <c r="Q10" s="10">
        <v>454</v>
      </c>
      <c r="R10" s="10">
        <v>156</v>
      </c>
      <c r="S10" s="10">
        <v>435</v>
      </c>
      <c r="T10" s="10">
        <v>422</v>
      </c>
      <c r="U10" s="10">
        <v>212</v>
      </c>
      <c r="V10" s="10">
        <v>340</v>
      </c>
      <c r="W10" s="10">
        <v>172</v>
      </c>
      <c r="X10" s="10">
        <v>443</v>
      </c>
      <c r="Y10" s="10">
        <v>404</v>
      </c>
      <c r="Z10" s="10">
        <v>398</v>
      </c>
      <c r="AA10" s="10">
        <v>415</v>
      </c>
      <c r="AB10" s="10">
        <v>445</v>
      </c>
      <c r="AC10" s="10">
        <v>437</v>
      </c>
      <c r="AD10" s="10">
        <v>416</v>
      </c>
      <c r="AE10" s="10">
        <v>458</v>
      </c>
      <c r="AF10" s="10">
        <v>361</v>
      </c>
      <c r="AG10" s="10">
        <v>528</v>
      </c>
      <c r="AH10" s="10">
        <v>461</v>
      </c>
      <c r="AI10" s="10">
        <v>138</v>
      </c>
      <c r="AJ10" s="10">
        <v>424</v>
      </c>
      <c r="AK10" s="10">
        <v>475</v>
      </c>
      <c r="AL10" s="10">
        <v>521</v>
      </c>
      <c r="AM10" s="10">
        <v>489</v>
      </c>
      <c r="AN10" s="10">
        <v>574</v>
      </c>
      <c r="AO10" s="10">
        <v>588</v>
      </c>
      <c r="AP10" s="10">
        <v>217</v>
      </c>
      <c r="AQ10" s="10">
        <v>539</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1612</v>
      </c>
      <c r="C12" s="12">
        <v>808</v>
      </c>
      <c r="D12" s="12">
        <v>32</v>
      </c>
      <c r="E12" s="12">
        <v>21</v>
      </c>
      <c r="F12" s="12">
        <v>26</v>
      </c>
      <c r="G12" s="12">
        <v>21</v>
      </c>
      <c r="H12" s="12">
        <v>27</v>
      </c>
      <c r="I12" s="12">
        <v>31</v>
      </c>
      <c r="J12" s="12">
        <v>5</v>
      </c>
      <c r="K12" s="12">
        <v>18</v>
      </c>
      <c r="L12" s="12">
        <v>16</v>
      </c>
      <c r="M12" s="12">
        <v>89</v>
      </c>
      <c r="N12" s="12">
        <v>28</v>
      </c>
      <c r="O12" s="12">
        <v>26</v>
      </c>
      <c r="P12" s="12">
        <v>22</v>
      </c>
      <c r="Q12" s="12">
        <v>57</v>
      </c>
      <c r="R12" s="12">
        <v>14</v>
      </c>
      <c r="S12" s="12">
        <v>9</v>
      </c>
      <c r="T12" s="12">
        <v>16</v>
      </c>
      <c r="U12" s="12">
        <v>20</v>
      </c>
      <c r="V12" s="12">
        <v>17</v>
      </c>
      <c r="W12" s="12">
        <v>7</v>
      </c>
      <c r="X12" s="12">
        <v>33</v>
      </c>
      <c r="Y12" s="12">
        <v>29</v>
      </c>
      <c r="Z12" s="12">
        <v>34</v>
      </c>
      <c r="AA12" s="12">
        <v>26</v>
      </c>
      <c r="AB12" s="12">
        <v>14</v>
      </c>
      <c r="AC12" s="12">
        <v>31</v>
      </c>
      <c r="AD12" s="12">
        <v>15</v>
      </c>
      <c r="AE12" s="12">
        <v>51</v>
      </c>
      <c r="AF12" s="12">
        <v>28</v>
      </c>
      <c r="AG12" s="12">
        <v>22</v>
      </c>
      <c r="AH12" s="12">
        <v>20</v>
      </c>
      <c r="AI12" s="12">
        <v>10</v>
      </c>
      <c r="AJ12" s="12">
        <v>35</v>
      </c>
      <c r="AK12" s="12">
        <v>55</v>
      </c>
      <c r="AL12" s="12">
        <v>28</v>
      </c>
      <c r="AM12" s="12">
        <v>40</v>
      </c>
      <c r="AN12" s="12">
        <v>12</v>
      </c>
      <c r="AO12" s="12">
        <v>35</v>
      </c>
      <c r="AP12" s="12">
        <v>40</v>
      </c>
      <c r="AQ12" s="12">
        <v>44</v>
      </c>
    </row>
    <row r="13" spans="1:43" x14ac:dyDescent="0.35">
      <c r="A13" s="19"/>
      <c r="B13" s="13" t="s">
        <v>1613</v>
      </c>
      <c r="C13" s="15">
        <v>7.0000000000000007E-2</v>
      </c>
      <c r="D13" s="15">
        <v>0.06</v>
      </c>
      <c r="E13" s="15">
        <v>0.05</v>
      </c>
      <c r="F13" s="15">
        <v>0.06</v>
      </c>
      <c r="G13" s="15">
        <v>0.05</v>
      </c>
      <c r="H13" s="15">
        <v>0.05</v>
      </c>
      <c r="I13" s="15">
        <v>0.04</v>
      </c>
      <c r="J13" s="15">
        <v>0.04</v>
      </c>
      <c r="K13" s="15">
        <v>0.04</v>
      </c>
      <c r="L13" s="15">
        <v>0.04</v>
      </c>
      <c r="M13" s="15">
        <v>0.2</v>
      </c>
      <c r="N13" s="15">
        <v>0.06</v>
      </c>
      <c r="O13" s="15">
        <v>0.05</v>
      </c>
      <c r="P13" s="15">
        <v>0.05</v>
      </c>
      <c r="Q13" s="15">
        <v>0.13</v>
      </c>
      <c r="R13" s="15">
        <v>0.09</v>
      </c>
      <c r="S13" s="15">
        <v>0.02</v>
      </c>
      <c r="T13" s="15">
        <v>0.04</v>
      </c>
      <c r="U13" s="15">
        <v>0.09</v>
      </c>
      <c r="V13" s="15">
        <v>0.05</v>
      </c>
      <c r="W13" s="15">
        <v>0.04</v>
      </c>
      <c r="X13" s="15">
        <v>7.0000000000000007E-2</v>
      </c>
      <c r="Y13" s="15">
        <v>7.0000000000000007E-2</v>
      </c>
      <c r="Z13" s="15">
        <v>0.09</v>
      </c>
      <c r="AA13" s="15">
        <v>0.06</v>
      </c>
      <c r="AB13" s="15">
        <v>0.03</v>
      </c>
      <c r="AC13" s="15">
        <v>7.0000000000000007E-2</v>
      </c>
      <c r="AD13" s="15">
        <v>0.04</v>
      </c>
      <c r="AE13" s="15">
        <v>0.11</v>
      </c>
      <c r="AF13" s="15">
        <v>0.08</v>
      </c>
      <c r="AG13" s="15">
        <v>0.04</v>
      </c>
      <c r="AH13" s="15">
        <v>0.04</v>
      </c>
      <c r="AI13" s="15">
        <v>0.08</v>
      </c>
      <c r="AJ13" s="15">
        <v>0.08</v>
      </c>
      <c r="AK13" s="15">
        <v>0.11</v>
      </c>
      <c r="AL13" s="15">
        <v>0.05</v>
      </c>
      <c r="AM13" s="15">
        <v>0.08</v>
      </c>
      <c r="AN13" s="15">
        <v>0.02</v>
      </c>
      <c r="AO13" s="15">
        <v>0.06</v>
      </c>
      <c r="AP13" s="15">
        <v>0.19</v>
      </c>
      <c r="AQ13" s="15">
        <v>0.08</v>
      </c>
    </row>
    <row r="14" spans="1:43" x14ac:dyDescent="0.35">
      <c r="A14" s="19"/>
      <c r="B14" s="11" t="s">
        <v>1614</v>
      </c>
      <c r="C14" s="12">
        <v>8450</v>
      </c>
      <c r="D14" s="12">
        <v>395</v>
      </c>
      <c r="E14" s="12">
        <v>350</v>
      </c>
      <c r="F14" s="12">
        <v>316</v>
      </c>
      <c r="G14" s="12">
        <v>391</v>
      </c>
      <c r="H14" s="12">
        <v>433</v>
      </c>
      <c r="I14" s="12">
        <v>534</v>
      </c>
      <c r="J14" s="12">
        <v>100</v>
      </c>
      <c r="K14" s="12">
        <v>337</v>
      </c>
      <c r="L14" s="12">
        <v>297</v>
      </c>
      <c r="M14" s="12">
        <v>253</v>
      </c>
      <c r="N14" s="12">
        <v>328</v>
      </c>
      <c r="O14" s="12">
        <v>372</v>
      </c>
      <c r="P14" s="12">
        <v>323</v>
      </c>
      <c r="Q14" s="12">
        <v>233</v>
      </c>
      <c r="R14" s="12">
        <v>113</v>
      </c>
      <c r="S14" s="12">
        <v>403</v>
      </c>
      <c r="T14" s="12">
        <v>336</v>
      </c>
      <c r="U14" s="12">
        <v>161</v>
      </c>
      <c r="V14" s="12">
        <v>273</v>
      </c>
      <c r="W14" s="12">
        <v>140</v>
      </c>
      <c r="X14" s="12">
        <v>397</v>
      </c>
      <c r="Y14" s="12">
        <v>302</v>
      </c>
      <c r="Z14" s="12">
        <v>289</v>
      </c>
      <c r="AA14" s="12">
        <v>297</v>
      </c>
      <c r="AB14" s="12">
        <v>316</v>
      </c>
      <c r="AC14" s="12">
        <v>336</v>
      </c>
      <c r="AD14" s="12">
        <v>326</v>
      </c>
      <c r="AE14" s="12">
        <v>377</v>
      </c>
      <c r="AF14" s="12">
        <v>318</v>
      </c>
      <c r="AG14" s="12">
        <v>162</v>
      </c>
      <c r="AH14" s="12">
        <v>271</v>
      </c>
      <c r="AI14" s="12">
        <v>79</v>
      </c>
      <c r="AJ14" s="12">
        <v>274</v>
      </c>
      <c r="AK14" s="12">
        <v>266</v>
      </c>
      <c r="AL14" s="12">
        <v>390</v>
      </c>
      <c r="AM14" s="12">
        <v>397</v>
      </c>
      <c r="AN14" s="12">
        <v>349</v>
      </c>
      <c r="AO14" s="12">
        <v>196</v>
      </c>
      <c r="AP14" s="12">
        <v>94</v>
      </c>
      <c r="AQ14" s="12">
        <v>344</v>
      </c>
    </row>
    <row r="15" spans="1:43" x14ac:dyDescent="0.35">
      <c r="A15" s="19"/>
      <c r="B15" s="13" t="s">
        <v>1615</v>
      </c>
      <c r="C15" s="15">
        <v>0.73</v>
      </c>
      <c r="D15" s="15">
        <v>0.74</v>
      </c>
      <c r="E15" s="15">
        <v>0.82000000000000006</v>
      </c>
      <c r="F15" s="15">
        <v>0.75</v>
      </c>
      <c r="G15" s="15">
        <v>0.9</v>
      </c>
      <c r="H15" s="15">
        <v>0.77</v>
      </c>
      <c r="I15" s="15">
        <v>0.78</v>
      </c>
      <c r="J15" s="15">
        <v>0.8</v>
      </c>
      <c r="K15" s="15">
        <v>0.79</v>
      </c>
      <c r="L15" s="15">
        <v>0.81</v>
      </c>
      <c r="M15" s="15">
        <v>0.57000000000000006</v>
      </c>
      <c r="N15" s="15">
        <v>0.73</v>
      </c>
      <c r="O15" s="15">
        <v>0.77</v>
      </c>
      <c r="P15" s="15">
        <v>0.79</v>
      </c>
      <c r="Q15" s="15">
        <v>0.51</v>
      </c>
      <c r="R15" s="15">
        <v>0.72</v>
      </c>
      <c r="S15" s="15">
        <v>0.93</v>
      </c>
      <c r="T15" s="15">
        <v>0.8</v>
      </c>
      <c r="U15" s="15">
        <v>0.76</v>
      </c>
      <c r="V15" s="15">
        <v>0.8</v>
      </c>
      <c r="W15" s="15">
        <v>0.82000000000000006</v>
      </c>
      <c r="X15" s="15">
        <v>0.9</v>
      </c>
      <c r="Y15" s="15">
        <v>0.75</v>
      </c>
      <c r="Z15" s="15">
        <v>0.72</v>
      </c>
      <c r="AA15" s="15">
        <v>0.72</v>
      </c>
      <c r="AB15" s="15">
        <v>0.71</v>
      </c>
      <c r="AC15" s="15">
        <v>0.77</v>
      </c>
      <c r="AD15" s="15">
        <v>0.78</v>
      </c>
      <c r="AE15" s="15">
        <v>0.82000000000000006</v>
      </c>
      <c r="AF15" s="15">
        <v>0.88</v>
      </c>
      <c r="AG15" s="15">
        <v>0.31</v>
      </c>
      <c r="AH15" s="15">
        <v>0.59</v>
      </c>
      <c r="AI15" s="15">
        <v>0.57000000000000006</v>
      </c>
      <c r="AJ15" s="15">
        <v>0.65</v>
      </c>
      <c r="AK15" s="15">
        <v>0.56000000000000005</v>
      </c>
      <c r="AL15" s="15">
        <v>0.75</v>
      </c>
      <c r="AM15" s="15">
        <v>0.81</v>
      </c>
      <c r="AN15" s="15">
        <v>0.61</v>
      </c>
      <c r="AO15" s="15">
        <v>0.33</v>
      </c>
      <c r="AP15" s="15">
        <v>0.43</v>
      </c>
      <c r="AQ15" s="15">
        <v>0.64</v>
      </c>
    </row>
    <row r="16" spans="1:43" x14ac:dyDescent="0.35">
      <c r="A16" s="19"/>
      <c r="B16" s="11" t="s">
        <v>1616</v>
      </c>
      <c r="C16" s="12">
        <v>2316</v>
      </c>
      <c r="D16" s="12">
        <v>110</v>
      </c>
      <c r="E16" s="12">
        <v>56</v>
      </c>
      <c r="F16" s="12">
        <v>78</v>
      </c>
      <c r="G16" s="12">
        <v>24</v>
      </c>
      <c r="H16" s="12">
        <v>103</v>
      </c>
      <c r="I16" s="12">
        <v>123</v>
      </c>
      <c r="J16" s="12">
        <v>20</v>
      </c>
      <c r="K16" s="12">
        <v>74</v>
      </c>
      <c r="L16" s="12">
        <v>57</v>
      </c>
      <c r="M16" s="12">
        <v>101</v>
      </c>
      <c r="N16" s="12">
        <v>92</v>
      </c>
      <c r="O16" s="12">
        <v>87</v>
      </c>
      <c r="P16" s="12">
        <v>67</v>
      </c>
      <c r="Q16" s="12">
        <v>164</v>
      </c>
      <c r="R16" s="12">
        <v>29</v>
      </c>
      <c r="S16" s="12">
        <v>23</v>
      </c>
      <c r="T16" s="12">
        <v>70</v>
      </c>
      <c r="U16" s="12">
        <v>31</v>
      </c>
      <c r="V16" s="12">
        <v>51</v>
      </c>
      <c r="W16" s="12">
        <v>25</v>
      </c>
      <c r="X16" s="12">
        <v>13</v>
      </c>
      <c r="Y16" s="12">
        <v>73</v>
      </c>
      <c r="Z16" s="12">
        <v>75</v>
      </c>
      <c r="AA16" s="12">
        <v>92</v>
      </c>
      <c r="AB16" s="12">
        <v>115</v>
      </c>
      <c r="AC16" s="12">
        <v>71</v>
      </c>
      <c r="AD16" s="12">
        <v>75</v>
      </c>
      <c r="AE16" s="12">
        <v>30</v>
      </c>
      <c r="AF16" s="12">
        <v>16</v>
      </c>
      <c r="AG16" s="12">
        <v>343</v>
      </c>
      <c r="AH16" s="12">
        <v>170</v>
      </c>
      <c r="AI16" s="12">
        <v>48</v>
      </c>
      <c r="AJ16" s="12">
        <v>114</v>
      </c>
      <c r="AK16" s="12">
        <v>155</v>
      </c>
      <c r="AL16" s="12">
        <v>103</v>
      </c>
      <c r="AM16" s="12">
        <v>52</v>
      </c>
      <c r="AN16" s="12">
        <v>213</v>
      </c>
      <c r="AO16" s="12">
        <v>356</v>
      </c>
      <c r="AP16" s="12">
        <v>82</v>
      </c>
      <c r="AQ16" s="12">
        <v>151</v>
      </c>
    </row>
    <row r="17" spans="1:43" x14ac:dyDescent="0.35">
      <c r="A17" s="19"/>
      <c r="B17" s="13" t="s">
        <v>1617</v>
      </c>
      <c r="C17" s="15">
        <v>0.2</v>
      </c>
      <c r="D17" s="15">
        <v>0.2</v>
      </c>
      <c r="E17" s="15">
        <v>0.13</v>
      </c>
      <c r="F17" s="15">
        <v>0.19</v>
      </c>
      <c r="G17" s="15">
        <v>0.05</v>
      </c>
      <c r="H17" s="15">
        <v>0.18</v>
      </c>
      <c r="I17" s="15">
        <v>0.18</v>
      </c>
      <c r="J17" s="15">
        <v>0.16</v>
      </c>
      <c r="K17" s="15">
        <v>0.17</v>
      </c>
      <c r="L17" s="15">
        <v>0.15</v>
      </c>
      <c r="M17" s="15">
        <v>0.23</v>
      </c>
      <c r="N17" s="15">
        <v>0.21</v>
      </c>
      <c r="O17" s="15">
        <v>0.18</v>
      </c>
      <c r="P17" s="15">
        <v>0.16</v>
      </c>
      <c r="Q17" s="15">
        <v>0.36</v>
      </c>
      <c r="R17" s="15">
        <v>0.19</v>
      </c>
      <c r="S17" s="15">
        <v>0.05</v>
      </c>
      <c r="T17" s="15">
        <v>0.16</v>
      </c>
      <c r="U17" s="15">
        <v>0.15</v>
      </c>
      <c r="V17" s="15">
        <v>0.15</v>
      </c>
      <c r="W17" s="15">
        <v>0.14000000000000001</v>
      </c>
      <c r="X17" s="15">
        <v>0.03</v>
      </c>
      <c r="Y17" s="15">
        <v>0.18</v>
      </c>
      <c r="Z17" s="15">
        <v>0.19</v>
      </c>
      <c r="AA17" s="15">
        <v>0.22</v>
      </c>
      <c r="AB17" s="15">
        <v>0.26</v>
      </c>
      <c r="AC17" s="15">
        <v>0.16</v>
      </c>
      <c r="AD17" s="15">
        <v>0.18</v>
      </c>
      <c r="AE17" s="15">
        <v>7.0000000000000007E-2</v>
      </c>
      <c r="AF17" s="15">
        <v>0.04</v>
      </c>
      <c r="AG17" s="15">
        <v>0.65</v>
      </c>
      <c r="AH17" s="15">
        <v>0.37</v>
      </c>
      <c r="AI17" s="15">
        <v>0.35</v>
      </c>
      <c r="AJ17" s="15">
        <v>0.27</v>
      </c>
      <c r="AK17" s="15">
        <v>0.33</v>
      </c>
      <c r="AL17" s="15">
        <v>0.2</v>
      </c>
      <c r="AM17" s="15">
        <v>0.11</v>
      </c>
      <c r="AN17" s="15">
        <v>0.37</v>
      </c>
      <c r="AO17" s="15">
        <v>0.61</v>
      </c>
      <c r="AP17" s="15">
        <v>0.38</v>
      </c>
      <c r="AQ17" s="15">
        <v>0.28000000000000003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393</v>
      </c>
      <c r="C3" s="18"/>
      <c r="D3" s="18"/>
      <c r="E3" s="18"/>
      <c r="F3" s="18"/>
      <c r="H3" s="18" t="s">
        <v>394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HYPERLINK("#Content!A199","&lt;&lt;Back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1636</v>
      </c>
      <c r="C12" s="12">
        <v>8462</v>
      </c>
      <c r="D12" s="12">
        <v>361</v>
      </c>
      <c r="E12" s="12">
        <v>318</v>
      </c>
      <c r="F12" s="12">
        <v>450</v>
      </c>
      <c r="G12" s="12">
        <v>280</v>
      </c>
      <c r="H12" s="12">
        <v>405</v>
      </c>
      <c r="I12" s="12">
        <v>477</v>
      </c>
      <c r="J12" s="12">
        <v>72</v>
      </c>
      <c r="K12" s="12">
        <v>343</v>
      </c>
      <c r="L12" s="12">
        <v>337</v>
      </c>
      <c r="M12" s="12">
        <v>317</v>
      </c>
      <c r="N12" s="12">
        <v>413</v>
      </c>
      <c r="O12" s="12">
        <v>293</v>
      </c>
      <c r="P12" s="12">
        <v>475</v>
      </c>
      <c r="Q12" s="12">
        <v>148</v>
      </c>
      <c r="R12" s="12">
        <v>163</v>
      </c>
      <c r="S12" s="12">
        <v>312</v>
      </c>
      <c r="T12" s="12">
        <v>365</v>
      </c>
      <c r="U12" s="12">
        <v>159</v>
      </c>
      <c r="V12" s="12">
        <v>293</v>
      </c>
      <c r="W12" s="12">
        <v>258</v>
      </c>
      <c r="X12" s="12">
        <v>342</v>
      </c>
      <c r="Y12" s="12">
        <v>436</v>
      </c>
      <c r="Z12" s="12">
        <v>400</v>
      </c>
      <c r="AA12" s="12">
        <v>441</v>
      </c>
      <c r="AB12" s="12">
        <v>456</v>
      </c>
      <c r="AC12" s="12">
        <v>568</v>
      </c>
      <c r="AD12" s="12">
        <v>452</v>
      </c>
      <c r="AE12" s="12">
        <v>351</v>
      </c>
      <c r="AF12" s="12">
        <v>151</v>
      </c>
      <c r="AG12" s="12">
        <v>23</v>
      </c>
      <c r="AH12" s="12">
        <v>484</v>
      </c>
      <c r="AI12" s="12">
        <v>13</v>
      </c>
      <c r="AJ12" s="12">
        <v>419</v>
      </c>
      <c r="AK12" s="12">
        <v>354</v>
      </c>
      <c r="AL12" s="12">
        <v>573</v>
      </c>
      <c r="AM12" s="12">
        <v>243</v>
      </c>
      <c r="AN12" s="12">
        <v>553</v>
      </c>
      <c r="AO12" s="12">
        <v>490</v>
      </c>
      <c r="AP12" s="12">
        <v>142</v>
      </c>
      <c r="AQ12" s="12">
        <v>392</v>
      </c>
    </row>
    <row r="13" spans="1:43" x14ac:dyDescent="0.35">
      <c r="A13" s="19"/>
      <c r="B13" s="13" t="s">
        <v>1637</v>
      </c>
      <c r="C13" s="15">
        <v>0.32</v>
      </c>
      <c r="D13" s="15">
        <v>0.36</v>
      </c>
      <c r="E13" s="15">
        <v>0.31</v>
      </c>
      <c r="F13" s="15">
        <v>0.41</v>
      </c>
      <c r="G13" s="15">
        <v>0.28000000000000003</v>
      </c>
      <c r="H13" s="15">
        <v>0.33</v>
      </c>
      <c r="I13" s="15">
        <v>0.32</v>
      </c>
      <c r="J13" s="15">
        <v>0.24</v>
      </c>
      <c r="K13" s="15">
        <v>0.34</v>
      </c>
      <c r="L13" s="15">
        <v>0.34</v>
      </c>
      <c r="M13" s="15">
        <v>0.31</v>
      </c>
      <c r="N13" s="15">
        <v>0.41</v>
      </c>
      <c r="O13" s="15">
        <v>0.28999999999999998</v>
      </c>
      <c r="P13" s="15">
        <v>0.47</v>
      </c>
      <c r="Q13" s="15">
        <v>0.15</v>
      </c>
      <c r="R13" s="15">
        <v>0.32</v>
      </c>
      <c r="S13" s="15">
        <v>0.31</v>
      </c>
      <c r="T13" s="15">
        <v>0.36</v>
      </c>
      <c r="U13" s="15">
        <v>0.31</v>
      </c>
      <c r="V13" s="15">
        <v>0.28999999999999998</v>
      </c>
      <c r="W13" s="15">
        <v>0.51</v>
      </c>
      <c r="X13" s="15">
        <v>0.34</v>
      </c>
      <c r="Y13" s="15">
        <v>0.43</v>
      </c>
      <c r="Z13" s="15">
        <v>0.39</v>
      </c>
      <c r="AA13" s="15">
        <v>0.43</v>
      </c>
      <c r="AB13" s="15">
        <v>0.43</v>
      </c>
      <c r="AC13" s="15">
        <v>0.57000000000000006</v>
      </c>
      <c r="AD13" s="15">
        <v>0.45</v>
      </c>
      <c r="AE13" s="15">
        <v>0.35</v>
      </c>
      <c r="AF13" s="15">
        <v>0.15</v>
      </c>
      <c r="AG13" s="15">
        <v>0.02</v>
      </c>
      <c r="AH13" s="15">
        <v>0.48</v>
      </c>
      <c r="AI13" s="15">
        <v>0.03</v>
      </c>
      <c r="AJ13" s="15">
        <v>0.4</v>
      </c>
      <c r="AK13" s="15">
        <v>0.35</v>
      </c>
      <c r="AL13" s="15">
        <v>0.57000000000000006</v>
      </c>
      <c r="AM13" s="15">
        <v>0.23</v>
      </c>
      <c r="AN13" s="15">
        <v>0.55000000000000004</v>
      </c>
      <c r="AO13" s="15">
        <v>0.49</v>
      </c>
      <c r="AP13" s="15">
        <v>0.27</v>
      </c>
      <c r="AQ13" s="15">
        <v>0.39</v>
      </c>
    </row>
    <row r="14" spans="1:43" ht="21.5" x14ac:dyDescent="0.35">
      <c r="A14" s="19"/>
      <c r="B14" s="11" t="s">
        <v>1638</v>
      </c>
      <c r="C14" s="12">
        <v>10767</v>
      </c>
      <c r="D14" s="12">
        <v>329</v>
      </c>
      <c r="E14" s="12">
        <v>246</v>
      </c>
      <c r="F14" s="12">
        <v>376</v>
      </c>
      <c r="G14" s="12">
        <v>417</v>
      </c>
      <c r="H14" s="12">
        <v>500</v>
      </c>
      <c r="I14" s="12">
        <v>597</v>
      </c>
      <c r="J14" s="12">
        <v>97</v>
      </c>
      <c r="K14" s="12">
        <v>267</v>
      </c>
      <c r="L14" s="12">
        <v>179</v>
      </c>
      <c r="M14" s="12">
        <v>197</v>
      </c>
      <c r="N14" s="12">
        <v>306</v>
      </c>
      <c r="O14" s="12">
        <v>507</v>
      </c>
      <c r="P14" s="12">
        <v>263</v>
      </c>
      <c r="Q14" s="12">
        <v>671</v>
      </c>
      <c r="R14" s="12">
        <v>174</v>
      </c>
      <c r="S14" s="12">
        <v>353</v>
      </c>
      <c r="T14" s="12">
        <v>268</v>
      </c>
      <c r="U14" s="12">
        <v>256</v>
      </c>
      <c r="V14" s="12">
        <v>360</v>
      </c>
      <c r="W14" s="12">
        <v>195</v>
      </c>
      <c r="X14" s="12">
        <v>420</v>
      </c>
      <c r="Y14" s="12">
        <v>236</v>
      </c>
      <c r="Z14" s="12">
        <v>358</v>
      </c>
      <c r="AA14" s="12">
        <v>327</v>
      </c>
      <c r="AB14" s="12">
        <v>238</v>
      </c>
      <c r="AC14" s="12">
        <v>225</v>
      </c>
      <c r="AD14" s="12">
        <v>381</v>
      </c>
      <c r="AE14" s="12">
        <v>356</v>
      </c>
      <c r="AF14" s="12">
        <v>565</v>
      </c>
      <c r="AG14" s="12">
        <v>689</v>
      </c>
      <c r="AH14" s="12">
        <v>227</v>
      </c>
      <c r="AI14" s="12">
        <v>362</v>
      </c>
      <c r="AJ14" s="12">
        <v>327</v>
      </c>
      <c r="AK14" s="12">
        <v>163</v>
      </c>
      <c r="AL14" s="12">
        <v>150</v>
      </c>
      <c r="AM14" s="12">
        <v>451</v>
      </c>
      <c r="AN14" s="12">
        <v>173</v>
      </c>
      <c r="AO14" s="12">
        <v>253</v>
      </c>
      <c r="AP14" s="12">
        <v>322</v>
      </c>
      <c r="AQ14" s="12">
        <v>197</v>
      </c>
    </row>
    <row r="15" spans="1:43" x14ac:dyDescent="0.35">
      <c r="A15" s="19"/>
      <c r="B15" s="13" t="s">
        <v>1639</v>
      </c>
      <c r="C15" s="15">
        <v>0.41</v>
      </c>
      <c r="D15" s="15">
        <v>0.32</v>
      </c>
      <c r="E15" s="15">
        <v>0.24</v>
      </c>
      <c r="F15" s="15">
        <v>0.34</v>
      </c>
      <c r="G15" s="15">
        <v>0.41</v>
      </c>
      <c r="H15" s="15">
        <v>0.41</v>
      </c>
      <c r="I15" s="15">
        <v>0.39</v>
      </c>
      <c r="J15" s="15">
        <v>0.33</v>
      </c>
      <c r="K15" s="15">
        <v>0.27</v>
      </c>
      <c r="L15" s="15">
        <v>0.18</v>
      </c>
      <c r="M15" s="15">
        <v>0.2</v>
      </c>
      <c r="N15" s="15">
        <v>0.31</v>
      </c>
      <c r="O15" s="15">
        <v>0.51</v>
      </c>
      <c r="P15" s="15">
        <v>0.26</v>
      </c>
      <c r="Q15" s="15">
        <v>0.65</v>
      </c>
      <c r="R15" s="15">
        <v>0.35</v>
      </c>
      <c r="S15" s="15">
        <v>0.35</v>
      </c>
      <c r="T15" s="15">
        <v>0.27</v>
      </c>
      <c r="U15" s="15">
        <v>0.51</v>
      </c>
      <c r="V15" s="15">
        <v>0.35</v>
      </c>
      <c r="W15" s="15">
        <v>0.38</v>
      </c>
      <c r="X15" s="15">
        <v>0.42</v>
      </c>
      <c r="Y15" s="15">
        <v>0.24</v>
      </c>
      <c r="Z15" s="15">
        <v>0.35</v>
      </c>
      <c r="AA15" s="15">
        <v>0.32</v>
      </c>
      <c r="AB15" s="15">
        <v>0.23</v>
      </c>
      <c r="AC15" s="15">
        <v>0.22</v>
      </c>
      <c r="AD15" s="15">
        <v>0.38</v>
      </c>
      <c r="AE15" s="15">
        <v>0.35</v>
      </c>
      <c r="AF15" s="15">
        <v>0.54</v>
      </c>
      <c r="AG15" s="15">
        <v>0.67</v>
      </c>
      <c r="AH15" s="15">
        <v>0.22</v>
      </c>
      <c r="AI15" s="15">
        <v>0.69000000000000006</v>
      </c>
      <c r="AJ15" s="15">
        <v>0.32</v>
      </c>
      <c r="AK15" s="15">
        <v>0.16</v>
      </c>
      <c r="AL15" s="15">
        <v>0.15</v>
      </c>
      <c r="AM15" s="15">
        <v>0.44</v>
      </c>
      <c r="AN15" s="15">
        <v>0.17</v>
      </c>
      <c r="AO15" s="15">
        <v>0.25</v>
      </c>
      <c r="AP15" s="15">
        <v>0.61</v>
      </c>
      <c r="AQ15" s="15">
        <v>0.2</v>
      </c>
    </row>
    <row r="16" spans="1:43" x14ac:dyDescent="0.35">
      <c r="A16" s="19"/>
      <c r="B16" s="11" t="s">
        <v>1640</v>
      </c>
      <c r="C16" s="12">
        <v>7208</v>
      </c>
      <c r="D16" s="12">
        <v>323</v>
      </c>
      <c r="E16" s="12">
        <v>466</v>
      </c>
      <c r="F16" s="12">
        <v>277</v>
      </c>
      <c r="G16" s="12">
        <v>309</v>
      </c>
      <c r="H16" s="12">
        <v>316</v>
      </c>
      <c r="I16" s="12">
        <v>442</v>
      </c>
      <c r="J16" s="12">
        <v>126</v>
      </c>
      <c r="K16" s="12">
        <v>391</v>
      </c>
      <c r="L16" s="12">
        <v>486</v>
      </c>
      <c r="M16" s="12">
        <v>495</v>
      </c>
      <c r="N16" s="12">
        <v>283</v>
      </c>
      <c r="O16" s="12">
        <v>201</v>
      </c>
      <c r="P16" s="12">
        <v>265</v>
      </c>
      <c r="Q16" s="12">
        <v>207</v>
      </c>
      <c r="R16" s="12">
        <v>168</v>
      </c>
      <c r="S16" s="12">
        <v>337</v>
      </c>
      <c r="T16" s="12">
        <v>373</v>
      </c>
      <c r="U16" s="12">
        <v>90</v>
      </c>
      <c r="V16" s="12">
        <v>362</v>
      </c>
      <c r="W16" s="12">
        <v>55</v>
      </c>
      <c r="X16" s="12">
        <v>247</v>
      </c>
      <c r="Y16" s="12">
        <v>331</v>
      </c>
      <c r="Z16" s="12">
        <v>274</v>
      </c>
      <c r="AA16" s="12">
        <v>263</v>
      </c>
      <c r="AB16" s="12">
        <v>356</v>
      </c>
      <c r="AC16" s="12">
        <v>210</v>
      </c>
      <c r="AD16" s="12">
        <v>172</v>
      </c>
      <c r="AE16" s="12">
        <v>306</v>
      </c>
      <c r="AF16" s="12">
        <v>327</v>
      </c>
      <c r="AG16" s="12">
        <v>323</v>
      </c>
      <c r="AH16" s="12">
        <v>302</v>
      </c>
      <c r="AI16" s="12">
        <v>147</v>
      </c>
      <c r="AJ16" s="12">
        <v>291</v>
      </c>
      <c r="AK16" s="12">
        <v>490</v>
      </c>
      <c r="AL16" s="12">
        <v>288</v>
      </c>
      <c r="AM16" s="12">
        <v>344</v>
      </c>
      <c r="AN16" s="12">
        <v>277</v>
      </c>
      <c r="AO16" s="12">
        <v>263</v>
      </c>
      <c r="AP16" s="12">
        <v>61</v>
      </c>
      <c r="AQ16" s="12">
        <v>413</v>
      </c>
    </row>
    <row r="17" spans="1:43" x14ac:dyDescent="0.35">
      <c r="A17" s="19"/>
      <c r="B17" s="13" t="s">
        <v>1641</v>
      </c>
      <c r="C17" s="15">
        <v>0.27</v>
      </c>
      <c r="D17" s="15">
        <v>0.32</v>
      </c>
      <c r="E17" s="15">
        <v>0.45</v>
      </c>
      <c r="F17" s="15">
        <v>0.25</v>
      </c>
      <c r="G17" s="15">
        <v>0.31</v>
      </c>
      <c r="H17" s="15">
        <v>0.26</v>
      </c>
      <c r="I17" s="15">
        <v>0.28999999999999998</v>
      </c>
      <c r="J17" s="15">
        <v>0.43</v>
      </c>
      <c r="K17" s="15">
        <v>0.39</v>
      </c>
      <c r="L17" s="15">
        <v>0.48</v>
      </c>
      <c r="M17" s="15">
        <v>0.49</v>
      </c>
      <c r="N17" s="15">
        <v>0.28000000000000003</v>
      </c>
      <c r="O17" s="15">
        <v>0.2</v>
      </c>
      <c r="P17" s="15">
        <v>0.27</v>
      </c>
      <c r="Q17" s="15">
        <v>0.2</v>
      </c>
      <c r="R17" s="15">
        <v>0.33</v>
      </c>
      <c r="S17" s="15">
        <v>0.34</v>
      </c>
      <c r="T17" s="15">
        <v>0.37</v>
      </c>
      <c r="U17" s="15">
        <v>0.18</v>
      </c>
      <c r="V17" s="15">
        <v>0.36</v>
      </c>
      <c r="W17" s="15">
        <v>0.11</v>
      </c>
      <c r="X17" s="15">
        <v>0.24</v>
      </c>
      <c r="Y17" s="15">
        <v>0.33</v>
      </c>
      <c r="Z17" s="15">
        <v>0.26</v>
      </c>
      <c r="AA17" s="15">
        <v>0.25</v>
      </c>
      <c r="AB17" s="15">
        <v>0.34</v>
      </c>
      <c r="AC17" s="15">
        <v>0.21</v>
      </c>
      <c r="AD17" s="15">
        <v>0.17</v>
      </c>
      <c r="AE17" s="15">
        <v>0.3</v>
      </c>
      <c r="AF17" s="15">
        <v>0.31</v>
      </c>
      <c r="AG17" s="15">
        <v>0.31</v>
      </c>
      <c r="AH17" s="15">
        <v>0.3</v>
      </c>
      <c r="AI17" s="15">
        <v>0.28000000000000003</v>
      </c>
      <c r="AJ17" s="15">
        <v>0.28000000000000003</v>
      </c>
      <c r="AK17" s="15">
        <v>0.49</v>
      </c>
      <c r="AL17" s="15">
        <v>0.28000000000000003</v>
      </c>
      <c r="AM17" s="15">
        <v>0.33</v>
      </c>
      <c r="AN17" s="15">
        <v>0.28000000000000003</v>
      </c>
      <c r="AO17" s="15">
        <v>0.26</v>
      </c>
      <c r="AP17" s="15">
        <v>0.12</v>
      </c>
      <c r="AQ17" s="15">
        <v>0.41</v>
      </c>
    </row>
    <row r="18" spans="1:43" x14ac:dyDescent="0.35">
      <c r="A18" s="19"/>
      <c r="B18" s="11" t="s">
        <v>485</v>
      </c>
      <c r="C18" s="12">
        <v>8</v>
      </c>
      <c r="D18" s="12">
        <v>0</v>
      </c>
      <c r="E18" s="12">
        <v>0</v>
      </c>
      <c r="F18" s="12">
        <v>0</v>
      </c>
      <c r="G18" s="12">
        <v>0</v>
      </c>
      <c r="H18" s="12">
        <v>0</v>
      </c>
      <c r="I18" s="12">
        <v>0</v>
      </c>
      <c r="J18" s="12">
        <v>0</v>
      </c>
      <c r="K18" s="12">
        <v>0</v>
      </c>
      <c r="L18" s="12">
        <v>0</v>
      </c>
      <c r="M18" s="12">
        <v>1</v>
      </c>
      <c r="N18" s="12">
        <v>1</v>
      </c>
      <c r="O18" s="12">
        <v>0</v>
      </c>
      <c r="P18" s="12">
        <v>0</v>
      </c>
      <c r="Q18" s="12">
        <v>1</v>
      </c>
      <c r="R18" s="12">
        <v>0</v>
      </c>
      <c r="S18" s="12">
        <v>0</v>
      </c>
      <c r="T18" s="12">
        <v>0</v>
      </c>
      <c r="U18" s="12">
        <v>0</v>
      </c>
      <c r="V18" s="12">
        <v>0</v>
      </c>
      <c r="W18" s="12">
        <v>0</v>
      </c>
      <c r="X18" s="12">
        <v>0</v>
      </c>
      <c r="Y18" s="12">
        <v>0</v>
      </c>
      <c r="Z18" s="12">
        <v>0</v>
      </c>
      <c r="AA18" s="12">
        <v>1</v>
      </c>
      <c r="AB18" s="12">
        <v>0</v>
      </c>
      <c r="AC18" s="12">
        <v>0</v>
      </c>
      <c r="AD18" s="12">
        <v>0</v>
      </c>
      <c r="AE18" s="12">
        <v>0</v>
      </c>
      <c r="AF18" s="12">
        <v>0</v>
      </c>
      <c r="AG18" s="12">
        <v>1</v>
      </c>
      <c r="AH18" s="12">
        <v>0</v>
      </c>
      <c r="AI18" s="12">
        <v>0</v>
      </c>
      <c r="AJ18" s="12">
        <v>0</v>
      </c>
      <c r="AK18" s="12">
        <v>0</v>
      </c>
      <c r="AL18" s="12">
        <v>1</v>
      </c>
      <c r="AM18" s="12">
        <v>2</v>
      </c>
      <c r="AN18" s="12">
        <v>0</v>
      </c>
      <c r="AO18" s="12">
        <v>0</v>
      </c>
      <c r="AP18" s="12">
        <v>0</v>
      </c>
      <c r="AQ18" s="12">
        <v>0</v>
      </c>
    </row>
    <row r="19" spans="1:43" x14ac:dyDescent="0.35">
      <c r="A19" s="19"/>
      <c r="B19" s="13" t="s">
        <v>486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Q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395</v>
      </c>
      <c r="C3" s="18"/>
      <c r="D3" s="18"/>
      <c r="E3" s="18"/>
      <c r="F3" s="18"/>
      <c r="H3" s="18" t="s">
        <v>396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1642</v>
      </c>
      <c r="C12" s="12">
        <v>6613</v>
      </c>
      <c r="D12" s="12">
        <v>295</v>
      </c>
      <c r="E12" s="12">
        <v>161</v>
      </c>
      <c r="F12" s="12">
        <v>266</v>
      </c>
      <c r="G12" s="12">
        <v>290</v>
      </c>
      <c r="H12" s="12">
        <v>436</v>
      </c>
      <c r="I12" s="12">
        <v>557</v>
      </c>
      <c r="J12" s="12">
        <v>121</v>
      </c>
      <c r="K12" s="12">
        <v>293</v>
      </c>
      <c r="L12" s="12">
        <v>159</v>
      </c>
      <c r="M12" s="12">
        <v>167</v>
      </c>
      <c r="N12" s="12">
        <v>150</v>
      </c>
      <c r="O12" s="12">
        <v>334</v>
      </c>
      <c r="P12" s="12">
        <v>191</v>
      </c>
      <c r="Q12" s="12">
        <v>170</v>
      </c>
      <c r="R12" s="12">
        <v>74</v>
      </c>
      <c r="S12" s="12">
        <v>328</v>
      </c>
      <c r="T12" s="12">
        <v>298</v>
      </c>
      <c r="U12" s="12">
        <v>81</v>
      </c>
      <c r="V12" s="12">
        <v>216</v>
      </c>
      <c r="W12" s="12">
        <v>73</v>
      </c>
      <c r="X12" s="12">
        <v>312</v>
      </c>
      <c r="Y12" s="12">
        <v>214</v>
      </c>
      <c r="Z12" s="12">
        <v>192</v>
      </c>
      <c r="AA12" s="12">
        <v>200</v>
      </c>
      <c r="AB12" s="12">
        <v>125</v>
      </c>
      <c r="AC12" s="12">
        <v>175</v>
      </c>
      <c r="AD12" s="12">
        <v>145</v>
      </c>
      <c r="AE12" s="12">
        <v>333</v>
      </c>
      <c r="AF12" s="12">
        <v>408</v>
      </c>
      <c r="AG12" s="12">
        <v>125</v>
      </c>
      <c r="AH12" s="12">
        <v>86</v>
      </c>
      <c r="AI12" s="12">
        <v>6</v>
      </c>
      <c r="AJ12" s="12">
        <v>129</v>
      </c>
      <c r="AK12" s="12">
        <v>70</v>
      </c>
      <c r="AL12" s="12">
        <v>279</v>
      </c>
      <c r="AM12" s="12">
        <v>297</v>
      </c>
      <c r="AN12" s="12">
        <v>95</v>
      </c>
      <c r="AO12" s="12">
        <v>29</v>
      </c>
      <c r="AP12" s="12">
        <v>83</v>
      </c>
      <c r="AQ12" s="12">
        <v>93</v>
      </c>
    </row>
    <row r="13" spans="1:43" x14ac:dyDescent="0.35">
      <c r="A13" s="19"/>
      <c r="B13" s="13" t="s">
        <v>1642</v>
      </c>
      <c r="C13" s="15">
        <v>0.25</v>
      </c>
      <c r="D13" s="15">
        <v>0.28999999999999998</v>
      </c>
      <c r="E13" s="15">
        <v>0.16</v>
      </c>
      <c r="F13" s="15">
        <v>0.24</v>
      </c>
      <c r="G13" s="15">
        <v>0.28999999999999998</v>
      </c>
      <c r="H13" s="15">
        <v>0.36</v>
      </c>
      <c r="I13" s="15">
        <v>0.37</v>
      </c>
      <c r="J13" s="15">
        <v>0.41</v>
      </c>
      <c r="K13" s="15">
        <v>0.28999999999999998</v>
      </c>
      <c r="L13" s="15">
        <v>0.16</v>
      </c>
      <c r="M13" s="15">
        <v>0.16</v>
      </c>
      <c r="N13" s="15">
        <v>0.15</v>
      </c>
      <c r="O13" s="15">
        <v>0.34</v>
      </c>
      <c r="P13" s="15">
        <v>0.19</v>
      </c>
      <c r="Q13" s="15">
        <v>0.17</v>
      </c>
      <c r="R13" s="15">
        <v>0.15</v>
      </c>
      <c r="S13" s="15">
        <v>0.33</v>
      </c>
      <c r="T13" s="15">
        <v>0.3</v>
      </c>
      <c r="U13" s="15">
        <v>0.16</v>
      </c>
      <c r="V13" s="15">
        <v>0.21</v>
      </c>
      <c r="W13" s="15">
        <v>0.14000000000000001</v>
      </c>
      <c r="X13" s="15">
        <v>0.31</v>
      </c>
      <c r="Y13" s="15">
        <v>0.21</v>
      </c>
      <c r="Z13" s="15">
        <v>0.19</v>
      </c>
      <c r="AA13" s="15">
        <v>0.19</v>
      </c>
      <c r="AB13" s="15">
        <v>0.12</v>
      </c>
      <c r="AC13" s="15">
        <v>0.17</v>
      </c>
      <c r="AD13" s="15">
        <v>0.14000000000000001</v>
      </c>
      <c r="AE13" s="15">
        <v>0.33</v>
      </c>
      <c r="AF13" s="15">
        <v>0.39</v>
      </c>
      <c r="AG13" s="15">
        <v>0.12</v>
      </c>
      <c r="AH13" s="15">
        <v>0.09</v>
      </c>
      <c r="AI13" s="15">
        <v>0.01</v>
      </c>
      <c r="AJ13" s="15">
        <v>0.13</v>
      </c>
      <c r="AK13" s="15">
        <v>7.0000000000000007E-2</v>
      </c>
      <c r="AL13" s="15">
        <v>0.28000000000000003</v>
      </c>
      <c r="AM13" s="15">
        <v>0.28999999999999998</v>
      </c>
      <c r="AN13" s="15">
        <v>0.1</v>
      </c>
      <c r="AO13" s="15">
        <v>0.03</v>
      </c>
      <c r="AP13" s="15">
        <v>0.16</v>
      </c>
      <c r="AQ13" s="15">
        <v>0.09</v>
      </c>
    </row>
    <row r="14" spans="1:43" x14ac:dyDescent="0.35">
      <c r="A14" s="19"/>
      <c r="B14" s="11" t="s">
        <v>1643</v>
      </c>
      <c r="C14" s="12">
        <v>13311</v>
      </c>
      <c r="D14" s="12">
        <v>449</v>
      </c>
      <c r="E14" s="12">
        <v>533</v>
      </c>
      <c r="F14" s="12">
        <v>563</v>
      </c>
      <c r="G14" s="12">
        <v>540</v>
      </c>
      <c r="H14" s="12">
        <v>593</v>
      </c>
      <c r="I14" s="12">
        <v>739</v>
      </c>
      <c r="J14" s="12">
        <v>146</v>
      </c>
      <c r="K14" s="12">
        <v>498</v>
      </c>
      <c r="L14" s="12">
        <v>483</v>
      </c>
      <c r="M14" s="12">
        <v>513</v>
      </c>
      <c r="N14" s="12">
        <v>525</v>
      </c>
      <c r="O14" s="12">
        <v>463</v>
      </c>
      <c r="P14" s="12">
        <v>470</v>
      </c>
      <c r="Q14" s="12">
        <v>518</v>
      </c>
      <c r="R14" s="12">
        <v>250</v>
      </c>
      <c r="S14" s="12">
        <v>489</v>
      </c>
      <c r="T14" s="12">
        <v>519</v>
      </c>
      <c r="U14" s="12">
        <v>255</v>
      </c>
      <c r="V14" s="12">
        <v>607</v>
      </c>
      <c r="W14" s="12">
        <v>246</v>
      </c>
      <c r="X14" s="12">
        <v>452</v>
      </c>
      <c r="Y14" s="12">
        <v>616</v>
      </c>
      <c r="Z14" s="12">
        <v>592</v>
      </c>
      <c r="AA14" s="12">
        <v>457</v>
      </c>
      <c r="AB14" s="12">
        <v>576</v>
      </c>
      <c r="AC14" s="12">
        <v>448</v>
      </c>
      <c r="AD14" s="12">
        <v>518</v>
      </c>
      <c r="AE14" s="12">
        <v>554</v>
      </c>
      <c r="AF14" s="12">
        <v>488</v>
      </c>
      <c r="AG14" s="12">
        <v>315</v>
      </c>
      <c r="AH14" s="12">
        <v>426</v>
      </c>
      <c r="AI14" s="12">
        <v>116</v>
      </c>
      <c r="AJ14" s="12">
        <v>414</v>
      </c>
      <c r="AK14" s="12">
        <v>441</v>
      </c>
      <c r="AL14" s="12">
        <v>494</v>
      </c>
      <c r="AM14" s="12">
        <v>466</v>
      </c>
      <c r="AN14" s="12">
        <v>524</v>
      </c>
      <c r="AO14" s="12">
        <v>228</v>
      </c>
      <c r="AP14" s="12">
        <v>146</v>
      </c>
      <c r="AQ14" s="12">
        <v>271</v>
      </c>
    </row>
    <row r="15" spans="1:43" x14ac:dyDescent="0.35">
      <c r="A15" s="19"/>
      <c r="B15" s="13" t="s">
        <v>1643</v>
      </c>
      <c r="C15" s="15">
        <v>0.5</v>
      </c>
      <c r="D15" s="15">
        <v>0.44</v>
      </c>
      <c r="E15" s="15">
        <v>0.52</v>
      </c>
      <c r="F15" s="15">
        <v>0.51</v>
      </c>
      <c r="G15" s="15">
        <v>0.54</v>
      </c>
      <c r="H15" s="15">
        <v>0.48</v>
      </c>
      <c r="I15" s="15">
        <v>0.49</v>
      </c>
      <c r="J15" s="15">
        <v>0.5</v>
      </c>
      <c r="K15" s="15">
        <v>0.5</v>
      </c>
      <c r="L15" s="15">
        <v>0.48</v>
      </c>
      <c r="M15" s="15">
        <v>0.51</v>
      </c>
      <c r="N15" s="15">
        <v>0.52</v>
      </c>
      <c r="O15" s="15">
        <v>0.46</v>
      </c>
      <c r="P15" s="15">
        <v>0.47</v>
      </c>
      <c r="Q15" s="15">
        <v>0.5</v>
      </c>
      <c r="R15" s="15">
        <v>0.5</v>
      </c>
      <c r="S15" s="15">
        <v>0.49</v>
      </c>
      <c r="T15" s="15">
        <v>0.52</v>
      </c>
      <c r="U15" s="15">
        <v>0.51</v>
      </c>
      <c r="V15" s="15">
        <v>0.6</v>
      </c>
      <c r="W15" s="15">
        <v>0.49</v>
      </c>
      <c r="X15" s="15">
        <v>0.45</v>
      </c>
      <c r="Y15" s="15">
        <v>0.61</v>
      </c>
      <c r="Z15" s="15">
        <v>0.57000000000000006</v>
      </c>
      <c r="AA15" s="15">
        <v>0.44</v>
      </c>
      <c r="AB15" s="15">
        <v>0.55000000000000004</v>
      </c>
      <c r="AC15" s="15">
        <v>0.45</v>
      </c>
      <c r="AD15" s="15">
        <v>0.52</v>
      </c>
      <c r="AE15" s="15">
        <v>0.55000000000000004</v>
      </c>
      <c r="AF15" s="15">
        <v>0.47</v>
      </c>
      <c r="AG15" s="15">
        <v>0.3</v>
      </c>
      <c r="AH15" s="15">
        <v>0.42</v>
      </c>
      <c r="AI15" s="15">
        <v>0.22</v>
      </c>
      <c r="AJ15" s="15">
        <v>0.4</v>
      </c>
      <c r="AK15" s="15">
        <v>0.44</v>
      </c>
      <c r="AL15" s="15">
        <v>0.49</v>
      </c>
      <c r="AM15" s="15">
        <v>0.45</v>
      </c>
      <c r="AN15" s="15">
        <v>0.52</v>
      </c>
      <c r="AO15" s="15">
        <v>0.23</v>
      </c>
      <c r="AP15" s="15">
        <v>0.28000000000000003</v>
      </c>
      <c r="AQ15" s="15">
        <v>0.27</v>
      </c>
    </row>
    <row r="16" spans="1:43" x14ac:dyDescent="0.35">
      <c r="A16" s="19"/>
      <c r="B16" s="11" t="s">
        <v>1644</v>
      </c>
      <c r="C16" s="12">
        <v>3788</v>
      </c>
      <c r="D16" s="12">
        <v>131</v>
      </c>
      <c r="E16" s="12">
        <v>229</v>
      </c>
      <c r="F16" s="12">
        <v>172</v>
      </c>
      <c r="G16" s="12">
        <v>125</v>
      </c>
      <c r="H16" s="12">
        <v>109</v>
      </c>
      <c r="I16" s="12">
        <v>128</v>
      </c>
      <c r="J16" s="12">
        <v>19</v>
      </c>
      <c r="K16" s="12">
        <v>149</v>
      </c>
      <c r="L16" s="12">
        <v>180</v>
      </c>
      <c r="M16" s="12">
        <v>180</v>
      </c>
      <c r="N16" s="12">
        <v>192</v>
      </c>
      <c r="O16" s="12">
        <v>121</v>
      </c>
      <c r="P16" s="12">
        <v>189</v>
      </c>
      <c r="Q16" s="12">
        <v>180</v>
      </c>
      <c r="R16" s="12">
        <v>98</v>
      </c>
      <c r="S16" s="12">
        <v>128</v>
      </c>
      <c r="T16" s="12">
        <v>134</v>
      </c>
      <c r="U16" s="12">
        <v>93</v>
      </c>
      <c r="V16" s="12">
        <v>132</v>
      </c>
      <c r="W16" s="12">
        <v>112</v>
      </c>
      <c r="X16" s="12">
        <v>110</v>
      </c>
      <c r="Y16" s="12">
        <v>114</v>
      </c>
      <c r="Z16" s="12">
        <v>146</v>
      </c>
      <c r="AA16" s="12">
        <v>236</v>
      </c>
      <c r="AB16" s="12">
        <v>223</v>
      </c>
      <c r="AC16" s="12">
        <v>216</v>
      </c>
      <c r="AD16" s="12">
        <v>215</v>
      </c>
      <c r="AE16" s="12">
        <v>83</v>
      </c>
      <c r="AF16" s="12">
        <v>106</v>
      </c>
      <c r="AG16" s="12">
        <v>318</v>
      </c>
      <c r="AH16" s="12">
        <v>226</v>
      </c>
      <c r="AI16" s="12">
        <v>120</v>
      </c>
      <c r="AJ16" s="12">
        <v>242</v>
      </c>
      <c r="AK16" s="12">
        <v>246</v>
      </c>
      <c r="AL16" s="12">
        <v>137</v>
      </c>
      <c r="AM16" s="12">
        <v>157</v>
      </c>
      <c r="AN16" s="12">
        <v>255</v>
      </c>
      <c r="AO16" s="12">
        <v>223</v>
      </c>
      <c r="AP16" s="12">
        <v>126</v>
      </c>
      <c r="AQ16" s="12">
        <v>247</v>
      </c>
    </row>
    <row r="17" spans="1:43" x14ac:dyDescent="0.35">
      <c r="A17" s="19"/>
      <c r="B17" s="13" t="s">
        <v>1644</v>
      </c>
      <c r="C17" s="15">
        <v>0.14000000000000001</v>
      </c>
      <c r="D17" s="15">
        <v>0.13</v>
      </c>
      <c r="E17" s="15">
        <v>0.22</v>
      </c>
      <c r="F17" s="15">
        <v>0.16</v>
      </c>
      <c r="G17" s="15">
        <v>0.12</v>
      </c>
      <c r="H17" s="15">
        <v>0.09</v>
      </c>
      <c r="I17" s="15">
        <v>0.08</v>
      </c>
      <c r="J17" s="15">
        <v>0.06</v>
      </c>
      <c r="K17" s="15">
        <v>0.15</v>
      </c>
      <c r="L17" s="15">
        <v>0.18</v>
      </c>
      <c r="M17" s="15">
        <v>0.18</v>
      </c>
      <c r="N17" s="15">
        <v>0.19</v>
      </c>
      <c r="O17" s="15">
        <v>0.12</v>
      </c>
      <c r="P17" s="15">
        <v>0.19</v>
      </c>
      <c r="Q17" s="15">
        <v>0.18</v>
      </c>
      <c r="R17" s="15">
        <v>0.19</v>
      </c>
      <c r="S17" s="15">
        <v>0.13</v>
      </c>
      <c r="T17" s="15">
        <v>0.13</v>
      </c>
      <c r="U17" s="15">
        <v>0.18</v>
      </c>
      <c r="V17" s="15">
        <v>0.13</v>
      </c>
      <c r="W17" s="15">
        <v>0.22</v>
      </c>
      <c r="X17" s="15">
        <v>0.11</v>
      </c>
      <c r="Y17" s="15">
        <v>0.12</v>
      </c>
      <c r="Z17" s="15">
        <v>0.14000000000000001</v>
      </c>
      <c r="AA17" s="15">
        <v>0.23</v>
      </c>
      <c r="AB17" s="15">
        <v>0.21</v>
      </c>
      <c r="AC17" s="15">
        <v>0.22</v>
      </c>
      <c r="AD17" s="15">
        <v>0.21</v>
      </c>
      <c r="AE17" s="15">
        <v>0.08</v>
      </c>
      <c r="AF17" s="15">
        <v>0.1</v>
      </c>
      <c r="AG17" s="15">
        <v>0.31</v>
      </c>
      <c r="AH17" s="15">
        <v>0.22</v>
      </c>
      <c r="AI17" s="15">
        <v>0.23</v>
      </c>
      <c r="AJ17" s="15">
        <v>0.23</v>
      </c>
      <c r="AK17" s="15">
        <v>0.24</v>
      </c>
      <c r="AL17" s="15">
        <v>0.13</v>
      </c>
      <c r="AM17" s="15">
        <v>0.15</v>
      </c>
      <c r="AN17" s="15">
        <v>0.25</v>
      </c>
      <c r="AO17" s="15">
        <v>0.22</v>
      </c>
      <c r="AP17" s="15">
        <v>0.24</v>
      </c>
      <c r="AQ17" s="15">
        <v>0.25</v>
      </c>
    </row>
    <row r="18" spans="1:43" x14ac:dyDescent="0.35">
      <c r="A18" s="19"/>
      <c r="B18" s="11" t="s">
        <v>1645</v>
      </c>
      <c r="C18" s="12">
        <v>2733</v>
      </c>
      <c r="D18" s="12">
        <v>139</v>
      </c>
      <c r="E18" s="12">
        <v>107</v>
      </c>
      <c r="F18" s="12">
        <v>101</v>
      </c>
      <c r="G18" s="12">
        <v>51</v>
      </c>
      <c r="H18" s="12">
        <v>83</v>
      </c>
      <c r="I18" s="12">
        <v>92</v>
      </c>
      <c r="J18" s="12">
        <v>9</v>
      </c>
      <c r="K18" s="12">
        <v>62</v>
      </c>
      <c r="L18" s="12">
        <v>180</v>
      </c>
      <c r="M18" s="12">
        <v>149</v>
      </c>
      <c r="N18" s="12">
        <v>135</v>
      </c>
      <c r="O18" s="12">
        <v>84</v>
      </c>
      <c r="P18" s="12">
        <v>154</v>
      </c>
      <c r="Q18" s="12">
        <v>159</v>
      </c>
      <c r="R18" s="12">
        <v>81</v>
      </c>
      <c r="S18" s="12">
        <v>56</v>
      </c>
      <c r="T18" s="12">
        <v>55</v>
      </c>
      <c r="U18" s="12">
        <v>75</v>
      </c>
      <c r="V18" s="12">
        <v>60</v>
      </c>
      <c r="W18" s="12">
        <v>77</v>
      </c>
      <c r="X18" s="12">
        <v>135</v>
      </c>
      <c r="Y18" s="12">
        <v>59</v>
      </c>
      <c r="Z18" s="12">
        <v>100</v>
      </c>
      <c r="AA18" s="12">
        <v>139</v>
      </c>
      <c r="AB18" s="12">
        <v>126</v>
      </c>
      <c r="AC18" s="12">
        <v>164</v>
      </c>
      <c r="AD18" s="12">
        <v>128</v>
      </c>
      <c r="AE18" s="12">
        <v>42</v>
      </c>
      <c r="AF18" s="12">
        <v>41</v>
      </c>
      <c r="AG18" s="12">
        <v>278</v>
      </c>
      <c r="AH18" s="12">
        <v>276</v>
      </c>
      <c r="AI18" s="12">
        <v>281</v>
      </c>
      <c r="AJ18" s="12">
        <v>253</v>
      </c>
      <c r="AK18" s="12">
        <v>250</v>
      </c>
      <c r="AL18" s="12">
        <v>102</v>
      </c>
      <c r="AM18" s="12">
        <v>119</v>
      </c>
      <c r="AN18" s="12">
        <v>128</v>
      </c>
      <c r="AO18" s="12">
        <v>525</v>
      </c>
      <c r="AP18" s="12">
        <v>170</v>
      </c>
      <c r="AQ18" s="12">
        <v>390</v>
      </c>
    </row>
    <row r="19" spans="1:43" x14ac:dyDescent="0.35">
      <c r="A19" s="19"/>
      <c r="B19" s="13" t="s">
        <v>1645</v>
      </c>
      <c r="C19" s="15">
        <v>0.11</v>
      </c>
      <c r="D19" s="15">
        <v>0.14000000000000001</v>
      </c>
      <c r="E19" s="15">
        <v>0.1</v>
      </c>
      <c r="F19" s="15">
        <v>0.09</v>
      </c>
      <c r="G19" s="15">
        <v>0.05</v>
      </c>
      <c r="H19" s="15">
        <v>7.0000000000000007E-2</v>
      </c>
      <c r="I19" s="15">
        <v>0.06</v>
      </c>
      <c r="J19" s="15">
        <v>0.03</v>
      </c>
      <c r="K19" s="15">
        <v>0.06</v>
      </c>
      <c r="L19" s="15">
        <v>0.18</v>
      </c>
      <c r="M19" s="15">
        <v>0.15</v>
      </c>
      <c r="N19" s="15">
        <v>0.14000000000000001</v>
      </c>
      <c r="O19" s="15">
        <v>0.08</v>
      </c>
      <c r="P19" s="15">
        <v>0.15</v>
      </c>
      <c r="Q19" s="15">
        <v>0.15</v>
      </c>
      <c r="R19" s="15">
        <v>0.16</v>
      </c>
      <c r="S19" s="15">
        <v>0.05</v>
      </c>
      <c r="T19" s="15">
        <v>0.05</v>
      </c>
      <c r="U19" s="15">
        <v>0.15</v>
      </c>
      <c r="V19" s="15">
        <v>0.06</v>
      </c>
      <c r="W19" s="15">
        <v>0.15</v>
      </c>
      <c r="X19" s="15">
        <v>0.13</v>
      </c>
      <c r="Y19" s="15">
        <v>0.06</v>
      </c>
      <c r="Z19" s="15">
        <v>0.1</v>
      </c>
      <c r="AA19" s="15">
        <v>0.14000000000000001</v>
      </c>
      <c r="AB19" s="15">
        <v>0.12</v>
      </c>
      <c r="AC19" s="15">
        <v>0.16</v>
      </c>
      <c r="AD19" s="15">
        <v>0.13</v>
      </c>
      <c r="AE19" s="15">
        <v>0.04</v>
      </c>
      <c r="AF19" s="15">
        <v>0.04</v>
      </c>
      <c r="AG19" s="15">
        <v>0.27</v>
      </c>
      <c r="AH19" s="15">
        <v>0.27</v>
      </c>
      <c r="AI19" s="15">
        <v>0.54</v>
      </c>
      <c r="AJ19" s="15">
        <v>0.24</v>
      </c>
      <c r="AK19" s="15">
        <v>0.25</v>
      </c>
      <c r="AL19" s="15">
        <v>0.1</v>
      </c>
      <c r="AM19" s="15">
        <v>0.11</v>
      </c>
      <c r="AN19" s="15">
        <v>0.13</v>
      </c>
      <c r="AO19" s="15">
        <v>0.52</v>
      </c>
      <c r="AP19" s="15">
        <v>0.32</v>
      </c>
      <c r="AQ19" s="15">
        <v>0.39</v>
      </c>
    </row>
    <row r="20" spans="1:43" x14ac:dyDescent="0.35">
      <c r="A20" s="19"/>
      <c r="B20" s="11" t="s">
        <v>1475</v>
      </c>
      <c r="C20" s="12">
        <v>2.19</v>
      </c>
      <c r="D20" s="12">
        <v>2.2200000000000002</v>
      </c>
      <c r="E20" s="12">
        <v>2.35</v>
      </c>
      <c r="F20" s="12">
        <v>2.21</v>
      </c>
      <c r="G20" s="12">
        <v>2</v>
      </c>
      <c r="H20" s="12">
        <v>1.89</v>
      </c>
      <c r="I20" s="12">
        <v>1.86</v>
      </c>
      <c r="J20" s="12">
        <v>1.72</v>
      </c>
      <c r="K20" s="12">
        <v>2</v>
      </c>
      <c r="L20" s="12">
        <v>2.4900000000000002</v>
      </c>
      <c r="M20" s="12">
        <v>2.41</v>
      </c>
      <c r="N20" s="12">
        <v>2.57</v>
      </c>
      <c r="O20" s="12">
        <v>2.02</v>
      </c>
      <c r="P20" s="12">
        <v>2.39</v>
      </c>
      <c r="Q20" s="12">
        <v>2.42</v>
      </c>
      <c r="R20" s="12">
        <v>2.4700000000000002</v>
      </c>
      <c r="S20" s="12">
        <v>1.97</v>
      </c>
      <c r="T20" s="12">
        <v>1.98</v>
      </c>
      <c r="U20" s="12">
        <v>2.4700000000000002</v>
      </c>
      <c r="V20" s="12">
        <v>2.0499999999999998</v>
      </c>
      <c r="W20" s="12">
        <v>2.39</v>
      </c>
      <c r="X20" s="12">
        <v>2.17</v>
      </c>
      <c r="Y20" s="12">
        <v>2.0499999999999998</v>
      </c>
      <c r="Z20" s="12">
        <v>2.2200000000000002</v>
      </c>
      <c r="AA20" s="12">
        <v>2.33</v>
      </c>
      <c r="AB20" s="12">
        <v>2.41</v>
      </c>
      <c r="AC20" s="12">
        <v>2.5499999999999998</v>
      </c>
      <c r="AD20" s="12">
        <v>2.41</v>
      </c>
      <c r="AE20" s="12">
        <v>1.88</v>
      </c>
      <c r="AF20" s="12">
        <v>1.84</v>
      </c>
      <c r="AG20" s="12">
        <v>2.91</v>
      </c>
      <c r="AH20" s="12">
        <v>2.8</v>
      </c>
      <c r="AI20" s="12">
        <v>3.42</v>
      </c>
      <c r="AJ20" s="12">
        <v>2.72</v>
      </c>
      <c r="AK20" s="12">
        <v>2.78</v>
      </c>
      <c r="AL20" s="12">
        <v>2.2000000000000002</v>
      </c>
      <c r="AM20" s="12">
        <v>2.21</v>
      </c>
      <c r="AN20" s="12">
        <v>2.4300000000000002</v>
      </c>
      <c r="AO20" s="12">
        <v>3.66</v>
      </c>
      <c r="AP20" s="12">
        <v>2.94</v>
      </c>
      <c r="AQ20" s="12">
        <v>3.34</v>
      </c>
    </row>
    <row r="21" spans="1:43" x14ac:dyDescent="0.35">
      <c r="A21" s="19"/>
      <c r="B21" s="13" t="s">
        <v>1476</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sheetData>
  <mergeCells count="9">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Q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397</v>
      </c>
      <c r="C3" s="18"/>
      <c r="D3" s="18"/>
      <c r="E3" s="18"/>
      <c r="F3" s="18"/>
      <c r="H3" s="18" t="s">
        <v>398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1646</v>
      </c>
      <c r="C12" s="12">
        <v>22639</v>
      </c>
      <c r="D12" s="12">
        <v>864</v>
      </c>
      <c r="E12" s="12">
        <v>868</v>
      </c>
      <c r="F12" s="12">
        <v>921</v>
      </c>
      <c r="G12" s="12">
        <v>832</v>
      </c>
      <c r="H12" s="12">
        <v>1091</v>
      </c>
      <c r="I12" s="12">
        <v>1352</v>
      </c>
      <c r="J12" s="12">
        <v>261</v>
      </c>
      <c r="K12" s="12">
        <v>816</v>
      </c>
      <c r="L12" s="12">
        <v>764</v>
      </c>
      <c r="M12" s="12">
        <v>891</v>
      </c>
      <c r="N12" s="12">
        <v>855</v>
      </c>
      <c r="O12" s="12">
        <v>851</v>
      </c>
      <c r="P12" s="12">
        <v>842</v>
      </c>
      <c r="Q12" s="12">
        <v>902</v>
      </c>
      <c r="R12" s="12">
        <v>394</v>
      </c>
      <c r="S12" s="12">
        <v>815</v>
      </c>
      <c r="T12" s="12">
        <v>852</v>
      </c>
      <c r="U12" s="12">
        <v>379</v>
      </c>
      <c r="V12" s="12">
        <v>862</v>
      </c>
      <c r="W12" s="12">
        <v>421</v>
      </c>
      <c r="X12" s="12">
        <v>865</v>
      </c>
      <c r="Y12" s="12">
        <v>845</v>
      </c>
      <c r="Z12" s="12">
        <v>839</v>
      </c>
      <c r="AA12" s="12">
        <v>871</v>
      </c>
      <c r="AB12" s="12">
        <v>902</v>
      </c>
      <c r="AC12" s="12">
        <v>805</v>
      </c>
      <c r="AD12" s="12">
        <v>775</v>
      </c>
      <c r="AE12" s="12">
        <v>853</v>
      </c>
      <c r="AF12" s="12">
        <v>869</v>
      </c>
      <c r="AG12" s="12">
        <v>713</v>
      </c>
      <c r="AH12" s="12">
        <v>755</v>
      </c>
      <c r="AI12" s="12">
        <v>318</v>
      </c>
      <c r="AJ12" s="12">
        <v>827</v>
      </c>
      <c r="AK12" s="12">
        <v>761</v>
      </c>
      <c r="AL12" s="12">
        <v>753</v>
      </c>
      <c r="AM12" s="12">
        <v>852</v>
      </c>
      <c r="AN12" s="12">
        <v>805</v>
      </c>
      <c r="AO12" s="12">
        <v>662</v>
      </c>
      <c r="AP12" s="12">
        <v>443</v>
      </c>
      <c r="AQ12" s="12">
        <v>658</v>
      </c>
    </row>
    <row r="13" spans="1:43" x14ac:dyDescent="0.35">
      <c r="A13" s="19"/>
      <c r="B13" s="13" t="s">
        <v>1646</v>
      </c>
      <c r="C13" s="15">
        <v>0.86</v>
      </c>
      <c r="D13" s="15">
        <v>0.85</v>
      </c>
      <c r="E13" s="15">
        <v>0.84</v>
      </c>
      <c r="F13" s="15">
        <v>0.84</v>
      </c>
      <c r="G13" s="15">
        <v>0.83000000000000007</v>
      </c>
      <c r="H13" s="15">
        <v>0.89</v>
      </c>
      <c r="I13" s="15">
        <v>0.89</v>
      </c>
      <c r="J13" s="15">
        <v>0.88</v>
      </c>
      <c r="K13" s="15">
        <v>0.81</v>
      </c>
      <c r="L13" s="15">
        <v>0.76</v>
      </c>
      <c r="M13" s="15">
        <v>0.88</v>
      </c>
      <c r="N13" s="15">
        <v>0.85</v>
      </c>
      <c r="O13" s="15">
        <v>0.85</v>
      </c>
      <c r="P13" s="15">
        <v>0.84</v>
      </c>
      <c r="Q13" s="15">
        <v>0.88</v>
      </c>
      <c r="R13" s="15">
        <v>0.78</v>
      </c>
      <c r="S13" s="15">
        <v>0.81</v>
      </c>
      <c r="T13" s="15">
        <v>0.85</v>
      </c>
      <c r="U13" s="15">
        <v>0.75</v>
      </c>
      <c r="V13" s="15">
        <v>0.85</v>
      </c>
      <c r="W13" s="15">
        <v>0.83000000000000007</v>
      </c>
      <c r="X13" s="15">
        <v>0.86</v>
      </c>
      <c r="Y13" s="15">
        <v>0.84</v>
      </c>
      <c r="Z13" s="15">
        <v>0.82000000000000006</v>
      </c>
      <c r="AA13" s="15">
        <v>0.85</v>
      </c>
      <c r="AB13" s="15">
        <v>0.86</v>
      </c>
      <c r="AC13" s="15">
        <v>0.8</v>
      </c>
      <c r="AD13" s="15">
        <v>0.77</v>
      </c>
      <c r="AE13" s="15">
        <v>0.84</v>
      </c>
      <c r="AF13" s="15">
        <v>0.83000000000000007</v>
      </c>
      <c r="AG13" s="15">
        <v>0.69000000000000006</v>
      </c>
      <c r="AH13" s="15">
        <v>0.75</v>
      </c>
      <c r="AI13" s="15">
        <v>0.61</v>
      </c>
      <c r="AJ13" s="15">
        <v>0.8</v>
      </c>
      <c r="AK13" s="15">
        <v>0.75</v>
      </c>
      <c r="AL13" s="15">
        <v>0.75</v>
      </c>
      <c r="AM13" s="15">
        <v>0.82000000000000006</v>
      </c>
      <c r="AN13" s="15">
        <v>0.8</v>
      </c>
      <c r="AO13" s="15">
        <v>0.66</v>
      </c>
      <c r="AP13" s="15">
        <v>0.84</v>
      </c>
      <c r="AQ13" s="15">
        <v>0.66</v>
      </c>
    </row>
    <row r="14" spans="1:43" x14ac:dyDescent="0.35">
      <c r="A14" s="19"/>
      <c r="B14" s="11" t="s">
        <v>1642</v>
      </c>
      <c r="C14" s="12">
        <v>2403</v>
      </c>
      <c r="D14" s="12">
        <v>84</v>
      </c>
      <c r="E14" s="12">
        <v>120</v>
      </c>
      <c r="F14" s="12">
        <v>116</v>
      </c>
      <c r="G14" s="12">
        <v>72</v>
      </c>
      <c r="H14" s="12">
        <v>76</v>
      </c>
      <c r="I14" s="12">
        <v>101</v>
      </c>
      <c r="J14" s="12">
        <v>25</v>
      </c>
      <c r="K14" s="12">
        <v>129</v>
      </c>
      <c r="L14" s="12">
        <v>126</v>
      </c>
      <c r="M14" s="12">
        <v>69</v>
      </c>
      <c r="N14" s="12">
        <v>98</v>
      </c>
      <c r="O14" s="12">
        <v>88</v>
      </c>
      <c r="P14" s="12">
        <v>116</v>
      </c>
      <c r="Q14" s="12">
        <v>82</v>
      </c>
      <c r="R14" s="12">
        <v>63</v>
      </c>
      <c r="S14" s="12">
        <v>116</v>
      </c>
      <c r="T14" s="12">
        <v>120</v>
      </c>
      <c r="U14" s="12">
        <v>59</v>
      </c>
      <c r="V14" s="12">
        <v>115</v>
      </c>
      <c r="W14" s="12">
        <v>53</v>
      </c>
      <c r="X14" s="12">
        <v>83</v>
      </c>
      <c r="Y14" s="12">
        <v>94</v>
      </c>
      <c r="Z14" s="12">
        <v>127</v>
      </c>
      <c r="AA14" s="12">
        <v>116</v>
      </c>
      <c r="AB14" s="12">
        <v>114</v>
      </c>
      <c r="AC14" s="12">
        <v>122</v>
      </c>
      <c r="AD14" s="12">
        <v>136</v>
      </c>
      <c r="AE14" s="12">
        <v>84</v>
      </c>
      <c r="AF14" s="12">
        <v>102</v>
      </c>
      <c r="AG14" s="12">
        <v>230</v>
      </c>
      <c r="AH14" s="12">
        <v>163</v>
      </c>
      <c r="AI14" s="12">
        <v>113</v>
      </c>
      <c r="AJ14" s="12">
        <v>123</v>
      </c>
      <c r="AK14" s="12">
        <v>141</v>
      </c>
      <c r="AL14" s="12">
        <v>143</v>
      </c>
      <c r="AM14" s="12">
        <v>117</v>
      </c>
      <c r="AN14" s="12">
        <v>142</v>
      </c>
      <c r="AO14" s="12">
        <v>190</v>
      </c>
      <c r="AP14" s="12">
        <v>67</v>
      </c>
      <c r="AQ14" s="12">
        <v>188</v>
      </c>
    </row>
    <row r="15" spans="1:43" x14ac:dyDescent="0.35">
      <c r="A15" s="19"/>
      <c r="B15" s="13" t="s">
        <v>1642</v>
      </c>
      <c r="C15" s="15">
        <v>0.09</v>
      </c>
      <c r="D15" s="15">
        <v>0.08</v>
      </c>
      <c r="E15" s="15">
        <v>0.12</v>
      </c>
      <c r="F15" s="15">
        <v>0.11</v>
      </c>
      <c r="G15" s="15">
        <v>7.0000000000000007E-2</v>
      </c>
      <c r="H15" s="15">
        <v>0.06</v>
      </c>
      <c r="I15" s="15">
        <v>7.0000000000000007E-2</v>
      </c>
      <c r="J15" s="15">
        <v>0.09</v>
      </c>
      <c r="K15" s="15">
        <v>0.13</v>
      </c>
      <c r="L15" s="15">
        <v>0.13</v>
      </c>
      <c r="M15" s="15">
        <v>7.0000000000000007E-2</v>
      </c>
      <c r="N15" s="15">
        <v>0.1</v>
      </c>
      <c r="O15" s="15">
        <v>0.09</v>
      </c>
      <c r="P15" s="15">
        <v>0.12</v>
      </c>
      <c r="Q15" s="15">
        <v>0.08</v>
      </c>
      <c r="R15" s="15">
        <v>0.13</v>
      </c>
      <c r="S15" s="15">
        <v>0.12</v>
      </c>
      <c r="T15" s="15">
        <v>0.12</v>
      </c>
      <c r="U15" s="15">
        <v>0.12</v>
      </c>
      <c r="V15" s="15">
        <v>0.11</v>
      </c>
      <c r="W15" s="15">
        <v>0.11</v>
      </c>
      <c r="X15" s="15">
        <v>0.08</v>
      </c>
      <c r="Y15" s="15">
        <v>0.1</v>
      </c>
      <c r="Z15" s="15">
        <v>0.12</v>
      </c>
      <c r="AA15" s="15">
        <v>0.11</v>
      </c>
      <c r="AB15" s="15">
        <v>0.11</v>
      </c>
      <c r="AC15" s="15">
        <v>0.12</v>
      </c>
      <c r="AD15" s="15">
        <v>0.14000000000000001</v>
      </c>
      <c r="AE15" s="15">
        <v>0.08</v>
      </c>
      <c r="AF15" s="15">
        <v>0.1</v>
      </c>
      <c r="AG15" s="15">
        <v>0.22</v>
      </c>
      <c r="AH15" s="15">
        <v>0.16</v>
      </c>
      <c r="AI15" s="15">
        <v>0.22</v>
      </c>
      <c r="AJ15" s="15">
        <v>0.12</v>
      </c>
      <c r="AK15" s="15">
        <v>0.14000000000000001</v>
      </c>
      <c r="AL15" s="15">
        <v>0.14000000000000001</v>
      </c>
      <c r="AM15" s="15">
        <v>0.11</v>
      </c>
      <c r="AN15" s="15">
        <v>0.14000000000000001</v>
      </c>
      <c r="AO15" s="15">
        <v>0.19</v>
      </c>
      <c r="AP15" s="15">
        <v>0.13</v>
      </c>
      <c r="AQ15" s="15">
        <v>0.19</v>
      </c>
    </row>
    <row r="16" spans="1:43" x14ac:dyDescent="0.35">
      <c r="A16" s="19"/>
      <c r="B16" s="11" t="s">
        <v>1643</v>
      </c>
      <c r="C16" s="12">
        <v>1223</v>
      </c>
      <c r="D16" s="12">
        <v>59</v>
      </c>
      <c r="E16" s="12">
        <v>40</v>
      </c>
      <c r="F16" s="12">
        <v>56</v>
      </c>
      <c r="G16" s="12">
        <v>93</v>
      </c>
      <c r="H16" s="12">
        <v>46</v>
      </c>
      <c r="I16" s="12">
        <v>54</v>
      </c>
      <c r="J16" s="12">
        <v>8</v>
      </c>
      <c r="K16" s="12">
        <v>44</v>
      </c>
      <c r="L16" s="12">
        <v>95</v>
      </c>
      <c r="M16" s="12">
        <v>44</v>
      </c>
      <c r="N16" s="12">
        <v>44</v>
      </c>
      <c r="O16" s="12">
        <v>51</v>
      </c>
      <c r="P16" s="12">
        <v>38</v>
      </c>
      <c r="Q16" s="12">
        <v>40</v>
      </c>
      <c r="R16" s="12">
        <v>41</v>
      </c>
      <c r="S16" s="12">
        <v>49</v>
      </c>
      <c r="T16" s="12">
        <v>34</v>
      </c>
      <c r="U16" s="12">
        <v>52</v>
      </c>
      <c r="V16" s="12">
        <v>34</v>
      </c>
      <c r="W16" s="12">
        <v>31</v>
      </c>
      <c r="X16" s="12">
        <v>46</v>
      </c>
      <c r="Y16" s="12">
        <v>59</v>
      </c>
      <c r="Z16" s="12">
        <v>61</v>
      </c>
      <c r="AA16" s="12">
        <v>42</v>
      </c>
      <c r="AB16" s="12">
        <v>30</v>
      </c>
      <c r="AC16" s="12">
        <v>65</v>
      </c>
      <c r="AD16" s="12">
        <v>86</v>
      </c>
      <c r="AE16" s="12">
        <v>57</v>
      </c>
      <c r="AF16" s="12">
        <v>54</v>
      </c>
      <c r="AG16" s="12">
        <v>58</v>
      </c>
      <c r="AH16" s="12">
        <v>89</v>
      </c>
      <c r="AI16" s="12">
        <v>85</v>
      </c>
      <c r="AJ16" s="12">
        <v>74</v>
      </c>
      <c r="AK16" s="12">
        <v>89</v>
      </c>
      <c r="AL16" s="12">
        <v>84</v>
      </c>
      <c r="AM16" s="12">
        <v>63</v>
      </c>
      <c r="AN16" s="12">
        <v>54</v>
      </c>
      <c r="AO16" s="12">
        <v>98</v>
      </c>
      <c r="AP16" s="12">
        <v>13</v>
      </c>
      <c r="AQ16" s="12">
        <v>124</v>
      </c>
    </row>
    <row r="17" spans="1:43" x14ac:dyDescent="0.35">
      <c r="A17" s="19"/>
      <c r="B17" s="13" t="s">
        <v>1643</v>
      </c>
      <c r="C17" s="15">
        <v>0.05</v>
      </c>
      <c r="D17" s="15">
        <v>0.06</v>
      </c>
      <c r="E17" s="15">
        <v>0.04</v>
      </c>
      <c r="F17" s="15">
        <v>0.05</v>
      </c>
      <c r="G17" s="15">
        <v>0.09</v>
      </c>
      <c r="H17" s="15">
        <v>0.04</v>
      </c>
      <c r="I17" s="15">
        <v>0.04</v>
      </c>
      <c r="J17" s="15">
        <v>0.03</v>
      </c>
      <c r="K17" s="15">
        <v>0.04</v>
      </c>
      <c r="L17" s="15">
        <v>0.1</v>
      </c>
      <c r="M17" s="15">
        <v>0.04</v>
      </c>
      <c r="N17" s="15">
        <v>0.05</v>
      </c>
      <c r="O17" s="15">
        <v>0.05</v>
      </c>
      <c r="P17" s="15">
        <v>0.04</v>
      </c>
      <c r="Q17" s="15">
        <v>0.04</v>
      </c>
      <c r="R17" s="15">
        <v>0.08</v>
      </c>
      <c r="S17" s="15">
        <v>0.05</v>
      </c>
      <c r="T17" s="15">
        <v>0.03</v>
      </c>
      <c r="U17" s="15">
        <v>0.1</v>
      </c>
      <c r="V17" s="15">
        <v>0.04</v>
      </c>
      <c r="W17" s="15">
        <v>0.06</v>
      </c>
      <c r="X17" s="15">
        <v>0.05</v>
      </c>
      <c r="Y17" s="15">
        <v>0.06</v>
      </c>
      <c r="Z17" s="15">
        <v>0.06</v>
      </c>
      <c r="AA17" s="15">
        <v>0.04</v>
      </c>
      <c r="AB17" s="15">
        <v>0.03</v>
      </c>
      <c r="AC17" s="15">
        <v>7.0000000000000007E-2</v>
      </c>
      <c r="AD17" s="15">
        <v>0.08</v>
      </c>
      <c r="AE17" s="15">
        <v>0.06</v>
      </c>
      <c r="AF17" s="15">
        <v>0.05</v>
      </c>
      <c r="AG17" s="15">
        <v>0.06</v>
      </c>
      <c r="AH17" s="15">
        <v>0.09</v>
      </c>
      <c r="AI17" s="15">
        <v>0.16</v>
      </c>
      <c r="AJ17" s="15">
        <v>7.0000000000000007E-2</v>
      </c>
      <c r="AK17" s="15">
        <v>0.09</v>
      </c>
      <c r="AL17" s="15">
        <v>0.08</v>
      </c>
      <c r="AM17" s="15">
        <v>0.06</v>
      </c>
      <c r="AN17" s="15">
        <v>0.06</v>
      </c>
      <c r="AO17" s="15">
        <v>0.1</v>
      </c>
      <c r="AP17" s="15">
        <v>0.03</v>
      </c>
      <c r="AQ17" s="15">
        <v>0.12</v>
      </c>
    </row>
    <row r="18" spans="1:43" x14ac:dyDescent="0.35">
      <c r="A18" s="19"/>
      <c r="B18" s="11" t="s">
        <v>1644</v>
      </c>
      <c r="C18" s="12">
        <v>119</v>
      </c>
      <c r="D18" s="12">
        <v>5</v>
      </c>
      <c r="E18" s="12">
        <v>1</v>
      </c>
      <c r="F18" s="12">
        <v>5</v>
      </c>
      <c r="G18" s="12">
        <v>7</v>
      </c>
      <c r="H18" s="12">
        <v>6</v>
      </c>
      <c r="I18" s="12">
        <v>7</v>
      </c>
      <c r="J18" s="12">
        <v>0</v>
      </c>
      <c r="K18" s="12">
        <v>7</v>
      </c>
      <c r="L18" s="12">
        <v>13</v>
      </c>
      <c r="M18" s="12">
        <v>3</v>
      </c>
      <c r="N18" s="12">
        <v>4</v>
      </c>
      <c r="O18" s="12">
        <v>7</v>
      </c>
      <c r="P18" s="12">
        <v>4</v>
      </c>
      <c r="Q18" s="12">
        <v>1</v>
      </c>
      <c r="R18" s="12">
        <v>6</v>
      </c>
      <c r="S18" s="12">
        <v>14</v>
      </c>
      <c r="T18" s="12">
        <v>0</v>
      </c>
      <c r="U18" s="12">
        <v>12</v>
      </c>
      <c r="V18" s="12">
        <v>3</v>
      </c>
      <c r="W18" s="12">
        <v>2</v>
      </c>
      <c r="X18" s="12">
        <v>10</v>
      </c>
      <c r="Y18" s="12">
        <v>3</v>
      </c>
      <c r="Z18" s="12">
        <v>2</v>
      </c>
      <c r="AA18" s="12">
        <v>1</v>
      </c>
      <c r="AB18" s="12">
        <v>2</v>
      </c>
      <c r="AC18" s="12">
        <v>10</v>
      </c>
      <c r="AD18" s="12">
        <v>6</v>
      </c>
      <c r="AE18" s="12">
        <v>11</v>
      </c>
      <c r="AF18" s="12">
        <v>11</v>
      </c>
      <c r="AG18" s="12">
        <v>0</v>
      </c>
      <c r="AH18" s="12">
        <v>4</v>
      </c>
      <c r="AI18" s="12">
        <v>5</v>
      </c>
      <c r="AJ18" s="12">
        <v>9</v>
      </c>
      <c r="AK18" s="12">
        <v>16</v>
      </c>
      <c r="AL18" s="12">
        <v>21</v>
      </c>
      <c r="AM18" s="12">
        <v>5</v>
      </c>
      <c r="AN18" s="12">
        <v>2</v>
      </c>
      <c r="AO18" s="12">
        <v>40</v>
      </c>
      <c r="AP18" s="12">
        <v>0</v>
      </c>
      <c r="AQ18" s="12">
        <v>23</v>
      </c>
    </row>
    <row r="19" spans="1:43" x14ac:dyDescent="0.35">
      <c r="A19" s="19"/>
      <c r="B19" s="13" t="s">
        <v>1644</v>
      </c>
      <c r="C19" s="14" t="s">
        <v>475</v>
      </c>
      <c r="D19" s="15">
        <v>0.01</v>
      </c>
      <c r="E19" s="14" t="s">
        <v>475</v>
      </c>
      <c r="F19" s="14" t="s">
        <v>475</v>
      </c>
      <c r="G19" s="15">
        <v>0.01</v>
      </c>
      <c r="H19" s="15">
        <v>0.01</v>
      </c>
      <c r="I19" s="14" t="s">
        <v>475</v>
      </c>
      <c r="J19" s="14" t="s">
        <v>475</v>
      </c>
      <c r="K19" s="15">
        <v>0.01</v>
      </c>
      <c r="L19" s="15">
        <v>0.01</v>
      </c>
      <c r="M19" s="14" t="s">
        <v>475</v>
      </c>
      <c r="N19" s="14" t="s">
        <v>475</v>
      </c>
      <c r="O19" s="15">
        <v>0.01</v>
      </c>
      <c r="P19" s="14" t="s">
        <v>475</v>
      </c>
      <c r="Q19" s="14" t="s">
        <v>475</v>
      </c>
      <c r="R19" s="15">
        <v>0.01</v>
      </c>
      <c r="S19" s="15">
        <v>0.01</v>
      </c>
      <c r="T19" s="14" t="s">
        <v>475</v>
      </c>
      <c r="U19" s="15">
        <v>0.02</v>
      </c>
      <c r="V19" s="14" t="s">
        <v>475</v>
      </c>
      <c r="W19" s="14" t="s">
        <v>475</v>
      </c>
      <c r="X19" s="15">
        <v>0.01</v>
      </c>
      <c r="Y19" s="14" t="s">
        <v>475</v>
      </c>
      <c r="Z19" s="14" t="s">
        <v>475</v>
      </c>
      <c r="AA19" s="14" t="s">
        <v>475</v>
      </c>
      <c r="AB19" s="14" t="s">
        <v>475</v>
      </c>
      <c r="AC19" s="15">
        <v>0.01</v>
      </c>
      <c r="AD19" s="15">
        <v>0.01</v>
      </c>
      <c r="AE19" s="15">
        <v>0.01</v>
      </c>
      <c r="AF19" s="15">
        <v>0.01</v>
      </c>
      <c r="AG19" s="14" t="s">
        <v>475</v>
      </c>
      <c r="AH19" s="14" t="s">
        <v>475</v>
      </c>
      <c r="AI19" s="15">
        <v>0.01</v>
      </c>
      <c r="AJ19" s="15">
        <v>0.01</v>
      </c>
      <c r="AK19" s="15">
        <v>0.02</v>
      </c>
      <c r="AL19" s="15">
        <v>0.02</v>
      </c>
      <c r="AM19" s="15">
        <v>0.01</v>
      </c>
      <c r="AN19" s="14" t="s">
        <v>475</v>
      </c>
      <c r="AO19" s="15">
        <v>0.04</v>
      </c>
      <c r="AP19" s="14" t="s">
        <v>475</v>
      </c>
      <c r="AQ19" s="15">
        <v>0.02</v>
      </c>
    </row>
    <row r="20" spans="1:43" x14ac:dyDescent="0.35">
      <c r="A20" s="19"/>
      <c r="B20" s="11" t="s">
        <v>1645</v>
      </c>
      <c r="C20" s="12">
        <v>61</v>
      </c>
      <c r="D20" s="12">
        <v>1</v>
      </c>
      <c r="E20" s="12">
        <v>1</v>
      </c>
      <c r="F20" s="12">
        <v>4</v>
      </c>
      <c r="G20" s="12">
        <v>2</v>
      </c>
      <c r="H20" s="12">
        <v>1</v>
      </c>
      <c r="I20" s="12">
        <v>1</v>
      </c>
      <c r="J20" s="12">
        <v>0</v>
      </c>
      <c r="K20" s="12">
        <v>5</v>
      </c>
      <c r="L20" s="12">
        <v>3</v>
      </c>
      <c r="M20" s="12">
        <v>3</v>
      </c>
      <c r="N20" s="12">
        <v>1</v>
      </c>
      <c r="O20" s="12">
        <v>3</v>
      </c>
      <c r="P20" s="12">
        <v>4</v>
      </c>
      <c r="Q20" s="12">
        <v>3</v>
      </c>
      <c r="R20" s="12">
        <v>0</v>
      </c>
      <c r="S20" s="12">
        <v>8</v>
      </c>
      <c r="T20" s="12">
        <v>0</v>
      </c>
      <c r="U20" s="12">
        <v>3</v>
      </c>
      <c r="V20" s="12">
        <v>2</v>
      </c>
      <c r="W20" s="12">
        <v>0</v>
      </c>
      <c r="X20" s="12">
        <v>6</v>
      </c>
      <c r="Y20" s="12">
        <v>1</v>
      </c>
      <c r="Z20" s="12">
        <v>2</v>
      </c>
      <c r="AA20" s="12">
        <v>3</v>
      </c>
      <c r="AB20" s="12">
        <v>3</v>
      </c>
      <c r="AC20" s="12">
        <v>2</v>
      </c>
      <c r="AD20" s="12">
        <v>2</v>
      </c>
      <c r="AE20" s="12">
        <v>7</v>
      </c>
      <c r="AF20" s="12">
        <v>7</v>
      </c>
      <c r="AG20" s="12">
        <v>34</v>
      </c>
      <c r="AH20" s="12">
        <v>2</v>
      </c>
      <c r="AI20" s="12">
        <v>2</v>
      </c>
      <c r="AJ20" s="12">
        <v>4</v>
      </c>
      <c r="AK20" s="12">
        <v>0</v>
      </c>
      <c r="AL20" s="12">
        <v>11</v>
      </c>
      <c r="AM20" s="12">
        <v>3</v>
      </c>
      <c r="AN20" s="12">
        <v>0</v>
      </c>
      <c r="AO20" s="12">
        <v>15</v>
      </c>
      <c r="AP20" s="12">
        <v>1</v>
      </c>
      <c r="AQ20" s="12">
        <v>9</v>
      </c>
    </row>
    <row r="21" spans="1:43" x14ac:dyDescent="0.35">
      <c r="A21" s="19"/>
      <c r="B21" s="13" t="s">
        <v>1645</v>
      </c>
      <c r="C21" s="14" t="s">
        <v>475</v>
      </c>
      <c r="D21" s="14" t="s">
        <v>475</v>
      </c>
      <c r="E21" s="14" t="s">
        <v>475</v>
      </c>
      <c r="F21" s="14" t="s">
        <v>475</v>
      </c>
      <c r="G21" s="14" t="s">
        <v>475</v>
      </c>
      <c r="H21" s="14" t="s">
        <v>475</v>
      </c>
      <c r="I21" s="14" t="s">
        <v>475</v>
      </c>
      <c r="J21" s="14" t="s">
        <v>475</v>
      </c>
      <c r="K21" s="15">
        <v>0.01</v>
      </c>
      <c r="L21" s="14" t="s">
        <v>475</v>
      </c>
      <c r="M21" s="15">
        <v>0.01</v>
      </c>
      <c r="N21" s="14" t="s">
        <v>475</v>
      </c>
      <c r="O21" s="14" t="s">
        <v>475</v>
      </c>
      <c r="P21" s="14" t="s">
        <v>475</v>
      </c>
      <c r="Q21" s="14" t="s">
        <v>475</v>
      </c>
      <c r="R21" s="14" t="s">
        <v>475</v>
      </c>
      <c r="S21" s="15">
        <v>0.01</v>
      </c>
      <c r="T21" s="14" t="s">
        <v>475</v>
      </c>
      <c r="U21" s="15">
        <v>0.01</v>
      </c>
      <c r="V21" s="14" t="s">
        <v>475</v>
      </c>
      <c r="W21" s="14" t="s">
        <v>475</v>
      </c>
      <c r="X21" s="14" t="s">
        <v>475</v>
      </c>
      <c r="Y21" s="14" t="s">
        <v>475</v>
      </c>
      <c r="Z21" s="14" t="s">
        <v>475</v>
      </c>
      <c r="AA21" s="14" t="s">
        <v>475</v>
      </c>
      <c r="AB21" s="14" t="s">
        <v>475</v>
      </c>
      <c r="AC21" s="14" t="s">
        <v>475</v>
      </c>
      <c r="AD21" s="14" t="s">
        <v>475</v>
      </c>
      <c r="AE21" s="15">
        <v>0.01</v>
      </c>
      <c r="AF21" s="15">
        <v>0.01</v>
      </c>
      <c r="AG21" s="15">
        <v>0.03</v>
      </c>
      <c r="AH21" s="14" t="s">
        <v>475</v>
      </c>
      <c r="AI21" s="14" t="s">
        <v>475</v>
      </c>
      <c r="AJ21" s="14" t="s">
        <v>475</v>
      </c>
      <c r="AK21" s="14" t="s">
        <v>475</v>
      </c>
      <c r="AL21" s="15">
        <v>0.01</v>
      </c>
      <c r="AM21" s="14" t="s">
        <v>475</v>
      </c>
      <c r="AN21" s="14" t="s">
        <v>475</v>
      </c>
      <c r="AO21" s="15">
        <v>0.01</v>
      </c>
      <c r="AP21" s="14" t="s">
        <v>475</v>
      </c>
      <c r="AQ21" s="15">
        <v>0.01</v>
      </c>
    </row>
    <row r="22" spans="1:43" x14ac:dyDescent="0.35">
      <c r="A22" s="19"/>
      <c r="B22" s="11" t="s">
        <v>1475</v>
      </c>
      <c r="C22" s="12">
        <v>0.22</v>
      </c>
      <c r="D22" s="12">
        <v>0.22</v>
      </c>
      <c r="E22" s="12">
        <v>0.21</v>
      </c>
      <c r="F22" s="12">
        <v>0.25</v>
      </c>
      <c r="G22" s="12">
        <v>0.28000000000000003</v>
      </c>
      <c r="H22" s="12">
        <v>0.16</v>
      </c>
      <c r="I22" s="12">
        <v>0.16</v>
      </c>
      <c r="J22" s="12">
        <v>0.14000000000000001</v>
      </c>
      <c r="K22" s="12">
        <v>0.27</v>
      </c>
      <c r="L22" s="12">
        <v>0.37</v>
      </c>
      <c r="M22" s="12">
        <v>0.19</v>
      </c>
      <c r="N22" s="12">
        <v>0.2</v>
      </c>
      <c r="O22" s="12">
        <v>0.23</v>
      </c>
      <c r="P22" s="12">
        <v>0.23</v>
      </c>
      <c r="Q22" s="12">
        <v>0.2</v>
      </c>
      <c r="R22" s="12">
        <v>0.32</v>
      </c>
      <c r="S22" s="12">
        <v>0.3</v>
      </c>
      <c r="T22" s="12">
        <v>0.19</v>
      </c>
      <c r="U22" s="12">
        <v>0.43</v>
      </c>
      <c r="V22" s="12">
        <v>0.2</v>
      </c>
      <c r="W22" s="12">
        <v>0.24</v>
      </c>
      <c r="X22" s="12">
        <v>0.28000000000000003</v>
      </c>
      <c r="Y22" s="12">
        <v>0.23</v>
      </c>
      <c r="Z22" s="12">
        <v>0.27</v>
      </c>
      <c r="AA22" s="12">
        <v>0.22</v>
      </c>
      <c r="AB22" s="12">
        <v>0.19</v>
      </c>
      <c r="AC22" s="12">
        <v>0.28999999999999998</v>
      </c>
      <c r="AD22" s="12">
        <v>0.34</v>
      </c>
      <c r="AE22" s="12">
        <v>0.27</v>
      </c>
      <c r="AF22" s="12">
        <v>0.26</v>
      </c>
      <c r="AG22" s="12">
        <v>3.54</v>
      </c>
      <c r="AH22" s="12">
        <v>0.36</v>
      </c>
      <c r="AI22" s="12">
        <v>0.59</v>
      </c>
      <c r="AJ22" s="12">
        <v>0.31</v>
      </c>
      <c r="AK22" s="12">
        <v>0.37</v>
      </c>
      <c r="AL22" s="12">
        <v>0.56000000000000005</v>
      </c>
      <c r="AM22" s="12">
        <v>0.27</v>
      </c>
      <c r="AN22" s="12">
        <v>0.26</v>
      </c>
      <c r="AO22" s="12">
        <v>0.56000000000000005</v>
      </c>
      <c r="AP22" s="12">
        <v>0.19</v>
      </c>
      <c r="AQ22" s="12">
        <v>0.56000000000000005</v>
      </c>
    </row>
    <row r="23" spans="1:43" x14ac:dyDescent="0.35">
      <c r="A23" s="19"/>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Q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399</v>
      </c>
      <c r="C3" s="18"/>
      <c r="D3" s="18"/>
      <c r="E3" s="18"/>
      <c r="F3" s="18"/>
      <c r="H3" s="18" t="s">
        <v>400</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1646</v>
      </c>
      <c r="C12" s="12">
        <v>23625</v>
      </c>
      <c r="D12" s="12">
        <v>877</v>
      </c>
      <c r="E12" s="12">
        <v>910</v>
      </c>
      <c r="F12" s="12">
        <v>988</v>
      </c>
      <c r="G12" s="12">
        <v>901</v>
      </c>
      <c r="H12" s="12">
        <v>1130</v>
      </c>
      <c r="I12" s="12">
        <v>1396</v>
      </c>
      <c r="J12" s="12">
        <v>266</v>
      </c>
      <c r="K12" s="12">
        <v>861</v>
      </c>
      <c r="L12" s="12">
        <v>833</v>
      </c>
      <c r="M12" s="12">
        <v>916</v>
      </c>
      <c r="N12" s="12">
        <v>889</v>
      </c>
      <c r="O12" s="12">
        <v>885</v>
      </c>
      <c r="P12" s="12">
        <v>883</v>
      </c>
      <c r="Q12" s="12">
        <v>946</v>
      </c>
      <c r="R12" s="12">
        <v>462</v>
      </c>
      <c r="S12" s="12">
        <v>875</v>
      </c>
      <c r="T12" s="12">
        <v>900</v>
      </c>
      <c r="U12" s="12">
        <v>433</v>
      </c>
      <c r="V12" s="12">
        <v>907</v>
      </c>
      <c r="W12" s="12">
        <v>441</v>
      </c>
      <c r="X12" s="12">
        <v>880</v>
      </c>
      <c r="Y12" s="12">
        <v>857</v>
      </c>
      <c r="Z12" s="12">
        <v>904</v>
      </c>
      <c r="AA12" s="12">
        <v>903</v>
      </c>
      <c r="AB12" s="12">
        <v>919</v>
      </c>
      <c r="AC12" s="12">
        <v>863</v>
      </c>
      <c r="AD12" s="12">
        <v>838</v>
      </c>
      <c r="AE12" s="12">
        <v>902</v>
      </c>
      <c r="AF12" s="12">
        <v>924</v>
      </c>
      <c r="AG12" s="12">
        <v>677</v>
      </c>
      <c r="AH12" s="12">
        <v>808</v>
      </c>
      <c r="AI12" s="12">
        <v>340</v>
      </c>
      <c r="AJ12" s="12">
        <v>851</v>
      </c>
      <c r="AK12" s="12">
        <v>859</v>
      </c>
      <c r="AL12" s="12">
        <v>872</v>
      </c>
      <c r="AM12" s="12">
        <v>904</v>
      </c>
      <c r="AN12" s="12">
        <v>883</v>
      </c>
      <c r="AO12" s="12">
        <v>791</v>
      </c>
      <c r="AP12" s="12">
        <v>440</v>
      </c>
      <c r="AQ12" s="12">
        <v>776</v>
      </c>
    </row>
    <row r="13" spans="1:43" x14ac:dyDescent="0.35">
      <c r="A13" s="19"/>
      <c r="B13" s="13" t="s">
        <v>1646</v>
      </c>
      <c r="C13" s="15">
        <v>0.89</v>
      </c>
      <c r="D13" s="15">
        <v>0.87</v>
      </c>
      <c r="E13" s="15">
        <v>0.88</v>
      </c>
      <c r="F13" s="15">
        <v>0.9</v>
      </c>
      <c r="G13" s="15">
        <v>0.9</v>
      </c>
      <c r="H13" s="15">
        <v>0.93</v>
      </c>
      <c r="I13" s="15">
        <v>0.92</v>
      </c>
      <c r="J13" s="15">
        <v>0.9</v>
      </c>
      <c r="K13" s="15">
        <v>0.86</v>
      </c>
      <c r="L13" s="15">
        <v>0.83000000000000007</v>
      </c>
      <c r="M13" s="15">
        <v>0.91</v>
      </c>
      <c r="N13" s="15">
        <v>0.89</v>
      </c>
      <c r="O13" s="15">
        <v>0.88</v>
      </c>
      <c r="P13" s="15">
        <v>0.88</v>
      </c>
      <c r="Q13" s="15">
        <v>0.92</v>
      </c>
      <c r="R13" s="15">
        <v>0.91</v>
      </c>
      <c r="S13" s="15">
        <v>0.87</v>
      </c>
      <c r="T13" s="15">
        <v>0.89</v>
      </c>
      <c r="U13" s="15">
        <v>0.86</v>
      </c>
      <c r="V13" s="15">
        <v>0.9</v>
      </c>
      <c r="W13" s="15">
        <v>0.87</v>
      </c>
      <c r="X13" s="15">
        <v>0.87</v>
      </c>
      <c r="Y13" s="15">
        <v>0.85</v>
      </c>
      <c r="Z13" s="15">
        <v>0.88</v>
      </c>
      <c r="AA13" s="15">
        <v>0.88</v>
      </c>
      <c r="AB13" s="15">
        <v>0.88</v>
      </c>
      <c r="AC13" s="15">
        <v>0.86</v>
      </c>
      <c r="AD13" s="15">
        <v>0.84</v>
      </c>
      <c r="AE13" s="15">
        <v>0.89</v>
      </c>
      <c r="AF13" s="15">
        <v>0.89</v>
      </c>
      <c r="AG13" s="15">
        <v>0.65</v>
      </c>
      <c r="AH13" s="15">
        <v>0.8</v>
      </c>
      <c r="AI13" s="15">
        <v>0.65</v>
      </c>
      <c r="AJ13" s="15">
        <v>0.82000000000000006</v>
      </c>
      <c r="AK13" s="15">
        <v>0.85</v>
      </c>
      <c r="AL13" s="15">
        <v>0.86</v>
      </c>
      <c r="AM13" s="15">
        <v>0.87</v>
      </c>
      <c r="AN13" s="15">
        <v>0.88</v>
      </c>
      <c r="AO13" s="15">
        <v>0.79</v>
      </c>
      <c r="AP13" s="15">
        <v>0.84</v>
      </c>
      <c r="AQ13" s="15">
        <v>0.77</v>
      </c>
    </row>
    <row r="14" spans="1:43" x14ac:dyDescent="0.35">
      <c r="A14" s="19"/>
      <c r="B14" s="11" t="s">
        <v>1642</v>
      </c>
      <c r="C14" s="12">
        <v>2218</v>
      </c>
      <c r="D14" s="12">
        <v>110</v>
      </c>
      <c r="E14" s="12">
        <v>96</v>
      </c>
      <c r="F14" s="12">
        <v>88</v>
      </c>
      <c r="G14" s="12">
        <v>83</v>
      </c>
      <c r="H14" s="12">
        <v>60</v>
      </c>
      <c r="I14" s="12">
        <v>85</v>
      </c>
      <c r="J14" s="12">
        <v>25</v>
      </c>
      <c r="K14" s="12">
        <v>116</v>
      </c>
      <c r="L14" s="12">
        <v>113</v>
      </c>
      <c r="M14" s="12">
        <v>70</v>
      </c>
      <c r="N14" s="12">
        <v>95</v>
      </c>
      <c r="O14" s="12">
        <v>96</v>
      </c>
      <c r="P14" s="12">
        <v>93</v>
      </c>
      <c r="Q14" s="12">
        <v>67</v>
      </c>
      <c r="R14" s="12">
        <v>39</v>
      </c>
      <c r="S14" s="12">
        <v>99</v>
      </c>
      <c r="T14" s="12">
        <v>88</v>
      </c>
      <c r="U14" s="12">
        <v>53</v>
      </c>
      <c r="V14" s="12">
        <v>81</v>
      </c>
      <c r="W14" s="12">
        <v>57</v>
      </c>
      <c r="X14" s="12">
        <v>95</v>
      </c>
      <c r="Y14" s="12">
        <v>112</v>
      </c>
      <c r="Z14" s="12">
        <v>100</v>
      </c>
      <c r="AA14" s="12">
        <v>103</v>
      </c>
      <c r="AB14" s="12">
        <v>110</v>
      </c>
      <c r="AC14" s="12">
        <v>109</v>
      </c>
      <c r="AD14" s="12">
        <v>134</v>
      </c>
      <c r="AE14" s="12">
        <v>68</v>
      </c>
      <c r="AF14" s="12">
        <v>91</v>
      </c>
      <c r="AG14" s="12">
        <v>287</v>
      </c>
      <c r="AH14" s="12">
        <v>142</v>
      </c>
      <c r="AI14" s="12">
        <v>136</v>
      </c>
      <c r="AJ14" s="12">
        <v>141</v>
      </c>
      <c r="AK14" s="12">
        <v>124</v>
      </c>
      <c r="AL14" s="12">
        <v>106</v>
      </c>
      <c r="AM14" s="12">
        <v>100</v>
      </c>
      <c r="AN14" s="12">
        <v>93</v>
      </c>
      <c r="AO14" s="12">
        <v>144</v>
      </c>
      <c r="AP14" s="12">
        <v>69</v>
      </c>
      <c r="AQ14" s="12">
        <v>169</v>
      </c>
    </row>
    <row r="15" spans="1:43" x14ac:dyDescent="0.35">
      <c r="A15" s="19"/>
      <c r="B15" s="13" t="s">
        <v>1642</v>
      </c>
      <c r="C15" s="15">
        <v>0.09</v>
      </c>
      <c r="D15" s="15">
        <v>0.11</v>
      </c>
      <c r="E15" s="15">
        <v>0.1</v>
      </c>
      <c r="F15" s="15">
        <v>0.08</v>
      </c>
      <c r="G15" s="15">
        <v>0.08</v>
      </c>
      <c r="H15" s="15">
        <v>0.05</v>
      </c>
      <c r="I15" s="15">
        <v>0.06</v>
      </c>
      <c r="J15" s="15">
        <v>0.09</v>
      </c>
      <c r="K15" s="15">
        <v>0.12</v>
      </c>
      <c r="L15" s="15">
        <v>0.11</v>
      </c>
      <c r="M15" s="15">
        <v>7.0000000000000007E-2</v>
      </c>
      <c r="N15" s="15">
        <v>0.09</v>
      </c>
      <c r="O15" s="15">
        <v>0.1</v>
      </c>
      <c r="P15" s="15">
        <v>0.09</v>
      </c>
      <c r="Q15" s="15">
        <v>7.0000000000000007E-2</v>
      </c>
      <c r="R15" s="15">
        <v>0.08</v>
      </c>
      <c r="S15" s="15">
        <v>0.1</v>
      </c>
      <c r="T15" s="15">
        <v>0.09</v>
      </c>
      <c r="U15" s="15">
        <v>0.11</v>
      </c>
      <c r="V15" s="15">
        <v>0.08</v>
      </c>
      <c r="W15" s="15">
        <v>0.11</v>
      </c>
      <c r="X15" s="15">
        <v>0.09</v>
      </c>
      <c r="Y15" s="15">
        <v>0.11</v>
      </c>
      <c r="Z15" s="15">
        <v>0.1</v>
      </c>
      <c r="AA15" s="15">
        <v>0.1</v>
      </c>
      <c r="AB15" s="15">
        <v>0.1</v>
      </c>
      <c r="AC15" s="15">
        <v>0.11</v>
      </c>
      <c r="AD15" s="15">
        <v>0.13</v>
      </c>
      <c r="AE15" s="15">
        <v>7.0000000000000007E-2</v>
      </c>
      <c r="AF15" s="15">
        <v>0.09</v>
      </c>
      <c r="AG15" s="15">
        <v>0.28000000000000003</v>
      </c>
      <c r="AH15" s="15">
        <v>0.14000000000000001</v>
      </c>
      <c r="AI15" s="15">
        <v>0.26</v>
      </c>
      <c r="AJ15" s="15">
        <v>0.14000000000000001</v>
      </c>
      <c r="AK15" s="15">
        <v>0.12</v>
      </c>
      <c r="AL15" s="15">
        <v>0.11</v>
      </c>
      <c r="AM15" s="15">
        <v>0.1</v>
      </c>
      <c r="AN15" s="15">
        <v>0.09</v>
      </c>
      <c r="AO15" s="15">
        <v>0.14000000000000001</v>
      </c>
      <c r="AP15" s="15">
        <v>0.13</v>
      </c>
      <c r="AQ15" s="15">
        <v>0.17</v>
      </c>
    </row>
    <row r="16" spans="1:43" x14ac:dyDescent="0.35">
      <c r="A16" s="19"/>
      <c r="B16" s="11" t="s">
        <v>1643</v>
      </c>
      <c r="C16" s="12">
        <v>501</v>
      </c>
      <c r="D16" s="12">
        <v>23</v>
      </c>
      <c r="E16" s="12">
        <v>20</v>
      </c>
      <c r="F16" s="12">
        <v>19</v>
      </c>
      <c r="G16" s="12">
        <v>22</v>
      </c>
      <c r="H16" s="12">
        <v>26</v>
      </c>
      <c r="I16" s="12">
        <v>30</v>
      </c>
      <c r="J16" s="12">
        <v>4</v>
      </c>
      <c r="K16" s="12">
        <v>21</v>
      </c>
      <c r="L16" s="12">
        <v>47</v>
      </c>
      <c r="M16" s="12">
        <v>18</v>
      </c>
      <c r="N16" s="12">
        <v>19</v>
      </c>
      <c r="O16" s="12">
        <v>12</v>
      </c>
      <c r="P16" s="12">
        <v>24</v>
      </c>
      <c r="Q16" s="12">
        <v>13</v>
      </c>
      <c r="R16" s="12">
        <v>4</v>
      </c>
      <c r="S16" s="12">
        <v>24</v>
      </c>
      <c r="T16" s="12">
        <v>15</v>
      </c>
      <c r="U16" s="12">
        <v>18</v>
      </c>
      <c r="V16" s="12">
        <v>23</v>
      </c>
      <c r="W16" s="12">
        <v>9</v>
      </c>
      <c r="X16" s="12">
        <v>28</v>
      </c>
      <c r="Y16" s="12">
        <v>25</v>
      </c>
      <c r="Z16" s="12">
        <v>27</v>
      </c>
      <c r="AA16" s="12">
        <v>22</v>
      </c>
      <c r="AB16" s="12">
        <v>14</v>
      </c>
      <c r="AC16" s="12">
        <v>27</v>
      </c>
      <c r="AD16" s="12">
        <v>32</v>
      </c>
      <c r="AE16" s="12">
        <v>33</v>
      </c>
      <c r="AF16" s="12">
        <v>27</v>
      </c>
      <c r="AG16" s="12">
        <v>21</v>
      </c>
      <c r="AH16" s="12">
        <v>59</v>
      </c>
      <c r="AI16" s="12">
        <v>46</v>
      </c>
      <c r="AJ16" s="12">
        <v>43</v>
      </c>
      <c r="AK16" s="12">
        <v>24</v>
      </c>
      <c r="AL16" s="12">
        <v>28</v>
      </c>
      <c r="AM16" s="12">
        <v>31</v>
      </c>
      <c r="AN16" s="12">
        <v>23</v>
      </c>
      <c r="AO16" s="12">
        <v>57</v>
      </c>
      <c r="AP16" s="12">
        <v>14</v>
      </c>
      <c r="AQ16" s="12">
        <v>48</v>
      </c>
    </row>
    <row r="17" spans="1:43" x14ac:dyDescent="0.35">
      <c r="A17" s="19"/>
      <c r="B17" s="13" t="s">
        <v>1643</v>
      </c>
      <c r="C17" s="15">
        <v>0.02</v>
      </c>
      <c r="D17" s="15">
        <v>0.02</v>
      </c>
      <c r="E17" s="15">
        <v>0.02</v>
      </c>
      <c r="F17" s="15">
        <v>0.02</v>
      </c>
      <c r="G17" s="15">
        <v>0.02</v>
      </c>
      <c r="H17" s="15">
        <v>0.02</v>
      </c>
      <c r="I17" s="15">
        <v>0.02</v>
      </c>
      <c r="J17" s="15">
        <v>0.01</v>
      </c>
      <c r="K17" s="15">
        <v>0.02</v>
      </c>
      <c r="L17" s="15">
        <v>0.05</v>
      </c>
      <c r="M17" s="15">
        <v>0.02</v>
      </c>
      <c r="N17" s="15">
        <v>0.02</v>
      </c>
      <c r="O17" s="15">
        <v>0.01</v>
      </c>
      <c r="P17" s="15">
        <v>0.03</v>
      </c>
      <c r="Q17" s="15">
        <v>0.01</v>
      </c>
      <c r="R17" s="15">
        <v>0.01</v>
      </c>
      <c r="S17" s="15">
        <v>0.03</v>
      </c>
      <c r="T17" s="15">
        <v>0.02</v>
      </c>
      <c r="U17" s="15">
        <v>0.03</v>
      </c>
      <c r="V17" s="15">
        <v>0.02</v>
      </c>
      <c r="W17" s="15">
        <v>0.02</v>
      </c>
      <c r="X17" s="15">
        <v>0.03</v>
      </c>
      <c r="Y17" s="15">
        <v>0.03</v>
      </c>
      <c r="Z17" s="15">
        <v>0.02</v>
      </c>
      <c r="AA17" s="15">
        <v>0.02</v>
      </c>
      <c r="AB17" s="15">
        <v>0.01</v>
      </c>
      <c r="AC17" s="15">
        <v>0.03</v>
      </c>
      <c r="AD17" s="15">
        <v>0.03</v>
      </c>
      <c r="AE17" s="15">
        <v>0.03</v>
      </c>
      <c r="AF17" s="15">
        <v>0.02</v>
      </c>
      <c r="AG17" s="15">
        <v>0.02</v>
      </c>
      <c r="AH17" s="15">
        <v>0.06</v>
      </c>
      <c r="AI17" s="15">
        <v>0.09</v>
      </c>
      <c r="AJ17" s="15">
        <v>0.04</v>
      </c>
      <c r="AK17" s="15">
        <v>0.03</v>
      </c>
      <c r="AL17" s="15">
        <v>0.03</v>
      </c>
      <c r="AM17" s="15">
        <v>0.03</v>
      </c>
      <c r="AN17" s="15">
        <v>0.03</v>
      </c>
      <c r="AO17" s="15">
        <v>0.06</v>
      </c>
      <c r="AP17" s="15">
        <v>0.03</v>
      </c>
      <c r="AQ17" s="15">
        <v>0.05</v>
      </c>
    </row>
    <row r="18" spans="1:43" x14ac:dyDescent="0.35">
      <c r="A18" s="19"/>
      <c r="B18" s="11" t="s">
        <v>1644</v>
      </c>
      <c r="C18" s="12">
        <v>41</v>
      </c>
      <c r="D18" s="12">
        <v>1</v>
      </c>
      <c r="E18" s="12">
        <v>2</v>
      </c>
      <c r="F18" s="12">
        <v>1</v>
      </c>
      <c r="G18" s="12">
        <v>0</v>
      </c>
      <c r="H18" s="12">
        <v>0</v>
      </c>
      <c r="I18" s="12">
        <v>0</v>
      </c>
      <c r="J18" s="12">
        <v>0</v>
      </c>
      <c r="K18" s="12">
        <v>3</v>
      </c>
      <c r="L18" s="12">
        <v>8</v>
      </c>
      <c r="M18" s="12">
        <v>2</v>
      </c>
      <c r="N18" s="12">
        <v>1</v>
      </c>
      <c r="O18" s="12">
        <v>5</v>
      </c>
      <c r="P18" s="12">
        <v>1</v>
      </c>
      <c r="Q18" s="12">
        <v>0</v>
      </c>
      <c r="R18" s="12">
        <v>0</v>
      </c>
      <c r="S18" s="12">
        <v>1</v>
      </c>
      <c r="T18" s="12">
        <v>0</v>
      </c>
      <c r="U18" s="12">
        <v>0</v>
      </c>
      <c r="V18" s="12">
        <v>2</v>
      </c>
      <c r="W18" s="12">
        <v>0</v>
      </c>
      <c r="X18" s="12">
        <v>0</v>
      </c>
      <c r="Y18" s="12">
        <v>3</v>
      </c>
      <c r="Z18" s="12">
        <v>0</v>
      </c>
      <c r="AA18" s="12">
        <v>3</v>
      </c>
      <c r="AB18" s="12">
        <v>3</v>
      </c>
      <c r="AC18" s="12">
        <v>2</v>
      </c>
      <c r="AD18" s="12">
        <v>1</v>
      </c>
      <c r="AE18" s="12">
        <v>9</v>
      </c>
      <c r="AF18" s="12">
        <v>1</v>
      </c>
      <c r="AG18" s="12">
        <v>0</v>
      </c>
      <c r="AH18" s="12">
        <v>1</v>
      </c>
      <c r="AI18" s="12">
        <v>0</v>
      </c>
      <c r="AJ18" s="12">
        <v>0</v>
      </c>
      <c r="AK18" s="12">
        <v>0</v>
      </c>
      <c r="AL18" s="12">
        <v>3</v>
      </c>
      <c r="AM18" s="12">
        <v>1</v>
      </c>
      <c r="AN18" s="12">
        <v>3</v>
      </c>
      <c r="AO18" s="12">
        <v>9</v>
      </c>
      <c r="AP18" s="12">
        <v>0</v>
      </c>
      <c r="AQ18" s="12">
        <v>3</v>
      </c>
    </row>
    <row r="19" spans="1:43" x14ac:dyDescent="0.35">
      <c r="A19" s="19"/>
      <c r="B19" s="13" t="s">
        <v>1644</v>
      </c>
      <c r="C19" s="14" t="s">
        <v>475</v>
      </c>
      <c r="D19" s="14" t="s">
        <v>475</v>
      </c>
      <c r="E19" s="14" t="s">
        <v>475</v>
      </c>
      <c r="F19" s="14" t="s">
        <v>475</v>
      </c>
      <c r="G19" s="14" t="s">
        <v>475</v>
      </c>
      <c r="H19" s="14" t="s">
        <v>475</v>
      </c>
      <c r="I19" s="14" t="s">
        <v>475</v>
      </c>
      <c r="J19" s="14" t="s">
        <v>475</v>
      </c>
      <c r="K19" s="14" t="s">
        <v>475</v>
      </c>
      <c r="L19" s="15">
        <v>0.01</v>
      </c>
      <c r="M19" s="14" t="s">
        <v>475</v>
      </c>
      <c r="N19" s="14" t="s">
        <v>475</v>
      </c>
      <c r="O19" s="15">
        <v>0.01</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5">
        <v>0.01</v>
      </c>
      <c r="AF19" s="14" t="s">
        <v>475</v>
      </c>
      <c r="AG19" s="14" t="s">
        <v>475</v>
      </c>
      <c r="AH19" s="14" t="s">
        <v>475</v>
      </c>
      <c r="AI19" s="14" t="s">
        <v>475</v>
      </c>
      <c r="AJ19" s="14" t="s">
        <v>475</v>
      </c>
      <c r="AK19" s="14" t="s">
        <v>475</v>
      </c>
      <c r="AL19" s="14" t="s">
        <v>475</v>
      </c>
      <c r="AM19" s="14" t="s">
        <v>475</v>
      </c>
      <c r="AN19" s="14" t="s">
        <v>475</v>
      </c>
      <c r="AO19" s="15">
        <v>0.01</v>
      </c>
      <c r="AP19" s="14" t="s">
        <v>475</v>
      </c>
      <c r="AQ19" s="14" t="s">
        <v>475</v>
      </c>
    </row>
    <row r="20" spans="1:43" x14ac:dyDescent="0.35">
      <c r="A20" s="19"/>
      <c r="B20" s="11" t="s">
        <v>1645</v>
      </c>
      <c r="C20" s="12">
        <v>60</v>
      </c>
      <c r="D20" s="12">
        <v>2</v>
      </c>
      <c r="E20" s="12">
        <v>2</v>
      </c>
      <c r="F20" s="12">
        <v>6</v>
      </c>
      <c r="G20" s="12">
        <v>0</v>
      </c>
      <c r="H20" s="12">
        <v>5</v>
      </c>
      <c r="I20" s="12">
        <v>5</v>
      </c>
      <c r="J20" s="12">
        <v>0</v>
      </c>
      <c r="K20" s="12">
        <v>2</v>
      </c>
      <c r="L20" s="12">
        <v>1</v>
      </c>
      <c r="M20" s="12">
        <v>3</v>
      </c>
      <c r="N20" s="12">
        <v>0</v>
      </c>
      <c r="O20" s="12">
        <v>2</v>
      </c>
      <c r="P20" s="12">
        <v>3</v>
      </c>
      <c r="Q20" s="12">
        <v>2</v>
      </c>
      <c r="R20" s="12">
        <v>0</v>
      </c>
      <c r="S20" s="12">
        <v>2</v>
      </c>
      <c r="T20" s="12">
        <v>3</v>
      </c>
      <c r="U20" s="12">
        <v>0</v>
      </c>
      <c r="V20" s="12">
        <v>2</v>
      </c>
      <c r="W20" s="12">
        <v>0</v>
      </c>
      <c r="X20" s="12">
        <v>6</v>
      </c>
      <c r="Y20" s="12">
        <v>5</v>
      </c>
      <c r="Z20" s="12">
        <v>0</v>
      </c>
      <c r="AA20" s="12">
        <v>3</v>
      </c>
      <c r="AB20" s="12">
        <v>6</v>
      </c>
      <c r="AC20" s="12">
        <v>2</v>
      </c>
      <c r="AD20" s="12">
        <v>0</v>
      </c>
      <c r="AE20" s="12">
        <v>1</v>
      </c>
      <c r="AF20" s="12">
        <v>0</v>
      </c>
      <c r="AG20" s="12">
        <v>50</v>
      </c>
      <c r="AH20" s="12">
        <v>4</v>
      </c>
      <c r="AI20" s="12">
        <v>0</v>
      </c>
      <c r="AJ20" s="12">
        <v>2</v>
      </c>
      <c r="AK20" s="12">
        <v>0</v>
      </c>
      <c r="AL20" s="12">
        <v>4</v>
      </c>
      <c r="AM20" s="12">
        <v>4</v>
      </c>
      <c r="AN20" s="12">
        <v>1</v>
      </c>
      <c r="AO20" s="12">
        <v>4</v>
      </c>
      <c r="AP20" s="12">
        <v>2</v>
      </c>
      <c r="AQ20" s="12">
        <v>6</v>
      </c>
    </row>
    <row r="21" spans="1:43" x14ac:dyDescent="0.35">
      <c r="A21" s="19"/>
      <c r="B21" s="13" t="s">
        <v>1645</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5">
        <v>0.01</v>
      </c>
      <c r="Y21" s="15">
        <v>0.01</v>
      </c>
      <c r="Z21" s="14" t="s">
        <v>475</v>
      </c>
      <c r="AA21" s="14" t="s">
        <v>475</v>
      </c>
      <c r="AB21" s="15">
        <v>0.01</v>
      </c>
      <c r="AC21" s="14" t="s">
        <v>475</v>
      </c>
      <c r="AD21" s="14" t="s">
        <v>475</v>
      </c>
      <c r="AE21" s="14" t="s">
        <v>475</v>
      </c>
      <c r="AF21" s="14" t="s">
        <v>475</v>
      </c>
      <c r="AG21" s="15">
        <v>0.05</v>
      </c>
      <c r="AH21" s="14" t="s">
        <v>475</v>
      </c>
      <c r="AI21" s="14" t="s">
        <v>475</v>
      </c>
      <c r="AJ21" s="14" t="s">
        <v>475</v>
      </c>
      <c r="AK21" s="14" t="s">
        <v>475</v>
      </c>
      <c r="AL21" s="14" t="s">
        <v>475</v>
      </c>
      <c r="AM21" s="14" t="s">
        <v>475</v>
      </c>
      <c r="AN21" s="14" t="s">
        <v>475</v>
      </c>
      <c r="AO21" s="14" t="s">
        <v>475</v>
      </c>
      <c r="AP21" s="14" t="s">
        <v>475</v>
      </c>
      <c r="AQ21" s="15">
        <v>0.01</v>
      </c>
    </row>
    <row r="22" spans="1:43" x14ac:dyDescent="0.35">
      <c r="A22" s="19"/>
      <c r="B22" s="11" t="s">
        <v>1475</v>
      </c>
      <c r="C22" s="12">
        <v>0.14000000000000001</v>
      </c>
      <c r="D22" s="12">
        <v>0.17</v>
      </c>
      <c r="E22" s="12">
        <v>0.16</v>
      </c>
      <c r="F22" s="12">
        <v>0.16</v>
      </c>
      <c r="G22" s="12">
        <v>0.13</v>
      </c>
      <c r="H22" s="12">
        <v>0.12</v>
      </c>
      <c r="I22" s="12">
        <v>0.12</v>
      </c>
      <c r="J22" s="12">
        <v>0.11</v>
      </c>
      <c r="K22" s="12">
        <v>0.18</v>
      </c>
      <c r="L22" s="12">
        <v>0.24</v>
      </c>
      <c r="M22" s="12">
        <v>0.14000000000000001</v>
      </c>
      <c r="N22" s="12">
        <v>0.13</v>
      </c>
      <c r="O22" s="12">
        <v>0.15</v>
      </c>
      <c r="P22" s="12">
        <v>0.17</v>
      </c>
      <c r="Q22" s="12">
        <v>0.1</v>
      </c>
      <c r="R22" s="12">
        <v>0.09</v>
      </c>
      <c r="S22" s="12">
        <v>0.17</v>
      </c>
      <c r="T22" s="12">
        <v>0.14000000000000001</v>
      </c>
      <c r="U22" s="12">
        <v>0.18</v>
      </c>
      <c r="V22" s="12">
        <v>0.15</v>
      </c>
      <c r="W22" s="12">
        <v>0.15</v>
      </c>
      <c r="X22" s="12">
        <v>0.2</v>
      </c>
      <c r="Y22" s="12">
        <v>0.21</v>
      </c>
      <c r="Z22" s="12">
        <v>0.15</v>
      </c>
      <c r="AA22" s="12">
        <v>0.16</v>
      </c>
      <c r="AB22" s="12">
        <v>0.17</v>
      </c>
      <c r="AC22" s="12">
        <v>0.18</v>
      </c>
      <c r="AD22" s="12">
        <v>0.2</v>
      </c>
      <c r="AE22" s="12">
        <v>0.16</v>
      </c>
      <c r="AF22" s="12">
        <v>0.15</v>
      </c>
      <c r="AG22" s="12">
        <v>4.5999999999999996</v>
      </c>
      <c r="AH22" s="12">
        <v>0.28999999999999998</v>
      </c>
      <c r="AI22" s="12">
        <v>0.44</v>
      </c>
      <c r="AJ22" s="12">
        <v>0.24</v>
      </c>
      <c r="AK22" s="12">
        <v>0.17</v>
      </c>
      <c r="AL22" s="12">
        <v>0.28999999999999998</v>
      </c>
      <c r="AM22" s="12">
        <v>0.17</v>
      </c>
      <c r="AN22" s="12">
        <v>0.15</v>
      </c>
      <c r="AO22" s="12">
        <v>0.3</v>
      </c>
      <c r="AP22" s="12">
        <v>0.2</v>
      </c>
      <c r="AQ22" s="12">
        <v>0.32</v>
      </c>
    </row>
    <row r="23" spans="1:43" x14ac:dyDescent="0.35">
      <c r="A23" s="19"/>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401</v>
      </c>
      <c r="C3" s="18"/>
      <c r="D3" s="18"/>
      <c r="E3" s="18"/>
      <c r="F3" s="18"/>
      <c r="H3" s="18" t="s">
        <v>402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1642</v>
      </c>
      <c r="C12" s="12">
        <v>6174</v>
      </c>
      <c r="D12" s="12">
        <v>268</v>
      </c>
      <c r="E12" s="12">
        <v>158</v>
      </c>
      <c r="F12" s="12">
        <v>248</v>
      </c>
      <c r="G12" s="12">
        <v>272</v>
      </c>
      <c r="H12" s="12">
        <v>425</v>
      </c>
      <c r="I12" s="12">
        <v>536</v>
      </c>
      <c r="J12" s="12">
        <v>110</v>
      </c>
      <c r="K12" s="12">
        <v>264</v>
      </c>
      <c r="L12" s="12">
        <v>136</v>
      </c>
      <c r="M12" s="12">
        <v>164</v>
      </c>
      <c r="N12" s="12">
        <v>139</v>
      </c>
      <c r="O12" s="12">
        <v>298</v>
      </c>
      <c r="P12" s="12">
        <v>173</v>
      </c>
      <c r="Q12" s="12">
        <v>161</v>
      </c>
      <c r="R12" s="12">
        <v>70</v>
      </c>
      <c r="S12" s="12">
        <v>303</v>
      </c>
      <c r="T12" s="12">
        <v>279</v>
      </c>
      <c r="U12" s="12">
        <v>68</v>
      </c>
      <c r="V12" s="12">
        <v>202</v>
      </c>
      <c r="W12" s="12">
        <v>64</v>
      </c>
      <c r="X12" s="12">
        <v>273</v>
      </c>
      <c r="Y12" s="12">
        <v>203</v>
      </c>
      <c r="Z12" s="12">
        <v>186</v>
      </c>
      <c r="AA12" s="12">
        <v>191</v>
      </c>
      <c r="AB12" s="12">
        <v>120</v>
      </c>
      <c r="AC12" s="12">
        <v>162</v>
      </c>
      <c r="AD12" s="12">
        <v>134</v>
      </c>
      <c r="AE12" s="12">
        <v>316</v>
      </c>
      <c r="AF12" s="12">
        <v>378</v>
      </c>
      <c r="AG12" s="12">
        <v>109</v>
      </c>
      <c r="AH12" s="12">
        <v>80</v>
      </c>
      <c r="AI12" s="12">
        <v>5</v>
      </c>
      <c r="AJ12" s="12">
        <v>119</v>
      </c>
      <c r="AK12" s="12">
        <v>66</v>
      </c>
      <c r="AL12" s="12">
        <v>232</v>
      </c>
      <c r="AM12" s="12">
        <v>260</v>
      </c>
      <c r="AN12" s="12">
        <v>91</v>
      </c>
      <c r="AO12" s="12">
        <v>26</v>
      </c>
      <c r="AP12" s="12">
        <v>80</v>
      </c>
      <c r="AQ12" s="12">
        <v>79</v>
      </c>
    </row>
    <row r="13" spans="1:43" x14ac:dyDescent="0.35">
      <c r="A13" s="19"/>
      <c r="B13" s="13" t="s">
        <v>1642</v>
      </c>
      <c r="C13" s="15">
        <v>0.23</v>
      </c>
      <c r="D13" s="15">
        <v>0.26</v>
      </c>
      <c r="E13" s="15">
        <v>0.15</v>
      </c>
      <c r="F13" s="15">
        <v>0.23</v>
      </c>
      <c r="G13" s="15">
        <v>0.27</v>
      </c>
      <c r="H13" s="15">
        <v>0.35</v>
      </c>
      <c r="I13" s="15">
        <v>0.35</v>
      </c>
      <c r="J13" s="15">
        <v>0.37</v>
      </c>
      <c r="K13" s="15">
        <v>0.26</v>
      </c>
      <c r="L13" s="15">
        <v>0.14000000000000001</v>
      </c>
      <c r="M13" s="15">
        <v>0.16</v>
      </c>
      <c r="N13" s="15">
        <v>0.14000000000000001</v>
      </c>
      <c r="O13" s="15">
        <v>0.3</v>
      </c>
      <c r="P13" s="15">
        <v>0.17</v>
      </c>
      <c r="Q13" s="15">
        <v>0.16</v>
      </c>
      <c r="R13" s="15">
        <v>0.14000000000000001</v>
      </c>
      <c r="S13" s="15">
        <v>0.3</v>
      </c>
      <c r="T13" s="15">
        <v>0.28000000000000003</v>
      </c>
      <c r="U13" s="15">
        <v>0.14000000000000001</v>
      </c>
      <c r="V13" s="15">
        <v>0.2</v>
      </c>
      <c r="W13" s="15">
        <v>0.13</v>
      </c>
      <c r="X13" s="15">
        <v>0.27</v>
      </c>
      <c r="Y13" s="15">
        <v>0.2</v>
      </c>
      <c r="Z13" s="15">
        <v>0.18</v>
      </c>
      <c r="AA13" s="15">
        <v>0.18</v>
      </c>
      <c r="AB13" s="15">
        <v>0.12</v>
      </c>
      <c r="AC13" s="15">
        <v>0.16</v>
      </c>
      <c r="AD13" s="15">
        <v>0.13</v>
      </c>
      <c r="AE13" s="15">
        <v>0.31</v>
      </c>
      <c r="AF13" s="15">
        <v>0.36</v>
      </c>
      <c r="AG13" s="15">
        <v>0.1</v>
      </c>
      <c r="AH13" s="15">
        <v>0.08</v>
      </c>
      <c r="AI13" s="15">
        <v>0.01</v>
      </c>
      <c r="AJ13" s="15">
        <v>0.11</v>
      </c>
      <c r="AK13" s="15">
        <v>0.06</v>
      </c>
      <c r="AL13" s="15">
        <v>0.23</v>
      </c>
      <c r="AM13" s="15">
        <v>0.25</v>
      </c>
      <c r="AN13" s="15">
        <v>0.09</v>
      </c>
      <c r="AO13" s="15">
        <v>0.03</v>
      </c>
      <c r="AP13" s="15">
        <v>0.15</v>
      </c>
      <c r="AQ13" s="15">
        <v>0.08</v>
      </c>
    </row>
    <row r="14" spans="1:43" x14ac:dyDescent="0.35">
      <c r="A14" s="19"/>
      <c r="B14" s="11" t="s">
        <v>1643</v>
      </c>
      <c r="C14" s="12">
        <v>9869</v>
      </c>
      <c r="D14" s="12">
        <v>334</v>
      </c>
      <c r="E14" s="12">
        <v>398</v>
      </c>
      <c r="F14" s="12">
        <v>400</v>
      </c>
      <c r="G14" s="12">
        <v>386</v>
      </c>
      <c r="H14" s="12">
        <v>452</v>
      </c>
      <c r="I14" s="12">
        <v>576</v>
      </c>
      <c r="J14" s="12">
        <v>124</v>
      </c>
      <c r="K14" s="12">
        <v>360</v>
      </c>
      <c r="L14" s="12">
        <v>282</v>
      </c>
      <c r="M14" s="12">
        <v>378</v>
      </c>
      <c r="N14" s="12">
        <v>389</v>
      </c>
      <c r="O14" s="12">
        <v>348</v>
      </c>
      <c r="P14" s="12">
        <v>348</v>
      </c>
      <c r="Q14" s="12">
        <v>391</v>
      </c>
      <c r="R14" s="12">
        <v>156</v>
      </c>
      <c r="S14" s="12">
        <v>341</v>
      </c>
      <c r="T14" s="12">
        <v>392</v>
      </c>
      <c r="U14" s="12">
        <v>159</v>
      </c>
      <c r="V14" s="12">
        <v>446</v>
      </c>
      <c r="W14" s="12">
        <v>174</v>
      </c>
      <c r="X14" s="12">
        <v>340</v>
      </c>
      <c r="Y14" s="12">
        <v>448</v>
      </c>
      <c r="Z14" s="12">
        <v>423</v>
      </c>
      <c r="AA14" s="12">
        <v>326</v>
      </c>
      <c r="AB14" s="12">
        <v>412</v>
      </c>
      <c r="AC14" s="12">
        <v>302</v>
      </c>
      <c r="AD14" s="12">
        <v>311</v>
      </c>
      <c r="AE14" s="12">
        <v>406</v>
      </c>
      <c r="AF14" s="12">
        <v>353</v>
      </c>
      <c r="AG14" s="12">
        <v>173</v>
      </c>
      <c r="AH14" s="12">
        <v>275</v>
      </c>
      <c r="AI14" s="12">
        <v>60</v>
      </c>
      <c r="AJ14" s="12">
        <v>284</v>
      </c>
      <c r="AK14" s="12">
        <v>279</v>
      </c>
      <c r="AL14" s="12">
        <v>361</v>
      </c>
      <c r="AM14" s="12">
        <v>343</v>
      </c>
      <c r="AN14" s="12">
        <v>336</v>
      </c>
      <c r="AO14" s="12">
        <v>123</v>
      </c>
      <c r="AP14" s="12">
        <v>104</v>
      </c>
      <c r="AQ14" s="12">
        <v>186</v>
      </c>
    </row>
    <row r="15" spans="1:43" x14ac:dyDescent="0.35">
      <c r="A15" s="19"/>
      <c r="B15" s="13" t="s">
        <v>1643</v>
      </c>
      <c r="C15" s="15">
        <v>0.37</v>
      </c>
      <c r="D15" s="15">
        <v>0.33</v>
      </c>
      <c r="E15" s="15">
        <v>0.39</v>
      </c>
      <c r="F15" s="15">
        <v>0.36</v>
      </c>
      <c r="G15" s="15">
        <v>0.38</v>
      </c>
      <c r="H15" s="15">
        <v>0.37</v>
      </c>
      <c r="I15" s="15">
        <v>0.38</v>
      </c>
      <c r="J15" s="15">
        <v>0.42</v>
      </c>
      <c r="K15" s="15">
        <v>0.36</v>
      </c>
      <c r="L15" s="15">
        <v>0.28000000000000003</v>
      </c>
      <c r="M15" s="15">
        <v>0.38</v>
      </c>
      <c r="N15" s="15">
        <v>0.39</v>
      </c>
      <c r="O15" s="15">
        <v>0.35</v>
      </c>
      <c r="P15" s="15">
        <v>0.35</v>
      </c>
      <c r="Q15" s="15">
        <v>0.38</v>
      </c>
      <c r="R15" s="15">
        <v>0.31</v>
      </c>
      <c r="S15" s="15">
        <v>0.34</v>
      </c>
      <c r="T15" s="15">
        <v>0.39</v>
      </c>
      <c r="U15" s="15">
        <v>0.31</v>
      </c>
      <c r="V15" s="15">
        <v>0.44</v>
      </c>
      <c r="W15" s="15">
        <v>0.34</v>
      </c>
      <c r="X15" s="15">
        <v>0.34</v>
      </c>
      <c r="Y15" s="15">
        <v>0.45</v>
      </c>
      <c r="Z15" s="15">
        <v>0.41</v>
      </c>
      <c r="AA15" s="15">
        <v>0.32</v>
      </c>
      <c r="AB15" s="15">
        <v>0.39</v>
      </c>
      <c r="AC15" s="15">
        <v>0.3</v>
      </c>
      <c r="AD15" s="15">
        <v>0.31</v>
      </c>
      <c r="AE15" s="15">
        <v>0.4</v>
      </c>
      <c r="AF15" s="15">
        <v>0.34</v>
      </c>
      <c r="AG15" s="15">
        <v>0.17</v>
      </c>
      <c r="AH15" s="15">
        <v>0.27</v>
      </c>
      <c r="AI15" s="15">
        <v>0.11</v>
      </c>
      <c r="AJ15" s="15">
        <v>0.27</v>
      </c>
      <c r="AK15" s="15">
        <v>0.28000000000000003</v>
      </c>
      <c r="AL15" s="15">
        <v>0.36</v>
      </c>
      <c r="AM15" s="15">
        <v>0.33</v>
      </c>
      <c r="AN15" s="15">
        <v>0.34</v>
      </c>
      <c r="AO15" s="15">
        <v>0.12</v>
      </c>
      <c r="AP15" s="15">
        <v>0.2</v>
      </c>
      <c r="AQ15" s="15">
        <v>0.18</v>
      </c>
    </row>
    <row r="16" spans="1:43" x14ac:dyDescent="0.35">
      <c r="A16" s="19"/>
      <c r="B16" s="11" t="s">
        <v>1644</v>
      </c>
      <c r="C16" s="12">
        <v>4676</v>
      </c>
      <c r="D16" s="12">
        <v>151</v>
      </c>
      <c r="E16" s="12">
        <v>257</v>
      </c>
      <c r="F16" s="12">
        <v>219</v>
      </c>
      <c r="G16" s="12">
        <v>127</v>
      </c>
      <c r="H16" s="12">
        <v>139</v>
      </c>
      <c r="I16" s="12">
        <v>168</v>
      </c>
      <c r="J16" s="12">
        <v>29</v>
      </c>
      <c r="K16" s="12">
        <v>184</v>
      </c>
      <c r="L16" s="12">
        <v>194</v>
      </c>
      <c r="M16" s="12">
        <v>205</v>
      </c>
      <c r="N16" s="12">
        <v>211</v>
      </c>
      <c r="O16" s="12">
        <v>166</v>
      </c>
      <c r="P16" s="12">
        <v>217</v>
      </c>
      <c r="Q16" s="12">
        <v>228</v>
      </c>
      <c r="R16" s="12">
        <v>120</v>
      </c>
      <c r="S16" s="12">
        <v>162</v>
      </c>
      <c r="T16" s="12">
        <v>173</v>
      </c>
      <c r="U16" s="12">
        <v>96</v>
      </c>
      <c r="V16" s="12">
        <v>199</v>
      </c>
      <c r="W16" s="12">
        <v>117</v>
      </c>
      <c r="X16" s="12">
        <v>150</v>
      </c>
      <c r="Y16" s="12">
        <v>132</v>
      </c>
      <c r="Z16" s="12">
        <v>176</v>
      </c>
      <c r="AA16" s="12">
        <v>231</v>
      </c>
      <c r="AB16" s="12">
        <v>304</v>
      </c>
      <c r="AC16" s="12">
        <v>211</v>
      </c>
      <c r="AD16" s="12">
        <v>249</v>
      </c>
      <c r="AE16" s="12">
        <v>114</v>
      </c>
      <c r="AF16" s="12">
        <v>129</v>
      </c>
      <c r="AG16" s="12">
        <v>162</v>
      </c>
      <c r="AH16" s="12">
        <v>198</v>
      </c>
      <c r="AI16" s="12">
        <v>61</v>
      </c>
      <c r="AJ16" s="12">
        <v>205</v>
      </c>
      <c r="AK16" s="12">
        <v>242</v>
      </c>
      <c r="AL16" s="12">
        <v>160</v>
      </c>
      <c r="AM16" s="12">
        <v>183</v>
      </c>
      <c r="AN16" s="12">
        <v>306</v>
      </c>
      <c r="AO16" s="12">
        <v>176</v>
      </c>
      <c r="AP16" s="12">
        <v>109</v>
      </c>
      <c r="AQ16" s="12">
        <v>159</v>
      </c>
    </row>
    <row r="17" spans="1:43" x14ac:dyDescent="0.35">
      <c r="A17" s="19"/>
      <c r="B17" s="13" t="s">
        <v>1644</v>
      </c>
      <c r="C17" s="15">
        <v>0.18</v>
      </c>
      <c r="D17" s="15">
        <v>0.15</v>
      </c>
      <c r="E17" s="15">
        <v>0.25</v>
      </c>
      <c r="F17" s="15">
        <v>0.2</v>
      </c>
      <c r="G17" s="15">
        <v>0.13</v>
      </c>
      <c r="H17" s="15">
        <v>0.11</v>
      </c>
      <c r="I17" s="15">
        <v>0.11</v>
      </c>
      <c r="J17" s="15">
        <v>0.1</v>
      </c>
      <c r="K17" s="15">
        <v>0.19</v>
      </c>
      <c r="L17" s="15">
        <v>0.19</v>
      </c>
      <c r="M17" s="15">
        <v>0.2</v>
      </c>
      <c r="N17" s="15">
        <v>0.21</v>
      </c>
      <c r="O17" s="15">
        <v>0.16</v>
      </c>
      <c r="P17" s="15">
        <v>0.22</v>
      </c>
      <c r="Q17" s="15">
        <v>0.22</v>
      </c>
      <c r="R17" s="15">
        <v>0.24</v>
      </c>
      <c r="S17" s="15">
        <v>0.16</v>
      </c>
      <c r="T17" s="15">
        <v>0.17</v>
      </c>
      <c r="U17" s="15">
        <v>0.19</v>
      </c>
      <c r="V17" s="15">
        <v>0.2</v>
      </c>
      <c r="W17" s="15">
        <v>0.23</v>
      </c>
      <c r="X17" s="15">
        <v>0.15</v>
      </c>
      <c r="Y17" s="15">
        <v>0.13</v>
      </c>
      <c r="Z17" s="15">
        <v>0.17</v>
      </c>
      <c r="AA17" s="15">
        <v>0.22</v>
      </c>
      <c r="AB17" s="15">
        <v>0.28999999999999998</v>
      </c>
      <c r="AC17" s="15">
        <v>0.21</v>
      </c>
      <c r="AD17" s="15">
        <v>0.25</v>
      </c>
      <c r="AE17" s="15">
        <v>0.11</v>
      </c>
      <c r="AF17" s="15">
        <v>0.12</v>
      </c>
      <c r="AG17" s="15">
        <v>0.16</v>
      </c>
      <c r="AH17" s="15">
        <v>0.2</v>
      </c>
      <c r="AI17" s="15">
        <v>0.12</v>
      </c>
      <c r="AJ17" s="15">
        <v>0.2</v>
      </c>
      <c r="AK17" s="15">
        <v>0.24</v>
      </c>
      <c r="AL17" s="15">
        <v>0.16</v>
      </c>
      <c r="AM17" s="15">
        <v>0.18</v>
      </c>
      <c r="AN17" s="15">
        <v>0.3</v>
      </c>
      <c r="AO17" s="15">
        <v>0.17</v>
      </c>
      <c r="AP17" s="15">
        <v>0.21</v>
      </c>
      <c r="AQ17" s="15">
        <v>0.16</v>
      </c>
    </row>
    <row r="18" spans="1:43" x14ac:dyDescent="0.35">
      <c r="A18" s="19"/>
      <c r="B18" s="11" t="s">
        <v>1645</v>
      </c>
      <c r="C18" s="12">
        <v>5727</v>
      </c>
      <c r="D18" s="12">
        <v>260</v>
      </c>
      <c r="E18" s="12">
        <v>217</v>
      </c>
      <c r="F18" s="12">
        <v>236</v>
      </c>
      <c r="G18" s="12">
        <v>221</v>
      </c>
      <c r="H18" s="12">
        <v>204</v>
      </c>
      <c r="I18" s="12">
        <v>236</v>
      </c>
      <c r="J18" s="12">
        <v>31</v>
      </c>
      <c r="K18" s="12">
        <v>194</v>
      </c>
      <c r="L18" s="12">
        <v>389</v>
      </c>
      <c r="M18" s="12">
        <v>263</v>
      </c>
      <c r="N18" s="12">
        <v>264</v>
      </c>
      <c r="O18" s="12">
        <v>189</v>
      </c>
      <c r="P18" s="12">
        <v>266</v>
      </c>
      <c r="Q18" s="12">
        <v>247</v>
      </c>
      <c r="R18" s="12">
        <v>158</v>
      </c>
      <c r="S18" s="12">
        <v>196</v>
      </c>
      <c r="T18" s="12">
        <v>162</v>
      </c>
      <c r="U18" s="12">
        <v>181</v>
      </c>
      <c r="V18" s="12">
        <v>168</v>
      </c>
      <c r="W18" s="12">
        <v>153</v>
      </c>
      <c r="X18" s="12">
        <v>245</v>
      </c>
      <c r="Y18" s="12">
        <v>219</v>
      </c>
      <c r="Z18" s="12">
        <v>247</v>
      </c>
      <c r="AA18" s="12">
        <v>285</v>
      </c>
      <c r="AB18" s="12">
        <v>215</v>
      </c>
      <c r="AC18" s="12">
        <v>328</v>
      </c>
      <c r="AD18" s="12">
        <v>312</v>
      </c>
      <c r="AE18" s="12">
        <v>177</v>
      </c>
      <c r="AF18" s="12">
        <v>184</v>
      </c>
      <c r="AG18" s="12">
        <v>591</v>
      </c>
      <c r="AH18" s="12">
        <v>460</v>
      </c>
      <c r="AI18" s="12">
        <v>397</v>
      </c>
      <c r="AJ18" s="12">
        <v>430</v>
      </c>
      <c r="AK18" s="12">
        <v>420</v>
      </c>
      <c r="AL18" s="12">
        <v>259</v>
      </c>
      <c r="AM18" s="12">
        <v>254</v>
      </c>
      <c r="AN18" s="12">
        <v>270</v>
      </c>
      <c r="AO18" s="12">
        <v>680</v>
      </c>
      <c r="AP18" s="12">
        <v>230</v>
      </c>
      <c r="AQ18" s="12">
        <v>578</v>
      </c>
    </row>
    <row r="19" spans="1:43" x14ac:dyDescent="0.35">
      <c r="A19" s="19"/>
      <c r="B19" s="13" t="s">
        <v>1645</v>
      </c>
      <c r="C19" s="15">
        <v>0.22</v>
      </c>
      <c r="D19" s="15">
        <v>0.26</v>
      </c>
      <c r="E19" s="15">
        <v>0.21</v>
      </c>
      <c r="F19" s="15">
        <v>0.21</v>
      </c>
      <c r="G19" s="15">
        <v>0.22</v>
      </c>
      <c r="H19" s="15">
        <v>0.17</v>
      </c>
      <c r="I19" s="15">
        <v>0.16</v>
      </c>
      <c r="J19" s="15">
        <v>0.11</v>
      </c>
      <c r="K19" s="15">
        <v>0.19</v>
      </c>
      <c r="L19" s="15">
        <v>0.39</v>
      </c>
      <c r="M19" s="15">
        <v>0.26</v>
      </c>
      <c r="N19" s="15">
        <v>0.26</v>
      </c>
      <c r="O19" s="15">
        <v>0.19</v>
      </c>
      <c r="P19" s="15">
        <v>0.26</v>
      </c>
      <c r="Q19" s="15">
        <v>0.24</v>
      </c>
      <c r="R19" s="15">
        <v>0.31</v>
      </c>
      <c r="S19" s="15">
        <v>0.2</v>
      </c>
      <c r="T19" s="15">
        <v>0.16</v>
      </c>
      <c r="U19" s="15">
        <v>0.36</v>
      </c>
      <c r="V19" s="15">
        <v>0.16</v>
      </c>
      <c r="W19" s="15">
        <v>0.3</v>
      </c>
      <c r="X19" s="15">
        <v>0.24</v>
      </c>
      <c r="Y19" s="15">
        <v>0.22</v>
      </c>
      <c r="Z19" s="15">
        <v>0.24</v>
      </c>
      <c r="AA19" s="15">
        <v>0.28000000000000003</v>
      </c>
      <c r="AB19" s="15">
        <v>0.2</v>
      </c>
      <c r="AC19" s="15">
        <v>0.33</v>
      </c>
      <c r="AD19" s="15">
        <v>0.31</v>
      </c>
      <c r="AE19" s="15">
        <v>0.18</v>
      </c>
      <c r="AF19" s="15">
        <v>0.18</v>
      </c>
      <c r="AG19" s="15">
        <v>0.57000000000000006</v>
      </c>
      <c r="AH19" s="15">
        <v>0.45</v>
      </c>
      <c r="AI19" s="15">
        <v>0.76</v>
      </c>
      <c r="AJ19" s="15">
        <v>0.42</v>
      </c>
      <c r="AK19" s="15">
        <v>0.42</v>
      </c>
      <c r="AL19" s="15">
        <v>0.25</v>
      </c>
      <c r="AM19" s="15">
        <v>0.24</v>
      </c>
      <c r="AN19" s="15">
        <v>0.27</v>
      </c>
      <c r="AO19" s="15">
        <v>0.68</v>
      </c>
      <c r="AP19" s="15">
        <v>0.44</v>
      </c>
      <c r="AQ19" s="15">
        <v>0.57999999999999996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AQ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403</v>
      </c>
      <c r="C3" s="18"/>
      <c r="D3" s="18"/>
      <c r="E3" s="18"/>
      <c r="F3" s="18"/>
      <c r="H3" s="18" t="s">
        <v>404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6174</v>
      </c>
      <c r="D10" s="10">
        <v>268</v>
      </c>
      <c r="E10" s="10">
        <v>158</v>
      </c>
      <c r="F10" s="10">
        <v>248</v>
      </c>
      <c r="G10" s="10">
        <v>272</v>
      </c>
      <c r="H10" s="10">
        <v>425</v>
      </c>
      <c r="I10" s="10">
        <v>536</v>
      </c>
      <c r="J10" s="10">
        <v>110</v>
      </c>
      <c r="K10" s="10">
        <v>264</v>
      </c>
      <c r="L10" s="10">
        <v>136</v>
      </c>
      <c r="M10" s="10">
        <v>164</v>
      </c>
      <c r="N10" s="10">
        <v>139</v>
      </c>
      <c r="O10" s="10">
        <v>298</v>
      </c>
      <c r="P10" s="10">
        <v>173</v>
      </c>
      <c r="Q10" s="10">
        <v>161</v>
      </c>
      <c r="R10" s="10">
        <v>70</v>
      </c>
      <c r="S10" s="10">
        <v>303</v>
      </c>
      <c r="T10" s="10">
        <v>279</v>
      </c>
      <c r="U10" s="10">
        <v>68</v>
      </c>
      <c r="V10" s="10">
        <v>202</v>
      </c>
      <c r="W10" s="10">
        <v>64</v>
      </c>
      <c r="X10" s="10">
        <v>273</v>
      </c>
      <c r="Y10" s="10">
        <v>203</v>
      </c>
      <c r="Z10" s="10">
        <v>186</v>
      </c>
      <c r="AA10" s="10">
        <v>191</v>
      </c>
      <c r="AB10" s="10">
        <v>120</v>
      </c>
      <c r="AC10" s="10">
        <v>162</v>
      </c>
      <c r="AD10" s="10">
        <v>134</v>
      </c>
      <c r="AE10" s="10">
        <v>316</v>
      </c>
      <c r="AF10" s="10">
        <v>378</v>
      </c>
      <c r="AG10" s="10">
        <v>109</v>
      </c>
      <c r="AH10" s="10">
        <v>80</v>
      </c>
      <c r="AI10" s="10">
        <v>5</v>
      </c>
      <c r="AJ10" s="10">
        <v>119</v>
      </c>
      <c r="AK10" s="10">
        <v>66</v>
      </c>
      <c r="AL10" s="10">
        <v>232</v>
      </c>
      <c r="AM10" s="10">
        <v>260</v>
      </c>
      <c r="AN10" s="10">
        <v>91</v>
      </c>
      <c r="AO10" s="10">
        <v>26</v>
      </c>
      <c r="AP10" s="10">
        <v>80</v>
      </c>
      <c r="AQ10" s="10">
        <v>79</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1647</v>
      </c>
      <c r="C12" s="12">
        <v>877</v>
      </c>
      <c r="D12" s="12">
        <v>34</v>
      </c>
      <c r="E12" s="12">
        <v>6</v>
      </c>
      <c r="F12" s="12">
        <v>22</v>
      </c>
      <c r="G12" s="12">
        <v>39</v>
      </c>
      <c r="H12" s="12">
        <v>100</v>
      </c>
      <c r="I12" s="12">
        <v>121</v>
      </c>
      <c r="J12" s="12">
        <v>20</v>
      </c>
      <c r="K12" s="12">
        <v>23</v>
      </c>
      <c r="L12" s="12">
        <v>8</v>
      </c>
      <c r="M12" s="12">
        <v>14</v>
      </c>
      <c r="N12" s="12">
        <v>14</v>
      </c>
      <c r="O12" s="12">
        <v>44</v>
      </c>
      <c r="P12" s="12">
        <v>14</v>
      </c>
      <c r="Q12" s="12">
        <v>9</v>
      </c>
      <c r="R12" s="12">
        <v>7</v>
      </c>
      <c r="S12" s="12">
        <v>42</v>
      </c>
      <c r="T12" s="12">
        <v>24</v>
      </c>
      <c r="U12" s="12">
        <v>4</v>
      </c>
      <c r="V12" s="12">
        <v>12</v>
      </c>
      <c r="W12" s="12">
        <v>0</v>
      </c>
      <c r="X12" s="12">
        <v>55</v>
      </c>
      <c r="Y12" s="12">
        <v>41</v>
      </c>
      <c r="Z12" s="12">
        <v>11</v>
      </c>
      <c r="AA12" s="12">
        <v>19</v>
      </c>
      <c r="AB12" s="12">
        <v>6</v>
      </c>
      <c r="AC12" s="12">
        <v>6</v>
      </c>
      <c r="AD12" s="12">
        <v>12</v>
      </c>
      <c r="AE12" s="12">
        <v>65</v>
      </c>
      <c r="AF12" s="12">
        <v>18</v>
      </c>
      <c r="AG12" s="12">
        <v>18</v>
      </c>
      <c r="AH12" s="12">
        <v>2</v>
      </c>
      <c r="AI12" s="12">
        <v>0</v>
      </c>
      <c r="AJ12" s="12">
        <v>7</v>
      </c>
      <c r="AK12" s="12">
        <v>6</v>
      </c>
      <c r="AL12" s="12">
        <v>32</v>
      </c>
      <c r="AM12" s="12">
        <v>27</v>
      </c>
      <c r="AN12" s="12">
        <v>9</v>
      </c>
      <c r="AO12" s="12">
        <v>3</v>
      </c>
      <c r="AP12" s="12">
        <v>30</v>
      </c>
      <c r="AQ12" s="12">
        <v>3</v>
      </c>
    </row>
    <row r="13" spans="1:43" x14ac:dyDescent="0.35">
      <c r="A13" s="19"/>
      <c r="B13" s="13" t="s">
        <v>1647</v>
      </c>
      <c r="C13" s="15">
        <v>0.14000000000000001</v>
      </c>
      <c r="D13" s="15">
        <v>0.12</v>
      </c>
      <c r="E13" s="15">
        <v>0.04</v>
      </c>
      <c r="F13" s="15">
        <v>0.09</v>
      </c>
      <c r="G13" s="15">
        <v>0.14000000000000001</v>
      </c>
      <c r="H13" s="15">
        <v>0.23</v>
      </c>
      <c r="I13" s="15">
        <v>0.22</v>
      </c>
      <c r="J13" s="15">
        <v>0.19</v>
      </c>
      <c r="K13" s="15">
        <v>0.09</v>
      </c>
      <c r="L13" s="15">
        <v>0.06</v>
      </c>
      <c r="M13" s="15">
        <v>0.09</v>
      </c>
      <c r="N13" s="15">
        <v>0.1</v>
      </c>
      <c r="O13" s="15">
        <v>0.15</v>
      </c>
      <c r="P13" s="15">
        <v>0.08</v>
      </c>
      <c r="Q13" s="15">
        <v>0.06</v>
      </c>
      <c r="R13" s="15">
        <v>0.09</v>
      </c>
      <c r="S13" s="15">
        <v>0.14000000000000001</v>
      </c>
      <c r="T13" s="15">
        <v>0.09</v>
      </c>
      <c r="U13" s="15">
        <v>0.06</v>
      </c>
      <c r="V13" s="15">
        <v>0.06</v>
      </c>
      <c r="W13" s="14" t="s">
        <v>475</v>
      </c>
      <c r="X13" s="15">
        <v>0.2</v>
      </c>
      <c r="Y13" s="15">
        <v>0.2</v>
      </c>
      <c r="Z13" s="15">
        <v>0.06</v>
      </c>
      <c r="AA13" s="15">
        <v>0.1</v>
      </c>
      <c r="AB13" s="15">
        <v>0.05</v>
      </c>
      <c r="AC13" s="15">
        <v>0.04</v>
      </c>
      <c r="AD13" s="15">
        <v>0.09</v>
      </c>
      <c r="AE13" s="15">
        <v>0.2</v>
      </c>
      <c r="AF13" s="15">
        <v>0.05</v>
      </c>
      <c r="AG13" s="15">
        <v>0.17</v>
      </c>
      <c r="AH13" s="15">
        <v>0.03</v>
      </c>
      <c r="AI13" s="14" t="s">
        <v>475</v>
      </c>
      <c r="AJ13" s="15">
        <v>0.06</v>
      </c>
      <c r="AK13" s="15">
        <v>0.09</v>
      </c>
      <c r="AL13" s="15">
        <v>0.14000000000000001</v>
      </c>
      <c r="AM13" s="15">
        <v>0.1</v>
      </c>
      <c r="AN13" s="15">
        <v>0.1</v>
      </c>
      <c r="AO13" s="15">
        <v>0.1</v>
      </c>
      <c r="AP13" s="15">
        <v>0.37</v>
      </c>
      <c r="AQ13" s="15">
        <v>0.04</v>
      </c>
    </row>
    <row r="14" spans="1:43" x14ac:dyDescent="0.35">
      <c r="A14" s="19"/>
      <c r="B14" s="11" t="s">
        <v>1648</v>
      </c>
      <c r="C14" s="12">
        <v>2160</v>
      </c>
      <c r="D14" s="12">
        <v>117</v>
      </c>
      <c r="E14" s="12">
        <v>38</v>
      </c>
      <c r="F14" s="12">
        <v>90</v>
      </c>
      <c r="G14" s="12">
        <v>88</v>
      </c>
      <c r="H14" s="12">
        <v>147</v>
      </c>
      <c r="I14" s="12">
        <v>180</v>
      </c>
      <c r="J14" s="12">
        <v>32</v>
      </c>
      <c r="K14" s="12">
        <v>108</v>
      </c>
      <c r="L14" s="12">
        <v>39</v>
      </c>
      <c r="M14" s="12">
        <v>59</v>
      </c>
      <c r="N14" s="12">
        <v>56</v>
      </c>
      <c r="O14" s="12">
        <v>106</v>
      </c>
      <c r="P14" s="12">
        <v>55</v>
      </c>
      <c r="Q14" s="12">
        <v>54</v>
      </c>
      <c r="R14" s="12">
        <v>34</v>
      </c>
      <c r="S14" s="12">
        <v>90</v>
      </c>
      <c r="T14" s="12">
        <v>108</v>
      </c>
      <c r="U14" s="12">
        <v>28</v>
      </c>
      <c r="V14" s="12">
        <v>57</v>
      </c>
      <c r="W14" s="12">
        <v>28</v>
      </c>
      <c r="X14" s="12">
        <v>87</v>
      </c>
      <c r="Y14" s="12">
        <v>55</v>
      </c>
      <c r="Z14" s="12">
        <v>71</v>
      </c>
      <c r="AA14" s="12">
        <v>61</v>
      </c>
      <c r="AB14" s="12">
        <v>28</v>
      </c>
      <c r="AC14" s="12">
        <v>51</v>
      </c>
      <c r="AD14" s="12">
        <v>43</v>
      </c>
      <c r="AE14" s="12">
        <v>115</v>
      </c>
      <c r="AF14" s="12">
        <v>182</v>
      </c>
      <c r="AG14" s="12">
        <v>41</v>
      </c>
      <c r="AH14" s="12">
        <v>17</v>
      </c>
      <c r="AI14" s="12">
        <v>4</v>
      </c>
      <c r="AJ14" s="12">
        <v>41</v>
      </c>
      <c r="AK14" s="12">
        <v>15</v>
      </c>
      <c r="AL14" s="12">
        <v>94</v>
      </c>
      <c r="AM14" s="12">
        <v>87</v>
      </c>
      <c r="AN14" s="12">
        <v>19</v>
      </c>
      <c r="AO14" s="12">
        <v>8</v>
      </c>
      <c r="AP14" s="12">
        <v>32</v>
      </c>
      <c r="AQ14" s="12">
        <v>30</v>
      </c>
    </row>
    <row r="15" spans="1:43" x14ac:dyDescent="0.35">
      <c r="A15" s="19"/>
      <c r="B15" s="13" t="s">
        <v>1648</v>
      </c>
      <c r="C15" s="15">
        <v>0.35</v>
      </c>
      <c r="D15" s="15">
        <v>0.44</v>
      </c>
      <c r="E15" s="15">
        <v>0.24</v>
      </c>
      <c r="F15" s="15">
        <v>0.36</v>
      </c>
      <c r="G15" s="15">
        <v>0.33</v>
      </c>
      <c r="H15" s="15">
        <v>0.35</v>
      </c>
      <c r="I15" s="15">
        <v>0.34</v>
      </c>
      <c r="J15" s="15">
        <v>0.28999999999999998</v>
      </c>
      <c r="K15" s="15">
        <v>0.41</v>
      </c>
      <c r="L15" s="15">
        <v>0.28000000000000003</v>
      </c>
      <c r="M15" s="15">
        <v>0.36</v>
      </c>
      <c r="N15" s="15">
        <v>0.41</v>
      </c>
      <c r="O15" s="15">
        <v>0.35</v>
      </c>
      <c r="P15" s="15">
        <v>0.31</v>
      </c>
      <c r="Q15" s="15">
        <v>0.33</v>
      </c>
      <c r="R15" s="15">
        <v>0.49</v>
      </c>
      <c r="S15" s="15">
        <v>0.3</v>
      </c>
      <c r="T15" s="15">
        <v>0.39</v>
      </c>
      <c r="U15" s="15">
        <v>0.4</v>
      </c>
      <c r="V15" s="15">
        <v>0.28000000000000003</v>
      </c>
      <c r="W15" s="15">
        <v>0.44</v>
      </c>
      <c r="X15" s="15">
        <v>0.32</v>
      </c>
      <c r="Y15" s="15">
        <v>0.27</v>
      </c>
      <c r="Z15" s="15">
        <v>0.38</v>
      </c>
      <c r="AA15" s="15">
        <v>0.32</v>
      </c>
      <c r="AB15" s="15">
        <v>0.24</v>
      </c>
      <c r="AC15" s="15">
        <v>0.31</v>
      </c>
      <c r="AD15" s="15">
        <v>0.32</v>
      </c>
      <c r="AE15" s="15">
        <v>0.37</v>
      </c>
      <c r="AF15" s="15">
        <v>0.48</v>
      </c>
      <c r="AG15" s="15">
        <v>0.38</v>
      </c>
      <c r="AH15" s="15">
        <v>0.21</v>
      </c>
      <c r="AI15" s="15">
        <v>0.70000000000000007</v>
      </c>
      <c r="AJ15" s="15">
        <v>0.34</v>
      </c>
      <c r="AK15" s="15">
        <v>0.23</v>
      </c>
      <c r="AL15" s="15">
        <v>0.4</v>
      </c>
      <c r="AM15" s="15">
        <v>0.34</v>
      </c>
      <c r="AN15" s="15">
        <v>0.21</v>
      </c>
      <c r="AO15" s="15">
        <v>0.3</v>
      </c>
      <c r="AP15" s="15">
        <v>0.4</v>
      </c>
      <c r="AQ15" s="15">
        <v>0.38</v>
      </c>
    </row>
    <row r="16" spans="1:43" x14ac:dyDescent="0.35">
      <c r="A16" s="19"/>
      <c r="B16" s="11" t="s">
        <v>1649</v>
      </c>
      <c r="C16" s="12">
        <v>3137</v>
      </c>
      <c r="D16" s="12">
        <v>118</v>
      </c>
      <c r="E16" s="12">
        <v>114</v>
      </c>
      <c r="F16" s="12">
        <v>136</v>
      </c>
      <c r="G16" s="12">
        <v>145</v>
      </c>
      <c r="H16" s="12">
        <v>178</v>
      </c>
      <c r="I16" s="12">
        <v>236</v>
      </c>
      <c r="J16" s="12">
        <v>58</v>
      </c>
      <c r="K16" s="12">
        <v>133</v>
      </c>
      <c r="L16" s="12">
        <v>89</v>
      </c>
      <c r="M16" s="12">
        <v>91</v>
      </c>
      <c r="N16" s="12">
        <v>68</v>
      </c>
      <c r="O16" s="12">
        <v>148</v>
      </c>
      <c r="P16" s="12">
        <v>105</v>
      </c>
      <c r="Q16" s="12">
        <v>98</v>
      </c>
      <c r="R16" s="12">
        <v>29</v>
      </c>
      <c r="S16" s="12">
        <v>171</v>
      </c>
      <c r="T16" s="12">
        <v>146</v>
      </c>
      <c r="U16" s="12">
        <v>37</v>
      </c>
      <c r="V16" s="12">
        <v>133</v>
      </c>
      <c r="W16" s="12">
        <v>36</v>
      </c>
      <c r="X16" s="12">
        <v>131</v>
      </c>
      <c r="Y16" s="12">
        <v>108</v>
      </c>
      <c r="Z16" s="12">
        <v>104</v>
      </c>
      <c r="AA16" s="12">
        <v>111</v>
      </c>
      <c r="AB16" s="12">
        <v>86</v>
      </c>
      <c r="AC16" s="12">
        <v>105</v>
      </c>
      <c r="AD16" s="12">
        <v>79</v>
      </c>
      <c r="AE16" s="12">
        <v>136</v>
      </c>
      <c r="AF16" s="12">
        <v>177</v>
      </c>
      <c r="AG16" s="12">
        <v>49</v>
      </c>
      <c r="AH16" s="12">
        <v>61</v>
      </c>
      <c r="AI16" s="12">
        <v>2</v>
      </c>
      <c r="AJ16" s="12">
        <v>71</v>
      </c>
      <c r="AK16" s="12">
        <v>45</v>
      </c>
      <c r="AL16" s="12">
        <v>107</v>
      </c>
      <c r="AM16" s="12">
        <v>146</v>
      </c>
      <c r="AN16" s="12">
        <v>63</v>
      </c>
      <c r="AO16" s="12">
        <v>16</v>
      </c>
      <c r="AP16" s="12">
        <v>18</v>
      </c>
      <c r="AQ16" s="12">
        <v>46</v>
      </c>
    </row>
    <row r="17" spans="1:43" x14ac:dyDescent="0.35">
      <c r="A17" s="19"/>
      <c r="B17" s="13" t="s">
        <v>1649</v>
      </c>
      <c r="C17" s="15">
        <v>0.51</v>
      </c>
      <c r="D17" s="15">
        <v>0.44</v>
      </c>
      <c r="E17" s="15">
        <v>0.72</v>
      </c>
      <c r="F17" s="15">
        <v>0.55000000000000004</v>
      </c>
      <c r="G17" s="15">
        <v>0.53</v>
      </c>
      <c r="H17" s="15">
        <v>0.42</v>
      </c>
      <c r="I17" s="15">
        <v>0.44</v>
      </c>
      <c r="J17" s="15">
        <v>0.52</v>
      </c>
      <c r="K17" s="15">
        <v>0.5</v>
      </c>
      <c r="L17" s="15">
        <v>0.66</v>
      </c>
      <c r="M17" s="15">
        <v>0.55000000000000004</v>
      </c>
      <c r="N17" s="15">
        <v>0.49</v>
      </c>
      <c r="O17" s="15">
        <v>0.5</v>
      </c>
      <c r="P17" s="15">
        <v>0.61</v>
      </c>
      <c r="Q17" s="15">
        <v>0.61</v>
      </c>
      <c r="R17" s="15">
        <v>0.42</v>
      </c>
      <c r="S17" s="15">
        <v>0.56000000000000005</v>
      </c>
      <c r="T17" s="15">
        <v>0.52</v>
      </c>
      <c r="U17" s="15">
        <v>0.54</v>
      </c>
      <c r="V17" s="15">
        <v>0.66</v>
      </c>
      <c r="W17" s="15">
        <v>0.56000000000000005</v>
      </c>
      <c r="X17" s="15">
        <v>0.48</v>
      </c>
      <c r="Y17" s="15">
        <v>0.53</v>
      </c>
      <c r="Z17" s="15">
        <v>0.56000000000000005</v>
      </c>
      <c r="AA17" s="15">
        <v>0.57999999999999996</v>
      </c>
      <c r="AB17" s="15">
        <v>0.71</v>
      </c>
      <c r="AC17" s="15">
        <v>0.65</v>
      </c>
      <c r="AD17" s="15">
        <v>0.59</v>
      </c>
      <c r="AE17" s="15">
        <v>0.43</v>
      </c>
      <c r="AF17" s="15">
        <v>0.47</v>
      </c>
      <c r="AG17" s="15">
        <v>0.45</v>
      </c>
      <c r="AH17" s="15">
        <v>0.76</v>
      </c>
      <c r="AI17" s="15">
        <v>0.3</v>
      </c>
      <c r="AJ17" s="15">
        <v>0.6</v>
      </c>
      <c r="AK17" s="15">
        <v>0.68</v>
      </c>
      <c r="AL17" s="15">
        <v>0.46</v>
      </c>
      <c r="AM17" s="15">
        <v>0.56000000000000005</v>
      </c>
      <c r="AN17" s="15">
        <v>0.69000000000000006</v>
      </c>
      <c r="AO17" s="15">
        <v>0.6</v>
      </c>
      <c r="AP17" s="15">
        <v>0.23</v>
      </c>
      <c r="AQ17" s="15">
        <v>0.57999999999999996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AQ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24" customHeight="1" x14ac:dyDescent="0.35">
      <c r="B3" s="18" t="s">
        <v>405</v>
      </c>
      <c r="C3" s="18"/>
      <c r="D3" s="18"/>
      <c r="E3" s="18"/>
      <c r="F3" s="18"/>
      <c r="H3" s="18" t="s">
        <v>406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1650</v>
      </c>
      <c r="C12" s="12">
        <v>2011</v>
      </c>
      <c r="D12" s="12">
        <v>105</v>
      </c>
      <c r="E12" s="12">
        <v>173</v>
      </c>
      <c r="F12" s="12">
        <v>53</v>
      </c>
      <c r="G12" s="12">
        <v>19</v>
      </c>
      <c r="H12" s="12">
        <v>54</v>
      </c>
      <c r="I12" s="12">
        <v>77</v>
      </c>
      <c r="J12" s="12">
        <v>22</v>
      </c>
      <c r="K12" s="12">
        <v>98</v>
      </c>
      <c r="L12" s="12">
        <v>75</v>
      </c>
      <c r="M12" s="12">
        <v>280</v>
      </c>
      <c r="N12" s="12">
        <v>89</v>
      </c>
      <c r="O12" s="12">
        <v>104</v>
      </c>
      <c r="P12" s="12">
        <v>89</v>
      </c>
      <c r="Q12" s="12">
        <v>66</v>
      </c>
      <c r="R12" s="12">
        <v>97</v>
      </c>
      <c r="S12" s="12">
        <v>59</v>
      </c>
      <c r="T12" s="12">
        <v>65</v>
      </c>
      <c r="U12" s="12">
        <v>35</v>
      </c>
      <c r="V12" s="12">
        <v>28</v>
      </c>
      <c r="W12" s="12">
        <v>24</v>
      </c>
      <c r="X12" s="12">
        <v>66</v>
      </c>
      <c r="Y12" s="12">
        <v>80</v>
      </c>
      <c r="Z12" s="12">
        <v>17</v>
      </c>
      <c r="AA12" s="12">
        <v>189</v>
      </c>
      <c r="AB12" s="12">
        <v>108</v>
      </c>
      <c r="AC12" s="12">
        <v>37</v>
      </c>
      <c r="AD12" s="12">
        <v>43</v>
      </c>
      <c r="AE12" s="12">
        <v>43</v>
      </c>
      <c r="AF12" s="12">
        <v>15</v>
      </c>
      <c r="AG12" s="12">
        <v>145</v>
      </c>
      <c r="AH12" s="12">
        <v>39</v>
      </c>
      <c r="AI12" s="12">
        <v>9</v>
      </c>
      <c r="AJ12" s="12">
        <v>127</v>
      </c>
      <c r="AK12" s="12">
        <v>104</v>
      </c>
      <c r="AL12" s="12">
        <v>162</v>
      </c>
      <c r="AM12" s="12">
        <v>47</v>
      </c>
      <c r="AN12" s="12">
        <v>60</v>
      </c>
      <c r="AO12" s="12">
        <v>160</v>
      </c>
      <c r="AP12" s="12">
        <v>81</v>
      </c>
      <c r="AQ12" s="12">
        <v>200</v>
      </c>
    </row>
    <row r="13" spans="1:43" x14ac:dyDescent="0.35">
      <c r="A13" s="19"/>
      <c r="B13" s="13" t="s">
        <v>1651</v>
      </c>
      <c r="C13" s="15">
        <v>7.0000000000000007E-2</v>
      </c>
      <c r="D13" s="15">
        <v>0.1</v>
      </c>
      <c r="E13" s="15">
        <v>0.17</v>
      </c>
      <c r="F13" s="15">
        <v>0.05</v>
      </c>
      <c r="G13" s="15">
        <v>0.02</v>
      </c>
      <c r="H13" s="15">
        <v>0.04</v>
      </c>
      <c r="I13" s="15">
        <v>0.05</v>
      </c>
      <c r="J13" s="15">
        <v>0.08</v>
      </c>
      <c r="K13" s="15">
        <v>0.1</v>
      </c>
      <c r="L13" s="15">
        <v>0.08</v>
      </c>
      <c r="M13" s="15">
        <v>0.28000000000000003</v>
      </c>
      <c r="N13" s="15">
        <v>0.09</v>
      </c>
      <c r="O13" s="15">
        <v>0.1</v>
      </c>
      <c r="P13" s="15">
        <v>0.09</v>
      </c>
      <c r="Q13" s="15">
        <v>7.0000000000000007E-2</v>
      </c>
      <c r="R13" s="15">
        <v>0.19</v>
      </c>
      <c r="S13" s="15">
        <v>0.06</v>
      </c>
      <c r="T13" s="15">
        <v>0.06</v>
      </c>
      <c r="U13" s="15">
        <v>7.0000000000000007E-2</v>
      </c>
      <c r="V13" s="15">
        <v>0.03</v>
      </c>
      <c r="W13" s="15">
        <v>0.05</v>
      </c>
      <c r="X13" s="15">
        <v>7.0000000000000007E-2</v>
      </c>
      <c r="Y13" s="15">
        <v>0.08</v>
      </c>
      <c r="Z13" s="15">
        <v>0.02</v>
      </c>
      <c r="AA13" s="15">
        <v>0.18</v>
      </c>
      <c r="AB13" s="15">
        <v>0.1</v>
      </c>
      <c r="AC13" s="15">
        <v>0.04</v>
      </c>
      <c r="AD13" s="15">
        <v>0.04</v>
      </c>
      <c r="AE13" s="15">
        <v>0.04</v>
      </c>
      <c r="AF13" s="15">
        <v>0.01</v>
      </c>
      <c r="AG13" s="15">
        <v>0.14000000000000001</v>
      </c>
      <c r="AH13" s="15">
        <v>0.04</v>
      </c>
      <c r="AI13" s="15">
        <v>0.02</v>
      </c>
      <c r="AJ13" s="15">
        <v>0.12</v>
      </c>
      <c r="AK13" s="15">
        <v>0.1</v>
      </c>
      <c r="AL13" s="15">
        <v>0.16</v>
      </c>
      <c r="AM13" s="15">
        <v>0.05</v>
      </c>
      <c r="AN13" s="15">
        <v>0.06</v>
      </c>
      <c r="AO13" s="15">
        <v>0.16</v>
      </c>
      <c r="AP13" s="15">
        <v>0.16</v>
      </c>
      <c r="AQ13" s="15">
        <v>0.2</v>
      </c>
    </row>
    <row r="14" spans="1:43" x14ac:dyDescent="0.35">
      <c r="A14" s="19"/>
      <c r="B14" s="11" t="s">
        <v>1652</v>
      </c>
      <c r="C14" s="12">
        <v>7114</v>
      </c>
      <c r="D14" s="12">
        <v>323</v>
      </c>
      <c r="E14" s="12">
        <v>418</v>
      </c>
      <c r="F14" s="12">
        <v>291</v>
      </c>
      <c r="G14" s="12">
        <v>61</v>
      </c>
      <c r="H14" s="12">
        <v>225</v>
      </c>
      <c r="I14" s="12">
        <v>291</v>
      </c>
      <c r="J14" s="12">
        <v>66</v>
      </c>
      <c r="K14" s="12">
        <v>211</v>
      </c>
      <c r="L14" s="12">
        <v>350</v>
      </c>
      <c r="M14" s="12">
        <v>523</v>
      </c>
      <c r="N14" s="12">
        <v>201</v>
      </c>
      <c r="O14" s="12">
        <v>308</v>
      </c>
      <c r="P14" s="12">
        <v>442</v>
      </c>
      <c r="Q14" s="12">
        <v>414</v>
      </c>
      <c r="R14" s="12">
        <v>157</v>
      </c>
      <c r="S14" s="12">
        <v>209</v>
      </c>
      <c r="T14" s="12">
        <v>176</v>
      </c>
      <c r="U14" s="12">
        <v>71</v>
      </c>
      <c r="V14" s="12">
        <v>148</v>
      </c>
      <c r="W14" s="12">
        <v>108</v>
      </c>
      <c r="X14" s="12">
        <v>166</v>
      </c>
      <c r="Y14" s="12">
        <v>226</v>
      </c>
      <c r="Z14" s="12">
        <v>206</v>
      </c>
      <c r="AA14" s="12">
        <v>391</v>
      </c>
      <c r="AB14" s="12">
        <v>493</v>
      </c>
      <c r="AC14" s="12">
        <v>176</v>
      </c>
      <c r="AD14" s="12">
        <v>214</v>
      </c>
      <c r="AE14" s="12">
        <v>161</v>
      </c>
      <c r="AF14" s="12">
        <v>68</v>
      </c>
      <c r="AG14" s="12">
        <v>548</v>
      </c>
      <c r="AH14" s="12">
        <v>387</v>
      </c>
      <c r="AI14" s="12">
        <v>462</v>
      </c>
      <c r="AJ14" s="12">
        <v>476</v>
      </c>
      <c r="AK14" s="12">
        <v>454</v>
      </c>
      <c r="AL14" s="12">
        <v>311</v>
      </c>
      <c r="AM14" s="12">
        <v>211</v>
      </c>
      <c r="AN14" s="12">
        <v>386</v>
      </c>
      <c r="AO14" s="12">
        <v>475</v>
      </c>
      <c r="AP14" s="12">
        <v>227</v>
      </c>
      <c r="AQ14" s="12">
        <v>321</v>
      </c>
    </row>
    <row r="15" spans="1:43" x14ac:dyDescent="0.35">
      <c r="A15" s="19"/>
      <c r="B15" s="13" t="s">
        <v>1653</v>
      </c>
      <c r="C15" s="15">
        <v>0.27</v>
      </c>
      <c r="D15" s="15">
        <v>0.32</v>
      </c>
      <c r="E15" s="15">
        <v>0.41</v>
      </c>
      <c r="F15" s="15">
        <v>0.26</v>
      </c>
      <c r="G15" s="15">
        <v>0.06</v>
      </c>
      <c r="H15" s="15">
        <v>0.19</v>
      </c>
      <c r="I15" s="15">
        <v>0.19</v>
      </c>
      <c r="J15" s="15">
        <v>0.22</v>
      </c>
      <c r="K15" s="15">
        <v>0.21</v>
      </c>
      <c r="L15" s="15">
        <v>0.35</v>
      </c>
      <c r="M15" s="15">
        <v>0.52</v>
      </c>
      <c r="N15" s="15">
        <v>0.2</v>
      </c>
      <c r="O15" s="15">
        <v>0.31</v>
      </c>
      <c r="P15" s="15">
        <v>0.44</v>
      </c>
      <c r="Q15" s="15">
        <v>0.4</v>
      </c>
      <c r="R15" s="15">
        <v>0.31</v>
      </c>
      <c r="S15" s="15">
        <v>0.21</v>
      </c>
      <c r="T15" s="15">
        <v>0.18</v>
      </c>
      <c r="U15" s="15">
        <v>0.14000000000000001</v>
      </c>
      <c r="V15" s="15">
        <v>0.15</v>
      </c>
      <c r="W15" s="15">
        <v>0.21</v>
      </c>
      <c r="X15" s="15">
        <v>0.16</v>
      </c>
      <c r="Y15" s="15">
        <v>0.23</v>
      </c>
      <c r="Z15" s="15">
        <v>0.2</v>
      </c>
      <c r="AA15" s="15">
        <v>0.38</v>
      </c>
      <c r="AB15" s="15">
        <v>0.47</v>
      </c>
      <c r="AC15" s="15">
        <v>0.18</v>
      </c>
      <c r="AD15" s="15">
        <v>0.21</v>
      </c>
      <c r="AE15" s="15">
        <v>0.16</v>
      </c>
      <c r="AF15" s="15">
        <v>7.0000000000000007E-2</v>
      </c>
      <c r="AG15" s="15">
        <v>0.53</v>
      </c>
      <c r="AH15" s="15">
        <v>0.38</v>
      </c>
      <c r="AI15" s="15">
        <v>0.88</v>
      </c>
      <c r="AJ15" s="15">
        <v>0.46</v>
      </c>
      <c r="AK15" s="15">
        <v>0.45</v>
      </c>
      <c r="AL15" s="15">
        <v>0.31</v>
      </c>
      <c r="AM15" s="15">
        <v>0.2</v>
      </c>
      <c r="AN15" s="15">
        <v>0.39</v>
      </c>
      <c r="AO15" s="15">
        <v>0.47</v>
      </c>
      <c r="AP15" s="15">
        <v>0.43</v>
      </c>
      <c r="AQ15" s="15">
        <v>0.32</v>
      </c>
    </row>
    <row r="16" spans="1:43" ht="21.5" x14ac:dyDescent="0.35">
      <c r="A16" s="19"/>
      <c r="B16" s="11" t="s">
        <v>1654</v>
      </c>
      <c r="C16" s="12">
        <v>17109</v>
      </c>
      <c r="D16" s="12">
        <v>579</v>
      </c>
      <c r="E16" s="12">
        <v>428</v>
      </c>
      <c r="F16" s="12">
        <v>751</v>
      </c>
      <c r="G16" s="12">
        <v>926</v>
      </c>
      <c r="H16" s="12">
        <v>928</v>
      </c>
      <c r="I16" s="12">
        <v>1131</v>
      </c>
      <c r="J16" s="12">
        <v>203</v>
      </c>
      <c r="K16" s="12">
        <v>673</v>
      </c>
      <c r="L16" s="12">
        <v>574</v>
      </c>
      <c r="M16" s="12">
        <v>206</v>
      </c>
      <c r="N16" s="12">
        <v>712</v>
      </c>
      <c r="O16" s="12">
        <v>574</v>
      </c>
      <c r="P16" s="12">
        <v>470</v>
      </c>
      <c r="Q16" s="12">
        <v>534</v>
      </c>
      <c r="R16" s="12">
        <v>251</v>
      </c>
      <c r="S16" s="12">
        <v>729</v>
      </c>
      <c r="T16" s="12">
        <v>757</v>
      </c>
      <c r="U16" s="12">
        <v>394</v>
      </c>
      <c r="V16" s="12">
        <v>835</v>
      </c>
      <c r="W16" s="12">
        <v>375</v>
      </c>
      <c r="X16" s="12">
        <v>775</v>
      </c>
      <c r="Y16" s="12">
        <v>672</v>
      </c>
      <c r="Z16" s="12">
        <v>808</v>
      </c>
      <c r="AA16" s="12">
        <v>439</v>
      </c>
      <c r="AB16" s="12">
        <v>449</v>
      </c>
      <c r="AC16" s="12">
        <v>787</v>
      </c>
      <c r="AD16" s="12">
        <v>729</v>
      </c>
      <c r="AE16" s="12">
        <v>795</v>
      </c>
      <c r="AF16" s="12">
        <v>960</v>
      </c>
      <c r="AG16" s="12">
        <v>342</v>
      </c>
      <c r="AH16" s="12">
        <v>584</v>
      </c>
      <c r="AI16" s="12">
        <v>52</v>
      </c>
      <c r="AJ16" s="12">
        <v>431</v>
      </c>
      <c r="AK16" s="12">
        <v>449</v>
      </c>
      <c r="AL16" s="12">
        <v>535</v>
      </c>
      <c r="AM16" s="12">
        <v>780</v>
      </c>
      <c r="AN16" s="12">
        <v>553</v>
      </c>
      <c r="AO16" s="12">
        <v>367</v>
      </c>
      <c r="AP16" s="12">
        <v>216</v>
      </c>
      <c r="AQ16" s="12">
        <v>475</v>
      </c>
    </row>
    <row r="17" spans="1:43" x14ac:dyDescent="0.35">
      <c r="A17" s="19"/>
      <c r="B17" s="13" t="s">
        <v>1655</v>
      </c>
      <c r="C17" s="15">
        <v>0.65</v>
      </c>
      <c r="D17" s="15">
        <v>0.57000000000000006</v>
      </c>
      <c r="E17" s="15">
        <v>0.41</v>
      </c>
      <c r="F17" s="15">
        <v>0.68</v>
      </c>
      <c r="G17" s="15">
        <v>0.92</v>
      </c>
      <c r="H17" s="15">
        <v>0.76</v>
      </c>
      <c r="I17" s="15">
        <v>0.75</v>
      </c>
      <c r="J17" s="15">
        <v>0.69000000000000006</v>
      </c>
      <c r="K17" s="15">
        <v>0.67</v>
      </c>
      <c r="L17" s="15">
        <v>0.57000000000000006</v>
      </c>
      <c r="M17" s="15">
        <v>0.2</v>
      </c>
      <c r="N17" s="15">
        <v>0.71</v>
      </c>
      <c r="O17" s="15">
        <v>0.57000000000000006</v>
      </c>
      <c r="P17" s="15">
        <v>0.47</v>
      </c>
      <c r="Q17" s="15">
        <v>0.52</v>
      </c>
      <c r="R17" s="15">
        <v>0.5</v>
      </c>
      <c r="S17" s="15">
        <v>0.73</v>
      </c>
      <c r="T17" s="15">
        <v>0.75</v>
      </c>
      <c r="U17" s="15">
        <v>0.78</v>
      </c>
      <c r="V17" s="15">
        <v>0.82000000000000006</v>
      </c>
      <c r="W17" s="15">
        <v>0.74</v>
      </c>
      <c r="X17" s="15">
        <v>0.77</v>
      </c>
      <c r="Y17" s="15">
        <v>0.67</v>
      </c>
      <c r="Z17" s="15">
        <v>0.78</v>
      </c>
      <c r="AA17" s="15">
        <v>0.43</v>
      </c>
      <c r="AB17" s="15">
        <v>0.43</v>
      </c>
      <c r="AC17" s="15">
        <v>0.78</v>
      </c>
      <c r="AD17" s="15">
        <v>0.73</v>
      </c>
      <c r="AE17" s="15">
        <v>0.79</v>
      </c>
      <c r="AF17" s="15">
        <v>0.92</v>
      </c>
      <c r="AG17" s="15">
        <v>0.33</v>
      </c>
      <c r="AH17" s="15">
        <v>0.57999999999999996</v>
      </c>
      <c r="AI17" s="15">
        <v>0.1</v>
      </c>
      <c r="AJ17" s="15">
        <v>0.42</v>
      </c>
      <c r="AK17" s="15">
        <v>0.45</v>
      </c>
      <c r="AL17" s="15">
        <v>0.53</v>
      </c>
      <c r="AM17" s="15">
        <v>0.75</v>
      </c>
      <c r="AN17" s="15">
        <v>0.55000000000000004</v>
      </c>
      <c r="AO17" s="15">
        <v>0.37</v>
      </c>
      <c r="AP17" s="15">
        <v>0.41</v>
      </c>
      <c r="AQ17" s="15">
        <v>0.47</v>
      </c>
    </row>
    <row r="18" spans="1:43" x14ac:dyDescent="0.35">
      <c r="A18" s="19"/>
      <c r="B18" s="11" t="s">
        <v>750</v>
      </c>
      <c r="C18" s="12">
        <v>212</v>
      </c>
      <c r="D18" s="12">
        <v>6</v>
      </c>
      <c r="E18" s="12">
        <v>11</v>
      </c>
      <c r="F18" s="12">
        <v>7</v>
      </c>
      <c r="G18" s="12">
        <v>1</v>
      </c>
      <c r="H18" s="12">
        <v>13</v>
      </c>
      <c r="I18" s="12">
        <v>17</v>
      </c>
      <c r="J18" s="12">
        <v>4</v>
      </c>
      <c r="K18" s="12">
        <v>21</v>
      </c>
      <c r="L18" s="12">
        <v>3</v>
      </c>
      <c r="M18" s="12">
        <v>0</v>
      </c>
      <c r="N18" s="12">
        <v>1</v>
      </c>
      <c r="O18" s="12">
        <v>15</v>
      </c>
      <c r="P18" s="12">
        <v>3</v>
      </c>
      <c r="Q18" s="12">
        <v>12</v>
      </c>
      <c r="R18" s="12">
        <v>0</v>
      </c>
      <c r="S18" s="12">
        <v>5</v>
      </c>
      <c r="T18" s="12">
        <v>8</v>
      </c>
      <c r="U18" s="12">
        <v>4</v>
      </c>
      <c r="V18" s="12">
        <v>4</v>
      </c>
      <c r="W18" s="12">
        <v>1</v>
      </c>
      <c r="X18" s="12">
        <v>3</v>
      </c>
      <c r="Y18" s="12">
        <v>24</v>
      </c>
      <c r="Z18" s="12">
        <v>0</v>
      </c>
      <c r="AA18" s="12">
        <v>14</v>
      </c>
      <c r="AB18" s="12">
        <v>1</v>
      </c>
      <c r="AC18" s="12">
        <v>2</v>
      </c>
      <c r="AD18" s="12">
        <v>19</v>
      </c>
      <c r="AE18" s="12">
        <v>12</v>
      </c>
      <c r="AF18" s="12">
        <v>0</v>
      </c>
      <c r="AG18" s="12">
        <v>0</v>
      </c>
      <c r="AH18" s="12">
        <v>3</v>
      </c>
      <c r="AI18" s="12">
        <v>0</v>
      </c>
      <c r="AJ18" s="12">
        <v>2</v>
      </c>
      <c r="AK18" s="12">
        <v>0</v>
      </c>
      <c r="AL18" s="12">
        <v>5</v>
      </c>
      <c r="AM18" s="12">
        <v>2</v>
      </c>
      <c r="AN18" s="12">
        <v>3</v>
      </c>
      <c r="AO18" s="12">
        <v>3</v>
      </c>
      <c r="AP18" s="12">
        <v>0</v>
      </c>
      <c r="AQ18" s="12">
        <v>7</v>
      </c>
    </row>
    <row r="19" spans="1:43" x14ac:dyDescent="0.35">
      <c r="A19" s="19"/>
      <c r="B19" s="13" t="s">
        <v>751</v>
      </c>
      <c r="C19" s="15">
        <v>0.01</v>
      </c>
      <c r="D19" s="15">
        <v>0.01</v>
      </c>
      <c r="E19" s="15">
        <v>0.01</v>
      </c>
      <c r="F19" s="15">
        <v>0.01</v>
      </c>
      <c r="G19" s="14" t="s">
        <v>475</v>
      </c>
      <c r="H19" s="15">
        <v>0.01</v>
      </c>
      <c r="I19" s="15">
        <v>0.01</v>
      </c>
      <c r="J19" s="15">
        <v>0.01</v>
      </c>
      <c r="K19" s="15">
        <v>0.02</v>
      </c>
      <c r="L19" s="14" t="s">
        <v>475</v>
      </c>
      <c r="M19" s="14" t="s">
        <v>475</v>
      </c>
      <c r="N19" s="14" t="s">
        <v>475</v>
      </c>
      <c r="O19" s="15">
        <v>0.02</v>
      </c>
      <c r="P19" s="14" t="s">
        <v>475</v>
      </c>
      <c r="Q19" s="15">
        <v>0.01</v>
      </c>
      <c r="R19" s="14" t="s">
        <v>475</v>
      </c>
      <c r="S19" s="14" t="s">
        <v>475</v>
      </c>
      <c r="T19" s="15">
        <v>0.01</v>
      </c>
      <c r="U19" s="15">
        <v>0.01</v>
      </c>
      <c r="V19" s="14" t="s">
        <v>475</v>
      </c>
      <c r="W19" s="14" t="s">
        <v>475</v>
      </c>
      <c r="X19" s="14" t="s">
        <v>475</v>
      </c>
      <c r="Y19" s="15">
        <v>0.02</v>
      </c>
      <c r="Z19" s="14" t="s">
        <v>475</v>
      </c>
      <c r="AA19" s="15">
        <v>0.01</v>
      </c>
      <c r="AB19" s="14" t="s">
        <v>475</v>
      </c>
      <c r="AC19" s="14" t="s">
        <v>475</v>
      </c>
      <c r="AD19" s="15">
        <v>0.02</v>
      </c>
      <c r="AE19" s="15">
        <v>0.01</v>
      </c>
      <c r="AF19" s="14" t="s">
        <v>475</v>
      </c>
      <c r="AG19" s="14" t="s">
        <v>475</v>
      </c>
      <c r="AH19" s="14" t="s">
        <v>475</v>
      </c>
      <c r="AI19" s="14" t="s">
        <v>475</v>
      </c>
      <c r="AJ19" s="14" t="s">
        <v>475</v>
      </c>
      <c r="AK19" s="14" t="s">
        <v>475</v>
      </c>
      <c r="AL19" s="14" t="s">
        <v>475</v>
      </c>
      <c r="AM19" s="14" t="s">
        <v>475</v>
      </c>
      <c r="AN19" s="14" t="s">
        <v>475</v>
      </c>
      <c r="AO19" s="14" t="s">
        <v>475</v>
      </c>
      <c r="AP19" s="14" t="s">
        <v>475</v>
      </c>
      <c r="AQ19" s="15">
        <v>0.01</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1656</v>
      </c>
      <c r="C3" s="18"/>
      <c r="D3" s="18"/>
      <c r="E3" s="18"/>
      <c r="F3" s="18"/>
      <c r="H3" s="18" t="s">
        <v>1657</v>
      </c>
      <c r="I3" s="18"/>
      <c r="J3" s="18"/>
      <c r="K3" s="18"/>
      <c r="L3" s="18"/>
    </row>
    <row r="4" spans="1:43" ht="27" customHeight="1" x14ac:dyDescent="0.35">
      <c r="B4" s="18" t="s">
        <v>1658</v>
      </c>
      <c r="C4" s="18"/>
      <c r="D4" s="18"/>
      <c r="E4" s="18"/>
      <c r="F4" s="18"/>
      <c r="H4" s="18" t="s">
        <v>1659</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20949</v>
      </c>
      <c r="D12" s="12">
        <v>888</v>
      </c>
      <c r="E12" s="12">
        <v>748</v>
      </c>
      <c r="F12" s="12">
        <v>824</v>
      </c>
      <c r="G12" s="12">
        <v>960</v>
      </c>
      <c r="H12" s="12">
        <v>945</v>
      </c>
      <c r="I12" s="12">
        <v>1177</v>
      </c>
      <c r="J12" s="12">
        <v>232</v>
      </c>
      <c r="K12" s="12">
        <v>846</v>
      </c>
      <c r="L12" s="12">
        <v>869</v>
      </c>
      <c r="M12" s="12">
        <v>759</v>
      </c>
      <c r="N12" s="12">
        <v>809</v>
      </c>
      <c r="O12" s="12">
        <v>846</v>
      </c>
      <c r="P12" s="12">
        <v>739</v>
      </c>
      <c r="Q12" s="12">
        <v>715</v>
      </c>
      <c r="R12" s="12">
        <v>432</v>
      </c>
      <c r="S12" s="12">
        <v>841</v>
      </c>
      <c r="T12" s="12">
        <v>795</v>
      </c>
      <c r="U12" s="12">
        <v>466</v>
      </c>
      <c r="V12" s="12">
        <v>778</v>
      </c>
      <c r="W12" s="12">
        <v>451</v>
      </c>
      <c r="X12" s="12">
        <v>937</v>
      </c>
      <c r="Y12" s="12">
        <v>742</v>
      </c>
      <c r="Z12" s="12">
        <v>789</v>
      </c>
      <c r="AA12" s="12">
        <v>789</v>
      </c>
      <c r="AB12" s="12">
        <v>785</v>
      </c>
      <c r="AC12" s="12">
        <v>776</v>
      </c>
      <c r="AD12" s="12">
        <v>788</v>
      </c>
      <c r="AE12" s="12">
        <v>932</v>
      </c>
      <c r="AF12" s="12">
        <v>999</v>
      </c>
      <c r="AG12" s="12">
        <v>849</v>
      </c>
      <c r="AH12" s="12">
        <v>797</v>
      </c>
      <c r="AI12" s="12">
        <v>491</v>
      </c>
      <c r="AJ12" s="12">
        <v>743</v>
      </c>
      <c r="AK12" s="12">
        <v>821</v>
      </c>
      <c r="AL12" s="12">
        <v>848</v>
      </c>
      <c r="AM12" s="12">
        <v>895</v>
      </c>
      <c r="AN12" s="12">
        <v>782</v>
      </c>
      <c r="AO12" s="12">
        <v>892</v>
      </c>
      <c r="AP12" s="12">
        <v>463</v>
      </c>
      <c r="AQ12" s="12">
        <v>846</v>
      </c>
    </row>
    <row r="13" spans="1:43" ht="21.5" x14ac:dyDescent="0.35">
      <c r="A13" s="19"/>
      <c r="B13" s="13" t="s">
        <v>1660</v>
      </c>
      <c r="C13" s="15">
        <v>0.79</v>
      </c>
      <c r="D13" s="15">
        <v>0.88</v>
      </c>
      <c r="E13" s="15">
        <v>0.73</v>
      </c>
      <c r="F13" s="15">
        <v>0.75</v>
      </c>
      <c r="G13" s="15">
        <v>0.95000000000000007</v>
      </c>
      <c r="H13" s="15">
        <v>0.78</v>
      </c>
      <c r="I13" s="15">
        <v>0.78</v>
      </c>
      <c r="J13" s="15">
        <v>0.79</v>
      </c>
      <c r="K13" s="15">
        <v>0.84</v>
      </c>
      <c r="L13" s="15">
        <v>0.87</v>
      </c>
      <c r="M13" s="15">
        <v>0.75</v>
      </c>
      <c r="N13" s="15">
        <v>0.81</v>
      </c>
      <c r="O13" s="15">
        <v>0.84</v>
      </c>
      <c r="P13" s="15">
        <v>0.74</v>
      </c>
      <c r="Q13" s="15">
        <v>0.69000000000000006</v>
      </c>
      <c r="R13" s="15">
        <v>0.86</v>
      </c>
      <c r="S13" s="15">
        <v>0.84</v>
      </c>
      <c r="T13" s="15">
        <v>0.79</v>
      </c>
      <c r="U13" s="15">
        <v>0.93</v>
      </c>
      <c r="V13" s="15">
        <v>0.77</v>
      </c>
      <c r="W13" s="15">
        <v>0.89</v>
      </c>
      <c r="X13" s="15">
        <v>0.93</v>
      </c>
      <c r="Y13" s="15">
        <v>0.74</v>
      </c>
      <c r="Z13" s="15">
        <v>0.76</v>
      </c>
      <c r="AA13" s="15">
        <v>0.77</v>
      </c>
      <c r="AB13" s="15">
        <v>0.75</v>
      </c>
      <c r="AC13" s="15">
        <v>0.77</v>
      </c>
      <c r="AD13" s="15">
        <v>0.78</v>
      </c>
      <c r="AE13" s="15">
        <v>0.92</v>
      </c>
      <c r="AF13" s="15">
        <v>0.96</v>
      </c>
      <c r="AG13" s="15">
        <v>0.82000000000000006</v>
      </c>
      <c r="AH13" s="15">
        <v>0.79</v>
      </c>
      <c r="AI13" s="15">
        <v>0.94000000000000006</v>
      </c>
      <c r="AJ13" s="15">
        <v>0.72</v>
      </c>
      <c r="AK13" s="15">
        <v>0.82000000000000006</v>
      </c>
      <c r="AL13" s="15">
        <v>0.84</v>
      </c>
      <c r="AM13" s="15">
        <v>0.86</v>
      </c>
      <c r="AN13" s="15">
        <v>0.78</v>
      </c>
      <c r="AO13" s="15">
        <v>0.89</v>
      </c>
      <c r="AP13" s="15">
        <v>0.88</v>
      </c>
      <c r="AQ13" s="15">
        <v>0.85</v>
      </c>
    </row>
    <row r="14" spans="1:43" ht="21.5" x14ac:dyDescent="0.35">
      <c r="A14" s="19"/>
      <c r="B14" s="11" t="s">
        <v>1253</v>
      </c>
      <c r="C14" s="12">
        <v>1737</v>
      </c>
      <c r="D14" s="12">
        <v>55</v>
      </c>
      <c r="E14" s="12">
        <v>88</v>
      </c>
      <c r="F14" s="12">
        <v>86</v>
      </c>
      <c r="G14" s="12">
        <v>18</v>
      </c>
      <c r="H14" s="12">
        <v>123</v>
      </c>
      <c r="I14" s="12">
        <v>148</v>
      </c>
      <c r="J14" s="12">
        <v>25</v>
      </c>
      <c r="K14" s="12">
        <v>44</v>
      </c>
      <c r="L14" s="12">
        <v>65</v>
      </c>
      <c r="M14" s="12">
        <v>45</v>
      </c>
      <c r="N14" s="12">
        <v>55</v>
      </c>
      <c r="O14" s="12">
        <v>50</v>
      </c>
      <c r="P14" s="12">
        <v>77</v>
      </c>
      <c r="Q14" s="12">
        <v>78</v>
      </c>
      <c r="R14" s="12">
        <v>16</v>
      </c>
      <c r="S14" s="12">
        <v>18</v>
      </c>
      <c r="T14" s="12">
        <v>36</v>
      </c>
      <c r="U14" s="12">
        <v>12</v>
      </c>
      <c r="V14" s="12">
        <v>93</v>
      </c>
      <c r="W14" s="12">
        <v>7</v>
      </c>
      <c r="X14" s="12">
        <v>23</v>
      </c>
      <c r="Y14" s="12">
        <v>100</v>
      </c>
      <c r="Z14" s="12">
        <v>68</v>
      </c>
      <c r="AA14" s="12">
        <v>38</v>
      </c>
      <c r="AB14" s="12">
        <v>68</v>
      </c>
      <c r="AC14" s="12">
        <v>63</v>
      </c>
      <c r="AD14" s="12">
        <v>74</v>
      </c>
      <c r="AE14" s="12">
        <v>34</v>
      </c>
      <c r="AF14" s="12">
        <v>21</v>
      </c>
      <c r="AG14" s="12">
        <v>84</v>
      </c>
      <c r="AH14" s="12">
        <v>93</v>
      </c>
      <c r="AI14" s="12">
        <v>29</v>
      </c>
      <c r="AJ14" s="12">
        <v>50</v>
      </c>
      <c r="AK14" s="12">
        <v>45</v>
      </c>
      <c r="AL14" s="12">
        <v>38</v>
      </c>
      <c r="AM14" s="12">
        <v>64</v>
      </c>
      <c r="AN14" s="12">
        <v>94</v>
      </c>
      <c r="AO14" s="12">
        <v>81</v>
      </c>
      <c r="AP14" s="12">
        <v>19</v>
      </c>
      <c r="AQ14" s="12">
        <v>30</v>
      </c>
    </row>
    <row r="15" spans="1:43" x14ac:dyDescent="0.35">
      <c r="A15" s="19"/>
      <c r="B15" s="13" t="s">
        <v>1254</v>
      </c>
      <c r="C15" s="15">
        <v>7.0000000000000007E-2</v>
      </c>
      <c r="D15" s="15">
        <v>0.05</v>
      </c>
      <c r="E15" s="15">
        <v>0.08</v>
      </c>
      <c r="F15" s="15">
        <v>0.08</v>
      </c>
      <c r="G15" s="15">
        <v>0.02</v>
      </c>
      <c r="H15" s="15">
        <v>0.1</v>
      </c>
      <c r="I15" s="15">
        <v>0.1</v>
      </c>
      <c r="J15" s="15">
        <v>0.08</v>
      </c>
      <c r="K15" s="15">
        <v>0.04</v>
      </c>
      <c r="L15" s="15">
        <v>0.06</v>
      </c>
      <c r="M15" s="15">
        <v>0.05</v>
      </c>
      <c r="N15" s="15">
        <v>0.06</v>
      </c>
      <c r="O15" s="15">
        <v>0.05</v>
      </c>
      <c r="P15" s="15">
        <v>0.08</v>
      </c>
      <c r="Q15" s="15">
        <v>0.08</v>
      </c>
      <c r="R15" s="15">
        <v>0.03</v>
      </c>
      <c r="S15" s="15">
        <v>0.02</v>
      </c>
      <c r="T15" s="15">
        <v>0.04</v>
      </c>
      <c r="U15" s="15">
        <v>0.02</v>
      </c>
      <c r="V15" s="15">
        <v>0.09</v>
      </c>
      <c r="W15" s="15">
        <v>0.01</v>
      </c>
      <c r="X15" s="15">
        <v>0.02</v>
      </c>
      <c r="Y15" s="15">
        <v>0.1</v>
      </c>
      <c r="Z15" s="15">
        <v>7.0000000000000007E-2</v>
      </c>
      <c r="AA15" s="15">
        <v>0.04</v>
      </c>
      <c r="AB15" s="15">
        <v>7.0000000000000007E-2</v>
      </c>
      <c r="AC15" s="15">
        <v>0.06</v>
      </c>
      <c r="AD15" s="15">
        <v>7.0000000000000007E-2</v>
      </c>
      <c r="AE15" s="15">
        <v>0.03</v>
      </c>
      <c r="AF15" s="15">
        <v>0.02</v>
      </c>
      <c r="AG15" s="15">
        <v>0.08</v>
      </c>
      <c r="AH15" s="15">
        <v>0.09</v>
      </c>
      <c r="AI15" s="15">
        <v>0.06</v>
      </c>
      <c r="AJ15" s="15">
        <v>0.05</v>
      </c>
      <c r="AK15" s="15">
        <v>0.04</v>
      </c>
      <c r="AL15" s="15">
        <v>0.04</v>
      </c>
      <c r="AM15" s="15">
        <v>0.06</v>
      </c>
      <c r="AN15" s="15">
        <v>0.09</v>
      </c>
      <c r="AO15" s="15">
        <v>0.08</v>
      </c>
      <c r="AP15" s="15">
        <v>0.04</v>
      </c>
      <c r="AQ15" s="15">
        <v>0.03</v>
      </c>
    </row>
    <row r="16" spans="1:43" ht="21.5" x14ac:dyDescent="0.35">
      <c r="A16" s="19"/>
      <c r="B16" s="11" t="s">
        <v>1255</v>
      </c>
      <c r="C16" s="12">
        <v>420</v>
      </c>
      <c r="D16" s="12">
        <v>13</v>
      </c>
      <c r="E16" s="12">
        <v>18</v>
      </c>
      <c r="F16" s="12">
        <v>29</v>
      </c>
      <c r="G16" s="12">
        <v>5</v>
      </c>
      <c r="H16" s="12">
        <v>13</v>
      </c>
      <c r="I16" s="12">
        <v>20</v>
      </c>
      <c r="J16" s="12">
        <v>8</v>
      </c>
      <c r="K16" s="12">
        <v>13</v>
      </c>
      <c r="L16" s="12">
        <v>7</v>
      </c>
      <c r="M16" s="12">
        <v>14</v>
      </c>
      <c r="N16" s="12">
        <v>8</v>
      </c>
      <c r="O16" s="12">
        <v>10</v>
      </c>
      <c r="P16" s="12">
        <v>38</v>
      </c>
      <c r="Q16" s="12">
        <v>31</v>
      </c>
      <c r="R16" s="12">
        <v>1</v>
      </c>
      <c r="S16" s="12">
        <v>11</v>
      </c>
      <c r="T16" s="12">
        <v>7</v>
      </c>
      <c r="U16" s="12">
        <v>5</v>
      </c>
      <c r="V16" s="12">
        <v>16</v>
      </c>
      <c r="W16" s="12">
        <v>1</v>
      </c>
      <c r="X16" s="12">
        <v>32</v>
      </c>
      <c r="Y16" s="12">
        <v>41</v>
      </c>
      <c r="Z16" s="12">
        <v>15</v>
      </c>
      <c r="AA16" s="12">
        <v>11</v>
      </c>
      <c r="AB16" s="12">
        <v>14</v>
      </c>
      <c r="AC16" s="12">
        <v>15</v>
      </c>
      <c r="AD16" s="12">
        <v>16</v>
      </c>
      <c r="AE16" s="12">
        <v>10</v>
      </c>
      <c r="AF16" s="12">
        <v>2</v>
      </c>
      <c r="AG16" s="12">
        <v>34</v>
      </c>
      <c r="AH16" s="12">
        <v>18</v>
      </c>
      <c r="AI16" s="12">
        <v>0</v>
      </c>
      <c r="AJ16" s="12">
        <v>12</v>
      </c>
      <c r="AK16" s="12">
        <v>11</v>
      </c>
      <c r="AL16" s="12">
        <v>5</v>
      </c>
      <c r="AM16" s="12">
        <v>8</v>
      </c>
      <c r="AN16" s="12">
        <v>40</v>
      </c>
      <c r="AO16" s="12">
        <v>8</v>
      </c>
      <c r="AP16" s="12">
        <v>14</v>
      </c>
      <c r="AQ16" s="12">
        <v>3</v>
      </c>
    </row>
    <row r="17" spans="1:43" x14ac:dyDescent="0.35">
      <c r="A17" s="19"/>
      <c r="B17" s="13" t="s">
        <v>1256</v>
      </c>
      <c r="C17" s="15">
        <v>0.02</v>
      </c>
      <c r="D17" s="15">
        <v>0.01</v>
      </c>
      <c r="E17" s="15">
        <v>0.02</v>
      </c>
      <c r="F17" s="15">
        <v>0.02</v>
      </c>
      <c r="G17" s="15">
        <v>0.01</v>
      </c>
      <c r="H17" s="15">
        <v>0.01</v>
      </c>
      <c r="I17" s="15">
        <v>0.01</v>
      </c>
      <c r="J17" s="15">
        <v>0.03</v>
      </c>
      <c r="K17" s="15">
        <v>0.01</v>
      </c>
      <c r="L17" s="15">
        <v>0.01</v>
      </c>
      <c r="M17" s="15">
        <v>0.01</v>
      </c>
      <c r="N17" s="15">
        <v>0.01</v>
      </c>
      <c r="O17" s="15">
        <v>0.01</v>
      </c>
      <c r="P17" s="15">
        <v>0.04</v>
      </c>
      <c r="Q17" s="15">
        <v>0.03</v>
      </c>
      <c r="R17" s="14" t="s">
        <v>475</v>
      </c>
      <c r="S17" s="15">
        <v>0.01</v>
      </c>
      <c r="T17" s="15">
        <v>0.01</v>
      </c>
      <c r="U17" s="15">
        <v>0.01</v>
      </c>
      <c r="V17" s="15">
        <v>0.01</v>
      </c>
      <c r="W17" s="14" t="s">
        <v>475</v>
      </c>
      <c r="X17" s="15">
        <v>0.03</v>
      </c>
      <c r="Y17" s="15">
        <v>0.04</v>
      </c>
      <c r="Z17" s="15">
        <v>0.01</v>
      </c>
      <c r="AA17" s="15">
        <v>0.01</v>
      </c>
      <c r="AB17" s="15">
        <v>0.01</v>
      </c>
      <c r="AC17" s="15">
        <v>0.02</v>
      </c>
      <c r="AD17" s="15">
        <v>0.02</v>
      </c>
      <c r="AE17" s="15">
        <v>0.01</v>
      </c>
      <c r="AF17" s="14" t="s">
        <v>475</v>
      </c>
      <c r="AG17" s="15">
        <v>0.03</v>
      </c>
      <c r="AH17" s="15">
        <v>0.02</v>
      </c>
      <c r="AI17" s="14" t="s">
        <v>475</v>
      </c>
      <c r="AJ17" s="15">
        <v>0.01</v>
      </c>
      <c r="AK17" s="15">
        <v>0.01</v>
      </c>
      <c r="AL17" s="14" t="s">
        <v>475</v>
      </c>
      <c r="AM17" s="15">
        <v>0.01</v>
      </c>
      <c r="AN17" s="15">
        <v>0.04</v>
      </c>
      <c r="AO17" s="15">
        <v>0.01</v>
      </c>
      <c r="AP17" s="15">
        <v>0.03</v>
      </c>
      <c r="AQ17" s="14" t="s">
        <v>475</v>
      </c>
    </row>
    <row r="18" spans="1:43" x14ac:dyDescent="0.35">
      <c r="A18" s="19"/>
      <c r="B18" s="11" t="s">
        <v>1257</v>
      </c>
      <c r="C18" s="12">
        <v>138</v>
      </c>
      <c r="D18" s="12">
        <v>1</v>
      </c>
      <c r="E18" s="12">
        <v>3</v>
      </c>
      <c r="F18" s="12">
        <v>10</v>
      </c>
      <c r="G18" s="12">
        <v>1</v>
      </c>
      <c r="H18" s="12">
        <v>5</v>
      </c>
      <c r="I18" s="12">
        <v>5</v>
      </c>
      <c r="J18" s="12">
        <v>0</v>
      </c>
      <c r="K18" s="12">
        <v>9</v>
      </c>
      <c r="L18" s="12">
        <v>0</v>
      </c>
      <c r="M18" s="12">
        <v>4</v>
      </c>
      <c r="N18" s="12">
        <v>3</v>
      </c>
      <c r="O18" s="12">
        <v>8</v>
      </c>
      <c r="P18" s="12">
        <v>5</v>
      </c>
      <c r="Q18" s="12">
        <v>9</v>
      </c>
      <c r="R18" s="12">
        <v>0</v>
      </c>
      <c r="S18" s="12">
        <v>3</v>
      </c>
      <c r="T18" s="12">
        <v>2</v>
      </c>
      <c r="U18" s="12">
        <v>2</v>
      </c>
      <c r="V18" s="12">
        <v>6</v>
      </c>
      <c r="W18" s="12">
        <v>0</v>
      </c>
      <c r="X18" s="12">
        <v>6</v>
      </c>
      <c r="Y18" s="12">
        <v>4</v>
      </c>
      <c r="Z18" s="12">
        <v>7</v>
      </c>
      <c r="AA18" s="12">
        <v>2</v>
      </c>
      <c r="AB18" s="12">
        <v>3</v>
      </c>
      <c r="AC18" s="12">
        <v>8</v>
      </c>
      <c r="AD18" s="12">
        <v>7</v>
      </c>
      <c r="AE18" s="12">
        <v>6</v>
      </c>
      <c r="AF18" s="12">
        <v>2</v>
      </c>
      <c r="AG18" s="12">
        <v>7</v>
      </c>
      <c r="AH18" s="12">
        <v>2</v>
      </c>
      <c r="AI18" s="12">
        <v>0</v>
      </c>
      <c r="AJ18" s="12">
        <v>5</v>
      </c>
      <c r="AK18" s="12">
        <v>5</v>
      </c>
      <c r="AL18" s="12">
        <v>1</v>
      </c>
      <c r="AM18" s="12">
        <v>2</v>
      </c>
      <c r="AN18" s="12">
        <v>10</v>
      </c>
      <c r="AO18" s="12">
        <v>2</v>
      </c>
      <c r="AP18" s="12">
        <v>6</v>
      </c>
      <c r="AQ18" s="12">
        <v>3</v>
      </c>
    </row>
    <row r="19" spans="1:43" x14ac:dyDescent="0.35">
      <c r="A19" s="19"/>
      <c r="B19" s="13" t="s">
        <v>1258</v>
      </c>
      <c r="C19" s="14" t="s">
        <v>475</v>
      </c>
      <c r="D19" s="14" t="s">
        <v>475</v>
      </c>
      <c r="E19" s="14" t="s">
        <v>475</v>
      </c>
      <c r="F19" s="15">
        <v>0.01</v>
      </c>
      <c r="G19" s="14" t="s">
        <v>475</v>
      </c>
      <c r="H19" s="14" t="s">
        <v>475</v>
      </c>
      <c r="I19" s="14" t="s">
        <v>475</v>
      </c>
      <c r="J19" s="14" t="s">
        <v>475</v>
      </c>
      <c r="K19" s="15">
        <v>0.01</v>
      </c>
      <c r="L19" s="14" t="s">
        <v>475</v>
      </c>
      <c r="M19" s="14" t="s">
        <v>475</v>
      </c>
      <c r="N19" s="14" t="s">
        <v>475</v>
      </c>
      <c r="O19" s="15">
        <v>0.01</v>
      </c>
      <c r="P19" s="14" t="s">
        <v>475</v>
      </c>
      <c r="Q19" s="15">
        <v>0.01</v>
      </c>
      <c r="R19" s="14" t="s">
        <v>475</v>
      </c>
      <c r="S19" s="14" t="s">
        <v>475</v>
      </c>
      <c r="T19" s="14" t="s">
        <v>475</v>
      </c>
      <c r="U19" s="15">
        <v>0.01</v>
      </c>
      <c r="V19" s="15">
        <v>0.01</v>
      </c>
      <c r="W19" s="14" t="s">
        <v>475</v>
      </c>
      <c r="X19" s="15">
        <v>0.01</v>
      </c>
      <c r="Y19" s="14" t="s">
        <v>475</v>
      </c>
      <c r="Z19" s="15">
        <v>0.01</v>
      </c>
      <c r="AA19" s="14" t="s">
        <v>475</v>
      </c>
      <c r="AB19" s="14" t="s">
        <v>475</v>
      </c>
      <c r="AC19" s="15">
        <v>0.01</v>
      </c>
      <c r="AD19" s="15">
        <v>0.01</v>
      </c>
      <c r="AE19" s="15">
        <v>0.01</v>
      </c>
      <c r="AF19" s="14" t="s">
        <v>475</v>
      </c>
      <c r="AG19" s="15">
        <v>0.01</v>
      </c>
      <c r="AH19" s="14" t="s">
        <v>475</v>
      </c>
      <c r="AI19" s="14" t="s">
        <v>475</v>
      </c>
      <c r="AJ19" s="14" t="s">
        <v>475</v>
      </c>
      <c r="AK19" s="15">
        <v>0.01</v>
      </c>
      <c r="AL19" s="14" t="s">
        <v>475</v>
      </c>
      <c r="AM19" s="14" t="s">
        <v>475</v>
      </c>
      <c r="AN19" s="15">
        <v>0.01</v>
      </c>
      <c r="AO19" s="14" t="s">
        <v>475</v>
      </c>
      <c r="AP19" s="15">
        <v>0.01</v>
      </c>
      <c r="AQ19" s="14" t="s">
        <v>475</v>
      </c>
    </row>
    <row r="20" spans="1:43" x14ac:dyDescent="0.35">
      <c r="A20" s="19"/>
      <c r="B20" s="11" t="s">
        <v>1259</v>
      </c>
      <c r="C20" s="12">
        <v>399</v>
      </c>
      <c r="D20" s="12">
        <v>16</v>
      </c>
      <c r="E20" s="12">
        <v>14</v>
      </c>
      <c r="F20" s="12">
        <v>23</v>
      </c>
      <c r="G20" s="12">
        <v>4</v>
      </c>
      <c r="H20" s="12">
        <v>17</v>
      </c>
      <c r="I20" s="12">
        <v>27</v>
      </c>
      <c r="J20" s="12">
        <v>10</v>
      </c>
      <c r="K20" s="12">
        <v>17</v>
      </c>
      <c r="L20" s="12">
        <v>6</v>
      </c>
      <c r="M20" s="12">
        <v>9</v>
      </c>
      <c r="N20" s="12">
        <v>13</v>
      </c>
      <c r="O20" s="12">
        <v>16</v>
      </c>
      <c r="P20" s="12">
        <v>37</v>
      </c>
      <c r="Q20" s="12">
        <v>25</v>
      </c>
      <c r="R20" s="12">
        <v>5</v>
      </c>
      <c r="S20" s="12">
        <v>12</v>
      </c>
      <c r="T20" s="12">
        <v>9</v>
      </c>
      <c r="U20" s="12">
        <v>7</v>
      </c>
      <c r="V20" s="12">
        <v>6</v>
      </c>
      <c r="W20" s="12">
        <v>2</v>
      </c>
      <c r="X20" s="12">
        <v>3</v>
      </c>
      <c r="Y20" s="12">
        <v>16</v>
      </c>
      <c r="Z20" s="12">
        <v>12</v>
      </c>
      <c r="AA20" s="12">
        <v>14</v>
      </c>
      <c r="AB20" s="12">
        <v>9</v>
      </c>
      <c r="AC20" s="12">
        <v>22</v>
      </c>
      <c r="AD20" s="12">
        <v>12</v>
      </c>
      <c r="AE20" s="12">
        <v>4</v>
      </c>
      <c r="AF20" s="12">
        <v>4</v>
      </c>
      <c r="AG20" s="12">
        <v>12</v>
      </c>
      <c r="AH20" s="12">
        <v>20</v>
      </c>
      <c r="AI20" s="12">
        <v>2</v>
      </c>
      <c r="AJ20" s="12">
        <v>20</v>
      </c>
      <c r="AK20" s="12">
        <v>10</v>
      </c>
      <c r="AL20" s="12">
        <v>11</v>
      </c>
      <c r="AM20" s="12">
        <v>12</v>
      </c>
      <c r="AN20" s="12">
        <v>17</v>
      </c>
      <c r="AO20" s="12">
        <v>5</v>
      </c>
      <c r="AP20" s="12">
        <v>11</v>
      </c>
      <c r="AQ20" s="12">
        <v>3</v>
      </c>
    </row>
    <row r="21" spans="1:43" x14ac:dyDescent="0.35">
      <c r="A21" s="19"/>
      <c r="B21" s="13" t="s">
        <v>1260</v>
      </c>
      <c r="C21" s="15">
        <v>0.01</v>
      </c>
      <c r="D21" s="15">
        <v>0.02</v>
      </c>
      <c r="E21" s="15">
        <v>0.01</v>
      </c>
      <c r="F21" s="15">
        <v>0.02</v>
      </c>
      <c r="G21" s="14" t="s">
        <v>475</v>
      </c>
      <c r="H21" s="15">
        <v>0.01</v>
      </c>
      <c r="I21" s="15">
        <v>0.02</v>
      </c>
      <c r="J21" s="15">
        <v>0.03</v>
      </c>
      <c r="K21" s="15">
        <v>0.02</v>
      </c>
      <c r="L21" s="15">
        <v>0.01</v>
      </c>
      <c r="M21" s="15">
        <v>0.01</v>
      </c>
      <c r="N21" s="15">
        <v>0.01</v>
      </c>
      <c r="O21" s="15">
        <v>0.02</v>
      </c>
      <c r="P21" s="15">
        <v>0.04</v>
      </c>
      <c r="Q21" s="15">
        <v>0.02</v>
      </c>
      <c r="R21" s="15">
        <v>0.01</v>
      </c>
      <c r="S21" s="15">
        <v>0.01</v>
      </c>
      <c r="T21" s="15">
        <v>0.01</v>
      </c>
      <c r="U21" s="15">
        <v>0.01</v>
      </c>
      <c r="V21" s="15">
        <v>0.01</v>
      </c>
      <c r="W21" s="14" t="s">
        <v>475</v>
      </c>
      <c r="X21" s="14" t="s">
        <v>475</v>
      </c>
      <c r="Y21" s="15">
        <v>0.02</v>
      </c>
      <c r="Z21" s="15">
        <v>0.01</v>
      </c>
      <c r="AA21" s="15">
        <v>0.01</v>
      </c>
      <c r="AB21" s="15">
        <v>0.01</v>
      </c>
      <c r="AC21" s="15">
        <v>0.02</v>
      </c>
      <c r="AD21" s="15">
        <v>0.01</v>
      </c>
      <c r="AE21" s="14" t="s">
        <v>475</v>
      </c>
      <c r="AF21" s="14" t="s">
        <v>475</v>
      </c>
      <c r="AG21" s="15">
        <v>0.01</v>
      </c>
      <c r="AH21" s="15">
        <v>0.02</v>
      </c>
      <c r="AI21" s="14" t="s">
        <v>475</v>
      </c>
      <c r="AJ21" s="15">
        <v>0.02</v>
      </c>
      <c r="AK21" s="15">
        <v>0.01</v>
      </c>
      <c r="AL21" s="15">
        <v>0.01</v>
      </c>
      <c r="AM21" s="15">
        <v>0.01</v>
      </c>
      <c r="AN21" s="15">
        <v>0.02</v>
      </c>
      <c r="AO21" s="14" t="s">
        <v>475</v>
      </c>
      <c r="AP21" s="15">
        <v>0.02</v>
      </c>
      <c r="AQ21" s="14" t="s">
        <v>475</v>
      </c>
    </row>
    <row r="22" spans="1:43" x14ac:dyDescent="0.35">
      <c r="A22" s="19"/>
      <c r="B22" s="11" t="s">
        <v>500</v>
      </c>
      <c r="C22" s="12">
        <v>2652</v>
      </c>
      <c r="D22" s="12">
        <v>40</v>
      </c>
      <c r="E22" s="12">
        <v>142</v>
      </c>
      <c r="F22" s="12">
        <v>120</v>
      </c>
      <c r="G22" s="12">
        <v>16</v>
      </c>
      <c r="H22" s="12">
        <v>110</v>
      </c>
      <c r="I22" s="12">
        <v>130</v>
      </c>
      <c r="J22" s="12">
        <v>20</v>
      </c>
      <c r="K22" s="12">
        <v>67</v>
      </c>
      <c r="L22" s="12">
        <v>55</v>
      </c>
      <c r="M22" s="12">
        <v>160</v>
      </c>
      <c r="N22" s="12">
        <v>110</v>
      </c>
      <c r="O22" s="12">
        <v>70</v>
      </c>
      <c r="P22" s="12">
        <v>105</v>
      </c>
      <c r="Q22" s="12">
        <v>162</v>
      </c>
      <c r="R22" s="12">
        <v>47</v>
      </c>
      <c r="S22" s="12">
        <v>103</v>
      </c>
      <c r="T22" s="12">
        <v>144</v>
      </c>
      <c r="U22" s="12">
        <v>11</v>
      </c>
      <c r="V22" s="12">
        <v>116</v>
      </c>
      <c r="W22" s="12">
        <v>29</v>
      </c>
      <c r="X22" s="12">
        <v>8</v>
      </c>
      <c r="Y22" s="12">
        <v>66</v>
      </c>
      <c r="Z22" s="12">
        <v>141</v>
      </c>
      <c r="AA22" s="12">
        <v>157</v>
      </c>
      <c r="AB22" s="12">
        <v>158</v>
      </c>
      <c r="AC22" s="12">
        <v>113</v>
      </c>
      <c r="AD22" s="12">
        <v>100</v>
      </c>
      <c r="AE22" s="12">
        <v>19</v>
      </c>
      <c r="AF22" s="12">
        <v>15</v>
      </c>
      <c r="AG22" s="12">
        <v>48</v>
      </c>
      <c r="AH22" s="12">
        <v>83</v>
      </c>
      <c r="AI22" s="12">
        <v>0</v>
      </c>
      <c r="AJ22" s="12">
        <v>208</v>
      </c>
      <c r="AK22" s="12">
        <v>114</v>
      </c>
      <c r="AL22" s="12">
        <v>109</v>
      </c>
      <c r="AM22" s="12">
        <v>58</v>
      </c>
      <c r="AN22" s="12">
        <v>60</v>
      </c>
      <c r="AO22" s="12">
        <v>18</v>
      </c>
      <c r="AP22" s="12">
        <v>11</v>
      </c>
      <c r="AQ22" s="12">
        <v>102</v>
      </c>
    </row>
    <row r="23" spans="1:43" x14ac:dyDescent="0.35">
      <c r="A23" s="19"/>
      <c r="B23" s="13" t="s">
        <v>501</v>
      </c>
      <c r="C23" s="15">
        <v>0.1</v>
      </c>
      <c r="D23" s="15">
        <v>0.04</v>
      </c>
      <c r="E23" s="15">
        <v>0.14000000000000001</v>
      </c>
      <c r="F23" s="15">
        <v>0.11</v>
      </c>
      <c r="G23" s="15">
        <v>0.02</v>
      </c>
      <c r="H23" s="15">
        <v>0.09</v>
      </c>
      <c r="I23" s="15">
        <v>0.09</v>
      </c>
      <c r="J23" s="15">
        <v>7.0000000000000007E-2</v>
      </c>
      <c r="K23" s="15">
        <v>7.0000000000000007E-2</v>
      </c>
      <c r="L23" s="15">
        <v>0.05</v>
      </c>
      <c r="M23" s="15">
        <v>0.16</v>
      </c>
      <c r="N23" s="15">
        <v>0.11</v>
      </c>
      <c r="O23" s="15">
        <v>7.0000000000000007E-2</v>
      </c>
      <c r="P23" s="15">
        <v>0.1</v>
      </c>
      <c r="Q23" s="15">
        <v>0.16</v>
      </c>
      <c r="R23" s="15">
        <v>0.09</v>
      </c>
      <c r="S23" s="15">
        <v>0.1</v>
      </c>
      <c r="T23" s="15">
        <v>0.14000000000000001</v>
      </c>
      <c r="U23" s="15">
        <v>0.02</v>
      </c>
      <c r="V23" s="15">
        <v>0.11</v>
      </c>
      <c r="W23" s="15">
        <v>0.06</v>
      </c>
      <c r="X23" s="15">
        <v>0.01</v>
      </c>
      <c r="Y23" s="15">
        <v>7.0000000000000007E-2</v>
      </c>
      <c r="Z23" s="15">
        <v>0.14000000000000001</v>
      </c>
      <c r="AA23" s="15">
        <v>0.15</v>
      </c>
      <c r="AB23" s="15">
        <v>0.15</v>
      </c>
      <c r="AC23" s="15">
        <v>0.11</v>
      </c>
      <c r="AD23" s="15">
        <v>0.1</v>
      </c>
      <c r="AE23" s="15">
        <v>0.02</v>
      </c>
      <c r="AF23" s="15">
        <v>0.02</v>
      </c>
      <c r="AG23" s="15">
        <v>0.05</v>
      </c>
      <c r="AH23" s="15">
        <v>0.08</v>
      </c>
      <c r="AI23" s="14" t="s">
        <v>475</v>
      </c>
      <c r="AJ23" s="15">
        <v>0.2</v>
      </c>
      <c r="AK23" s="15">
        <v>0.11</v>
      </c>
      <c r="AL23" s="15">
        <v>0.11</v>
      </c>
      <c r="AM23" s="15">
        <v>0.06</v>
      </c>
      <c r="AN23" s="15">
        <v>0.06</v>
      </c>
      <c r="AO23" s="15">
        <v>0.02</v>
      </c>
      <c r="AP23" s="15">
        <v>0.02</v>
      </c>
      <c r="AQ23" s="15">
        <v>0.1</v>
      </c>
    </row>
    <row r="24" spans="1:43" ht="21.5" x14ac:dyDescent="0.35">
      <c r="A24" s="19"/>
      <c r="B24" s="11" t="s">
        <v>1661</v>
      </c>
      <c r="C24" s="12">
        <v>150</v>
      </c>
      <c r="D24" s="12">
        <v>0</v>
      </c>
      <c r="E24" s="12">
        <v>16</v>
      </c>
      <c r="F24" s="12">
        <v>10</v>
      </c>
      <c r="G24" s="12">
        <v>1</v>
      </c>
      <c r="H24" s="12">
        <v>8</v>
      </c>
      <c r="I24" s="12">
        <v>9</v>
      </c>
      <c r="J24" s="12">
        <v>0</v>
      </c>
      <c r="K24" s="12">
        <v>7</v>
      </c>
      <c r="L24" s="12">
        <v>0</v>
      </c>
      <c r="M24" s="12">
        <v>20</v>
      </c>
      <c r="N24" s="12">
        <v>4</v>
      </c>
      <c r="O24" s="12">
        <v>1</v>
      </c>
      <c r="P24" s="12">
        <v>4</v>
      </c>
      <c r="Q24" s="12">
        <v>7</v>
      </c>
      <c r="R24" s="12">
        <v>2</v>
      </c>
      <c r="S24" s="12">
        <v>14</v>
      </c>
      <c r="T24" s="12">
        <v>14</v>
      </c>
      <c r="U24" s="12">
        <v>1</v>
      </c>
      <c r="V24" s="12">
        <v>0</v>
      </c>
      <c r="W24" s="12">
        <v>19</v>
      </c>
      <c r="X24" s="12">
        <v>0</v>
      </c>
      <c r="Y24" s="12">
        <v>33</v>
      </c>
      <c r="Z24" s="12">
        <v>0</v>
      </c>
      <c r="AA24" s="12">
        <v>23</v>
      </c>
      <c r="AB24" s="12">
        <v>13</v>
      </c>
      <c r="AC24" s="12">
        <v>6</v>
      </c>
      <c r="AD24" s="12">
        <v>7</v>
      </c>
      <c r="AE24" s="12">
        <v>6</v>
      </c>
      <c r="AF24" s="12">
        <v>0</v>
      </c>
      <c r="AG24" s="12">
        <v>1</v>
      </c>
      <c r="AH24" s="12">
        <v>0</v>
      </c>
      <c r="AI24" s="12">
        <v>1</v>
      </c>
      <c r="AJ24" s="12">
        <v>0</v>
      </c>
      <c r="AK24" s="12">
        <v>2</v>
      </c>
      <c r="AL24" s="12">
        <v>1</v>
      </c>
      <c r="AM24" s="12">
        <v>1</v>
      </c>
      <c r="AN24" s="12">
        <v>0</v>
      </c>
      <c r="AO24" s="12">
        <v>0</v>
      </c>
      <c r="AP24" s="12">
        <v>0</v>
      </c>
      <c r="AQ24" s="12">
        <v>15</v>
      </c>
    </row>
    <row r="25" spans="1:43" ht="21.5" x14ac:dyDescent="0.35">
      <c r="A25" s="19"/>
      <c r="B25" s="13" t="s">
        <v>1662</v>
      </c>
      <c r="C25" s="15">
        <v>0.01</v>
      </c>
      <c r="D25" s="14" t="s">
        <v>475</v>
      </c>
      <c r="E25" s="15">
        <v>0.02</v>
      </c>
      <c r="F25" s="15">
        <v>0.01</v>
      </c>
      <c r="G25" s="14" t="s">
        <v>475</v>
      </c>
      <c r="H25" s="15">
        <v>0.01</v>
      </c>
      <c r="I25" s="14" t="s">
        <v>475</v>
      </c>
      <c r="J25" s="14" t="s">
        <v>475</v>
      </c>
      <c r="K25" s="15">
        <v>0.01</v>
      </c>
      <c r="L25" s="14" t="s">
        <v>475</v>
      </c>
      <c r="M25" s="15">
        <v>0.02</v>
      </c>
      <c r="N25" s="14" t="s">
        <v>475</v>
      </c>
      <c r="O25" s="14" t="s">
        <v>475</v>
      </c>
      <c r="P25" s="14" t="s">
        <v>475</v>
      </c>
      <c r="Q25" s="15">
        <v>0.01</v>
      </c>
      <c r="R25" s="15">
        <v>0.01</v>
      </c>
      <c r="S25" s="15">
        <v>0.02</v>
      </c>
      <c r="T25" s="15">
        <v>0.01</v>
      </c>
      <c r="U25" s="14" t="s">
        <v>475</v>
      </c>
      <c r="V25" s="14" t="s">
        <v>475</v>
      </c>
      <c r="W25" s="15">
        <v>0.04</v>
      </c>
      <c r="X25" s="14" t="s">
        <v>475</v>
      </c>
      <c r="Y25" s="15">
        <v>0.03</v>
      </c>
      <c r="Z25" s="14" t="s">
        <v>475</v>
      </c>
      <c r="AA25" s="15">
        <v>0.02</v>
      </c>
      <c r="AB25" s="15">
        <v>0.01</v>
      </c>
      <c r="AC25" s="15">
        <v>0.01</v>
      </c>
      <c r="AD25" s="15">
        <v>0.01</v>
      </c>
      <c r="AE25" s="15">
        <v>0.01</v>
      </c>
      <c r="AF25" s="14" t="s">
        <v>475</v>
      </c>
      <c r="AG25" s="14" t="s">
        <v>475</v>
      </c>
      <c r="AH25" s="14" t="s">
        <v>475</v>
      </c>
      <c r="AI25" s="14" t="s">
        <v>475</v>
      </c>
      <c r="AJ25" s="14" t="s">
        <v>475</v>
      </c>
      <c r="AK25" s="14" t="s">
        <v>475</v>
      </c>
      <c r="AL25" s="14" t="s">
        <v>475</v>
      </c>
      <c r="AM25" s="14" t="s">
        <v>475</v>
      </c>
      <c r="AN25" s="14" t="s">
        <v>475</v>
      </c>
      <c r="AO25" s="14" t="s">
        <v>475</v>
      </c>
      <c r="AP25" s="14" t="s">
        <v>475</v>
      </c>
      <c r="AQ25" s="15">
        <v>0.02</v>
      </c>
    </row>
    <row r="26" spans="1:43" x14ac:dyDescent="0.35">
      <c r="A26" s="19"/>
      <c r="B26" s="11" t="s">
        <v>1663</v>
      </c>
      <c r="C26" s="12">
        <v>23643</v>
      </c>
      <c r="D26" s="12">
        <v>973</v>
      </c>
      <c r="E26" s="12">
        <v>871</v>
      </c>
      <c r="F26" s="12">
        <v>972</v>
      </c>
      <c r="G26" s="12">
        <v>988</v>
      </c>
      <c r="H26" s="12">
        <v>1103</v>
      </c>
      <c r="I26" s="12">
        <v>1377</v>
      </c>
      <c r="J26" s="12">
        <v>275</v>
      </c>
      <c r="K26" s="12">
        <v>929</v>
      </c>
      <c r="L26" s="12">
        <v>947</v>
      </c>
      <c r="M26" s="12">
        <v>831</v>
      </c>
      <c r="N26" s="12">
        <v>888</v>
      </c>
      <c r="O26" s="12">
        <v>930</v>
      </c>
      <c r="P26" s="12">
        <v>896</v>
      </c>
      <c r="Q26" s="12">
        <v>858</v>
      </c>
      <c r="R26" s="12">
        <v>454</v>
      </c>
      <c r="S26" s="12">
        <v>885</v>
      </c>
      <c r="T26" s="12">
        <v>849</v>
      </c>
      <c r="U26" s="12">
        <v>492</v>
      </c>
      <c r="V26" s="12">
        <v>899</v>
      </c>
      <c r="W26" s="12">
        <v>461</v>
      </c>
      <c r="X26" s="12">
        <v>1001</v>
      </c>
      <c r="Y26" s="12">
        <v>903</v>
      </c>
      <c r="Z26" s="12">
        <v>891</v>
      </c>
      <c r="AA26" s="12">
        <v>854</v>
      </c>
      <c r="AB26" s="12">
        <v>879</v>
      </c>
      <c r="AC26" s="12">
        <v>884</v>
      </c>
      <c r="AD26" s="12">
        <v>897</v>
      </c>
      <c r="AE26" s="12">
        <v>986</v>
      </c>
      <c r="AF26" s="12">
        <v>1028</v>
      </c>
      <c r="AG26" s="12">
        <v>986</v>
      </c>
      <c r="AH26" s="12">
        <v>930</v>
      </c>
      <c r="AI26" s="12">
        <v>522</v>
      </c>
      <c r="AJ26" s="12">
        <v>830</v>
      </c>
      <c r="AK26" s="12">
        <v>892</v>
      </c>
      <c r="AL26" s="12">
        <v>903</v>
      </c>
      <c r="AM26" s="12">
        <v>981</v>
      </c>
      <c r="AN26" s="12">
        <v>943</v>
      </c>
      <c r="AO26" s="12">
        <v>988</v>
      </c>
      <c r="AP26" s="12">
        <v>513</v>
      </c>
      <c r="AQ26" s="12">
        <v>885</v>
      </c>
    </row>
    <row r="27" spans="1:43" x14ac:dyDescent="0.35">
      <c r="A27" s="19"/>
      <c r="B27" s="13" t="s">
        <v>1664</v>
      </c>
      <c r="C27" s="15">
        <v>0.89</v>
      </c>
      <c r="D27" s="15">
        <v>0.96</v>
      </c>
      <c r="E27" s="15">
        <v>0.84</v>
      </c>
      <c r="F27" s="15">
        <v>0.88</v>
      </c>
      <c r="G27" s="15">
        <v>0.98</v>
      </c>
      <c r="H27" s="15">
        <v>0.9</v>
      </c>
      <c r="I27" s="15">
        <v>0.91</v>
      </c>
      <c r="J27" s="15">
        <v>0.93</v>
      </c>
      <c r="K27" s="15">
        <v>0.92</v>
      </c>
      <c r="L27" s="15">
        <v>0.95000000000000007</v>
      </c>
      <c r="M27" s="15">
        <v>0.82000000000000006</v>
      </c>
      <c r="N27" s="15">
        <v>0.89</v>
      </c>
      <c r="O27" s="15">
        <v>0.93</v>
      </c>
      <c r="P27" s="15">
        <v>0.9</v>
      </c>
      <c r="Q27" s="15">
        <v>0.83000000000000007</v>
      </c>
      <c r="R27" s="15">
        <v>0.9</v>
      </c>
      <c r="S27" s="15">
        <v>0.88</v>
      </c>
      <c r="T27" s="15">
        <v>0.85</v>
      </c>
      <c r="U27" s="15">
        <v>0.98</v>
      </c>
      <c r="V27" s="15">
        <v>0.89</v>
      </c>
      <c r="W27" s="15">
        <v>0.9</v>
      </c>
      <c r="X27" s="15">
        <v>0.99</v>
      </c>
      <c r="Y27" s="15">
        <v>0.9</v>
      </c>
      <c r="Z27" s="15">
        <v>0.86</v>
      </c>
      <c r="AA27" s="15">
        <v>0.83000000000000007</v>
      </c>
      <c r="AB27" s="15">
        <v>0.84</v>
      </c>
      <c r="AC27" s="15">
        <v>0.88</v>
      </c>
      <c r="AD27" s="15">
        <v>0.89</v>
      </c>
      <c r="AE27" s="15">
        <v>0.97</v>
      </c>
      <c r="AF27" s="15">
        <v>0.98</v>
      </c>
      <c r="AG27" s="15">
        <v>0.95000000000000007</v>
      </c>
      <c r="AH27" s="15">
        <v>0.92</v>
      </c>
      <c r="AI27" s="15">
        <v>1</v>
      </c>
      <c r="AJ27" s="15">
        <v>0.8</v>
      </c>
      <c r="AK27" s="15">
        <v>0.89</v>
      </c>
      <c r="AL27" s="15">
        <v>0.89</v>
      </c>
      <c r="AM27" s="15">
        <v>0.94000000000000006</v>
      </c>
      <c r="AN27" s="15">
        <v>0.94000000000000006</v>
      </c>
      <c r="AO27" s="15">
        <v>0.98</v>
      </c>
      <c r="AP27" s="15">
        <v>0.98</v>
      </c>
      <c r="AQ27" s="15">
        <v>0.88</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1665</v>
      </c>
      <c r="C3" s="18"/>
      <c r="D3" s="18"/>
      <c r="E3" s="18"/>
      <c r="F3" s="18"/>
      <c r="H3" s="18" t="s">
        <v>1666</v>
      </c>
      <c r="I3" s="18"/>
      <c r="J3" s="18"/>
      <c r="K3" s="18"/>
      <c r="L3" s="18"/>
    </row>
    <row r="4" spans="1:43" ht="27" customHeight="1" x14ac:dyDescent="0.35">
      <c r="B4" s="18" t="s">
        <v>1667</v>
      </c>
      <c r="C4" s="18"/>
      <c r="D4" s="18"/>
      <c r="E4" s="18"/>
      <c r="F4" s="18"/>
      <c r="H4" s="18" t="s">
        <v>1668</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12310</v>
      </c>
      <c r="D12" s="12">
        <v>530</v>
      </c>
      <c r="E12" s="12">
        <v>468</v>
      </c>
      <c r="F12" s="12">
        <v>546</v>
      </c>
      <c r="G12" s="12">
        <v>606</v>
      </c>
      <c r="H12" s="12">
        <v>534</v>
      </c>
      <c r="I12" s="12">
        <v>650</v>
      </c>
      <c r="J12" s="12">
        <v>117</v>
      </c>
      <c r="K12" s="12">
        <v>490</v>
      </c>
      <c r="L12" s="12">
        <v>577</v>
      </c>
      <c r="M12" s="12">
        <v>446</v>
      </c>
      <c r="N12" s="12">
        <v>439</v>
      </c>
      <c r="O12" s="12">
        <v>418</v>
      </c>
      <c r="P12" s="12">
        <v>526</v>
      </c>
      <c r="Q12" s="12">
        <v>442</v>
      </c>
      <c r="R12" s="12">
        <v>307</v>
      </c>
      <c r="S12" s="12">
        <v>512</v>
      </c>
      <c r="T12" s="12">
        <v>513</v>
      </c>
      <c r="U12" s="12">
        <v>306</v>
      </c>
      <c r="V12" s="12">
        <v>502</v>
      </c>
      <c r="W12" s="12">
        <v>354</v>
      </c>
      <c r="X12" s="12">
        <v>630</v>
      </c>
      <c r="Y12" s="12">
        <v>502</v>
      </c>
      <c r="Z12" s="12">
        <v>469</v>
      </c>
      <c r="AA12" s="12">
        <v>524</v>
      </c>
      <c r="AB12" s="12">
        <v>501</v>
      </c>
      <c r="AC12" s="12">
        <v>507</v>
      </c>
      <c r="AD12" s="12">
        <v>513</v>
      </c>
      <c r="AE12" s="12">
        <v>589</v>
      </c>
      <c r="AF12" s="12">
        <v>705</v>
      </c>
      <c r="AG12" s="12">
        <v>576</v>
      </c>
      <c r="AH12" s="12">
        <v>465</v>
      </c>
      <c r="AI12" s="12">
        <v>394</v>
      </c>
      <c r="AJ12" s="12">
        <v>547</v>
      </c>
      <c r="AK12" s="12">
        <v>439</v>
      </c>
      <c r="AL12" s="12">
        <v>528</v>
      </c>
      <c r="AM12" s="12">
        <v>532</v>
      </c>
      <c r="AN12" s="12">
        <v>454</v>
      </c>
      <c r="AO12" s="12">
        <v>539</v>
      </c>
      <c r="AP12" s="12">
        <v>415</v>
      </c>
      <c r="AQ12" s="12">
        <v>398</v>
      </c>
    </row>
    <row r="13" spans="1:43" ht="21.5" x14ac:dyDescent="0.35">
      <c r="A13" s="19"/>
      <c r="B13" s="13" t="s">
        <v>1660</v>
      </c>
      <c r="C13" s="15">
        <v>0.47</v>
      </c>
      <c r="D13" s="15">
        <v>0.52</v>
      </c>
      <c r="E13" s="15">
        <v>0.45</v>
      </c>
      <c r="F13" s="15">
        <v>0.5</v>
      </c>
      <c r="G13" s="15">
        <v>0.6</v>
      </c>
      <c r="H13" s="15">
        <v>0.44</v>
      </c>
      <c r="I13" s="15">
        <v>0.43</v>
      </c>
      <c r="J13" s="15">
        <v>0.39</v>
      </c>
      <c r="K13" s="15">
        <v>0.49</v>
      </c>
      <c r="L13" s="15">
        <v>0.57999999999999996</v>
      </c>
      <c r="M13" s="15">
        <v>0.44</v>
      </c>
      <c r="N13" s="15">
        <v>0.44</v>
      </c>
      <c r="O13" s="15">
        <v>0.42</v>
      </c>
      <c r="P13" s="15">
        <v>0.52</v>
      </c>
      <c r="Q13" s="15">
        <v>0.43</v>
      </c>
      <c r="R13" s="15">
        <v>0.61</v>
      </c>
      <c r="S13" s="15">
        <v>0.51</v>
      </c>
      <c r="T13" s="15">
        <v>0.51</v>
      </c>
      <c r="U13" s="15">
        <v>0.61</v>
      </c>
      <c r="V13" s="15">
        <v>0.5</v>
      </c>
      <c r="W13" s="15">
        <v>0.70000000000000007</v>
      </c>
      <c r="X13" s="15">
        <v>0.62</v>
      </c>
      <c r="Y13" s="15">
        <v>0.5</v>
      </c>
      <c r="Z13" s="15">
        <v>0.45</v>
      </c>
      <c r="AA13" s="15">
        <v>0.51</v>
      </c>
      <c r="AB13" s="15">
        <v>0.48</v>
      </c>
      <c r="AC13" s="15">
        <v>0.51</v>
      </c>
      <c r="AD13" s="15">
        <v>0.51</v>
      </c>
      <c r="AE13" s="15">
        <v>0.57999999999999996</v>
      </c>
      <c r="AF13" s="15">
        <v>0.68</v>
      </c>
      <c r="AG13" s="15">
        <v>0.56000000000000005</v>
      </c>
      <c r="AH13" s="15">
        <v>0.46</v>
      </c>
      <c r="AI13" s="15">
        <v>0.75</v>
      </c>
      <c r="AJ13" s="15">
        <v>0.53</v>
      </c>
      <c r="AK13" s="15">
        <v>0.44</v>
      </c>
      <c r="AL13" s="15">
        <v>0.52</v>
      </c>
      <c r="AM13" s="15">
        <v>0.51</v>
      </c>
      <c r="AN13" s="15">
        <v>0.45</v>
      </c>
      <c r="AO13" s="15">
        <v>0.54</v>
      </c>
      <c r="AP13" s="15">
        <v>0.79</v>
      </c>
      <c r="AQ13" s="15">
        <v>0.4</v>
      </c>
    </row>
    <row r="14" spans="1:43" ht="21.5" x14ac:dyDescent="0.35">
      <c r="A14" s="19"/>
      <c r="B14" s="11" t="s">
        <v>1253</v>
      </c>
      <c r="C14" s="12">
        <v>1235</v>
      </c>
      <c r="D14" s="12">
        <v>36</v>
      </c>
      <c r="E14" s="12">
        <v>57</v>
      </c>
      <c r="F14" s="12">
        <v>59</v>
      </c>
      <c r="G14" s="12">
        <v>38</v>
      </c>
      <c r="H14" s="12">
        <v>81</v>
      </c>
      <c r="I14" s="12">
        <v>100</v>
      </c>
      <c r="J14" s="12">
        <v>20</v>
      </c>
      <c r="K14" s="12">
        <v>58</v>
      </c>
      <c r="L14" s="12">
        <v>48</v>
      </c>
      <c r="M14" s="12">
        <v>47</v>
      </c>
      <c r="N14" s="12">
        <v>30</v>
      </c>
      <c r="O14" s="12">
        <v>31</v>
      </c>
      <c r="P14" s="12">
        <v>52</v>
      </c>
      <c r="Q14" s="12">
        <v>50</v>
      </c>
      <c r="R14" s="12">
        <v>20</v>
      </c>
      <c r="S14" s="12">
        <v>16</v>
      </c>
      <c r="T14" s="12">
        <v>27</v>
      </c>
      <c r="U14" s="12">
        <v>11</v>
      </c>
      <c r="V14" s="12">
        <v>71</v>
      </c>
      <c r="W14" s="12">
        <v>6</v>
      </c>
      <c r="X14" s="12">
        <v>59</v>
      </c>
      <c r="Y14" s="12">
        <v>54</v>
      </c>
      <c r="Z14" s="12">
        <v>57</v>
      </c>
      <c r="AA14" s="12">
        <v>15</v>
      </c>
      <c r="AB14" s="12">
        <v>58</v>
      </c>
      <c r="AC14" s="12">
        <v>30</v>
      </c>
      <c r="AD14" s="12">
        <v>73</v>
      </c>
      <c r="AE14" s="12">
        <v>28</v>
      </c>
      <c r="AF14" s="12">
        <v>25</v>
      </c>
      <c r="AG14" s="12">
        <v>124</v>
      </c>
      <c r="AH14" s="12">
        <v>77</v>
      </c>
      <c r="AI14" s="12">
        <v>35</v>
      </c>
      <c r="AJ14" s="12">
        <v>42</v>
      </c>
      <c r="AK14" s="12">
        <v>37</v>
      </c>
      <c r="AL14" s="12">
        <v>25</v>
      </c>
      <c r="AM14" s="12">
        <v>59</v>
      </c>
      <c r="AN14" s="12">
        <v>45</v>
      </c>
      <c r="AO14" s="12">
        <v>70</v>
      </c>
      <c r="AP14" s="12">
        <v>19</v>
      </c>
      <c r="AQ14" s="12">
        <v>28</v>
      </c>
    </row>
    <row r="15" spans="1:43" x14ac:dyDescent="0.35">
      <c r="A15" s="19"/>
      <c r="B15" s="13" t="s">
        <v>1254</v>
      </c>
      <c r="C15" s="15">
        <v>0.05</v>
      </c>
      <c r="D15" s="15">
        <v>0.04</v>
      </c>
      <c r="E15" s="15">
        <v>0.06</v>
      </c>
      <c r="F15" s="15">
        <v>0.05</v>
      </c>
      <c r="G15" s="15">
        <v>0.04</v>
      </c>
      <c r="H15" s="15">
        <v>7.0000000000000007E-2</v>
      </c>
      <c r="I15" s="15">
        <v>7.0000000000000007E-2</v>
      </c>
      <c r="J15" s="15">
        <v>7.0000000000000007E-2</v>
      </c>
      <c r="K15" s="15">
        <v>0.06</v>
      </c>
      <c r="L15" s="15">
        <v>0.05</v>
      </c>
      <c r="M15" s="15">
        <v>0.05</v>
      </c>
      <c r="N15" s="15">
        <v>0.03</v>
      </c>
      <c r="O15" s="15">
        <v>0.03</v>
      </c>
      <c r="P15" s="15">
        <v>0.05</v>
      </c>
      <c r="Q15" s="15">
        <v>0.05</v>
      </c>
      <c r="R15" s="15">
        <v>0.04</v>
      </c>
      <c r="S15" s="15">
        <v>0.02</v>
      </c>
      <c r="T15" s="15">
        <v>0.03</v>
      </c>
      <c r="U15" s="15">
        <v>0.02</v>
      </c>
      <c r="V15" s="15">
        <v>7.0000000000000007E-2</v>
      </c>
      <c r="W15" s="15">
        <v>0.01</v>
      </c>
      <c r="X15" s="15">
        <v>0.06</v>
      </c>
      <c r="Y15" s="15">
        <v>0.05</v>
      </c>
      <c r="Z15" s="15">
        <v>0.05</v>
      </c>
      <c r="AA15" s="15">
        <v>0.01</v>
      </c>
      <c r="AB15" s="15">
        <v>0.06</v>
      </c>
      <c r="AC15" s="15">
        <v>0.03</v>
      </c>
      <c r="AD15" s="15">
        <v>7.0000000000000007E-2</v>
      </c>
      <c r="AE15" s="15">
        <v>0.03</v>
      </c>
      <c r="AF15" s="15">
        <v>0.02</v>
      </c>
      <c r="AG15" s="15">
        <v>0.12</v>
      </c>
      <c r="AH15" s="15">
        <v>0.08</v>
      </c>
      <c r="AI15" s="15">
        <v>7.0000000000000007E-2</v>
      </c>
      <c r="AJ15" s="15">
        <v>0.04</v>
      </c>
      <c r="AK15" s="15">
        <v>0.04</v>
      </c>
      <c r="AL15" s="15">
        <v>0.03</v>
      </c>
      <c r="AM15" s="15">
        <v>0.06</v>
      </c>
      <c r="AN15" s="15">
        <v>0.05</v>
      </c>
      <c r="AO15" s="15">
        <v>7.0000000000000007E-2</v>
      </c>
      <c r="AP15" s="15">
        <v>0.04</v>
      </c>
      <c r="AQ15" s="15">
        <v>0.03</v>
      </c>
    </row>
    <row r="16" spans="1:43" ht="21.5" x14ac:dyDescent="0.35">
      <c r="A16" s="19"/>
      <c r="B16" s="11" t="s">
        <v>1255</v>
      </c>
      <c r="C16" s="12">
        <v>397</v>
      </c>
      <c r="D16" s="12">
        <v>10</v>
      </c>
      <c r="E16" s="12">
        <v>13</v>
      </c>
      <c r="F16" s="12">
        <v>24</v>
      </c>
      <c r="G16" s="12">
        <v>19</v>
      </c>
      <c r="H16" s="12">
        <v>19</v>
      </c>
      <c r="I16" s="12">
        <v>23</v>
      </c>
      <c r="J16" s="12">
        <v>5</v>
      </c>
      <c r="K16" s="12">
        <v>22</v>
      </c>
      <c r="L16" s="12">
        <v>9</v>
      </c>
      <c r="M16" s="12">
        <v>14</v>
      </c>
      <c r="N16" s="12">
        <v>8</v>
      </c>
      <c r="O16" s="12">
        <v>11</v>
      </c>
      <c r="P16" s="12">
        <v>12</v>
      </c>
      <c r="Q16" s="12">
        <v>19</v>
      </c>
      <c r="R16" s="12">
        <v>2</v>
      </c>
      <c r="S16" s="12">
        <v>7</v>
      </c>
      <c r="T16" s="12">
        <v>7</v>
      </c>
      <c r="U16" s="12">
        <v>1</v>
      </c>
      <c r="V16" s="12">
        <v>33</v>
      </c>
      <c r="W16" s="12">
        <v>0</v>
      </c>
      <c r="X16" s="12">
        <v>33</v>
      </c>
      <c r="Y16" s="12">
        <v>20</v>
      </c>
      <c r="Z16" s="12">
        <v>20</v>
      </c>
      <c r="AA16" s="12">
        <v>5</v>
      </c>
      <c r="AB16" s="12">
        <v>15</v>
      </c>
      <c r="AC16" s="12">
        <v>8</v>
      </c>
      <c r="AD16" s="12">
        <v>26</v>
      </c>
      <c r="AE16" s="12">
        <v>8</v>
      </c>
      <c r="AF16" s="12">
        <v>4</v>
      </c>
      <c r="AG16" s="12">
        <v>53</v>
      </c>
      <c r="AH16" s="12">
        <v>18</v>
      </c>
      <c r="AI16" s="12">
        <v>3</v>
      </c>
      <c r="AJ16" s="12">
        <v>10</v>
      </c>
      <c r="AK16" s="12">
        <v>7</v>
      </c>
      <c r="AL16" s="12">
        <v>5</v>
      </c>
      <c r="AM16" s="12">
        <v>12</v>
      </c>
      <c r="AN16" s="12">
        <v>28</v>
      </c>
      <c r="AO16" s="12">
        <v>20</v>
      </c>
      <c r="AP16" s="12">
        <v>6</v>
      </c>
      <c r="AQ16" s="12">
        <v>7</v>
      </c>
    </row>
    <row r="17" spans="1:43" x14ac:dyDescent="0.35">
      <c r="A17" s="19"/>
      <c r="B17" s="13" t="s">
        <v>1256</v>
      </c>
      <c r="C17" s="15">
        <v>0.01</v>
      </c>
      <c r="D17" s="15">
        <v>0.01</v>
      </c>
      <c r="E17" s="15">
        <v>0.01</v>
      </c>
      <c r="F17" s="15">
        <v>0.02</v>
      </c>
      <c r="G17" s="15">
        <v>0.02</v>
      </c>
      <c r="H17" s="15">
        <v>0.02</v>
      </c>
      <c r="I17" s="15">
        <v>0.01</v>
      </c>
      <c r="J17" s="15">
        <v>0.01</v>
      </c>
      <c r="K17" s="15">
        <v>0.02</v>
      </c>
      <c r="L17" s="15">
        <v>0.01</v>
      </c>
      <c r="M17" s="15">
        <v>0.01</v>
      </c>
      <c r="N17" s="15">
        <v>0.01</v>
      </c>
      <c r="O17" s="15">
        <v>0.01</v>
      </c>
      <c r="P17" s="15">
        <v>0.01</v>
      </c>
      <c r="Q17" s="15">
        <v>0.02</v>
      </c>
      <c r="R17" s="14" t="s">
        <v>475</v>
      </c>
      <c r="S17" s="15">
        <v>0.01</v>
      </c>
      <c r="T17" s="15">
        <v>0.01</v>
      </c>
      <c r="U17" s="14" t="s">
        <v>475</v>
      </c>
      <c r="V17" s="15">
        <v>0.03</v>
      </c>
      <c r="W17" s="14" t="s">
        <v>475</v>
      </c>
      <c r="X17" s="15">
        <v>0.03</v>
      </c>
      <c r="Y17" s="15">
        <v>0.02</v>
      </c>
      <c r="Z17" s="15">
        <v>0.02</v>
      </c>
      <c r="AA17" s="14" t="s">
        <v>475</v>
      </c>
      <c r="AB17" s="15">
        <v>0.01</v>
      </c>
      <c r="AC17" s="15">
        <v>0.01</v>
      </c>
      <c r="AD17" s="15">
        <v>0.03</v>
      </c>
      <c r="AE17" s="15">
        <v>0.01</v>
      </c>
      <c r="AF17" s="14" t="s">
        <v>475</v>
      </c>
      <c r="AG17" s="15">
        <v>0.05</v>
      </c>
      <c r="AH17" s="15">
        <v>0.02</v>
      </c>
      <c r="AI17" s="14" t="s">
        <v>475</v>
      </c>
      <c r="AJ17" s="15">
        <v>0.01</v>
      </c>
      <c r="AK17" s="15">
        <v>0.01</v>
      </c>
      <c r="AL17" s="15">
        <v>0.01</v>
      </c>
      <c r="AM17" s="15">
        <v>0.01</v>
      </c>
      <c r="AN17" s="15">
        <v>0.03</v>
      </c>
      <c r="AO17" s="15">
        <v>0.02</v>
      </c>
      <c r="AP17" s="15">
        <v>0.01</v>
      </c>
      <c r="AQ17" s="15">
        <v>0.01</v>
      </c>
    </row>
    <row r="18" spans="1:43" x14ac:dyDescent="0.35">
      <c r="A18" s="19"/>
      <c r="B18" s="11" t="s">
        <v>1257</v>
      </c>
      <c r="C18" s="12">
        <v>144</v>
      </c>
      <c r="D18" s="12">
        <v>2</v>
      </c>
      <c r="E18" s="12">
        <v>12</v>
      </c>
      <c r="F18" s="12">
        <v>6</v>
      </c>
      <c r="G18" s="12">
        <v>4</v>
      </c>
      <c r="H18" s="12">
        <v>3</v>
      </c>
      <c r="I18" s="12">
        <v>6</v>
      </c>
      <c r="J18" s="12">
        <v>3</v>
      </c>
      <c r="K18" s="12">
        <v>1</v>
      </c>
      <c r="L18" s="12">
        <v>3</v>
      </c>
      <c r="M18" s="12">
        <v>3</v>
      </c>
      <c r="N18" s="12">
        <v>4</v>
      </c>
      <c r="O18" s="12">
        <v>5</v>
      </c>
      <c r="P18" s="12">
        <v>7</v>
      </c>
      <c r="Q18" s="12">
        <v>6</v>
      </c>
      <c r="R18" s="12">
        <v>3</v>
      </c>
      <c r="S18" s="12">
        <v>1</v>
      </c>
      <c r="T18" s="12">
        <v>6</v>
      </c>
      <c r="U18" s="12">
        <v>0</v>
      </c>
      <c r="V18" s="12">
        <v>8</v>
      </c>
      <c r="W18" s="12">
        <v>0</v>
      </c>
      <c r="X18" s="12">
        <v>10</v>
      </c>
      <c r="Y18" s="12">
        <v>7</v>
      </c>
      <c r="Z18" s="12">
        <v>10</v>
      </c>
      <c r="AA18" s="12">
        <v>0</v>
      </c>
      <c r="AB18" s="12">
        <v>8</v>
      </c>
      <c r="AC18" s="12">
        <v>4</v>
      </c>
      <c r="AD18" s="12">
        <v>9</v>
      </c>
      <c r="AE18" s="12">
        <v>3</v>
      </c>
      <c r="AF18" s="12">
        <v>2</v>
      </c>
      <c r="AG18" s="12">
        <v>13</v>
      </c>
      <c r="AH18" s="12">
        <v>5</v>
      </c>
      <c r="AI18" s="12">
        <v>5</v>
      </c>
      <c r="AJ18" s="12">
        <v>7</v>
      </c>
      <c r="AK18" s="12">
        <v>1</v>
      </c>
      <c r="AL18" s="12">
        <v>3</v>
      </c>
      <c r="AM18" s="12">
        <v>3</v>
      </c>
      <c r="AN18" s="12">
        <v>19</v>
      </c>
      <c r="AO18" s="12">
        <v>5</v>
      </c>
      <c r="AP18" s="12">
        <v>8</v>
      </c>
      <c r="AQ18" s="12">
        <v>0</v>
      </c>
    </row>
    <row r="19" spans="1:43" x14ac:dyDescent="0.35">
      <c r="A19" s="19"/>
      <c r="B19" s="13" t="s">
        <v>1258</v>
      </c>
      <c r="C19" s="14" t="s">
        <v>475</v>
      </c>
      <c r="D19" s="14" t="s">
        <v>475</v>
      </c>
      <c r="E19" s="15">
        <v>0.01</v>
      </c>
      <c r="F19" s="15">
        <v>0.01</v>
      </c>
      <c r="G19" s="14" t="s">
        <v>475</v>
      </c>
      <c r="H19" s="14" t="s">
        <v>475</v>
      </c>
      <c r="I19" s="14" t="s">
        <v>475</v>
      </c>
      <c r="J19" s="15">
        <v>0.01</v>
      </c>
      <c r="K19" s="14" t="s">
        <v>475</v>
      </c>
      <c r="L19" s="14" t="s">
        <v>475</v>
      </c>
      <c r="M19" s="14" t="s">
        <v>475</v>
      </c>
      <c r="N19" s="14" t="s">
        <v>475</v>
      </c>
      <c r="O19" s="15">
        <v>0.01</v>
      </c>
      <c r="P19" s="15">
        <v>0.01</v>
      </c>
      <c r="Q19" s="15">
        <v>0.01</v>
      </c>
      <c r="R19" s="15">
        <v>0.01</v>
      </c>
      <c r="S19" s="14" t="s">
        <v>475</v>
      </c>
      <c r="T19" s="14" t="s">
        <v>475</v>
      </c>
      <c r="U19" s="14" t="s">
        <v>475</v>
      </c>
      <c r="V19" s="15">
        <v>0.01</v>
      </c>
      <c r="W19" s="14" t="s">
        <v>475</v>
      </c>
      <c r="X19" s="15">
        <v>0.01</v>
      </c>
      <c r="Y19" s="15">
        <v>0.01</v>
      </c>
      <c r="Z19" s="15">
        <v>0.01</v>
      </c>
      <c r="AA19" s="14" t="s">
        <v>475</v>
      </c>
      <c r="AB19" s="15">
        <v>0.01</v>
      </c>
      <c r="AC19" s="14" t="s">
        <v>475</v>
      </c>
      <c r="AD19" s="15">
        <v>0.01</v>
      </c>
      <c r="AE19" s="14" t="s">
        <v>475</v>
      </c>
      <c r="AF19" s="14" t="s">
        <v>475</v>
      </c>
      <c r="AG19" s="15">
        <v>0.01</v>
      </c>
      <c r="AH19" s="14" t="s">
        <v>475</v>
      </c>
      <c r="AI19" s="15">
        <v>0.01</v>
      </c>
      <c r="AJ19" s="15">
        <v>0.01</v>
      </c>
      <c r="AK19" s="14" t="s">
        <v>475</v>
      </c>
      <c r="AL19" s="14" t="s">
        <v>475</v>
      </c>
      <c r="AM19" s="14" t="s">
        <v>475</v>
      </c>
      <c r="AN19" s="15">
        <v>0.02</v>
      </c>
      <c r="AO19" s="14" t="s">
        <v>475</v>
      </c>
      <c r="AP19" s="15">
        <v>0.01</v>
      </c>
      <c r="AQ19" s="14" t="s">
        <v>475</v>
      </c>
    </row>
    <row r="20" spans="1:43" x14ac:dyDescent="0.35">
      <c r="A20" s="19"/>
      <c r="B20" s="11" t="s">
        <v>1259</v>
      </c>
      <c r="C20" s="12">
        <v>751</v>
      </c>
      <c r="D20" s="12">
        <v>40</v>
      </c>
      <c r="E20" s="12">
        <v>37</v>
      </c>
      <c r="F20" s="12">
        <v>59</v>
      </c>
      <c r="G20" s="12">
        <v>15</v>
      </c>
      <c r="H20" s="12">
        <v>41</v>
      </c>
      <c r="I20" s="12">
        <v>58</v>
      </c>
      <c r="J20" s="12">
        <v>17</v>
      </c>
      <c r="K20" s="12">
        <v>54</v>
      </c>
      <c r="L20" s="12">
        <v>30</v>
      </c>
      <c r="M20" s="12">
        <v>19</v>
      </c>
      <c r="N20" s="12">
        <v>29</v>
      </c>
      <c r="O20" s="12">
        <v>23</v>
      </c>
      <c r="P20" s="12">
        <v>55</v>
      </c>
      <c r="Q20" s="12">
        <v>24</v>
      </c>
      <c r="R20" s="12">
        <v>13</v>
      </c>
      <c r="S20" s="12">
        <v>26</v>
      </c>
      <c r="T20" s="12">
        <v>29</v>
      </c>
      <c r="U20" s="12">
        <v>17</v>
      </c>
      <c r="V20" s="12">
        <v>31</v>
      </c>
      <c r="W20" s="12">
        <v>1</v>
      </c>
      <c r="X20" s="12">
        <v>25</v>
      </c>
      <c r="Y20" s="12">
        <v>10</v>
      </c>
      <c r="Z20" s="12">
        <v>32</v>
      </c>
      <c r="AA20" s="12">
        <v>24</v>
      </c>
      <c r="AB20" s="12">
        <v>19</v>
      </c>
      <c r="AC20" s="12">
        <v>30</v>
      </c>
      <c r="AD20" s="12">
        <v>27</v>
      </c>
      <c r="AE20" s="12">
        <v>9</v>
      </c>
      <c r="AF20" s="12">
        <v>17</v>
      </c>
      <c r="AG20" s="12">
        <v>23</v>
      </c>
      <c r="AH20" s="12">
        <v>39</v>
      </c>
      <c r="AI20" s="12">
        <v>20</v>
      </c>
      <c r="AJ20" s="12">
        <v>32</v>
      </c>
      <c r="AK20" s="12">
        <v>15</v>
      </c>
      <c r="AL20" s="12">
        <v>8</v>
      </c>
      <c r="AM20" s="12">
        <v>35</v>
      </c>
      <c r="AN20" s="12">
        <v>24</v>
      </c>
      <c r="AO20" s="12">
        <v>30</v>
      </c>
      <c r="AP20" s="12">
        <v>14</v>
      </c>
      <c r="AQ20" s="12">
        <v>8</v>
      </c>
    </row>
    <row r="21" spans="1:43" x14ac:dyDescent="0.35">
      <c r="A21" s="19"/>
      <c r="B21" s="13" t="s">
        <v>1260</v>
      </c>
      <c r="C21" s="15">
        <v>0.03</v>
      </c>
      <c r="D21" s="15">
        <v>0.04</v>
      </c>
      <c r="E21" s="15">
        <v>0.04</v>
      </c>
      <c r="F21" s="15">
        <v>0.05</v>
      </c>
      <c r="G21" s="15">
        <v>0.02</v>
      </c>
      <c r="H21" s="15">
        <v>0.03</v>
      </c>
      <c r="I21" s="15">
        <v>0.04</v>
      </c>
      <c r="J21" s="15">
        <v>0.06</v>
      </c>
      <c r="K21" s="15">
        <v>0.05</v>
      </c>
      <c r="L21" s="15">
        <v>0.03</v>
      </c>
      <c r="M21" s="15">
        <v>0.02</v>
      </c>
      <c r="N21" s="15">
        <v>0.03</v>
      </c>
      <c r="O21" s="15">
        <v>0.02</v>
      </c>
      <c r="P21" s="15">
        <v>0.06</v>
      </c>
      <c r="Q21" s="15">
        <v>0.02</v>
      </c>
      <c r="R21" s="15">
        <v>0.03</v>
      </c>
      <c r="S21" s="15">
        <v>0.03</v>
      </c>
      <c r="T21" s="15">
        <v>0.03</v>
      </c>
      <c r="U21" s="15">
        <v>0.03</v>
      </c>
      <c r="V21" s="15">
        <v>0.03</v>
      </c>
      <c r="W21" s="14" t="s">
        <v>475</v>
      </c>
      <c r="X21" s="15">
        <v>0.03</v>
      </c>
      <c r="Y21" s="15">
        <v>0.01</v>
      </c>
      <c r="Z21" s="15">
        <v>0.03</v>
      </c>
      <c r="AA21" s="15">
        <v>0.02</v>
      </c>
      <c r="AB21" s="15">
        <v>0.02</v>
      </c>
      <c r="AC21" s="15">
        <v>0.03</v>
      </c>
      <c r="AD21" s="15">
        <v>0.03</v>
      </c>
      <c r="AE21" s="15">
        <v>0.01</v>
      </c>
      <c r="AF21" s="15">
        <v>0.02</v>
      </c>
      <c r="AG21" s="15">
        <v>0.02</v>
      </c>
      <c r="AH21" s="15">
        <v>0.04</v>
      </c>
      <c r="AI21" s="15">
        <v>0.04</v>
      </c>
      <c r="AJ21" s="15">
        <v>0.03</v>
      </c>
      <c r="AK21" s="15">
        <v>0.01</v>
      </c>
      <c r="AL21" s="15">
        <v>0.01</v>
      </c>
      <c r="AM21" s="15">
        <v>0.04</v>
      </c>
      <c r="AN21" s="15">
        <v>0.02</v>
      </c>
      <c r="AO21" s="15">
        <v>0.03</v>
      </c>
      <c r="AP21" s="15">
        <v>0.03</v>
      </c>
      <c r="AQ21" s="15">
        <v>0.01</v>
      </c>
    </row>
    <row r="22" spans="1:43" x14ac:dyDescent="0.35">
      <c r="A22" s="19"/>
      <c r="B22" s="11" t="s">
        <v>500</v>
      </c>
      <c r="C22" s="12">
        <v>11292</v>
      </c>
      <c r="D22" s="12">
        <v>393</v>
      </c>
      <c r="E22" s="12">
        <v>415</v>
      </c>
      <c r="F22" s="12">
        <v>396</v>
      </c>
      <c r="G22" s="12">
        <v>304</v>
      </c>
      <c r="H22" s="12">
        <v>530</v>
      </c>
      <c r="I22" s="12">
        <v>662</v>
      </c>
      <c r="J22" s="12">
        <v>132</v>
      </c>
      <c r="K22" s="12">
        <v>361</v>
      </c>
      <c r="L22" s="12">
        <v>335</v>
      </c>
      <c r="M22" s="12">
        <v>442</v>
      </c>
      <c r="N22" s="12">
        <v>481</v>
      </c>
      <c r="O22" s="12">
        <v>508</v>
      </c>
      <c r="P22" s="12">
        <v>345</v>
      </c>
      <c r="Q22" s="12">
        <v>464</v>
      </c>
      <c r="R22" s="12">
        <v>156</v>
      </c>
      <c r="S22" s="12">
        <v>415</v>
      </c>
      <c r="T22" s="12">
        <v>415</v>
      </c>
      <c r="U22" s="12">
        <v>159</v>
      </c>
      <c r="V22" s="12">
        <v>370</v>
      </c>
      <c r="W22" s="12">
        <v>133</v>
      </c>
      <c r="X22" s="12">
        <v>250</v>
      </c>
      <c r="Y22" s="12">
        <v>358</v>
      </c>
      <c r="Z22" s="12">
        <v>438</v>
      </c>
      <c r="AA22" s="12">
        <v>439</v>
      </c>
      <c r="AB22" s="12">
        <v>436</v>
      </c>
      <c r="AC22" s="12">
        <v>419</v>
      </c>
      <c r="AD22" s="12">
        <v>353</v>
      </c>
      <c r="AE22" s="12">
        <v>375</v>
      </c>
      <c r="AF22" s="12">
        <v>285</v>
      </c>
      <c r="AG22" s="12">
        <v>212</v>
      </c>
      <c r="AH22" s="12">
        <v>403</v>
      </c>
      <c r="AI22" s="12">
        <v>66</v>
      </c>
      <c r="AJ22" s="12">
        <v>397</v>
      </c>
      <c r="AK22" s="12">
        <v>507</v>
      </c>
      <c r="AL22" s="12">
        <v>438</v>
      </c>
      <c r="AM22" s="12">
        <v>388</v>
      </c>
      <c r="AN22" s="12">
        <v>428</v>
      </c>
      <c r="AO22" s="12">
        <v>338</v>
      </c>
      <c r="AP22" s="12">
        <v>62</v>
      </c>
      <c r="AQ22" s="12">
        <v>547</v>
      </c>
    </row>
    <row r="23" spans="1:43" x14ac:dyDescent="0.35">
      <c r="A23" s="19"/>
      <c r="B23" s="13" t="s">
        <v>501</v>
      </c>
      <c r="C23" s="15">
        <v>0.43</v>
      </c>
      <c r="D23" s="15">
        <v>0.39</v>
      </c>
      <c r="E23" s="15">
        <v>0.4</v>
      </c>
      <c r="F23" s="15">
        <v>0.36</v>
      </c>
      <c r="G23" s="15">
        <v>0.3</v>
      </c>
      <c r="H23" s="15">
        <v>0.43</v>
      </c>
      <c r="I23" s="15">
        <v>0.44</v>
      </c>
      <c r="J23" s="15">
        <v>0.45</v>
      </c>
      <c r="K23" s="15">
        <v>0.36</v>
      </c>
      <c r="L23" s="15">
        <v>0.33</v>
      </c>
      <c r="M23" s="15">
        <v>0.44</v>
      </c>
      <c r="N23" s="15">
        <v>0.48</v>
      </c>
      <c r="O23" s="15">
        <v>0.51</v>
      </c>
      <c r="P23" s="15">
        <v>0.34</v>
      </c>
      <c r="Q23" s="15">
        <v>0.45</v>
      </c>
      <c r="R23" s="15">
        <v>0.31</v>
      </c>
      <c r="S23" s="15">
        <v>0.41</v>
      </c>
      <c r="T23" s="15">
        <v>0.41</v>
      </c>
      <c r="U23" s="15">
        <v>0.32</v>
      </c>
      <c r="V23" s="15">
        <v>0.36</v>
      </c>
      <c r="W23" s="15">
        <v>0.26</v>
      </c>
      <c r="X23" s="15">
        <v>0.25</v>
      </c>
      <c r="Y23" s="15">
        <v>0.36</v>
      </c>
      <c r="Z23" s="15">
        <v>0.43</v>
      </c>
      <c r="AA23" s="15">
        <v>0.43</v>
      </c>
      <c r="AB23" s="15">
        <v>0.41</v>
      </c>
      <c r="AC23" s="15">
        <v>0.42</v>
      </c>
      <c r="AD23" s="15">
        <v>0.35</v>
      </c>
      <c r="AE23" s="15">
        <v>0.37</v>
      </c>
      <c r="AF23" s="15">
        <v>0.27</v>
      </c>
      <c r="AG23" s="15">
        <v>0.21</v>
      </c>
      <c r="AH23" s="15">
        <v>0.4</v>
      </c>
      <c r="AI23" s="15">
        <v>0.13</v>
      </c>
      <c r="AJ23" s="15">
        <v>0.38</v>
      </c>
      <c r="AK23" s="15">
        <v>0.5</v>
      </c>
      <c r="AL23" s="15">
        <v>0.43</v>
      </c>
      <c r="AM23" s="15">
        <v>0.37</v>
      </c>
      <c r="AN23" s="15">
        <v>0.43</v>
      </c>
      <c r="AO23" s="15">
        <v>0.34</v>
      </c>
      <c r="AP23" s="15">
        <v>0.12</v>
      </c>
      <c r="AQ23" s="15">
        <v>0.54</v>
      </c>
    </row>
    <row r="24" spans="1:43" ht="21.5" x14ac:dyDescent="0.35">
      <c r="A24" s="19"/>
      <c r="B24" s="11" t="s">
        <v>1661</v>
      </c>
      <c r="C24" s="12">
        <v>316</v>
      </c>
      <c r="D24" s="12">
        <v>3</v>
      </c>
      <c r="E24" s="12">
        <v>28</v>
      </c>
      <c r="F24" s="12">
        <v>12</v>
      </c>
      <c r="G24" s="12">
        <v>19</v>
      </c>
      <c r="H24" s="12">
        <v>13</v>
      </c>
      <c r="I24" s="12">
        <v>16</v>
      </c>
      <c r="J24" s="12">
        <v>3</v>
      </c>
      <c r="K24" s="12">
        <v>16</v>
      </c>
      <c r="L24" s="12">
        <v>1</v>
      </c>
      <c r="M24" s="12">
        <v>38</v>
      </c>
      <c r="N24" s="12">
        <v>13</v>
      </c>
      <c r="O24" s="12">
        <v>4</v>
      </c>
      <c r="P24" s="12">
        <v>6</v>
      </c>
      <c r="Q24" s="12">
        <v>21</v>
      </c>
      <c r="R24" s="12">
        <v>3</v>
      </c>
      <c r="S24" s="12">
        <v>25</v>
      </c>
      <c r="T24" s="12">
        <v>9</v>
      </c>
      <c r="U24" s="12">
        <v>11</v>
      </c>
      <c r="V24" s="12">
        <v>0</v>
      </c>
      <c r="W24" s="12">
        <v>14</v>
      </c>
      <c r="X24" s="12">
        <v>2</v>
      </c>
      <c r="Y24" s="12">
        <v>52</v>
      </c>
      <c r="Z24" s="12">
        <v>6</v>
      </c>
      <c r="AA24" s="12">
        <v>26</v>
      </c>
      <c r="AB24" s="12">
        <v>14</v>
      </c>
      <c r="AC24" s="12">
        <v>5</v>
      </c>
      <c r="AD24" s="12">
        <v>3</v>
      </c>
      <c r="AE24" s="12">
        <v>1</v>
      </c>
      <c r="AF24" s="12">
        <v>5</v>
      </c>
      <c r="AG24" s="12">
        <v>34</v>
      </c>
      <c r="AH24" s="12">
        <v>5</v>
      </c>
      <c r="AI24" s="12">
        <v>1</v>
      </c>
      <c r="AJ24" s="12">
        <v>2</v>
      </c>
      <c r="AK24" s="12">
        <v>2</v>
      </c>
      <c r="AL24" s="12">
        <v>4</v>
      </c>
      <c r="AM24" s="12">
        <v>10</v>
      </c>
      <c r="AN24" s="12">
        <v>4</v>
      </c>
      <c r="AO24" s="12">
        <v>2</v>
      </c>
      <c r="AP24" s="12">
        <v>0</v>
      </c>
      <c r="AQ24" s="12">
        <v>14</v>
      </c>
    </row>
    <row r="25" spans="1:43" ht="21.5" x14ac:dyDescent="0.35">
      <c r="A25" s="19"/>
      <c r="B25" s="13" t="s">
        <v>1662</v>
      </c>
      <c r="C25" s="15">
        <v>0.01</v>
      </c>
      <c r="D25" s="14" t="s">
        <v>475</v>
      </c>
      <c r="E25" s="15">
        <v>0.03</v>
      </c>
      <c r="F25" s="15">
        <v>0.01</v>
      </c>
      <c r="G25" s="15">
        <v>0.02</v>
      </c>
      <c r="H25" s="15">
        <v>0.01</v>
      </c>
      <c r="I25" s="15">
        <v>0.01</v>
      </c>
      <c r="J25" s="15">
        <v>0.01</v>
      </c>
      <c r="K25" s="15">
        <v>0.02</v>
      </c>
      <c r="L25" s="14" t="s">
        <v>475</v>
      </c>
      <c r="M25" s="15">
        <v>0.04</v>
      </c>
      <c r="N25" s="15">
        <v>0.01</v>
      </c>
      <c r="O25" s="14" t="s">
        <v>475</v>
      </c>
      <c r="P25" s="15">
        <v>0.01</v>
      </c>
      <c r="Q25" s="15">
        <v>0.02</v>
      </c>
      <c r="R25" s="14" t="s">
        <v>475</v>
      </c>
      <c r="S25" s="15">
        <v>0.02</v>
      </c>
      <c r="T25" s="15">
        <v>0.01</v>
      </c>
      <c r="U25" s="15">
        <v>0.02</v>
      </c>
      <c r="V25" s="14" t="s">
        <v>475</v>
      </c>
      <c r="W25" s="15">
        <v>0.03</v>
      </c>
      <c r="X25" s="14" t="s">
        <v>475</v>
      </c>
      <c r="Y25" s="15">
        <v>0.05</v>
      </c>
      <c r="Z25" s="15">
        <v>0.01</v>
      </c>
      <c r="AA25" s="15">
        <v>0.03</v>
      </c>
      <c r="AB25" s="15">
        <v>0.01</v>
      </c>
      <c r="AC25" s="14" t="s">
        <v>475</v>
      </c>
      <c r="AD25" s="14" t="s">
        <v>475</v>
      </c>
      <c r="AE25" s="14" t="s">
        <v>475</v>
      </c>
      <c r="AF25" s="15">
        <v>0.01</v>
      </c>
      <c r="AG25" s="15">
        <v>0.03</v>
      </c>
      <c r="AH25" s="14" t="s">
        <v>475</v>
      </c>
      <c r="AI25" s="14" t="s">
        <v>475</v>
      </c>
      <c r="AJ25" s="14" t="s">
        <v>475</v>
      </c>
      <c r="AK25" s="14" t="s">
        <v>475</v>
      </c>
      <c r="AL25" s="14" t="s">
        <v>475</v>
      </c>
      <c r="AM25" s="15">
        <v>0.01</v>
      </c>
      <c r="AN25" s="14" t="s">
        <v>475</v>
      </c>
      <c r="AO25" s="14" t="s">
        <v>475</v>
      </c>
      <c r="AP25" s="14" t="s">
        <v>475</v>
      </c>
      <c r="AQ25" s="15">
        <v>0.01</v>
      </c>
    </row>
    <row r="26" spans="1:43" x14ac:dyDescent="0.35">
      <c r="A26" s="19"/>
      <c r="B26" s="11" t="s">
        <v>1663</v>
      </c>
      <c r="C26" s="12">
        <v>14837</v>
      </c>
      <c r="D26" s="12">
        <v>618</v>
      </c>
      <c r="E26" s="12">
        <v>587</v>
      </c>
      <c r="F26" s="12">
        <v>694</v>
      </c>
      <c r="G26" s="12">
        <v>682</v>
      </c>
      <c r="H26" s="12">
        <v>678</v>
      </c>
      <c r="I26" s="12">
        <v>837</v>
      </c>
      <c r="J26" s="12">
        <v>162</v>
      </c>
      <c r="K26" s="12">
        <v>625</v>
      </c>
      <c r="L26" s="12">
        <v>667</v>
      </c>
      <c r="M26" s="12">
        <v>529</v>
      </c>
      <c r="N26" s="12">
        <v>510</v>
      </c>
      <c r="O26" s="12">
        <v>488</v>
      </c>
      <c r="P26" s="12">
        <v>652</v>
      </c>
      <c r="Q26" s="12">
        <v>541</v>
      </c>
      <c r="R26" s="12">
        <v>345</v>
      </c>
      <c r="S26" s="12">
        <v>562</v>
      </c>
      <c r="T26" s="12">
        <v>582</v>
      </c>
      <c r="U26" s="12">
        <v>335</v>
      </c>
      <c r="V26" s="12">
        <v>645</v>
      </c>
      <c r="W26" s="12">
        <v>361</v>
      </c>
      <c r="X26" s="12">
        <v>757</v>
      </c>
      <c r="Y26" s="12">
        <v>593</v>
      </c>
      <c r="Z26" s="12">
        <v>588</v>
      </c>
      <c r="AA26" s="12">
        <v>568</v>
      </c>
      <c r="AB26" s="12">
        <v>601</v>
      </c>
      <c r="AC26" s="12">
        <v>579</v>
      </c>
      <c r="AD26" s="12">
        <v>648</v>
      </c>
      <c r="AE26" s="12">
        <v>637</v>
      </c>
      <c r="AF26" s="12">
        <v>753</v>
      </c>
      <c r="AG26" s="12">
        <v>789</v>
      </c>
      <c r="AH26" s="12">
        <v>604</v>
      </c>
      <c r="AI26" s="12">
        <v>457</v>
      </c>
      <c r="AJ26" s="12">
        <v>638</v>
      </c>
      <c r="AK26" s="12">
        <v>499</v>
      </c>
      <c r="AL26" s="12">
        <v>569</v>
      </c>
      <c r="AM26" s="12">
        <v>641</v>
      </c>
      <c r="AN26" s="12">
        <v>570</v>
      </c>
      <c r="AO26" s="12">
        <v>664</v>
      </c>
      <c r="AP26" s="12">
        <v>462</v>
      </c>
      <c r="AQ26" s="12">
        <v>441</v>
      </c>
    </row>
    <row r="27" spans="1:43" x14ac:dyDescent="0.35">
      <c r="A27" s="19"/>
      <c r="B27" s="13" t="s">
        <v>1664</v>
      </c>
      <c r="C27" s="15">
        <v>0.56000000000000005</v>
      </c>
      <c r="D27" s="15">
        <v>0.61</v>
      </c>
      <c r="E27" s="15">
        <v>0.57000000000000006</v>
      </c>
      <c r="F27" s="15">
        <v>0.63</v>
      </c>
      <c r="G27" s="15">
        <v>0.68</v>
      </c>
      <c r="H27" s="15">
        <v>0.56000000000000005</v>
      </c>
      <c r="I27" s="15">
        <v>0.55000000000000004</v>
      </c>
      <c r="J27" s="15">
        <v>0.54</v>
      </c>
      <c r="K27" s="15">
        <v>0.62</v>
      </c>
      <c r="L27" s="15">
        <v>0.67</v>
      </c>
      <c r="M27" s="15">
        <v>0.52</v>
      </c>
      <c r="N27" s="15">
        <v>0.51</v>
      </c>
      <c r="O27" s="15">
        <v>0.49</v>
      </c>
      <c r="P27" s="15">
        <v>0.65</v>
      </c>
      <c r="Q27" s="15">
        <v>0.53</v>
      </c>
      <c r="R27" s="15">
        <v>0.69000000000000006</v>
      </c>
      <c r="S27" s="15">
        <v>0.57000000000000006</v>
      </c>
      <c r="T27" s="15">
        <v>0.57999999999999996</v>
      </c>
      <c r="U27" s="15">
        <v>0.66</v>
      </c>
      <c r="V27" s="15">
        <v>0.64</v>
      </c>
      <c r="W27" s="15">
        <v>0.71</v>
      </c>
      <c r="X27" s="15">
        <v>0.75</v>
      </c>
      <c r="Y27" s="15">
        <v>0.59</v>
      </c>
      <c r="Z27" s="15">
        <v>0.56000000000000005</v>
      </c>
      <c r="AA27" s="15">
        <v>0.54</v>
      </c>
      <c r="AB27" s="15">
        <v>0.57999999999999996</v>
      </c>
      <c r="AC27" s="15">
        <v>0.57999999999999996</v>
      </c>
      <c r="AD27" s="15">
        <v>0.65</v>
      </c>
      <c r="AE27" s="15">
        <v>0.63</v>
      </c>
      <c r="AF27" s="15">
        <v>0.72</v>
      </c>
      <c r="AG27" s="15">
        <v>0.76</v>
      </c>
      <c r="AH27" s="15">
        <v>0.6</v>
      </c>
      <c r="AI27" s="15">
        <v>0.87</v>
      </c>
      <c r="AJ27" s="15">
        <v>0.62</v>
      </c>
      <c r="AK27" s="15">
        <v>0.5</v>
      </c>
      <c r="AL27" s="15">
        <v>0.57000000000000006</v>
      </c>
      <c r="AM27" s="15">
        <v>0.62</v>
      </c>
      <c r="AN27" s="15">
        <v>0.57000000000000006</v>
      </c>
      <c r="AO27" s="15">
        <v>0.66</v>
      </c>
      <c r="AP27" s="15">
        <v>0.88</v>
      </c>
      <c r="AQ27" s="15">
        <v>0.45</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1669</v>
      </c>
      <c r="C3" s="18"/>
      <c r="D3" s="18"/>
      <c r="E3" s="18"/>
      <c r="F3" s="18"/>
      <c r="H3" s="18" t="s">
        <v>1670</v>
      </c>
      <c r="I3" s="18"/>
      <c r="J3" s="18"/>
      <c r="K3" s="18"/>
      <c r="L3" s="18"/>
    </row>
    <row r="4" spans="1:43" ht="27" customHeight="1" x14ac:dyDescent="0.35">
      <c r="B4" s="18" t="s">
        <v>1671</v>
      </c>
      <c r="C4" s="18"/>
      <c r="D4" s="18"/>
      <c r="E4" s="18"/>
      <c r="F4" s="18"/>
      <c r="H4" s="18" t="s">
        <v>1672</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20796</v>
      </c>
      <c r="D12" s="12">
        <v>867</v>
      </c>
      <c r="E12" s="12">
        <v>797</v>
      </c>
      <c r="F12" s="12">
        <v>772</v>
      </c>
      <c r="G12" s="12">
        <v>952</v>
      </c>
      <c r="H12" s="12">
        <v>935</v>
      </c>
      <c r="I12" s="12">
        <v>1166</v>
      </c>
      <c r="J12" s="12">
        <v>230</v>
      </c>
      <c r="K12" s="12">
        <v>818</v>
      </c>
      <c r="L12" s="12">
        <v>844</v>
      </c>
      <c r="M12" s="12">
        <v>738</v>
      </c>
      <c r="N12" s="12">
        <v>816</v>
      </c>
      <c r="O12" s="12">
        <v>809</v>
      </c>
      <c r="P12" s="12">
        <v>727</v>
      </c>
      <c r="Q12" s="12">
        <v>791</v>
      </c>
      <c r="R12" s="12">
        <v>376</v>
      </c>
      <c r="S12" s="12">
        <v>834</v>
      </c>
      <c r="T12" s="12">
        <v>796</v>
      </c>
      <c r="U12" s="12">
        <v>459</v>
      </c>
      <c r="V12" s="12">
        <v>725</v>
      </c>
      <c r="W12" s="12">
        <v>448</v>
      </c>
      <c r="X12" s="12">
        <v>911</v>
      </c>
      <c r="Y12" s="12">
        <v>772</v>
      </c>
      <c r="Z12" s="12">
        <v>739</v>
      </c>
      <c r="AA12" s="12">
        <v>755</v>
      </c>
      <c r="AB12" s="12">
        <v>765</v>
      </c>
      <c r="AC12" s="12">
        <v>799</v>
      </c>
      <c r="AD12" s="12">
        <v>723</v>
      </c>
      <c r="AE12" s="12">
        <v>933</v>
      </c>
      <c r="AF12" s="12">
        <v>1004</v>
      </c>
      <c r="AG12" s="12">
        <v>665</v>
      </c>
      <c r="AH12" s="12">
        <v>718</v>
      </c>
      <c r="AI12" s="12">
        <v>447</v>
      </c>
      <c r="AJ12" s="12">
        <v>726</v>
      </c>
      <c r="AK12" s="12">
        <v>787</v>
      </c>
      <c r="AL12" s="12">
        <v>826</v>
      </c>
      <c r="AM12" s="12">
        <v>853</v>
      </c>
      <c r="AN12" s="12">
        <v>752</v>
      </c>
      <c r="AO12" s="12">
        <v>808</v>
      </c>
      <c r="AP12" s="12">
        <v>441</v>
      </c>
      <c r="AQ12" s="12">
        <v>800</v>
      </c>
    </row>
    <row r="13" spans="1:43" ht="21.5" x14ac:dyDescent="0.35">
      <c r="A13" s="19"/>
      <c r="B13" s="13" t="s">
        <v>1660</v>
      </c>
      <c r="C13" s="15">
        <v>0.79</v>
      </c>
      <c r="D13" s="15">
        <v>0.86</v>
      </c>
      <c r="E13" s="15">
        <v>0.77</v>
      </c>
      <c r="F13" s="15">
        <v>0.70000000000000007</v>
      </c>
      <c r="G13" s="15">
        <v>0.95000000000000007</v>
      </c>
      <c r="H13" s="15">
        <v>0.77</v>
      </c>
      <c r="I13" s="15">
        <v>0.77</v>
      </c>
      <c r="J13" s="15">
        <v>0.78</v>
      </c>
      <c r="K13" s="15">
        <v>0.82000000000000006</v>
      </c>
      <c r="L13" s="15">
        <v>0.84</v>
      </c>
      <c r="M13" s="15">
        <v>0.73</v>
      </c>
      <c r="N13" s="15">
        <v>0.81</v>
      </c>
      <c r="O13" s="15">
        <v>0.81</v>
      </c>
      <c r="P13" s="15">
        <v>0.73</v>
      </c>
      <c r="Q13" s="15">
        <v>0.77</v>
      </c>
      <c r="R13" s="15">
        <v>0.75</v>
      </c>
      <c r="S13" s="15">
        <v>0.83000000000000007</v>
      </c>
      <c r="T13" s="15">
        <v>0.79</v>
      </c>
      <c r="U13" s="15">
        <v>0.91</v>
      </c>
      <c r="V13" s="15">
        <v>0.71</v>
      </c>
      <c r="W13" s="15">
        <v>0.88</v>
      </c>
      <c r="X13" s="15">
        <v>0.9</v>
      </c>
      <c r="Y13" s="15">
        <v>0.77</v>
      </c>
      <c r="Z13" s="15">
        <v>0.72</v>
      </c>
      <c r="AA13" s="15">
        <v>0.73</v>
      </c>
      <c r="AB13" s="15">
        <v>0.73</v>
      </c>
      <c r="AC13" s="15">
        <v>0.8</v>
      </c>
      <c r="AD13" s="15">
        <v>0.72</v>
      </c>
      <c r="AE13" s="15">
        <v>0.92</v>
      </c>
      <c r="AF13" s="15">
        <v>0.96</v>
      </c>
      <c r="AG13" s="15">
        <v>0.64</v>
      </c>
      <c r="AH13" s="15">
        <v>0.71</v>
      </c>
      <c r="AI13" s="15">
        <v>0.85</v>
      </c>
      <c r="AJ13" s="15">
        <v>0.70000000000000007</v>
      </c>
      <c r="AK13" s="15">
        <v>0.78</v>
      </c>
      <c r="AL13" s="15">
        <v>0.82000000000000006</v>
      </c>
      <c r="AM13" s="15">
        <v>0.82000000000000006</v>
      </c>
      <c r="AN13" s="15">
        <v>0.75</v>
      </c>
      <c r="AO13" s="15">
        <v>0.8</v>
      </c>
      <c r="AP13" s="15">
        <v>0.84</v>
      </c>
      <c r="AQ13" s="15">
        <v>0.8</v>
      </c>
    </row>
    <row r="14" spans="1:43" ht="21.5" x14ac:dyDescent="0.35">
      <c r="A14" s="19"/>
      <c r="B14" s="11" t="s">
        <v>1253</v>
      </c>
      <c r="C14" s="12">
        <v>1751</v>
      </c>
      <c r="D14" s="12">
        <v>50</v>
      </c>
      <c r="E14" s="12">
        <v>58</v>
      </c>
      <c r="F14" s="12">
        <v>81</v>
      </c>
      <c r="G14" s="12">
        <v>12</v>
      </c>
      <c r="H14" s="12">
        <v>117</v>
      </c>
      <c r="I14" s="12">
        <v>144</v>
      </c>
      <c r="J14" s="12">
        <v>27</v>
      </c>
      <c r="K14" s="12">
        <v>40</v>
      </c>
      <c r="L14" s="12">
        <v>52</v>
      </c>
      <c r="M14" s="12">
        <v>56</v>
      </c>
      <c r="N14" s="12">
        <v>46</v>
      </c>
      <c r="O14" s="12">
        <v>57</v>
      </c>
      <c r="P14" s="12">
        <v>62</v>
      </c>
      <c r="Q14" s="12">
        <v>80</v>
      </c>
      <c r="R14" s="12">
        <v>41</v>
      </c>
      <c r="S14" s="12">
        <v>30</v>
      </c>
      <c r="T14" s="12">
        <v>50</v>
      </c>
      <c r="U14" s="12">
        <v>16</v>
      </c>
      <c r="V14" s="12">
        <v>80</v>
      </c>
      <c r="W14" s="12">
        <v>5</v>
      </c>
      <c r="X14" s="12">
        <v>47</v>
      </c>
      <c r="Y14" s="12">
        <v>96</v>
      </c>
      <c r="Z14" s="12">
        <v>75</v>
      </c>
      <c r="AA14" s="12">
        <v>49</v>
      </c>
      <c r="AB14" s="12">
        <v>69</v>
      </c>
      <c r="AC14" s="12">
        <v>56</v>
      </c>
      <c r="AD14" s="12">
        <v>84</v>
      </c>
      <c r="AE14" s="12">
        <v>26</v>
      </c>
      <c r="AF14" s="12">
        <v>14</v>
      </c>
      <c r="AG14" s="12">
        <v>128</v>
      </c>
      <c r="AH14" s="12">
        <v>92</v>
      </c>
      <c r="AI14" s="12">
        <v>25</v>
      </c>
      <c r="AJ14" s="12">
        <v>61</v>
      </c>
      <c r="AK14" s="12">
        <v>54</v>
      </c>
      <c r="AL14" s="12">
        <v>24</v>
      </c>
      <c r="AM14" s="12">
        <v>56</v>
      </c>
      <c r="AN14" s="12">
        <v>91</v>
      </c>
      <c r="AO14" s="12">
        <v>79</v>
      </c>
      <c r="AP14" s="12">
        <v>29</v>
      </c>
      <c r="AQ14" s="12">
        <v>45</v>
      </c>
    </row>
    <row r="15" spans="1:43" x14ac:dyDescent="0.35">
      <c r="A15" s="19"/>
      <c r="B15" s="13" t="s">
        <v>1254</v>
      </c>
      <c r="C15" s="15">
        <v>0.06</v>
      </c>
      <c r="D15" s="15">
        <v>0.05</v>
      </c>
      <c r="E15" s="15">
        <v>0.06</v>
      </c>
      <c r="F15" s="15">
        <v>7.0000000000000007E-2</v>
      </c>
      <c r="G15" s="15">
        <v>0.01</v>
      </c>
      <c r="H15" s="15">
        <v>0.1</v>
      </c>
      <c r="I15" s="15">
        <v>0.1</v>
      </c>
      <c r="J15" s="15">
        <v>0.09</v>
      </c>
      <c r="K15" s="15">
        <v>0.04</v>
      </c>
      <c r="L15" s="15">
        <v>0.05</v>
      </c>
      <c r="M15" s="15">
        <v>0.06</v>
      </c>
      <c r="N15" s="15">
        <v>0.05</v>
      </c>
      <c r="O15" s="15">
        <v>0.06</v>
      </c>
      <c r="P15" s="15">
        <v>0.06</v>
      </c>
      <c r="Q15" s="15">
        <v>0.08</v>
      </c>
      <c r="R15" s="15">
        <v>0.08</v>
      </c>
      <c r="S15" s="15">
        <v>0.03</v>
      </c>
      <c r="T15" s="15">
        <v>0.05</v>
      </c>
      <c r="U15" s="15">
        <v>0.03</v>
      </c>
      <c r="V15" s="15">
        <v>0.08</v>
      </c>
      <c r="W15" s="15">
        <v>0.01</v>
      </c>
      <c r="X15" s="15">
        <v>0.05</v>
      </c>
      <c r="Y15" s="15">
        <v>0.1</v>
      </c>
      <c r="Z15" s="15">
        <v>7.0000000000000007E-2</v>
      </c>
      <c r="AA15" s="15">
        <v>0.05</v>
      </c>
      <c r="AB15" s="15">
        <v>7.0000000000000007E-2</v>
      </c>
      <c r="AC15" s="15">
        <v>0.06</v>
      </c>
      <c r="AD15" s="15">
        <v>0.08</v>
      </c>
      <c r="AE15" s="15">
        <v>0.03</v>
      </c>
      <c r="AF15" s="15">
        <v>0.01</v>
      </c>
      <c r="AG15" s="15">
        <v>0.12</v>
      </c>
      <c r="AH15" s="15">
        <v>0.09</v>
      </c>
      <c r="AI15" s="15">
        <v>0.05</v>
      </c>
      <c r="AJ15" s="15">
        <v>0.06</v>
      </c>
      <c r="AK15" s="15">
        <v>0.06</v>
      </c>
      <c r="AL15" s="15">
        <v>0.02</v>
      </c>
      <c r="AM15" s="15">
        <v>0.05</v>
      </c>
      <c r="AN15" s="15">
        <v>0.09</v>
      </c>
      <c r="AO15" s="15">
        <v>0.08</v>
      </c>
      <c r="AP15" s="15">
        <v>0.06</v>
      </c>
      <c r="AQ15" s="15">
        <v>0.04</v>
      </c>
    </row>
    <row r="16" spans="1:43" ht="21.5" x14ac:dyDescent="0.35">
      <c r="A16" s="19"/>
      <c r="B16" s="11" t="s">
        <v>1255</v>
      </c>
      <c r="C16" s="12">
        <v>476</v>
      </c>
      <c r="D16" s="12">
        <v>14</v>
      </c>
      <c r="E16" s="12">
        <v>14</v>
      </c>
      <c r="F16" s="12">
        <v>28</v>
      </c>
      <c r="G16" s="12">
        <v>5</v>
      </c>
      <c r="H16" s="12">
        <v>24</v>
      </c>
      <c r="I16" s="12">
        <v>31</v>
      </c>
      <c r="J16" s="12">
        <v>7</v>
      </c>
      <c r="K16" s="12">
        <v>15</v>
      </c>
      <c r="L16" s="12">
        <v>11</v>
      </c>
      <c r="M16" s="12">
        <v>9</v>
      </c>
      <c r="N16" s="12">
        <v>13</v>
      </c>
      <c r="O16" s="12">
        <v>18</v>
      </c>
      <c r="P16" s="12">
        <v>28</v>
      </c>
      <c r="Q16" s="12">
        <v>20</v>
      </c>
      <c r="R16" s="12">
        <v>11</v>
      </c>
      <c r="S16" s="12">
        <v>4</v>
      </c>
      <c r="T16" s="12">
        <v>6</v>
      </c>
      <c r="U16" s="12">
        <v>3</v>
      </c>
      <c r="V16" s="12">
        <v>27</v>
      </c>
      <c r="W16" s="12">
        <v>2</v>
      </c>
      <c r="X16" s="12">
        <v>18</v>
      </c>
      <c r="Y16" s="12">
        <v>19</v>
      </c>
      <c r="Z16" s="12">
        <v>27</v>
      </c>
      <c r="AA16" s="12">
        <v>19</v>
      </c>
      <c r="AB16" s="12">
        <v>18</v>
      </c>
      <c r="AC16" s="12">
        <v>12</v>
      </c>
      <c r="AD16" s="12">
        <v>27</v>
      </c>
      <c r="AE16" s="12">
        <v>3</v>
      </c>
      <c r="AF16" s="12">
        <v>2</v>
      </c>
      <c r="AG16" s="12">
        <v>56</v>
      </c>
      <c r="AH16" s="12">
        <v>44</v>
      </c>
      <c r="AI16" s="12">
        <v>5</v>
      </c>
      <c r="AJ16" s="12">
        <v>13</v>
      </c>
      <c r="AK16" s="12">
        <v>10</v>
      </c>
      <c r="AL16" s="12">
        <v>6</v>
      </c>
      <c r="AM16" s="12">
        <v>9</v>
      </c>
      <c r="AN16" s="12">
        <v>39</v>
      </c>
      <c r="AO16" s="12">
        <v>13</v>
      </c>
      <c r="AP16" s="12">
        <v>12</v>
      </c>
      <c r="AQ16" s="12">
        <v>3</v>
      </c>
    </row>
    <row r="17" spans="1:43" x14ac:dyDescent="0.35">
      <c r="A17" s="19"/>
      <c r="B17" s="13" t="s">
        <v>1256</v>
      </c>
      <c r="C17" s="15">
        <v>0.02</v>
      </c>
      <c r="D17" s="15">
        <v>0.01</v>
      </c>
      <c r="E17" s="15">
        <v>0.01</v>
      </c>
      <c r="F17" s="15">
        <v>0.03</v>
      </c>
      <c r="G17" s="15">
        <v>0.01</v>
      </c>
      <c r="H17" s="15">
        <v>0.02</v>
      </c>
      <c r="I17" s="15">
        <v>0.02</v>
      </c>
      <c r="J17" s="15">
        <v>0.02</v>
      </c>
      <c r="K17" s="15">
        <v>0.01</v>
      </c>
      <c r="L17" s="15">
        <v>0.01</v>
      </c>
      <c r="M17" s="15">
        <v>0.01</v>
      </c>
      <c r="N17" s="15">
        <v>0.01</v>
      </c>
      <c r="O17" s="15">
        <v>0.02</v>
      </c>
      <c r="P17" s="15">
        <v>0.03</v>
      </c>
      <c r="Q17" s="15">
        <v>0.02</v>
      </c>
      <c r="R17" s="15">
        <v>0.02</v>
      </c>
      <c r="S17" s="15">
        <v>0.01</v>
      </c>
      <c r="T17" s="15">
        <v>0.01</v>
      </c>
      <c r="U17" s="15">
        <v>0.01</v>
      </c>
      <c r="V17" s="15">
        <v>0.03</v>
      </c>
      <c r="W17" s="15">
        <v>0.01</v>
      </c>
      <c r="X17" s="15">
        <v>0.02</v>
      </c>
      <c r="Y17" s="15">
        <v>0.02</v>
      </c>
      <c r="Z17" s="15">
        <v>0.03</v>
      </c>
      <c r="AA17" s="15">
        <v>0.02</v>
      </c>
      <c r="AB17" s="15">
        <v>0.02</v>
      </c>
      <c r="AC17" s="15">
        <v>0.01</v>
      </c>
      <c r="AD17" s="15">
        <v>0.03</v>
      </c>
      <c r="AE17" s="14" t="s">
        <v>475</v>
      </c>
      <c r="AF17" s="14" t="s">
        <v>475</v>
      </c>
      <c r="AG17" s="15">
        <v>0.05</v>
      </c>
      <c r="AH17" s="15">
        <v>0.04</v>
      </c>
      <c r="AI17" s="15">
        <v>0.01</v>
      </c>
      <c r="AJ17" s="15">
        <v>0.01</v>
      </c>
      <c r="AK17" s="15">
        <v>0.01</v>
      </c>
      <c r="AL17" s="15">
        <v>0.01</v>
      </c>
      <c r="AM17" s="15">
        <v>0.01</v>
      </c>
      <c r="AN17" s="15">
        <v>0.04</v>
      </c>
      <c r="AO17" s="15">
        <v>0.01</v>
      </c>
      <c r="AP17" s="15">
        <v>0.02</v>
      </c>
      <c r="AQ17" s="14" t="s">
        <v>475</v>
      </c>
    </row>
    <row r="18" spans="1:43" x14ac:dyDescent="0.35">
      <c r="A18" s="19"/>
      <c r="B18" s="11" t="s">
        <v>1257</v>
      </c>
      <c r="C18" s="12">
        <v>127</v>
      </c>
      <c r="D18" s="12">
        <v>2</v>
      </c>
      <c r="E18" s="12">
        <v>7</v>
      </c>
      <c r="F18" s="12">
        <v>8</v>
      </c>
      <c r="G18" s="12">
        <v>2</v>
      </c>
      <c r="H18" s="12">
        <v>3</v>
      </c>
      <c r="I18" s="12">
        <v>3</v>
      </c>
      <c r="J18" s="12">
        <v>1</v>
      </c>
      <c r="K18" s="12">
        <v>2</v>
      </c>
      <c r="L18" s="12">
        <v>7</v>
      </c>
      <c r="M18" s="12">
        <v>3</v>
      </c>
      <c r="N18" s="12">
        <v>8</v>
      </c>
      <c r="O18" s="12">
        <v>5</v>
      </c>
      <c r="P18" s="12">
        <v>12</v>
      </c>
      <c r="Q18" s="12">
        <v>6</v>
      </c>
      <c r="R18" s="12">
        <v>3</v>
      </c>
      <c r="S18" s="12">
        <v>3</v>
      </c>
      <c r="T18" s="12">
        <v>2</v>
      </c>
      <c r="U18" s="12">
        <v>2</v>
      </c>
      <c r="V18" s="12">
        <v>10</v>
      </c>
      <c r="W18" s="12">
        <v>0</v>
      </c>
      <c r="X18" s="12">
        <v>6</v>
      </c>
      <c r="Y18" s="12">
        <v>4</v>
      </c>
      <c r="Z18" s="12">
        <v>7</v>
      </c>
      <c r="AA18" s="12">
        <v>3</v>
      </c>
      <c r="AB18" s="12">
        <v>1</v>
      </c>
      <c r="AC18" s="12">
        <v>3</v>
      </c>
      <c r="AD18" s="12">
        <v>13</v>
      </c>
      <c r="AE18" s="12">
        <v>3</v>
      </c>
      <c r="AF18" s="12">
        <v>2</v>
      </c>
      <c r="AG18" s="12">
        <v>27</v>
      </c>
      <c r="AH18" s="12">
        <v>11</v>
      </c>
      <c r="AI18" s="12">
        <v>3</v>
      </c>
      <c r="AJ18" s="12">
        <v>9</v>
      </c>
      <c r="AK18" s="12">
        <v>2</v>
      </c>
      <c r="AL18" s="12">
        <v>3</v>
      </c>
      <c r="AM18" s="12">
        <v>9</v>
      </c>
      <c r="AN18" s="12">
        <v>10</v>
      </c>
      <c r="AO18" s="12">
        <v>4</v>
      </c>
      <c r="AP18" s="12">
        <v>10</v>
      </c>
      <c r="AQ18" s="12">
        <v>2</v>
      </c>
    </row>
    <row r="19" spans="1:43" x14ac:dyDescent="0.35">
      <c r="A19" s="19"/>
      <c r="B19" s="13" t="s">
        <v>1258</v>
      </c>
      <c r="C19" s="14" t="s">
        <v>475</v>
      </c>
      <c r="D19" s="14" t="s">
        <v>475</v>
      </c>
      <c r="E19" s="15">
        <v>0.01</v>
      </c>
      <c r="F19" s="15">
        <v>0.01</v>
      </c>
      <c r="G19" s="14" t="s">
        <v>475</v>
      </c>
      <c r="H19" s="14" t="s">
        <v>475</v>
      </c>
      <c r="I19" s="14" t="s">
        <v>475</v>
      </c>
      <c r="J19" s="14" t="s">
        <v>475</v>
      </c>
      <c r="K19" s="14" t="s">
        <v>475</v>
      </c>
      <c r="L19" s="15">
        <v>0.01</v>
      </c>
      <c r="M19" s="14" t="s">
        <v>475</v>
      </c>
      <c r="N19" s="15">
        <v>0.01</v>
      </c>
      <c r="O19" s="14" t="s">
        <v>475</v>
      </c>
      <c r="P19" s="15">
        <v>0.01</v>
      </c>
      <c r="Q19" s="14" t="s">
        <v>475</v>
      </c>
      <c r="R19" s="15">
        <v>0.01</v>
      </c>
      <c r="S19" s="14" t="s">
        <v>475</v>
      </c>
      <c r="T19" s="14" t="s">
        <v>475</v>
      </c>
      <c r="U19" s="14" t="s">
        <v>475</v>
      </c>
      <c r="V19" s="15">
        <v>0.01</v>
      </c>
      <c r="W19" s="14" t="s">
        <v>475</v>
      </c>
      <c r="X19" s="15">
        <v>0.01</v>
      </c>
      <c r="Y19" s="14" t="s">
        <v>475</v>
      </c>
      <c r="Z19" s="15">
        <v>0.01</v>
      </c>
      <c r="AA19" s="14" t="s">
        <v>475</v>
      </c>
      <c r="AB19" s="14" t="s">
        <v>475</v>
      </c>
      <c r="AC19" s="14" t="s">
        <v>475</v>
      </c>
      <c r="AD19" s="15">
        <v>0.01</v>
      </c>
      <c r="AE19" s="14" t="s">
        <v>475</v>
      </c>
      <c r="AF19" s="14" t="s">
        <v>475</v>
      </c>
      <c r="AG19" s="15">
        <v>0.03</v>
      </c>
      <c r="AH19" s="15">
        <v>0.01</v>
      </c>
      <c r="AI19" s="15">
        <v>0.01</v>
      </c>
      <c r="AJ19" s="15">
        <v>0.01</v>
      </c>
      <c r="AK19" s="14" t="s">
        <v>475</v>
      </c>
      <c r="AL19" s="14" t="s">
        <v>475</v>
      </c>
      <c r="AM19" s="15">
        <v>0.01</v>
      </c>
      <c r="AN19" s="15">
        <v>0.01</v>
      </c>
      <c r="AO19" s="15">
        <v>0.01</v>
      </c>
      <c r="AP19" s="15">
        <v>0.02</v>
      </c>
      <c r="AQ19" s="14" t="s">
        <v>475</v>
      </c>
    </row>
    <row r="20" spans="1:43" x14ac:dyDescent="0.35">
      <c r="A20" s="19"/>
      <c r="B20" s="11" t="s">
        <v>1259</v>
      </c>
      <c r="C20" s="12">
        <v>459</v>
      </c>
      <c r="D20" s="12">
        <v>14</v>
      </c>
      <c r="E20" s="12">
        <v>9</v>
      </c>
      <c r="F20" s="12">
        <v>43</v>
      </c>
      <c r="G20" s="12">
        <v>6</v>
      </c>
      <c r="H20" s="12">
        <v>36</v>
      </c>
      <c r="I20" s="12">
        <v>44</v>
      </c>
      <c r="J20" s="12">
        <v>8</v>
      </c>
      <c r="K20" s="12">
        <v>16</v>
      </c>
      <c r="L20" s="12">
        <v>10</v>
      </c>
      <c r="M20" s="12">
        <v>12</v>
      </c>
      <c r="N20" s="12">
        <v>8</v>
      </c>
      <c r="O20" s="12">
        <v>16</v>
      </c>
      <c r="P20" s="12">
        <v>48</v>
      </c>
      <c r="Q20" s="12">
        <v>20</v>
      </c>
      <c r="R20" s="12">
        <v>15</v>
      </c>
      <c r="S20" s="12">
        <v>14</v>
      </c>
      <c r="T20" s="12">
        <v>4</v>
      </c>
      <c r="U20" s="12">
        <v>2</v>
      </c>
      <c r="V20" s="12">
        <v>14</v>
      </c>
      <c r="W20" s="12">
        <v>1</v>
      </c>
      <c r="X20" s="12">
        <v>11</v>
      </c>
      <c r="Y20" s="12">
        <v>17</v>
      </c>
      <c r="Z20" s="12">
        <v>13</v>
      </c>
      <c r="AA20" s="12">
        <v>17</v>
      </c>
      <c r="AB20" s="12">
        <v>14</v>
      </c>
      <c r="AC20" s="12">
        <v>18</v>
      </c>
      <c r="AD20" s="12">
        <v>22</v>
      </c>
      <c r="AE20" s="12">
        <v>4</v>
      </c>
      <c r="AF20" s="12">
        <v>4</v>
      </c>
      <c r="AG20" s="12">
        <v>35</v>
      </c>
      <c r="AH20" s="12">
        <v>27</v>
      </c>
      <c r="AI20" s="12">
        <v>13</v>
      </c>
      <c r="AJ20" s="12">
        <v>19</v>
      </c>
      <c r="AK20" s="12">
        <v>18</v>
      </c>
      <c r="AL20" s="12">
        <v>14</v>
      </c>
      <c r="AM20" s="12">
        <v>23</v>
      </c>
      <c r="AN20" s="12">
        <v>24</v>
      </c>
      <c r="AO20" s="12">
        <v>13</v>
      </c>
      <c r="AP20" s="12">
        <v>16</v>
      </c>
      <c r="AQ20" s="12">
        <v>15</v>
      </c>
    </row>
    <row r="21" spans="1:43" x14ac:dyDescent="0.35">
      <c r="A21" s="19"/>
      <c r="B21" s="13" t="s">
        <v>1260</v>
      </c>
      <c r="C21" s="15">
        <v>0.02</v>
      </c>
      <c r="D21" s="15">
        <v>0.02</v>
      </c>
      <c r="E21" s="15">
        <v>0.01</v>
      </c>
      <c r="F21" s="15">
        <v>0.04</v>
      </c>
      <c r="G21" s="15">
        <v>0.01</v>
      </c>
      <c r="H21" s="15">
        <v>0.03</v>
      </c>
      <c r="I21" s="15">
        <v>0.03</v>
      </c>
      <c r="J21" s="15">
        <v>0.03</v>
      </c>
      <c r="K21" s="15">
        <v>0.02</v>
      </c>
      <c r="L21" s="15">
        <v>0.01</v>
      </c>
      <c r="M21" s="15">
        <v>0.01</v>
      </c>
      <c r="N21" s="15">
        <v>0.01</v>
      </c>
      <c r="O21" s="15">
        <v>0.02</v>
      </c>
      <c r="P21" s="15">
        <v>0.05</v>
      </c>
      <c r="Q21" s="15">
        <v>0.02</v>
      </c>
      <c r="R21" s="15">
        <v>0.03</v>
      </c>
      <c r="S21" s="15">
        <v>0.01</v>
      </c>
      <c r="T21" s="14" t="s">
        <v>475</v>
      </c>
      <c r="U21" s="15">
        <v>0.01</v>
      </c>
      <c r="V21" s="15">
        <v>0.01</v>
      </c>
      <c r="W21" s="14" t="s">
        <v>475</v>
      </c>
      <c r="X21" s="15">
        <v>0.01</v>
      </c>
      <c r="Y21" s="15">
        <v>0.02</v>
      </c>
      <c r="Z21" s="15">
        <v>0.01</v>
      </c>
      <c r="AA21" s="15">
        <v>0.02</v>
      </c>
      <c r="AB21" s="15">
        <v>0.01</v>
      </c>
      <c r="AC21" s="15">
        <v>0.02</v>
      </c>
      <c r="AD21" s="15">
        <v>0.02</v>
      </c>
      <c r="AE21" s="14" t="s">
        <v>475</v>
      </c>
      <c r="AF21" s="15">
        <v>0.01</v>
      </c>
      <c r="AG21" s="15">
        <v>0.04</v>
      </c>
      <c r="AH21" s="15">
        <v>0.03</v>
      </c>
      <c r="AI21" s="15">
        <v>0.03</v>
      </c>
      <c r="AJ21" s="15">
        <v>0.02</v>
      </c>
      <c r="AK21" s="15">
        <v>0.02</v>
      </c>
      <c r="AL21" s="15">
        <v>0.01</v>
      </c>
      <c r="AM21" s="15">
        <v>0.02</v>
      </c>
      <c r="AN21" s="15">
        <v>0.02</v>
      </c>
      <c r="AO21" s="15">
        <v>0.01</v>
      </c>
      <c r="AP21" s="15">
        <v>0.03</v>
      </c>
      <c r="AQ21" s="15">
        <v>0.02</v>
      </c>
    </row>
    <row r="22" spans="1:43" x14ac:dyDescent="0.35">
      <c r="A22" s="19"/>
      <c r="B22" s="11" t="s">
        <v>500</v>
      </c>
      <c r="C22" s="12">
        <v>2654</v>
      </c>
      <c r="D22" s="12">
        <v>65</v>
      </c>
      <c r="E22" s="12">
        <v>133</v>
      </c>
      <c r="F22" s="12">
        <v>159</v>
      </c>
      <c r="G22" s="12">
        <v>25</v>
      </c>
      <c r="H22" s="12">
        <v>92</v>
      </c>
      <c r="I22" s="12">
        <v>114</v>
      </c>
      <c r="J22" s="12">
        <v>22</v>
      </c>
      <c r="K22" s="12">
        <v>98</v>
      </c>
      <c r="L22" s="12">
        <v>78</v>
      </c>
      <c r="M22" s="12">
        <v>163</v>
      </c>
      <c r="N22" s="12">
        <v>104</v>
      </c>
      <c r="O22" s="12">
        <v>95</v>
      </c>
      <c r="P22" s="12">
        <v>124</v>
      </c>
      <c r="Q22" s="12">
        <v>104</v>
      </c>
      <c r="R22" s="12">
        <v>55</v>
      </c>
      <c r="S22" s="12">
        <v>102</v>
      </c>
      <c r="T22" s="12">
        <v>136</v>
      </c>
      <c r="U22" s="12">
        <v>20</v>
      </c>
      <c r="V22" s="12">
        <v>160</v>
      </c>
      <c r="W22" s="12">
        <v>32</v>
      </c>
      <c r="X22" s="12">
        <v>15</v>
      </c>
      <c r="Y22" s="12">
        <v>64</v>
      </c>
      <c r="Z22" s="12">
        <v>169</v>
      </c>
      <c r="AA22" s="12">
        <v>169</v>
      </c>
      <c r="AB22" s="12">
        <v>171</v>
      </c>
      <c r="AC22" s="12">
        <v>109</v>
      </c>
      <c r="AD22" s="12">
        <v>129</v>
      </c>
      <c r="AE22" s="12">
        <v>35</v>
      </c>
      <c r="AF22" s="12">
        <v>18</v>
      </c>
      <c r="AG22" s="12">
        <v>115</v>
      </c>
      <c r="AH22" s="12">
        <v>121</v>
      </c>
      <c r="AI22" s="12">
        <v>29</v>
      </c>
      <c r="AJ22" s="12">
        <v>210</v>
      </c>
      <c r="AK22" s="12">
        <v>134</v>
      </c>
      <c r="AL22" s="12">
        <v>136</v>
      </c>
      <c r="AM22" s="12">
        <v>89</v>
      </c>
      <c r="AN22" s="12">
        <v>85</v>
      </c>
      <c r="AO22" s="12">
        <v>87</v>
      </c>
      <c r="AP22" s="12">
        <v>15</v>
      </c>
      <c r="AQ22" s="12">
        <v>128</v>
      </c>
    </row>
    <row r="23" spans="1:43" x14ac:dyDescent="0.35">
      <c r="A23" s="19"/>
      <c r="B23" s="13" t="s">
        <v>501</v>
      </c>
      <c r="C23" s="15">
        <v>0.1</v>
      </c>
      <c r="D23" s="15">
        <v>0.06</v>
      </c>
      <c r="E23" s="15">
        <v>0.13</v>
      </c>
      <c r="F23" s="15">
        <v>0.14000000000000001</v>
      </c>
      <c r="G23" s="15">
        <v>0.02</v>
      </c>
      <c r="H23" s="15">
        <v>7.0000000000000007E-2</v>
      </c>
      <c r="I23" s="15">
        <v>7.0000000000000007E-2</v>
      </c>
      <c r="J23" s="15">
        <v>0.08</v>
      </c>
      <c r="K23" s="15">
        <v>0.1</v>
      </c>
      <c r="L23" s="15">
        <v>0.08</v>
      </c>
      <c r="M23" s="15">
        <v>0.16</v>
      </c>
      <c r="N23" s="15">
        <v>0.1</v>
      </c>
      <c r="O23" s="15">
        <v>0.09</v>
      </c>
      <c r="P23" s="15">
        <v>0.12</v>
      </c>
      <c r="Q23" s="15">
        <v>0.1</v>
      </c>
      <c r="R23" s="15">
        <v>0.11</v>
      </c>
      <c r="S23" s="15">
        <v>0.1</v>
      </c>
      <c r="T23" s="15">
        <v>0.14000000000000001</v>
      </c>
      <c r="U23" s="15">
        <v>0.04</v>
      </c>
      <c r="V23" s="15">
        <v>0.16</v>
      </c>
      <c r="W23" s="15">
        <v>0.06</v>
      </c>
      <c r="X23" s="15">
        <v>0.01</v>
      </c>
      <c r="Y23" s="15">
        <v>0.06</v>
      </c>
      <c r="Z23" s="15">
        <v>0.16</v>
      </c>
      <c r="AA23" s="15">
        <v>0.16</v>
      </c>
      <c r="AB23" s="15">
        <v>0.16</v>
      </c>
      <c r="AC23" s="15">
        <v>0.11</v>
      </c>
      <c r="AD23" s="15">
        <v>0.13</v>
      </c>
      <c r="AE23" s="15">
        <v>0.04</v>
      </c>
      <c r="AF23" s="15">
        <v>0.02</v>
      </c>
      <c r="AG23" s="15">
        <v>0.11</v>
      </c>
      <c r="AH23" s="15">
        <v>0.12</v>
      </c>
      <c r="AI23" s="15">
        <v>0.05</v>
      </c>
      <c r="AJ23" s="15">
        <v>0.2</v>
      </c>
      <c r="AK23" s="15">
        <v>0.13</v>
      </c>
      <c r="AL23" s="15">
        <v>0.14000000000000001</v>
      </c>
      <c r="AM23" s="15">
        <v>0.09</v>
      </c>
      <c r="AN23" s="15">
        <v>0.09</v>
      </c>
      <c r="AO23" s="15">
        <v>0.09</v>
      </c>
      <c r="AP23" s="15">
        <v>0.03</v>
      </c>
      <c r="AQ23" s="15">
        <v>0.13</v>
      </c>
    </row>
    <row r="24" spans="1:43" ht="21.5" x14ac:dyDescent="0.35">
      <c r="A24" s="19"/>
      <c r="B24" s="11" t="s">
        <v>1661</v>
      </c>
      <c r="C24" s="12">
        <v>183</v>
      </c>
      <c r="D24" s="12">
        <v>1</v>
      </c>
      <c r="E24" s="12">
        <v>13</v>
      </c>
      <c r="F24" s="12">
        <v>11</v>
      </c>
      <c r="G24" s="12">
        <v>4</v>
      </c>
      <c r="H24" s="12">
        <v>13</v>
      </c>
      <c r="I24" s="12">
        <v>14</v>
      </c>
      <c r="J24" s="12">
        <v>1</v>
      </c>
      <c r="K24" s="12">
        <v>13</v>
      </c>
      <c r="L24" s="12">
        <v>0</v>
      </c>
      <c r="M24" s="12">
        <v>28</v>
      </c>
      <c r="N24" s="12">
        <v>8</v>
      </c>
      <c r="O24" s="12">
        <v>1</v>
      </c>
      <c r="P24" s="12">
        <v>3</v>
      </c>
      <c r="Q24" s="12">
        <v>7</v>
      </c>
      <c r="R24" s="12">
        <v>2</v>
      </c>
      <c r="S24" s="12">
        <v>15</v>
      </c>
      <c r="T24" s="12">
        <v>11</v>
      </c>
      <c r="U24" s="12">
        <v>1</v>
      </c>
      <c r="V24" s="12">
        <v>0</v>
      </c>
      <c r="W24" s="12">
        <v>20</v>
      </c>
      <c r="X24" s="12">
        <v>0</v>
      </c>
      <c r="Y24" s="12">
        <v>29</v>
      </c>
      <c r="Z24" s="12">
        <v>1</v>
      </c>
      <c r="AA24" s="12">
        <v>21</v>
      </c>
      <c r="AB24" s="12">
        <v>13</v>
      </c>
      <c r="AC24" s="12">
        <v>5</v>
      </c>
      <c r="AD24" s="12">
        <v>6</v>
      </c>
      <c r="AE24" s="12">
        <v>6</v>
      </c>
      <c r="AF24" s="12">
        <v>0</v>
      </c>
      <c r="AG24" s="12">
        <v>8</v>
      </c>
      <c r="AH24" s="12">
        <v>0</v>
      </c>
      <c r="AI24" s="12">
        <v>1</v>
      </c>
      <c r="AJ24" s="12">
        <v>0</v>
      </c>
      <c r="AK24" s="12">
        <v>2</v>
      </c>
      <c r="AL24" s="12">
        <v>3</v>
      </c>
      <c r="AM24" s="12">
        <v>1</v>
      </c>
      <c r="AN24" s="12">
        <v>1</v>
      </c>
      <c r="AO24" s="12">
        <v>1</v>
      </c>
      <c r="AP24" s="12">
        <v>0</v>
      </c>
      <c r="AQ24" s="12">
        <v>9</v>
      </c>
    </row>
    <row r="25" spans="1:43" ht="21.5" x14ac:dyDescent="0.35">
      <c r="A25" s="19"/>
      <c r="B25" s="13" t="s">
        <v>1662</v>
      </c>
      <c r="C25" s="15">
        <v>0.01</v>
      </c>
      <c r="D25" s="14" t="s">
        <v>475</v>
      </c>
      <c r="E25" s="15">
        <v>0.01</v>
      </c>
      <c r="F25" s="15">
        <v>0.01</v>
      </c>
      <c r="G25" s="14" t="s">
        <v>475</v>
      </c>
      <c r="H25" s="15">
        <v>0.01</v>
      </c>
      <c r="I25" s="15">
        <v>0.01</v>
      </c>
      <c r="J25" s="14" t="s">
        <v>475</v>
      </c>
      <c r="K25" s="15">
        <v>0.01</v>
      </c>
      <c r="L25" s="14" t="s">
        <v>475</v>
      </c>
      <c r="M25" s="15">
        <v>0.03</v>
      </c>
      <c r="N25" s="15">
        <v>0.01</v>
      </c>
      <c r="O25" s="14" t="s">
        <v>475</v>
      </c>
      <c r="P25" s="14" t="s">
        <v>475</v>
      </c>
      <c r="Q25" s="15">
        <v>0.01</v>
      </c>
      <c r="R25" s="14" t="s">
        <v>475</v>
      </c>
      <c r="S25" s="15">
        <v>0.02</v>
      </c>
      <c r="T25" s="15">
        <v>0.01</v>
      </c>
      <c r="U25" s="14" t="s">
        <v>475</v>
      </c>
      <c r="V25" s="14" t="s">
        <v>475</v>
      </c>
      <c r="W25" s="15">
        <v>0.04</v>
      </c>
      <c r="X25" s="14" t="s">
        <v>475</v>
      </c>
      <c r="Y25" s="15">
        <v>0.03</v>
      </c>
      <c r="Z25" s="14" t="s">
        <v>475</v>
      </c>
      <c r="AA25" s="15">
        <v>0.02</v>
      </c>
      <c r="AB25" s="15">
        <v>0.01</v>
      </c>
      <c r="AC25" s="14" t="s">
        <v>475</v>
      </c>
      <c r="AD25" s="15">
        <v>0.01</v>
      </c>
      <c r="AE25" s="15">
        <v>0.01</v>
      </c>
      <c r="AF25" s="14" t="s">
        <v>475</v>
      </c>
      <c r="AG25" s="15">
        <v>0.01</v>
      </c>
      <c r="AH25" s="14" t="s">
        <v>475</v>
      </c>
      <c r="AI25" s="14" t="s">
        <v>475</v>
      </c>
      <c r="AJ25" s="14" t="s">
        <v>475</v>
      </c>
      <c r="AK25" s="14" t="s">
        <v>475</v>
      </c>
      <c r="AL25" s="14" t="s">
        <v>475</v>
      </c>
      <c r="AM25" s="14" t="s">
        <v>475</v>
      </c>
      <c r="AN25" s="14" t="s">
        <v>475</v>
      </c>
      <c r="AO25" s="14" t="s">
        <v>475</v>
      </c>
      <c r="AP25" s="14" t="s">
        <v>475</v>
      </c>
      <c r="AQ25" s="15">
        <v>0.01</v>
      </c>
    </row>
    <row r="26" spans="1:43" x14ac:dyDescent="0.35">
      <c r="A26" s="19"/>
      <c r="B26" s="11" t="s">
        <v>1663</v>
      </c>
      <c r="C26" s="12">
        <v>23609</v>
      </c>
      <c r="D26" s="12">
        <v>947</v>
      </c>
      <c r="E26" s="12">
        <v>885</v>
      </c>
      <c r="F26" s="12">
        <v>932</v>
      </c>
      <c r="G26" s="12">
        <v>977</v>
      </c>
      <c r="H26" s="12">
        <v>1115</v>
      </c>
      <c r="I26" s="12">
        <v>1388</v>
      </c>
      <c r="J26" s="12">
        <v>273</v>
      </c>
      <c r="K26" s="12">
        <v>891</v>
      </c>
      <c r="L26" s="12">
        <v>924</v>
      </c>
      <c r="M26" s="12">
        <v>818</v>
      </c>
      <c r="N26" s="12">
        <v>891</v>
      </c>
      <c r="O26" s="12">
        <v>905</v>
      </c>
      <c r="P26" s="12">
        <v>877</v>
      </c>
      <c r="Q26" s="12">
        <v>917</v>
      </c>
      <c r="R26" s="12">
        <v>446</v>
      </c>
      <c r="S26" s="12">
        <v>885</v>
      </c>
      <c r="T26" s="12">
        <v>858</v>
      </c>
      <c r="U26" s="12">
        <v>482</v>
      </c>
      <c r="V26" s="12">
        <v>856</v>
      </c>
      <c r="W26" s="12">
        <v>456</v>
      </c>
      <c r="X26" s="12">
        <v>993</v>
      </c>
      <c r="Y26" s="12">
        <v>908</v>
      </c>
      <c r="Z26" s="12">
        <v>861</v>
      </c>
      <c r="AA26" s="12">
        <v>843</v>
      </c>
      <c r="AB26" s="12">
        <v>867</v>
      </c>
      <c r="AC26" s="12">
        <v>888</v>
      </c>
      <c r="AD26" s="12">
        <v>869</v>
      </c>
      <c r="AE26" s="12">
        <v>969</v>
      </c>
      <c r="AF26" s="12">
        <v>1026</v>
      </c>
      <c r="AG26" s="12">
        <v>911</v>
      </c>
      <c r="AH26" s="12">
        <v>892</v>
      </c>
      <c r="AI26" s="12">
        <v>493</v>
      </c>
      <c r="AJ26" s="12">
        <v>828</v>
      </c>
      <c r="AK26" s="12">
        <v>871</v>
      </c>
      <c r="AL26" s="12">
        <v>873</v>
      </c>
      <c r="AM26" s="12">
        <v>950</v>
      </c>
      <c r="AN26" s="12">
        <v>916</v>
      </c>
      <c r="AO26" s="12">
        <v>917</v>
      </c>
      <c r="AP26" s="12">
        <v>508</v>
      </c>
      <c r="AQ26" s="12">
        <v>865</v>
      </c>
    </row>
    <row r="27" spans="1:43" x14ac:dyDescent="0.35">
      <c r="A27" s="19"/>
      <c r="B27" s="13" t="s">
        <v>1664</v>
      </c>
      <c r="C27" s="15">
        <v>0.89</v>
      </c>
      <c r="D27" s="15">
        <v>0.94000000000000006</v>
      </c>
      <c r="E27" s="15">
        <v>0.86</v>
      </c>
      <c r="F27" s="15">
        <v>0.85</v>
      </c>
      <c r="G27" s="15">
        <v>0.98</v>
      </c>
      <c r="H27" s="15">
        <v>0.92</v>
      </c>
      <c r="I27" s="15">
        <v>0.92</v>
      </c>
      <c r="J27" s="15">
        <v>0.92</v>
      </c>
      <c r="K27" s="15">
        <v>0.89</v>
      </c>
      <c r="L27" s="15">
        <v>0.92</v>
      </c>
      <c r="M27" s="15">
        <v>0.81</v>
      </c>
      <c r="N27" s="15">
        <v>0.89</v>
      </c>
      <c r="O27" s="15">
        <v>0.91</v>
      </c>
      <c r="P27" s="15">
        <v>0.88</v>
      </c>
      <c r="Q27" s="15">
        <v>0.89</v>
      </c>
      <c r="R27" s="15">
        <v>0.89</v>
      </c>
      <c r="S27" s="15">
        <v>0.88</v>
      </c>
      <c r="T27" s="15">
        <v>0.85</v>
      </c>
      <c r="U27" s="15">
        <v>0.96</v>
      </c>
      <c r="V27" s="15">
        <v>0.84</v>
      </c>
      <c r="W27" s="15">
        <v>0.9</v>
      </c>
      <c r="X27" s="15">
        <v>0.99</v>
      </c>
      <c r="Y27" s="15">
        <v>0.91</v>
      </c>
      <c r="Z27" s="15">
        <v>0.84</v>
      </c>
      <c r="AA27" s="15">
        <v>0.82000000000000006</v>
      </c>
      <c r="AB27" s="15">
        <v>0.83000000000000007</v>
      </c>
      <c r="AC27" s="15">
        <v>0.89</v>
      </c>
      <c r="AD27" s="15">
        <v>0.86</v>
      </c>
      <c r="AE27" s="15">
        <v>0.95000000000000007</v>
      </c>
      <c r="AF27" s="15">
        <v>0.98</v>
      </c>
      <c r="AG27" s="15">
        <v>0.88</v>
      </c>
      <c r="AH27" s="15">
        <v>0.88</v>
      </c>
      <c r="AI27" s="15">
        <v>0.95000000000000007</v>
      </c>
      <c r="AJ27" s="15">
        <v>0.8</v>
      </c>
      <c r="AK27" s="15">
        <v>0.87</v>
      </c>
      <c r="AL27" s="15">
        <v>0.86</v>
      </c>
      <c r="AM27" s="15">
        <v>0.91</v>
      </c>
      <c r="AN27" s="15">
        <v>0.91</v>
      </c>
      <c r="AO27" s="15">
        <v>0.91</v>
      </c>
      <c r="AP27" s="15">
        <v>0.97</v>
      </c>
      <c r="AQ27" s="15">
        <v>0.86</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1673</v>
      </c>
      <c r="C3" s="18"/>
      <c r="D3" s="18"/>
      <c r="E3" s="18"/>
      <c r="F3" s="18"/>
      <c r="H3" s="18" t="s">
        <v>1674</v>
      </c>
      <c r="I3" s="18"/>
      <c r="J3" s="18"/>
      <c r="K3" s="18"/>
      <c r="L3" s="18"/>
    </row>
    <row r="4" spans="1:43" ht="27" customHeight="1" x14ac:dyDescent="0.35">
      <c r="B4" s="18" t="s">
        <v>1675</v>
      </c>
      <c r="C4" s="18"/>
      <c r="D4" s="18"/>
      <c r="E4" s="18"/>
      <c r="F4" s="18"/>
      <c r="H4" s="18" t="s">
        <v>1676</v>
      </c>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HYPERLINK("#Content!A209","&lt;&lt;Back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1251</v>
      </c>
      <c r="C12" s="12">
        <v>5814</v>
      </c>
      <c r="D12" s="12">
        <v>294</v>
      </c>
      <c r="E12" s="12">
        <v>192</v>
      </c>
      <c r="F12" s="12">
        <v>221</v>
      </c>
      <c r="G12" s="12">
        <v>156</v>
      </c>
      <c r="H12" s="12">
        <v>244</v>
      </c>
      <c r="I12" s="12">
        <v>279</v>
      </c>
      <c r="J12" s="12">
        <v>35</v>
      </c>
      <c r="K12" s="12">
        <v>251</v>
      </c>
      <c r="L12" s="12">
        <v>326</v>
      </c>
      <c r="M12" s="12">
        <v>140</v>
      </c>
      <c r="N12" s="12">
        <v>267</v>
      </c>
      <c r="O12" s="12">
        <v>179</v>
      </c>
      <c r="P12" s="12">
        <v>297</v>
      </c>
      <c r="Q12" s="12">
        <v>227</v>
      </c>
      <c r="R12" s="12">
        <v>162</v>
      </c>
      <c r="S12" s="12">
        <v>321</v>
      </c>
      <c r="T12" s="12">
        <v>208</v>
      </c>
      <c r="U12" s="12">
        <v>174</v>
      </c>
      <c r="V12" s="12">
        <v>268</v>
      </c>
      <c r="W12" s="12">
        <v>154</v>
      </c>
      <c r="X12" s="12">
        <v>341</v>
      </c>
      <c r="Y12" s="12">
        <v>221</v>
      </c>
      <c r="Z12" s="12">
        <v>161</v>
      </c>
      <c r="AA12" s="12">
        <v>360</v>
      </c>
      <c r="AB12" s="12">
        <v>349</v>
      </c>
      <c r="AC12" s="12">
        <v>277</v>
      </c>
      <c r="AD12" s="12">
        <v>258</v>
      </c>
      <c r="AE12" s="12">
        <v>158</v>
      </c>
      <c r="AF12" s="12">
        <v>164</v>
      </c>
      <c r="AG12" s="12">
        <v>451</v>
      </c>
      <c r="AH12" s="12">
        <v>343</v>
      </c>
      <c r="AI12" s="12">
        <v>371</v>
      </c>
      <c r="AJ12" s="12">
        <v>341</v>
      </c>
      <c r="AK12" s="12">
        <v>251</v>
      </c>
      <c r="AL12" s="12">
        <v>425</v>
      </c>
      <c r="AM12" s="12">
        <v>167</v>
      </c>
      <c r="AN12" s="12">
        <v>404</v>
      </c>
      <c r="AO12" s="12">
        <v>658</v>
      </c>
      <c r="AP12" s="12">
        <v>373</v>
      </c>
      <c r="AQ12" s="12">
        <v>410</v>
      </c>
    </row>
    <row r="13" spans="1:43" ht="21.5" x14ac:dyDescent="0.35">
      <c r="A13" s="19"/>
      <c r="B13" s="13" t="s">
        <v>1660</v>
      </c>
      <c r="C13" s="15">
        <v>0.22</v>
      </c>
      <c r="D13" s="15">
        <v>0.28999999999999998</v>
      </c>
      <c r="E13" s="15">
        <v>0.19</v>
      </c>
      <c r="F13" s="15">
        <v>0.2</v>
      </c>
      <c r="G13" s="15">
        <v>0.16</v>
      </c>
      <c r="H13" s="15">
        <v>0.2</v>
      </c>
      <c r="I13" s="15">
        <v>0.18</v>
      </c>
      <c r="J13" s="15">
        <v>0.12</v>
      </c>
      <c r="K13" s="15">
        <v>0.25</v>
      </c>
      <c r="L13" s="15">
        <v>0.33</v>
      </c>
      <c r="M13" s="15">
        <v>0.14000000000000001</v>
      </c>
      <c r="N13" s="15">
        <v>0.27</v>
      </c>
      <c r="O13" s="15">
        <v>0.18</v>
      </c>
      <c r="P13" s="15">
        <v>0.3</v>
      </c>
      <c r="Q13" s="15">
        <v>0.22</v>
      </c>
      <c r="R13" s="15">
        <v>0.32</v>
      </c>
      <c r="S13" s="15">
        <v>0.32</v>
      </c>
      <c r="T13" s="15">
        <v>0.21</v>
      </c>
      <c r="U13" s="15">
        <v>0.35</v>
      </c>
      <c r="V13" s="15">
        <v>0.26</v>
      </c>
      <c r="W13" s="15">
        <v>0.3</v>
      </c>
      <c r="X13" s="15">
        <v>0.34</v>
      </c>
      <c r="Y13" s="15">
        <v>0.22</v>
      </c>
      <c r="Z13" s="15">
        <v>0.15</v>
      </c>
      <c r="AA13" s="15">
        <v>0.35</v>
      </c>
      <c r="AB13" s="15">
        <v>0.33</v>
      </c>
      <c r="AC13" s="15">
        <v>0.28000000000000003</v>
      </c>
      <c r="AD13" s="15">
        <v>0.26</v>
      </c>
      <c r="AE13" s="15">
        <v>0.16</v>
      </c>
      <c r="AF13" s="15">
        <v>0.16</v>
      </c>
      <c r="AG13" s="15">
        <v>0.44</v>
      </c>
      <c r="AH13" s="15">
        <v>0.34</v>
      </c>
      <c r="AI13" s="15">
        <v>0.71</v>
      </c>
      <c r="AJ13" s="15">
        <v>0.33</v>
      </c>
      <c r="AK13" s="15">
        <v>0.25</v>
      </c>
      <c r="AL13" s="15">
        <v>0.42</v>
      </c>
      <c r="AM13" s="15">
        <v>0.16</v>
      </c>
      <c r="AN13" s="15">
        <v>0.4</v>
      </c>
      <c r="AO13" s="15">
        <v>0.66</v>
      </c>
      <c r="AP13" s="15">
        <v>0.71</v>
      </c>
      <c r="AQ13" s="15">
        <v>0.41</v>
      </c>
    </row>
    <row r="14" spans="1:43" ht="21.5" x14ac:dyDescent="0.35">
      <c r="A14" s="19"/>
      <c r="B14" s="11" t="s">
        <v>1253</v>
      </c>
      <c r="C14" s="12">
        <v>1506</v>
      </c>
      <c r="D14" s="12">
        <v>68</v>
      </c>
      <c r="E14" s="12">
        <v>57</v>
      </c>
      <c r="F14" s="12">
        <v>87</v>
      </c>
      <c r="G14" s="12">
        <v>67</v>
      </c>
      <c r="H14" s="12">
        <v>77</v>
      </c>
      <c r="I14" s="12">
        <v>95</v>
      </c>
      <c r="J14" s="12">
        <v>18</v>
      </c>
      <c r="K14" s="12">
        <v>49</v>
      </c>
      <c r="L14" s="12">
        <v>92</v>
      </c>
      <c r="M14" s="12">
        <v>102</v>
      </c>
      <c r="N14" s="12">
        <v>64</v>
      </c>
      <c r="O14" s="12">
        <v>26</v>
      </c>
      <c r="P14" s="12">
        <v>74</v>
      </c>
      <c r="Q14" s="12">
        <v>60</v>
      </c>
      <c r="R14" s="12">
        <v>38</v>
      </c>
      <c r="S14" s="12">
        <v>35</v>
      </c>
      <c r="T14" s="12">
        <v>62</v>
      </c>
      <c r="U14" s="12">
        <v>17</v>
      </c>
      <c r="V14" s="12">
        <v>75</v>
      </c>
      <c r="W14" s="12">
        <v>54</v>
      </c>
      <c r="X14" s="12">
        <v>98</v>
      </c>
      <c r="Y14" s="12">
        <v>71</v>
      </c>
      <c r="Z14" s="12">
        <v>49</v>
      </c>
      <c r="AA14" s="12">
        <v>45</v>
      </c>
      <c r="AB14" s="12">
        <v>43</v>
      </c>
      <c r="AC14" s="12">
        <v>34</v>
      </c>
      <c r="AD14" s="12">
        <v>96</v>
      </c>
      <c r="AE14" s="12">
        <v>35</v>
      </c>
      <c r="AF14" s="12">
        <v>45</v>
      </c>
      <c r="AG14" s="12">
        <v>113</v>
      </c>
      <c r="AH14" s="12">
        <v>139</v>
      </c>
      <c r="AI14" s="12">
        <v>26</v>
      </c>
      <c r="AJ14" s="12">
        <v>127</v>
      </c>
      <c r="AK14" s="12">
        <v>37</v>
      </c>
      <c r="AL14" s="12">
        <v>37</v>
      </c>
      <c r="AM14" s="12">
        <v>96</v>
      </c>
      <c r="AN14" s="12">
        <v>102</v>
      </c>
      <c r="AO14" s="12">
        <v>91</v>
      </c>
      <c r="AP14" s="12">
        <v>31</v>
      </c>
      <c r="AQ14" s="12">
        <v>55</v>
      </c>
    </row>
    <row r="15" spans="1:43" x14ac:dyDescent="0.35">
      <c r="A15" s="19"/>
      <c r="B15" s="13" t="s">
        <v>1254</v>
      </c>
      <c r="C15" s="15">
        <v>0.06</v>
      </c>
      <c r="D15" s="15">
        <v>7.0000000000000007E-2</v>
      </c>
      <c r="E15" s="15">
        <v>0.05</v>
      </c>
      <c r="F15" s="15">
        <v>0.08</v>
      </c>
      <c r="G15" s="15">
        <v>7.0000000000000007E-2</v>
      </c>
      <c r="H15" s="15">
        <v>0.06</v>
      </c>
      <c r="I15" s="15">
        <v>0.06</v>
      </c>
      <c r="J15" s="15">
        <v>0.06</v>
      </c>
      <c r="K15" s="15">
        <v>0.05</v>
      </c>
      <c r="L15" s="15">
        <v>0.09</v>
      </c>
      <c r="M15" s="15">
        <v>0.1</v>
      </c>
      <c r="N15" s="15">
        <v>0.06</v>
      </c>
      <c r="O15" s="15">
        <v>0.03</v>
      </c>
      <c r="P15" s="15">
        <v>7.0000000000000007E-2</v>
      </c>
      <c r="Q15" s="15">
        <v>0.06</v>
      </c>
      <c r="R15" s="15">
        <v>0.08</v>
      </c>
      <c r="S15" s="15">
        <v>0.04</v>
      </c>
      <c r="T15" s="15">
        <v>0.06</v>
      </c>
      <c r="U15" s="15">
        <v>0.03</v>
      </c>
      <c r="V15" s="15">
        <v>7.0000000000000007E-2</v>
      </c>
      <c r="W15" s="15">
        <v>0.11</v>
      </c>
      <c r="X15" s="15">
        <v>0.1</v>
      </c>
      <c r="Y15" s="15">
        <v>7.0000000000000007E-2</v>
      </c>
      <c r="Z15" s="15">
        <v>0.05</v>
      </c>
      <c r="AA15" s="15">
        <v>0.04</v>
      </c>
      <c r="AB15" s="15">
        <v>0.04</v>
      </c>
      <c r="AC15" s="15">
        <v>0.03</v>
      </c>
      <c r="AD15" s="15">
        <v>0.1</v>
      </c>
      <c r="AE15" s="15">
        <v>0.03</v>
      </c>
      <c r="AF15" s="15">
        <v>0.04</v>
      </c>
      <c r="AG15" s="15">
        <v>0.11</v>
      </c>
      <c r="AH15" s="15">
        <v>0.14000000000000001</v>
      </c>
      <c r="AI15" s="15">
        <v>0.05</v>
      </c>
      <c r="AJ15" s="15">
        <v>0.12</v>
      </c>
      <c r="AK15" s="15">
        <v>0.04</v>
      </c>
      <c r="AL15" s="15">
        <v>0.04</v>
      </c>
      <c r="AM15" s="15">
        <v>0.09</v>
      </c>
      <c r="AN15" s="15">
        <v>0.1</v>
      </c>
      <c r="AO15" s="15">
        <v>0.09</v>
      </c>
      <c r="AP15" s="15">
        <v>0.06</v>
      </c>
      <c r="AQ15" s="15">
        <v>0.06</v>
      </c>
    </row>
    <row r="16" spans="1:43" ht="21.5" x14ac:dyDescent="0.35">
      <c r="A16" s="19"/>
      <c r="B16" s="11" t="s">
        <v>1255</v>
      </c>
      <c r="C16" s="12">
        <v>1021</v>
      </c>
      <c r="D16" s="12">
        <v>37</v>
      </c>
      <c r="E16" s="12">
        <v>31</v>
      </c>
      <c r="F16" s="12">
        <v>53</v>
      </c>
      <c r="G16" s="12">
        <v>26</v>
      </c>
      <c r="H16" s="12">
        <v>38</v>
      </c>
      <c r="I16" s="12">
        <v>56</v>
      </c>
      <c r="J16" s="12">
        <v>18</v>
      </c>
      <c r="K16" s="12">
        <v>53</v>
      </c>
      <c r="L16" s="12">
        <v>77</v>
      </c>
      <c r="M16" s="12">
        <v>54</v>
      </c>
      <c r="N16" s="12">
        <v>40</v>
      </c>
      <c r="O16" s="12">
        <v>11</v>
      </c>
      <c r="P16" s="12">
        <v>56</v>
      </c>
      <c r="Q16" s="12">
        <v>59</v>
      </c>
      <c r="R16" s="12">
        <v>33</v>
      </c>
      <c r="S16" s="12">
        <v>28</v>
      </c>
      <c r="T16" s="12">
        <v>40</v>
      </c>
      <c r="U16" s="12">
        <v>12</v>
      </c>
      <c r="V16" s="12">
        <v>48</v>
      </c>
      <c r="W16" s="12">
        <v>64</v>
      </c>
      <c r="X16" s="12">
        <v>44</v>
      </c>
      <c r="Y16" s="12">
        <v>41</v>
      </c>
      <c r="Z16" s="12">
        <v>42</v>
      </c>
      <c r="AA16" s="12">
        <v>33</v>
      </c>
      <c r="AB16" s="12">
        <v>34</v>
      </c>
      <c r="AC16" s="12">
        <v>21</v>
      </c>
      <c r="AD16" s="12">
        <v>98</v>
      </c>
      <c r="AE16" s="12">
        <v>42</v>
      </c>
      <c r="AF16" s="12">
        <v>34</v>
      </c>
      <c r="AG16" s="12">
        <v>75</v>
      </c>
      <c r="AH16" s="12">
        <v>65</v>
      </c>
      <c r="AI16" s="12">
        <v>4</v>
      </c>
      <c r="AJ16" s="12">
        <v>83</v>
      </c>
      <c r="AK16" s="12">
        <v>13</v>
      </c>
      <c r="AL16" s="12">
        <v>16</v>
      </c>
      <c r="AM16" s="12">
        <v>62</v>
      </c>
      <c r="AN16" s="12">
        <v>67</v>
      </c>
      <c r="AO16" s="12">
        <v>38</v>
      </c>
      <c r="AP16" s="12">
        <v>14</v>
      </c>
      <c r="AQ16" s="12">
        <v>12</v>
      </c>
    </row>
    <row r="17" spans="1:43" x14ac:dyDescent="0.35">
      <c r="A17" s="19"/>
      <c r="B17" s="13" t="s">
        <v>1256</v>
      </c>
      <c r="C17" s="15">
        <v>0.04</v>
      </c>
      <c r="D17" s="15">
        <v>0.04</v>
      </c>
      <c r="E17" s="15">
        <v>0.03</v>
      </c>
      <c r="F17" s="15">
        <v>0.05</v>
      </c>
      <c r="G17" s="15">
        <v>0.03</v>
      </c>
      <c r="H17" s="15">
        <v>0.03</v>
      </c>
      <c r="I17" s="15">
        <v>0.04</v>
      </c>
      <c r="J17" s="15">
        <v>0.06</v>
      </c>
      <c r="K17" s="15">
        <v>0.05</v>
      </c>
      <c r="L17" s="15">
        <v>0.08</v>
      </c>
      <c r="M17" s="15">
        <v>0.05</v>
      </c>
      <c r="N17" s="15">
        <v>0.04</v>
      </c>
      <c r="O17" s="15">
        <v>0.01</v>
      </c>
      <c r="P17" s="15">
        <v>0.05</v>
      </c>
      <c r="Q17" s="15">
        <v>0.06</v>
      </c>
      <c r="R17" s="15">
        <v>7.0000000000000007E-2</v>
      </c>
      <c r="S17" s="15">
        <v>0.03</v>
      </c>
      <c r="T17" s="15">
        <v>0.04</v>
      </c>
      <c r="U17" s="15">
        <v>0.02</v>
      </c>
      <c r="V17" s="15">
        <v>0.05</v>
      </c>
      <c r="W17" s="15">
        <v>0.13</v>
      </c>
      <c r="X17" s="15">
        <v>0.04</v>
      </c>
      <c r="Y17" s="15">
        <v>0.04</v>
      </c>
      <c r="Z17" s="15">
        <v>0.04</v>
      </c>
      <c r="AA17" s="15">
        <v>0.03</v>
      </c>
      <c r="AB17" s="15">
        <v>0.03</v>
      </c>
      <c r="AC17" s="15">
        <v>0.02</v>
      </c>
      <c r="AD17" s="15">
        <v>0.1</v>
      </c>
      <c r="AE17" s="15">
        <v>0.04</v>
      </c>
      <c r="AF17" s="15">
        <v>0.03</v>
      </c>
      <c r="AG17" s="15">
        <v>7.0000000000000007E-2</v>
      </c>
      <c r="AH17" s="15">
        <v>0.06</v>
      </c>
      <c r="AI17" s="15">
        <v>0.01</v>
      </c>
      <c r="AJ17" s="15">
        <v>0.08</v>
      </c>
      <c r="AK17" s="15">
        <v>0.01</v>
      </c>
      <c r="AL17" s="15">
        <v>0.02</v>
      </c>
      <c r="AM17" s="15">
        <v>0.06</v>
      </c>
      <c r="AN17" s="15">
        <v>7.0000000000000007E-2</v>
      </c>
      <c r="AO17" s="15">
        <v>0.04</v>
      </c>
      <c r="AP17" s="15">
        <v>0.03</v>
      </c>
      <c r="AQ17" s="15">
        <v>0.01</v>
      </c>
    </row>
    <row r="18" spans="1:43" x14ac:dyDescent="0.35">
      <c r="A18" s="19"/>
      <c r="B18" s="11" t="s">
        <v>1257</v>
      </c>
      <c r="C18" s="12">
        <v>903</v>
      </c>
      <c r="D18" s="12">
        <v>24</v>
      </c>
      <c r="E18" s="12">
        <v>33</v>
      </c>
      <c r="F18" s="12">
        <v>45</v>
      </c>
      <c r="G18" s="12">
        <v>62</v>
      </c>
      <c r="H18" s="12">
        <v>42</v>
      </c>
      <c r="I18" s="12">
        <v>50</v>
      </c>
      <c r="J18" s="12">
        <v>8</v>
      </c>
      <c r="K18" s="12">
        <v>57</v>
      </c>
      <c r="L18" s="12">
        <v>23</v>
      </c>
      <c r="M18" s="12">
        <v>73</v>
      </c>
      <c r="N18" s="12">
        <v>25</v>
      </c>
      <c r="O18" s="12">
        <v>9</v>
      </c>
      <c r="P18" s="12">
        <v>28</v>
      </c>
      <c r="Q18" s="12">
        <v>37</v>
      </c>
      <c r="R18" s="12">
        <v>22</v>
      </c>
      <c r="S18" s="12">
        <v>19</v>
      </c>
      <c r="T18" s="12">
        <v>43</v>
      </c>
      <c r="U18" s="12">
        <v>5</v>
      </c>
      <c r="V18" s="12">
        <v>77</v>
      </c>
      <c r="W18" s="12">
        <v>16</v>
      </c>
      <c r="X18" s="12">
        <v>40</v>
      </c>
      <c r="Y18" s="12">
        <v>73</v>
      </c>
      <c r="Z18" s="12">
        <v>39</v>
      </c>
      <c r="AA18" s="12">
        <v>27</v>
      </c>
      <c r="AB18" s="12">
        <v>51</v>
      </c>
      <c r="AC18" s="12">
        <v>25</v>
      </c>
      <c r="AD18" s="12">
        <v>65</v>
      </c>
      <c r="AE18" s="12">
        <v>43</v>
      </c>
      <c r="AF18" s="12">
        <v>64</v>
      </c>
      <c r="AG18" s="12">
        <v>67</v>
      </c>
      <c r="AH18" s="12">
        <v>14</v>
      </c>
      <c r="AI18" s="12">
        <v>8</v>
      </c>
      <c r="AJ18" s="12">
        <v>57</v>
      </c>
      <c r="AK18" s="12">
        <v>1</v>
      </c>
      <c r="AL18" s="12">
        <v>7</v>
      </c>
      <c r="AM18" s="12">
        <v>48</v>
      </c>
      <c r="AN18" s="12">
        <v>47</v>
      </c>
      <c r="AO18" s="12">
        <v>13</v>
      </c>
      <c r="AP18" s="12">
        <v>20</v>
      </c>
      <c r="AQ18" s="12">
        <v>15</v>
      </c>
    </row>
    <row r="19" spans="1:43" x14ac:dyDescent="0.35">
      <c r="A19" s="19"/>
      <c r="B19" s="13" t="s">
        <v>1258</v>
      </c>
      <c r="C19" s="15">
        <v>0.03</v>
      </c>
      <c r="D19" s="15">
        <v>0.02</v>
      </c>
      <c r="E19" s="15">
        <v>0.03</v>
      </c>
      <c r="F19" s="15">
        <v>0.04</v>
      </c>
      <c r="G19" s="15">
        <v>0.06</v>
      </c>
      <c r="H19" s="15">
        <v>0.04</v>
      </c>
      <c r="I19" s="15">
        <v>0.03</v>
      </c>
      <c r="J19" s="15">
        <v>0.03</v>
      </c>
      <c r="K19" s="15">
        <v>0.06</v>
      </c>
      <c r="L19" s="15">
        <v>0.02</v>
      </c>
      <c r="M19" s="15">
        <v>7.0000000000000007E-2</v>
      </c>
      <c r="N19" s="15">
        <v>0.02</v>
      </c>
      <c r="O19" s="15">
        <v>0.01</v>
      </c>
      <c r="P19" s="15">
        <v>0.03</v>
      </c>
      <c r="Q19" s="15">
        <v>0.03</v>
      </c>
      <c r="R19" s="15">
        <v>0.04</v>
      </c>
      <c r="S19" s="15">
        <v>0.02</v>
      </c>
      <c r="T19" s="15">
        <v>0.04</v>
      </c>
      <c r="U19" s="15">
        <v>0.01</v>
      </c>
      <c r="V19" s="15">
        <v>0.08</v>
      </c>
      <c r="W19" s="15">
        <v>0.03</v>
      </c>
      <c r="X19" s="15">
        <v>0.04</v>
      </c>
      <c r="Y19" s="15">
        <v>7.0000000000000007E-2</v>
      </c>
      <c r="Z19" s="15">
        <v>0.04</v>
      </c>
      <c r="AA19" s="15">
        <v>0.03</v>
      </c>
      <c r="AB19" s="15">
        <v>0.05</v>
      </c>
      <c r="AC19" s="15">
        <v>0.03</v>
      </c>
      <c r="AD19" s="15">
        <v>0.06</v>
      </c>
      <c r="AE19" s="15">
        <v>0.04</v>
      </c>
      <c r="AF19" s="15">
        <v>0.06</v>
      </c>
      <c r="AG19" s="15">
        <v>7.0000000000000007E-2</v>
      </c>
      <c r="AH19" s="15">
        <v>0.01</v>
      </c>
      <c r="AI19" s="15">
        <v>0.02</v>
      </c>
      <c r="AJ19" s="15">
        <v>0.05</v>
      </c>
      <c r="AK19" s="14" t="s">
        <v>475</v>
      </c>
      <c r="AL19" s="15">
        <v>0.01</v>
      </c>
      <c r="AM19" s="15">
        <v>0.05</v>
      </c>
      <c r="AN19" s="15">
        <v>0.05</v>
      </c>
      <c r="AO19" s="15">
        <v>0.01</v>
      </c>
      <c r="AP19" s="15">
        <v>0.04</v>
      </c>
      <c r="AQ19" s="15">
        <v>0.01</v>
      </c>
    </row>
    <row r="20" spans="1:43" x14ac:dyDescent="0.35">
      <c r="A20" s="19"/>
      <c r="B20" s="11" t="s">
        <v>1259</v>
      </c>
      <c r="C20" s="12">
        <v>3288</v>
      </c>
      <c r="D20" s="12">
        <v>138</v>
      </c>
      <c r="E20" s="12">
        <v>187</v>
      </c>
      <c r="F20" s="12">
        <v>219</v>
      </c>
      <c r="G20" s="12">
        <v>164</v>
      </c>
      <c r="H20" s="12">
        <v>223</v>
      </c>
      <c r="I20" s="12">
        <v>284</v>
      </c>
      <c r="J20" s="12">
        <v>61</v>
      </c>
      <c r="K20" s="12">
        <v>191</v>
      </c>
      <c r="L20" s="12">
        <v>155</v>
      </c>
      <c r="M20" s="12">
        <v>147</v>
      </c>
      <c r="N20" s="12">
        <v>106</v>
      </c>
      <c r="O20" s="12">
        <v>74</v>
      </c>
      <c r="P20" s="12">
        <v>166</v>
      </c>
      <c r="Q20" s="12">
        <v>103</v>
      </c>
      <c r="R20" s="12">
        <v>65</v>
      </c>
      <c r="S20" s="12">
        <v>84</v>
      </c>
      <c r="T20" s="12">
        <v>153</v>
      </c>
      <c r="U20" s="12">
        <v>40</v>
      </c>
      <c r="V20" s="12">
        <v>98</v>
      </c>
      <c r="W20" s="12">
        <v>45</v>
      </c>
      <c r="X20" s="12">
        <v>126</v>
      </c>
      <c r="Y20" s="12">
        <v>165</v>
      </c>
      <c r="Z20" s="12">
        <v>62</v>
      </c>
      <c r="AA20" s="12">
        <v>73</v>
      </c>
      <c r="AB20" s="12">
        <v>142</v>
      </c>
      <c r="AC20" s="12">
        <v>138</v>
      </c>
      <c r="AD20" s="12">
        <v>142</v>
      </c>
      <c r="AE20" s="12">
        <v>148</v>
      </c>
      <c r="AF20" s="12">
        <v>202</v>
      </c>
      <c r="AG20" s="12">
        <v>96</v>
      </c>
      <c r="AH20" s="12">
        <v>62</v>
      </c>
      <c r="AI20" s="12">
        <v>44</v>
      </c>
      <c r="AJ20" s="12">
        <v>101</v>
      </c>
      <c r="AK20" s="12">
        <v>33</v>
      </c>
      <c r="AL20" s="12">
        <v>26</v>
      </c>
      <c r="AM20" s="12">
        <v>169</v>
      </c>
      <c r="AN20" s="12">
        <v>104</v>
      </c>
      <c r="AO20" s="12">
        <v>63</v>
      </c>
      <c r="AP20" s="12">
        <v>39</v>
      </c>
      <c r="AQ20" s="12">
        <v>32</v>
      </c>
    </row>
    <row r="21" spans="1:43" x14ac:dyDescent="0.35">
      <c r="A21" s="19"/>
      <c r="B21" s="13" t="s">
        <v>1260</v>
      </c>
      <c r="C21" s="15">
        <v>0.12</v>
      </c>
      <c r="D21" s="15">
        <v>0.14000000000000001</v>
      </c>
      <c r="E21" s="15">
        <v>0.18</v>
      </c>
      <c r="F21" s="15">
        <v>0.2</v>
      </c>
      <c r="G21" s="15">
        <v>0.16</v>
      </c>
      <c r="H21" s="15">
        <v>0.18</v>
      </c>
      <c r="I21" s="15">
        <v>0.19</v>
      </c>
      <c r="J21" s="15">
        <v>0.21</v>
      </c>
      <c r="K21" s="15">
        <v>0.19</v>
      </c>
      <c r="L21" s="15">
        <v>0.15</v>
      </c>
      <c r="M21" s="15">
        <v>0.15</v>
      </c>
      <c r="N21" s="15">
        <v>0.11</v>
      </c>
      <c r="O21" s="15">
        <v>7.0000000000000007E-2</v>
      </c>
      <c r="P21" s="15">
        <v>0.17</v>
      </c>
      <c r="Q21" s="15">
        <v>0.1</v>
      </c>
      <c r="R21" s="15">
        <v>0.13</v>
      </c>
      <c r="S21" s="15">
        <v>0.08</v>
      </c>
      <c r="T21" s="15">
        <v>0.15</v>
      </c>
      <c r="U21" s="15">
        <v>0.08</v>
      </c>
      <c r="V21" s="15">
        <v>0.1</v>
      </c>
      <c r="W21" s="15">
        <v>0.09</v>
      </c>
      <c r="X21" s="15">
        <v>0.12</v>
      </c>
      <c r="Y21" s="15">
        <v>0.16</v>
      </c>
      <c r="Z21" s="15">
        <v>0.06</v>
      </c>
      <c r="AA21" s="15">
        <v>7.0000000000000007E-2</v>
      </c>
      <c r="AB21" s="15">
        <v>0.14000000000000001</v>
      </c>
      <c r="AC21" s="15">
        <v>0.14000000000000001</v>
      </c>
      <c r="AD21" s="15">
        <v>0.14000000000000001</v>
      </c>
      <c r="AE21" s="15">
        <v>0.15</v>
      </c>
      <c r="AF21" s="15">
        <v>0.2</v>
      </c>
      <c r="AG21" s="15">
        <v>0.09</v>
      </c>
      <c r="AH21" s="15">
        <v>0.06</v>
      </c>
      <c r="AI21" s="15">
        <v>0.08</v>
      </c>
      <c r="AJ21" s="15">
        <v>0.1</v>
      </c>
      <c r="AK21" s="15">
        <v>0.03</v>
      </c>
      <c r="AL21" s="15">
        <v>0.02</v>
      </c>
      <c r="AM21" s="15">
        <v>0.16</v>
      </c>
      <c r="AN21" s="15">
        <v>0.1</v>
      </c>
      <c r="AO21" s="15">
        <v>0.06</v>
      </c>
      <c r="AP21" s="15">
        <v>7.0000000000000007E-2</v>
      </c>
      <c r="AQ21" s="15">
        <v>0.03</v>
      </c>
    </row>
    <row r="22" spans="1:43" x14ac:dyDescent="0.35">
      <c r="A22" s="19"/>
      <c r="B22" s="11" t="s">
        <v>500</v>
      </c>
      <c r="C22" s="12">
        <v>13715</v>
      </c>
      <c r="D22" s="12">
        <v>451</v>
      </c>
      <c r="E22" s="12">
        <v>513</v>
      </c>
      <c r="F22" s="12">
        <v>465</v>
      </c>
      <c r="G22" s="12">
        <v>528</v>
      </c>
      <c r="H22" s="12">
        <v>583</v>
      </c>
      <c r="I22" s="12">
        <v>737</v>
      </c>
      <c r="J22" s="12">
        <v>154</v>
      </c>
      <c r="K22" s="12">
        <v>395</v>
      </c>
      <c r="L22" s="12">
        <v>329</v>
      </c>
      <c r="M22" s="12">
        <v>457</v>
      </c>
      <c r="N22" s="12">
        <v>497</v>
      </c>
      <c r="O22" s="12">
        <v>699</v>
      </c>
      <c r="P22" s="12">
        <v>378</v>
      </c>
      <c r="Q22" s="12">
        <v>532</v>
      </c>
      <c r="R22" s="12">
        <v>182</v>
      </c>
      <c r="S22" s="12">
        <v>501</v>
      </c>
      <c r="T22" s="12">
        <v>499</v>
      </c>
      <c r="U22" s="12">
        <v>256</v>
      </c>
      <c r="V22" s="12">
        <v>447</v>
      </c>
      <c r="W22" s="12">
        <v>154</v>
      </c>
      <c r="X22" s="12">
        <v>360</v>
      </c>
      <c r="Y22" s="12">
        <v>406</v>
      </c>
      <c r="Z22" s="12">
        <v>677</v>
      </c>
      <c r="AA22" s="12">
        <v>477</v>
      </c>
      <c r="AB22" s="12">
        <v>419</v>
      </c>
      <c r="AC22" s="12">
        <v>504</v>
      </c>
      <c r="AD22" s="12">
        <v>343</v>
      </c>
      <c r="AE22" s="12">
        <v>585</v>
      </c>
      <c r="AF22" s="12">
        <v>532</v>
      </c>
      <c r="AG22" s="12">
        <v>211</v>
      </c>
      <c r="AH22" s="12">
        <v>389</v>
      </c>
      <c r="AI22" s="12">
        <v>69</v>
      </c>
      <c r="AJ22" s="12">
        <v>328</v>
      </c>
      <c r="AK22" s="12">
        <v>670</v>
      </c>
      <c r="AL22" s="12">
        <v>497</v>
      </c>
      <c r="AM22" s="12">
        <v>492</v>
      </c>
      <c r="AN22" s="12">
        <v>275</v>
      </c>
      <c r="AO22" s="12">
        <v>142</v>
      </c>
      <c r="AP22" s="12">
        <v>47</v>
      </c>
      <c r="AQ22" s="12">
        <v>468</v>
      </c>
    </row>
    <row r="23" spans="1:43" x14ac:dyDescent="0.35">
      <c r="A23" s="19"/>
      <c r="B23" s="13" t="s">
        <v>501</v>
      </c>
      <c r="C23" s="15">
        <v>0.52</v>
      </c>
      <c r="D23" s="15">
        <v>0.44</v>
      </c>
      <c r="E23" s="15">
        <v>0.5</v>
      </c>
      <c r="F23" s="15">
        <v>0.42</v>
      </c>
      <c r="G23" s="15">
        <v>0.52</v>
      </c>
      <c r="H23" s="15">
        <v>0.48</v>
      </c>
      <c r="I23" s="15">
        <v>0.49</v>
      </c>
      <c r="J23" s="15">
        <v>0.52</v>
      </c>
      <c r="K23" s="15">
        <v>0.39</v>
      </c>
      <c r="L23" s="15">
        <v>0.33</v>
      </c>
      <c r="M23" s="15">
        <v>0.45</v>
      </c>
      <c r="N23" s="15">
        <v>0.5</v>
      </c>
      <c r="O23" s="15">
        <v>0.70000000000000007</v>
      </c>
      <c r="P23" s="15">
        <v>0.38</v>
      </c>
      <c r="Q23" s="15">
        <v>0.52</v>
      </c>
      <c r="R23" s="15">
        <v>0.36</v>
      </c>
      <c r="S23" s="15">
        <v>0.5</v>
      </c>
      <c r="T23" s="15">
        <v>0.5</v>
      </c>
      <c r="U23" s="15">
        <v>0.51</v>
      </c>
      <c r="V23" s="15">
        <v>0.44</v>
      </c>
      <c r="W23" s="15">
        <v>0.3</v>
      </c>
      <c r="X23" s="15">
        <v>0.36</v>
      </c>
      <c r="Y23" s="15">
        <v>0.41</v>
      </c>
      <c r="Z23" s="15">
        <v>0.66</v>
      </c>
      <c r="AA23" s="15">
        <v>0.46</v>
      </c>
      <c r="AB23" s="15">
        <v>0.4</v>
      </c>
      <c r="AC23" s="15">
        <v>0.5</v>
      </c>
      <c r="AD23" s="15">
        <v>0.34</v>
      </c>
      <c r="AE23" s="15">
        <v>0.57999999999999996</v>
      </c>
      <c r="AF23" s="15">
        <v>0.51</v>
      </c>
      <c r="AG23" s="15">
        <v>0.2</v>
      </c>
      <c r="AH23" s="15">
        <v>0.39</v>
      </c>
      <c r="AI23" s="15">
        <v>0.13</v>
      </c>
      <c r="AJ23" s="15">
        <v>0.32</v>
      </c>
      <c r="AK23" s="15">
        <v>0.67</v>
      </c>
      <c r="AL23" s="15">
        <v>0.49</v>
      </c>
      <c r="AM23" s="15">
        <v>0.47</v>
      </c>
      <c r="AN23" s="15">
        <v>0.28000000000000003</v>
      </c>
      <c r="AO23" s="15">
        <v>0.14000000000000001</v>
      </c>
      <c r="AP23" s="15">
        <v>0.09</v>
      </c>
      <c r="AQ23" s="15">
        <v>0.47</v>
      </c>
    </row>
    <row r="24" spans="1:43" ht="21.5" x14ac:dyDescent="0.35">
      <c r="A24" s="19"/>
      <c r="B24" s="11" t="s">
        <v>1661</v>
      </c>
      <c r="C24" s="12">
        <v>197</v>
      </c>
      <c r="D24" s="12">
        <v>1</v>
      </c>
      <c r="E24" s="12">
        <v>17</v>
      </c>
      <c r="F24" s="12">
        <v>12</v>
      </c>
      <c r="G24" s="12">
        <v>3</v>
      </c>
      <c r="H24" s="12">
        <v>14</v>
      </c>
      <c r="I24" s="12">
        <v>16</v>
      </c>
      <c r="J24" s="12">
        <v>2</v>
      </c>
      <c r="K24" s="12">
        <v>7</v>
      </c>
      <c r="L24" s="12">
        <v>0</v>
      </c>
      <c r="M24" s="12">
        <v>37</v>
      </c>
      <c r="N24" s="12">
        <v>3</v>
      </c>
      <c r="O24" s="12">
        <v>2</v>
      </c>
      <c r="P24" s="12">
        <v>4</v>
      </c>
      <c r="Q24" s="12">
        <v>11</v>
      </c>
      <c r="R24" s="12">
        <v>2</v>
      </c>
      <c r="S24" s="12">
        <v>13</v>
      </c>
      <c r="T24" s="12">
        <v>2</v>
      </c>
      <c r="U24" s="12">
        <v>1</v>
      </c>
      <c r="V24" s="12">
        <v>0</v>
      </c>
      <c r="W24" s="12">
        <v>21</v>
      </c>
      <c r="X24" s="12">
        <v>1</v>
      </c>
      <c r="Y24" s="12">
        <v>25</v>
      </c>
      <c r="Z24" s="12">
        <v>2</v>
      </c>
      <c r="AA24" s="12">
        <v>18</v>
      </c>
      <c r="AB24" s="12">
        <v>13</v>
      </c>
      <c r="AC24" s="12">
        <v>3</v>
      </c>
      <c r="AD24" s="12">
        <v>3</v>
      </c>
      <c r="AE24" s="12">
        <v>1</v>
      </c>
      <c r="AF24" s="12">
        <v>2</v>
      </c>
      <c r="AG24" s="12">
        <v>23</v>
      </c>
      <c r="AH24" s="12">
        <v>1</v>
      </c>
      <c r="AI24" s="12">
        <v>1</v>
      </c>
      <c r="AJ24" s="12">
        <v>0</v>
      </c>
      <c r="AK24" s="12">
        <v>2</v>
      </c>
      <c r="AL24" s="12">
        <v>3</v>
      </c>
      <c r="AM24" s="12">
        <v>6</v>
      </c>
      <c r="AN24" s="12">
        <v>3</v>
      </c>
      <c r="AO24" s="12">
        <v>0</v>
      </c>
      <c r="AP24" s="12">
        <v>0</v>
      </c>
      <c r="AQ24" s="12">
        <v>10</v>
      </c>
    </row>
    <row r="25" spans="1:43" ht="21.5" x14ac:dyDescent="0.35">
      <c r="A25" s="19"/>
      <c r="B25" s="13" t="s">
        <v>1662</v>
      </c>
      <c r="C25" s="15">
        <v>0.01</v>
      </c>
      <c r="D25" s="14" t="s">
        <v>475</v>
      </c>
      <c r="E25" s="15">
        <v>0.02</v>
      </c>
      <c r="F25" s="15">
        <v>0.01</v>
      </c>
      <c r="G25" s="14" t="s">
        <v>475</v>
      </c>
      <c r="H25" s="15">
        <v>0.01</v>
      </c>
      <c r="I25" s="15">
        <v>0.01</v>
      </c>
      <c r="J25" s="14" t="s">
        <v>475</v>
      </c>
      <c r="K25" s="15">
        <v>0.01</v>
      </c>
      <c r="L25" s="14" t="s">
        <v>475</v>
      </c>
      <c r="M25" s="15">
        <v>0.04</v>
      </c>
      <c r="N25" s="14" t="s">
        <v>475</v>
      </c>
      <c r="O25" s="14" t="s">
        <v>475</v>
      </c>
      <c r="P25" s="14" t="s">
        <v>475</v>
      </c>
      <c r="Q25" s="15">
        <v>0.01</v>
      </c>
      <c r="R25" s="14" t="s">
        <v>475</v>
      </c>
      <c r="S25" s="15">
        <v>0.01</v>
      </c>
      <c r="T25" s="14" t="s">
        <v>475</v>
      </c>
      <c r="U25" s="14" t="s">
        <v>475</v>
      </c>
      <c r="V25" s="14" t="s">
        <v>475</v>
      </c>
      <c r="W25" s="15">
        <v>0.04</v>
      </c>
      <c r="X25" s="14" t="s">
        <v>475</v>
      </c>
      <c r="Y25" s="15">
        <v>0.03</v>
      </c>
      <c r="Z25" s="14" t="s">
        <v>475</v>
      </c>
      <c r="AA25" s="15">
        <v>0.02</v>
      </c>
      <c r="AB25" s="15">
        <v>0.01</v>
      </c>
      <c r="AC25" s="14" t="s">
        <v>475</v>
      </c>
      <c r="AD25" s="14" t="s">
        <v>475</v>
      </c>
      <c r="AE25" s="14" t="s">
        <v>475</v>
      </c>
      <c r="AF25" s="14" t="s">
        <v>475</v>
      </c>
      <c r="AG25" s="15">
        <v>0.02</v>
      </c>
      <c r="AH25" s="14" t="s">
        <v>475</v>
      </c>
      <c r="AI25" s="14" t="s">
        <v>475</v>
      </c>
      <c r="AJ25" s="14" t="s">
        <v>475</v>
      </c>
      <c r="AK25" s="14" t="s">
        <v>475</v>
      </c>
      <c r="AL25" s="14" t="s">
        <v>475</v>
      </c>
      <c r="AM25" s="15">
        <v>0.01</v>
      </c>
      <c r="AN25" s="14" t="s">
        <v>475</v>
      </c>
      <c r="AO25" s="14" t="s">
        <v>475</v>
      </c>
      <c r="AP25" s="14" t="s">
        <v>475</v>
      </c>
      <c r="AQ25" s="15">
        <v>0.01</v>
      </c>
    </row>
    <row r="26" spans="1:43" x14ac:dyDescent="0.35">
      <c r="A26" s="19"/>
      <c r="B26" s="11" t="s">
        <v>1663</v>
      </c>
      <c r="C26" s="12">
        <v>12532</v>
      </c>
      <c r="D26" s="12">
        <v>561</v>
      </c>
      <c r="E26" s="12">
        <v>500</v>
      </c>
      <c r="F26" s="12">
        <v>625</v>
      </c>
      <c r="G26" s="12">
        <v>475</v>
      </c>
      <c r="H26" s="12">
        <v>624</v>
      </c>
      <c r="I26" s="12">
        <v>764</v>
      </c>
      <c r="J26" s="12">
        <v>140</v>
      </c>
      <c r="K26" s="12">
        <v>601</v>
      </c>
      <c r="L26" s="12">
        <v>673</v>
      </c>
      <c r="M26" s="12">
        <v>516</v>
      </c>
      <c r="N26" s="12">
        <v>502</v>
      </c>
      <c r="O26" s="12">
        <v>299</v>
      </c>
      <c r="P26" s="12">
        <v>621</v>
      </c>
      <c r="Q26" s="12">
        <v>486</v>
      </c>
      <c r="R26" s="12">
        <v>320</v>
      </c>
      <c r="S26" s="12">
        <v>487</v>
      </c>
      <c r="T26" s="12">
        <v>506</v>
      </c>
      <c r="U26" s="12">
        <v>248</v>
      </c>
      <c r="V26" s="12">
        <v>566</v>
      </c>
      <c r="W26" s="12">
        <v>333</v>
      </c>
      <c r="X26" s="12">
        <v>649</v>
      </c>
      <c r="Y26" s="12">
        <v>571</v>
      </c>
      <c r="Z26" s="12">
        <v>353</v>
      </c>
      <c r="AA26" s="12">
        <v>538</v>
      </c>
      <c r="AB26" s="12">
        <v>619</v>
      </c>
      <c r="AC26" s="12">
        <v>495</v>
      </c>
      <c r="AD26" s="12">
        <v>659</v>
      </c>
      <c r="AE26" s="12">
        <v>426</v>
      </c>
      <c r="AF26" s="12">
        <v>509</v>
      </c>
      <c r="AG26" s="12">
        <v>802</v>
      </c>
      <c r="AH26" s="12">
        <v>623</v>
      </c>
      <c r="AI26" s="12">
        <v>453</v>
      </c>
      <c r="AJ26" s="12">
        <v>709</v>
      </c>
      <c r="AK26" s="12">
        <v>335</v>
      </c>
      <c r="AL26" s="12">
        <v>511</v>
      </c>
      <c r="AM26" s="12">
        <v>542</v>
      </c>
      <c r="AN26" s="12">
        <v>724</v>
      </c>
      <c r="AO26" s="12">
        <v>863</v>
      </c>
      <c r="AP26" s="12">
        <v>477</v>
      </c>
      <c r="AQ26" s="12">
        <v>524</v>
      </c>
    </row>
    <row r="27" spans="1:43" x14ac:dyDescent="0.35">
      <c r="A27" s="19"/>
      <c r="B27" s="13" t="s">
        <v>1664</v>
      </c>
      <c r="C27" s="15">
        <v>0.47</v>
      </c>
      <c r="D27" s="15">
        <v>0.56000000000000005</v>
      </c>
      <c r="E27" s="15">
        <v>0.48</v>
      </c>
      <c r="F27" s="15">
        <v>0.57000000000000006</v>
      </c>
      <c r="G27" s="15">
        <v>0.48</v>
      </c>
      <c r="H27" s="15">
        <v>0.51</v>
      </c>
      <c r="I27" s="15">
        <v>0.5</v>
      </c>
      <c r="J27" s="15">
        <v>0.48</v>
      </c>
      <c r="K27" s="15">
        <v>0.6</v>
      </c>
      <c r="L27" s="15">
        <v>0.67</v>
      </c>
      <c r="M27" s="15">
        <v>0.51</v>
      </c>
      <c r="N27" s="15">
        <v>0.5</v>
      </c>
      <c r="O27" s="15">
        <v>0.3</v>
      </c>
      <c r="P27" s="15">
        <v>0.62</v>
      </c>
      <c r="Q27" s="15">
        <v>0.47</v>
      </c>
      <c r="R27" s="15">
        <v>0.64</v>
      </c>
      <c r="S27" s="15">
        <v>0.49</v>
      </c>
      <c r="T27" s="15">
        <v>0.5</v>
      </c>
      <c r="U27" s="15">
        <v>0.49</v>
      </c>
      <c r="V27" s="15">
        <v>0.56000000000000005</v>
      </c>
      <c r="W27" s="15">
        <v>0.66</v>
      </c>
      <c r="X27" s="15">
        <v>0.64</v>
      </c>
      <c r="Y27" s="15">
        <v>0.56000000000000005</v>
      </c>
      <c r="Z27" s="15">
        <v>0.34</v>
      </c>
      <c r="AA27" s="15">
        <v>0.52</v>
      </c>
      <c r="AB27" s="15">
        <v>0.59</v>
      </c>
      <c r="AC27" s="15">
        <v>0.5</v>
      </c>
      <c r="AD27" s="15">
        <v>0.66</v>
      </c>
      <c r="AE27" s="15">
        <v>0.42</v>
      </c>
      <c r="AF27" s="15">
        <v>0.49</v>
      </c>
      <c r="AG27" s="15">
        <v>0.78</v>
      </c>
      <c r="AH27" s="15">
        <v>0.61</v>
      </c>
      <c r="AI27" s="15">
        <v>0.87</v>
      </c>
      <c r="AJ27" s="15">
        <v>0.68</v>
      </c>
      <c r="AK27" s="15">
        <v>0.33</v>
      </c>
      <c r="AL27" s="15">
        <v>0.51</v>
      </c>
      <c r="AM27" s="15">
        <v>0.52</v>
      </c>
      <c r="AN27" s="15">
        <v>0.72</v>
      </c>
      <c r="AO27" s="15">
        <v>0.86</v>
      </c>
      <c r="AP27" s="15">
        <v>0.91</v>
      </c>
      <c r="AQ27" s="15">
        <v>0.52</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Q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415</v>
      </c>
      <c r="C3" s="18"/>
      <c r="D3" s="18"/>
      <c r="E3" s="18"/>
      <c r="F3" s="18"/>
      <c r="H3" s="18" t="s">
        <v>416</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HYPERLINK("#Content!A210","&lt;&lt;Back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1677</v>
      </c>
      <c r="C12" s="12">
        <v>22324</v>
      </c>
      <c r="D12" s="12">
        <v>924</v>
      </c>
      <c r="E12" s="12">
        <v>842</v>
      </c>
      <c r="F12" s="12">
        <v>882</v>
      </c>
      <c r="G12" s="12">
        <v>980</v>
      </c>
      <c r="H12" s="12">
        <v>1024</v>
      </c>
      <c r="I12" s="12">
        <v>1272</v>
      </c>
      <c r="J12" s="12">
        <v>248</v>
      </c>
      <c r="K12" s="12">
        <v>886</v>
      </c>
      <c r="L12" s="12">
        <v>891</v>
      </c>
      <c r="M12" s="12">
        <v>773</v>
      </c>
      <c r="N12" s="12">
        <v>861</v>
      </c>
      <c r="O12" s="12">
        <v>874</v>
      </c>
      <c r="P12" s="12">
        <v>809</v>
      </c>
      <c r="Q12" s="12">
        <v>828</v>
      </c>
      <c r="R12" s="12">
        <v>434</v>
      </c>
      <c r="S12" s="12">
        <v>881</v>
      </c>
      <c r="T12" s="12">
        <v>849</v>
      </c>
      <c r="U12" s="12">
        <v>471</v>
      </c>
      <c r="V12" s="12">
        <v>819</v>
      </c>
      <c r="W12" s="12">
        <v>457</v>
      </c>
      <c r="X12" s="12">
        <v>970</v>
      </c>
      <c r="Y12" s="12">
        <v>839</v>
      </c>
      <c r="Z12" s="12">
        <v>814</v>
      </c>
      <c r="AA12" s="12">
        <v>808</v>
      </c>
      <c r="AB12" s="12">
        <v>832</v>
      </c>
      <c r="AC12" s="12">
        <v>834</v>
      </c>
      <c r="AD12" s="12">
        <v>811</v>
      </c>
      <c r="AE12" s="12">
        <v>957</v>
      </c>
      <c r="AF12" s="12">
        <v>1020</v>
      </c>
      <c r="AG12" s="12">
        <v>888</v>
      </c>
      <c r="AH12" s="12">
        <v>856</v>
      </c>
      <c r="AI12" s="12">
        <v>513</v>
      </c>
      <c r="AJ12" s="12">
        <v>769</v>
      </c>
      <c r="AK12" s="12">
        <v>914</v>
      </c>
      <c r="AL12" s="12">
        <v>873</v>
      </c>
      <c r="AM12" s="12">
        <v>920</v>
      </c>
      <c r="AN12" s="12">
        <v>833</v>
      </c>
      <c r="AO12" s="12">
        <v>944</v>
      </c>
      <c r="AP12" s="12">
        <v>470</v>
      </c>
      <c r="AQ12" s="12">
        <v>881</v>
      </c>
    </row>
    <row r="13" spans="1:43" x14ac:dyDescent="0.35">
      <c r="A13" s="19"/>
      <c r="B13" s="13" t="s">
        <v>1678</v>
      </c>
      <c r="C13" s="15">
        <v>0.85</v>
      </c>
      <c r="D13" s="15">
        <v>0.91</v>
      </c>
      <c r="E13" s="15">
        <v>0.82000000000000006</v>
      </c>
      <c r="F13" s="15">
        <v>0.8</v>
      </c>
      <c r="G13" s="15">
        <v>0.98</v>
      </c>
      <c r="H13" s="15">
        <v>0.84</v>
      </c>
      <c r="I13" s="15">
        <v>0.84</v>
      </c>
      <c r="J13" s="15">
        <v>0.84</v>
      </c>
      <c r="K13" s="15">
        <v>0.88</v>
      </c>
      <c r="L13" s="15">
        <v>0.89</v>
      </c>
      <c r="M13" s="15">
        <v>0.77</v>
      </c>
      <c r="N13" s="15">
        <v>0.86</v>
      </c>
      <c r="O13" s="15">
        <v>0.87</v>
      </c>
      <c r="P13" s="15">
        <v>0.81</v>
      </c>
      <c r="Q13" s="15">
        <v>0.81</v>
      </c>
      <c r="R13" s="15">
        <v>0.86</v>
      </c>
      <c r="S13" s="15">
        <v>0.88</v>
      </c>
      <c r="T13" s="15">
        <v>0.85</v>
      </c>
      <c r="U13" s="15">
        <v>0.94000000000000006</v>
      </c>
      <c r="V13" s="15">
        <v>0.81</v>
      </c>
      <c r="W13" s="15">
        <v>0.9</v>
      </c>
      <c r="X13" s="15">
        <v>0.96</v>
      </c>
      <c r="Y13" s="15">
        <v>0.84</v>
      </c>
      <c r="Z13" s="15">
        <v>0.79</v>
      </c>
      <c r="AA13" s="15">
        <v>0.78</v>
      </c>
      <c r="AB13" s="15">
        <v>0.79</v>
      </c>
      <c r="AC13" s="15">
        <v>0.83000000000000007</v>
      </c>
      <c r="AD13" s="15">
        <v>0.81</v>
      </c>
      <c r="AE13" s="15">
        <v>0.95000000000000007</v>
      </c>
      <c r="AF13" s="15">
        <v>0.98</v>
      </c>
      <c r="AG13" s="15">
        <v>0.86</v>
      </c>
      <c r="AH13" s="15">
        <v>0.85</v>
      </c>
      <c r="AI13" s="15">
        <v>0.98</v>
      </c>
      <c r="AJ13" s="15">
        <v>0.74</v>
      </c>
      <c r="AK13" s="15">
        <v>0.91</v>
      </c>
      <c r="AL13" s="15">
        <v>0.86</v>
      </c>
      <c r="AM13" s="15">
        <v>0.89</v>
      </c>
      <c r="AN13" s="15">
        <v>0.83000000000000007</v>
      </c>
      <c r="AO13" s="15">
        <v>0.94000000000000006</v>
      </c>
      <c r="AP13" s="15">
        <v>0.9</v>
      </c>
      <c r="AQ13" s="15">
        <v>0.88</v>
      </c>
    </row>
    <row r="14" spans="1:43" x14ac:dyDescent="0.35">
      <c r="A14" s="19"/>
      <c r="B14" s="11" t="s">
        <v>1679</v>
      </c>
      <c r="C14" s="12">
        <v>1954</v>
      </c>
      <c r="D14" s="12">
        <v>58</v>
      </c>
      <c r="E14" s="12">
        <v>60</v>
      </c>
      <c r="F14" s="12">
        <v>106</v>
      </c>
      <c r="G14" s="12">
        <v>13</v>
      </c>
      <c r="H14" s="12">
        <v>112</v>
      </c>
      <c r="I14" s="12">
        <v>142</v>
      </c>
      <c r="J14" s="12">
        <v>30</v>
      </c>
      <c r="K14" s="12">
        <v>50</v>
      </c>
      <c r="L14" s="12">
        <v>58</v>
      </c>
      <c r="M14" s="12">
        <v>66</v>
      </c>
      <c r="N14" s="12">
        <v>49</v>
      </c>
      <c r="O14" s="12">
        <v>69</v>
      </c>
      <c r="P14" s="12">
        <v>105</v>
      </c>
      <c r="Q14" s="12">
        <v>112</v>
      </c>
      <c r="R14" s="12">
        <v>22</v>
      </c>
      <c r="S14" s="12">
        <v>34</v>
      </c>
      <c r="T14" s="12">
        <v>32</v>
      </c>
      <c r="U14" s="12">
        <v>21</v>
      </c>
      <c r="V14" s="12">
        <v>81</v>
      </c>
      <c r="W14" s="12">
        <v>8</v>
      </c>
      <c r="X14" s="12">
        <v>37</v>
      </c>
      <c r="Y14" s="12">
        <v>91</v>
      </c>
      <c r="Z14" s="12">
        <v>80</v>
      </c>
      <c r="AA14" s="12">
        <v>56</v>
      </c>
      <c r="AB14" s="12">
        <v>68</v>
      </c>
      <c r="AC14" s="12">
        <v>74</v>
      </c>
      <c r="AD14" s="12">
        <v>93</v>
      </c>
      <c r="AE14" s="12">
        <v>32</v>
      </c>
      <c r="AF14" s="12">
        <v>13</v>
      </c>
      <c r="AG14" s="12">
        <v>102</v>
      </c>
      <c r="AH14" s="12">
        <v>82</v>
      </c>
      <c r="AI14" s="12">
        <v>9</v>
      </c>
      <c r="AJ14" s="12">
        <v>69</v>
      </c>
      <c r="AK14" s="12">
        <v>53</v>
      </c>
      <c r="AL14" s="12">
        <v>44</v>
      </c>
      <c r="AM14" s="12">
        <v>74</v>
      </c>
      <c r="AN14" s="12">
        <v>113</v>
      </c>
      <c r="AO14" s="12">
        <v>47</v>
      </c>
      <c r="AP14" s="12">
        <v>44</v>
      </c>
      <c r="AQ14" s="12">
        <v>42</v>
      </c>
    </row>
    <row r="15" spans="1:43" x14ac:dyDescent="0.35">
      <c r="A15" s="19"/>
      <c r="B15" s="13" t="s">
        <v>1680</v>
      </c>
      <c r="C15" s="15">
        <v>7.0000000000000007E-2</v>
      </c>
      <c r="D15" s="15">
        <v>0.06</v>
      </c>
      <c r="E15" s="15">
        <v>0.06</v>
      </c>
      <c r="F15" s="15">
        <v>0.1</v>
      </c>
      <c r="G15" s="15">
        <v>0.01</v>
      </c>
      <c r="H15" s="15">
        <v>0.09</v>
      </c>
      <c r="I15" s="15">
        <v>0.09</v>
      </c>
      <c r="J15" s="15">
        <v>0.1</v>
      </c>
      <c r="K15" s="15">
        <v>0.05</v>
      </c>
      <c r="L15" s="15">
        <v>0.06</v>
      </c>
      <c r="M15" s="15">
        <v>0.06</v>
      </c>
      <c r="N15" s="15">
        <v>0.05</v>
      </c>
      <c r="O15" s="15">
        <v>7.0000000000000007E-2</v>
      </c>
      <c r="P15" s="15">
        <v>0.1</v>
      </c>
      <c r="Q15" s="15">
        <v>0.11</v>
      </c>
      <c r="R15" s="15">
        <v>0.05</v>
      </c>
      <c r="S15" s="15">
        <v>0.03</v>
      </c>
      <c r="T15" s="15">
        <v>0.03</v>
      </c>
      <c r="U15" s="15">
        <v>0.04</v>
      </c>
      <c r="V15" s="15">
        <v>0.08</v>
      </c>
      <c r="W15" s="15">
        <v>0.02</v>
      </c>
      <c r="X15" s="15">
        <v>0.04</v>
      </c>
      <c r="Y15" s="15">
        <v>0.09</v>
      </c>
      <c r="Z15" s="15">
        <v>0.08</v>
      </c>
      <c r="AA15" s="15">
        <v>0.05</v>
      </c>
      <c r="AB15" s="15">
        <v>7.0000000000000007E-2</v>
      </c>
      <c r="AC15" s="15">
        <v>0.08</v>
      </c>
      <c r="AD15" s="15">
        <v>0.09</v>
      </c>
      <c r="AE15" s="15">
        <v>0.03</v>
      </c>
      <c r="AF15" s="15">
        <v>0.01</v>
      </c>
      <c r="AG15" s="15">
        <v>0.1</v>
      </c>
      <c r="AH15" s="15">
        <v>0.08</v>
      </c>
      <c r="AI15" s="15">
        <v>0.02</v>
      </c>
      <c r="AJ15" s="15">
        <v>7.0000000000000007E-2</v>
      </c>
      <c r="AK15" s="15">
        <v>0.05</v>
      </c>
      <c r="AL15" s="15">
        <v>0.05</v>
      </c>
      <c r="AM15" s="15">
        <v>7.0000000000000007E-2</v>
      </c>
      <c r="AN15" s="15">
        <v>0.11</v>
      </c>
      <c r="AO15" s="15">
        <v>0.05</v>
      </c>
      <c r="AP15" s="15">
        <v>0.08</v>
      </c>
      <c r="AQ15" s="15">
        <v>0.04</v>
      </c>
    </row>
    <row r="16" spans="1:43" x14ac:dyDescent="0.35">
      <c r="A16" s="19"/>
      <c r="B16" s="11" t="s">
        <v>500</v>
      </c>
      <c r="C16" s="12">
        <v>2073</v>
      </c>
      <c r="D16" s="12">
        <v>30</v>
      </c>
      <c r="E16" s="12">
        <v>121</v>
      </c>
      <c r="F16" s="12">
        <v>104</v>
      </c>
      <c r="G16" s="12">
        <v>12</v>
      </c>
      <c r="H16" s="12">
        <v>79</v>
      </c>
      <c r="I16" s="12">
        <v>95</v>
      </c>
      <c r="J16" s="12">
        <v>16</v>
      </c>
      <c r="K16" s="12">
        <v>60</v>
      </c>
      <c r="L16" s="12">
        <v>53</v>
      </c>
      <c r="M16" s="12">
        <v>151</v>
      </c>
      <c r="N16" s="12">
        <v>92</v>
      </c>
      <c r="O16" s="12">
        <v>57</v>
      </c>
      <c r="P16" s="12">
        <v>88</v>
      </c>
      <c r="Q16" s="12">
        <v>85</v>
      </c>
      <c r="R16" s="12">
        <v>46</v>
      </c>
      <c r="S16" s="12">
        <v>77</v>
      </c>
      <c r="T16" s="12">
        <v>124</v>
      </c>
      <c r="U16" s="12">
        <v>11</v>
      </c>
      <c r="V16" s="12">
        <v>115</v>
      </c>
      <c r="W16" s="12">
        <v>38</v>
      </c>
      <c r="X16" s="12">
        <v>2</v>
      </c>
      <c r="Y16" s="12">
        <v>58</v>
      </c>
      <c r="Z16" s="12">
        <v>137</v>
      </c>
      <c r="AA16" s="12">
        <v>153</v>
      </c>
      <c r="AB16" s="12">
        <v>138</v>
      </c>
      <c r="AC16" s="12">
        <v>92</v>
      </c>
      <c r="AD16" s="12">
        <v>98</v>
      </c>
      <c r="AE16" s="12">
        <v>22</v>
      </c>
      <c r="AF16" s="12">
        <v>10</v>
      </c>
      <c r="AG16" s="12">
        <v>44</v>
      </c>
      <c r="AH16" s="12">
        <v>74</v>
      </c>
      <c r="AI16" s="12">
        <v>0</v>
      </c>
      <c r="AJ16" s="12">
        <v>199</v>
      </c>
      <c r="AK16" s="12">
        <v>39</v>
      </c>
      <c r="AL16" s="12">
        <v>94</v>
      </c>
      <c r="AM16" s="12">
        <v>46</v>
      </c>
      <c r="AN16" s="12">
        <v>58</v>
      </c>
      <c r="AO16" s="12">
        <v>14</v>
      </c>
      <c r="AP16" s="12">
        <v>10</v>
      </c>
      <c r="AQ16" s="12">
        <v>73</v>
      </c>
    </row>
    <row r="17" spans="1:43" x14ac:dyDescent="0.35">
      <c r="A17" s="19"/>
      <c r="B17" s="13" t="s">
        <v>501</v>
      </c>
      <c r="C17" s="15">
        <v>0.08</v>
      </c>
      <c r="D17" s="15">
        <v>0.03</v>
      </c>
      <c r="E17" s="15">
        <v>0.12</v>
      </c>
      <c r="F17" s="15">
        <v>0.09</v>
      </c>
      <c r="G17" s="15">
        <v>0.01</v>
      </c>
      <c r="H17" s="15">
        <v>0.06</v>
      </c>
      <c r="I17" s="15">
        <v>0.06</v>
      </c>
      <c r="J17" s="15">
        <v>0.06</v>
      </c>
      <c r="K17" s="15">
        <v>0.06</v>
      </c>
      <c r="L17" s="15">
        <v>0.05</v>
      </c>
      <c r="M17" s="15">
        <v>0.15</v>
      </c>
      <c r="N17" s="15">
        <v>0.09</v>
      </c>
      <c r="O17" s="15">
        <v>0.06</v>
      </c>
      <c r="P17" s="15">
        <v>0.09</v>
      </c>
      <c r="Q17" s="15">
        <v>0.08</v>
      </c>
      <c r="R17" s="15">
        <v>0.09</v>
      </c>
      <c r="S17" s="15">
        <v>0.08</v>
      </c>
      <c r="T17" s="15">
        <v>0.12</v>
      </c>
      <c r="U17" s="15">
        <v>0.02</v>
      </c>
      <c r="V17" s="15">
        <v>0.11</v>
      </c>
      <c r="W17" s="15">
        <v>7.0000000000000007E-2</v>
      </c>
      <c r="X17" s="14" t="s">
        <v>475</v>
      </c>
      <c r="Y17" s="15">
        <v>0.06</v>
      </c>
      <c r="Z17" s="15">
        <v>0.13</v>
      </c>
      <c r="AA17" s="15">
        <v>0.15</v>
      </c>
      <c r="AB17" s="15">
        <v>0.13</v>
      </c>
      <c r="AC17" s="15">
        <v>0.09</v>
      </c>
      <c r="AD17" s="15">
        <v>0.1</v>
      </c>
      <c r="AE17" s="15">
        <v>0.02</v>
      </c>
      <c r="AF17" s="15">
        <v>0.01</v>
      </c>
      <c r="AG17" s="15">
        <v>0.04</v>
      </c>
      <c r="AH17" s="15">
        <v>7.0000000000000007E-2</v>
      </c>
      <c r="AI17" s="14" t="s">
        <v>475</v>
      </c>
      <c r="AJ17" s="15">
        <v>0.19</v>
      </c>
      <c r="AK17" s="15">
        <v>0.04</v>
      </c>
      <c r="AL17" s="15">
        <v>0.09</v>
      </c>
      <c r="AM17" s="15">
        <v>0.04</v>
      </c>
      <c r="AN17" s="15">
        <v>0.06</v>
      </c>
      <c r="AO17" s="15">
        <v>0.01</v>
      </c>
      <c r="AP17" s="15">
        <v>0.02</v>
      </c>
      <c r="AQ17" s="15">
        <v>7.0000000000000007E-2</v>
      </c>
    </row>
    <row r="18" spans="1:43" ht="21.5" x14ac:dyDescent="0.35">
      <c r="A18" s="19"/>
      <c r="B18" s="11" t="s">
        <v>1681</v>
      </c>
      <c r="C18" s="12">
        <v>93</v>
      </c>
      <c r="D18" s="12">
        <v>0</v>
      </c>
      <c r="E18" s="12">
        <v>7</v>
      </c>
      <c r="F18" s="12">
        <v>10</v>
      </c>
      <c r="G18" s="12">
        <v>1</v>
      </c>
      <c r="H18" s="12">
        <v>6</v>
      </c>
      <c r="I18" s="12">
        <v>7</v>
      </c>
      <c r="J18" s="12">
        <v>0</v>
      </c>
      <c r="K18" s="12">
        <v>6</v>
      </c>
      <c r="L18" s="12">
        <v>0</v>
      </c>
      <c r="M18" s="12">
        <v>20</v>
      </c>
      <c r="N18" s="12">
        <v>1</v>
      </c>
      <c r="O18" s="12">
        <v>1</v>
      </c>
      <c r="P18" s="12">
        <v>3</v>
      </c>
      <c r="Q18" s="12">
        <v>2</v>
      </c>
      <c r="R18" s="12">
        <v>2</v>
      </c>
      <c r="S18" s="12">
        <v>10</v>
      </c>
      <c r="T18" s="12">
        <v>1</v>
      </c>
      <c r="U18" s="12">
        <v>1</v>
      </c>
      <c r="V18" s="12">
        <v>0</v>
      </c>
      <c r="W18" s="12">
        <v>6</v>
      </c>
      <c r="X18" s="12">
        <v>0</v>
      </c>
      <c r="Y18" s="12">
        <v>15</v>
      </c>
      <c r="Z18" s="12">
        <v>0</v>
      </c>
      <c r="AA18" s="12">
        <v>15</v>
      </c>
      <c r="AB18" s="12">
        <v>13</v>
      </c>
      <c r="AC18" s="12">
        <v>3</v>
      </c>
      <c r="AD18" s="12">
        <v>3</v>
      </c>
      <c r="AE18" s="12">
        <v>1</v>
      </c>
      <c r="AF18" s="12">
        <v>0</v>
      </c>
      <c r="AG18" s="12">
        <v>1</v>
      </c>
      <c r="AH18" s="12">
        <v>0</v>
      </c>
      <c r="AI18" s="12">
        <v>1</v>
      </c>
      <c r="AJ18" s="12">
        <v>0</v>
      </c>
      <c r="AK18" s="12">
        <v>0</v>
      </c>
      <c r="AL18" s="12">
        <v>1</v>
      </c>
      <c r="AM18" s="12">
        <v>1</v>
      </c>
      <c r="AN18" s="12">
        <v>0</v>
      </c>
      <c r="AO18" s="12">
        <v>0</v>
      </c>
      <c r="AP18" s="12">
        <v>0</v>
      </c>
      <c r="AQ18" s="12">
        <v>6</v>
      </c>
    </row>
    <row r="19" spans="1:43" ht="21.5" x14ac:dyDescent="0.35">
      <c r="A19" s="19"/>
      <c r="B19" s="13" t="s">
        <v>1682</v>
      </c>
      <c r="C19" s="14" t="s">
        <v>475</v>
      </c>
      <c r="D19" s="14" t="s">
        <v>475</v>
      </c>
      <c r="E19" s="14" t="s">
        <v>475</v>
      </c>
      <c r="F19" s="15">
        <v>0.01</v>
      </c>
      <c r="G19" s="14" t="s">
        <v>475</v>
      </c>
      <c r="H19" s="15">
        <v>0.01</v>
      </c>
      <c r="I19" s="15">
        <v>0.01</v>
      </c>
      <c r="J19" s="14" t="s">
        <v>475</v>
      </c>
      <c r="K19" s="15">
        <v>0.01</v>
      </c>
      <c r="L19" s="14" t="s">
        <v>475</v>
      </c>
      <c r="M19" s="15">
        <v>0.02</v>
      </c>
      <c r="N19" s="14" t="s">
        <v>475</v>
      </c>
      <c r="O19" s="14" t="s">
        <v>475</v>
      </c>
      <c r="P19" s="14" t="s">
        <v>475</v>
      </c>
      <c r="Q19" s="14" t="s">
        <v>475</v>
      </c>
      <c r="R19" s="14" t="s">
        <v>475</v>
      </c>
      <c r="S19" s="15">
        <v>0.01</v>
      </c>
      <c r="T19" s="14" t="s">
        <v>475</v>
      </c>
      <c r="U19" s="14" t="s">
        <v>475</v>
      </c>
      <c r="V19" s="14" t="s">
        <v>475</v>
      </c>
      <c r="W19" s="15">
        <v>0.01</v>
      </c>
      <c r="X19" s="14" t="s">
        <v>475</v>
      </c>
      <c r="Y19" s="15">
        <v>0.01</v>
      </c>
      <c r="Z19" s="14" t="s">
        <v>475</v>
      </c>
      <c r="AA19" s="15">
        <v>0.02</v>
      </c>
      <c r="AB19" s="15">
        <v>0.01</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5">
        <v>0.01</v>
      </c>
    </row>
    <row r="20" spans="1:43" x14ac:dyDescent="0.35">
      <c r="A20" s="19"/>
      <c r="B20" s="11" t="s">
        <v>1663</v>
      </c>
      <c r="C20" s="12">
        <v>24278</v>
      </c>
      <c r="D20" s="12">
        <v>982</v>
      </c>
      <c r="E20" s="12">
        <v>902</v>
      </c>
      <c r="F20" s="12">
        <v>988</v>
      </c>
      <c r="G20" s="12">
        <v>993</v>
      </c>
      <c r="H20" s="12">
        <v>1136</v>
      </c>
      <c r="I20" s="12">
        <v>1414</v>
      </c>
      <c r="J20" s="12">
        <v>278</v>
      </c>
      <c r="K20" s="12">
        <v>936</v>
      </c>
      <c r="L20" s="12">
        <v>949</v>
      </c>
      <c r="M20" s="12">
        <v>839</v>
      </c>
      <c r="N20" s="12">
        <v>910</v>
      </c>
      <c r="O20" s="12">
        <v>943</v>
      </c>
      <c r="P20" s="12">
        <v>914</v>
      </c>
      <c r="Q20" s="12">
        <v>940</v>
      </c>
      <c r="R20" s="12">
        <v>456</v>
      </c>
      <c r="S20" s="12">
        <v>915</v>
      </c>
      <c r="T20" s="12">
        <v>881</v>
      </c>
      <c r="U20" s="12">
        <v>492</v>
      </c>
      <c r="V20" s="12">
        <v>900</v>
      </c>
      <c r="W20" s="12">
        <v>465</v>
      </c>
      <c r="X20" s="12">
        <v>1007</v>
      </c>
      <c r="Y20" s="12">
        <v>930</v>
      </c>
      <c r="Z20" s="12">
        <v>894</v>
      </c>
      <c r="AA20" s="12">
        <v>864</v>
      </c>
      <c r="AB20" s="12">
        <v>900</v>
      </c>
      <c r="AC20" s="12">
        <v>908</v>
      </c>
      <c r="AD20" s="12">
        <v>904</v>
      </c>
      <c r="AE20" s="12">
        <v>989</v>
      </c>
      <c r="AF20" s="12">
        <v>1033</v>
      </c>
      <c r="AG20" s="12">
        <v>990</v>
      </c>
      <c r="AH20" s="12">
        <v>938</v>
      </c>
      <c r="AI20" s="12">
        <v>522</v>
      </c>
      <c r="AJ20" s="12">
        <v>838</v>
      </c>
      <c r="AK20" s="12">
        <v>967</v>
      </c>
      <c r="AL20" s="12">
        <v>917</v>
      </c>
      <c r="AM20" s="12">
        <v>994</v>
      </c>
      <c r="AN20" s="12">
        <v>946</v>
      </c>
      <c r="AO20" s="12">
        <v>991</v>
      </c>
      <c r="AP20" s="12">
        <v>514</v>
      </c>
      <c r="AQ20" s="12">
        <v>923</v>
      </c>
    </row>
    <row r="21" spans="1:43" x14ac:dyDescent="0.35">
      <c r="A21" s="19"/>
      <c r="B21" s="13" t="s">
        <v>1664</v>
      </c>
      <c r="C21" s="15">
        <v>0.92</v>
      </c>
      <c r="D21" s="15">
        <v>0.97</v>
      </c>
      <c r="E21" s="15">
        <v>0.88</v>
      </c>
      <c r="F21" s="15">
        <v>0.9</v>
      </c>
      <c r="G21" s="15">
        <v>0.99</v>
      </c>
      <c r="H21" s="15">
        <v>0.93</v>
      </c>
      <c r="I21" s="15">
        <v>0.93</v>
      </c>
      <c r="J21" s="15">
        <v>0.94000000000000006</v>
      </c>
      <c r="K21" s="15">
        <v>0.93</v>
      </c>
      <c r="L21" s="15">
        <v>0.95000000000000007</v>
      </c>
      <c r="M21" s="15">
        <v>0.83000000000000007</v>
      </c>
      <c r="N21" s="15">
        <v>0.91</v>
      </c>
      <c r="O21" s="15">
        <v>0.94000000000000006</v>
      </c>
      <c r="P21" s="15">
        <v>0.91</v>
      </c>
      <c r="Q21" s="15">
        <v>0.92</v>
      </c>
      <c r="R21" s="15">
        <v>0.91</v>
      </c>
      <c r="S21" s="15">
        <v>0.91</v>
      </c>
      <c r="T21" s="15">
        <v>0.88</v>
      </c>
      <c r="U21" s="15">
        <v>0.98</v>
      </c>
      <c r="V21" s="15">
        <v>0.89</v>
      </c>
      <c r="W21" s="15">
        <v>0.92</v>
      </c>
      <c r="X21" s="15">
        <v>1</v>
      </c>
      <c r="Y21" s="15">
        <v>0.93</v>
      </c>
      <c r="Z21" s="15">
        <v>0.87</v>
      </c>
      <c r="AA21" s="15">
        <v>0.83000000000000007</v>
      </c>
      <c r="AB21" s="15">
        <v>0.86</v>
      </c>
      <c r="AC21" s="15">
        <v>0.91</v>
      </c>
      <c r="AD21" s="15">
        <v>0.9</v>
      </c>
      <c r="AE21" s="15">
        <v>0.98</v>
      </c>
      <c r="AF21" s="15">
        <v>0.99</v>
      </c>
      <c r="AG21" s="15">
        <v>0.96</v>
      </c>
      <c r="AH21" s="15">
        <v>0.93</v>
      </c>
      <c r="AI21" s="15">
        <v>1</v>
      </c>
      <c r="AJ21" s="15">
        <v>0.81</v>
      </c>
      <c r="AK21" s="15">
        <v>0.96</v>
      </c>
      <c r="AL21" s="15">
        <v>0.91</v>
      </c>
      <c r="AM21" s="15">
        <v>0.96</v>
      </c>
      <c r="AN21" s="15">
        <v>0.94000000000000006</v>
      </c>
      <c r="AO21" s="15">
        <v>0.99</v>
      </c>
      <c r="AP21" s="15">
        <v>0.98</v>
      </c>
      <c r="AQ21" s="15">
        <v>0.92</v>
      </c>
    </row>
  </sheetData>
  <mergeCells count="10">
    <mergeCell ref="H3:L3"/>
    <mergeCell ref="B3:F3"/>
    <mergeCell ref="B5:F5"/>
    <mergeCell ref="A10:A19"/>
    <mergeCell ref="A20:A21"/>
    <mergeCell ref="C8:AQ8"/>
    <mergeCell ref="H5:L5"/>
    <mergeCell ref="B10:B11"/>
    <mergeCell ref="H4:L4"/>
    <mergeCell ref="B4:F4"/>
  </mergeCells>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Q2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417</v>
      </c>
      <c r="C3" s="18"/>
      <c r="D3" s="18"/>
      <c r="E3" s="18"/>
      <c r="F3" s="18"/>
      <c r="H3" s="18" t="s">
        <v>418</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HYPERLINK("#Content!A211","&lt;&lt;Back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5" x14ac:dyDescent="0.35">
      <c r="A12" s="19"/>
      <c r="B12" s="11" t="s">
        <v>1683</v>
      </c>
      <c r="C12" s="12">
        <v>5980</v>
      </c>
      <c r="D12" s="12">
        <v>126</v>
      </c>
      <c r="E12" s="12">
        <v>380</v>
      </c>
      <c r="F12" s="12">
        <v>230</v>
      </c>
      <c r="G12" s="12">
        <v>140</v>
      </c>
      <c r="H12" s="12">
        <v>164</v>
      </c>
      <c r="I12" s="12">
        <v>241</v>
      </c>
      <c r="J12" s="12">
        <v>77</v>
      </c>
      <c r="K12" s="12">
        <v>298</v>
      </c>
      <c r="L12" s="12">
        <v>397</v>
      </c>
      <c r="M12" s="12">
        <v>252</v>
      </c>
      <c r="N12" s="12">
        <v>396</v>
      </c>
      <c r="O12" s="12">
        <v>246</v>
      </c>
      <c r="P12" s="12">
        <v>289</v>
      </c>
      <c r="Q12" s="12">
        <v>132</v>
      </c>
      <c r="R12" s="12">
        <v>136</v>
      </c>
      <c r="S12" s="12">
        <v>380</v>
      </c>
      <c r="T12" s="12">
        <v>239</v>
      </c>
      <c r="U12" s="12">
        <v>46</v>
      </c>
      <c r="V12" s="12">
        <v>206</v>
      </c>
      <c r="W12" s="12">
        <v>103</v>
      </c>
      <c r="X12" s="12">
        <v>64</v>
      </c>
      <c r="Y12" s="12">
        <v>168</v>
      </c>
      <c r="Z12" s="12">
        <v>354</v>
      </c>
      <c r="AA12" s="12">
        <v>460</v>
      </c>
      <c r="AB12" s="12">
        <v>226</v>
      </c>
      <c r="AC12" s="12">
        <v>223</v>
      </c>
      <c r="AD12" s="12">
        <v>134</v>
      </c>
      <c r="AE12" s="12">
        <v>184</v>
      </c>
      <c r="AF12" s="12">
        <v>147</v>
      </c>
      <c r="AG12" s="12">
        <v>169</v>
      </c>
      <c r="AH12" s="12">
        <v>262</v>
      </c>
      <c r="AI12" s="12">
        <v>14</v>
      </c>
      <c r="AJ12" s="12">
        <v>303</v>
      </c>
      <c r="AK12" s="12">
        <v>114</v>
      </c>
      <c r="AL12" s="12">
        <v>361</v>
      </c>
      <c r="AM12" s="12">
        <v>456</v>
      </c>
      <c r="AN12" s="12">
        <v>120</v>
      </c>
      <c r="AO12" s="12">
        <v>207</v>
      </c>
      <c r="AP12" s="12">
        <v>30</v>
      </c>
      <c r="AQ12" s="12">
        <v>53</v>
      </c>
    </row>
    <row r="13" spans="1:43" x14ac:dyDescent="0.35">
      <c r="A13" s="19"/>
      <c r="B13" s="13" t="s">
        <v>1684</v>
      </c>
      <c r="C13" s="15">
        <v>0.23</v>
      </c>
      <c r="D13" s="15">
        <v>0.12</v>
      </c>
      <c r="E13" s="15">
        <v>0.37</v>
      </c>
      <c r="F13" s="15">
        <v>0.21</v>
      </c>
      <c r="G13" s="15">
        <v>0.14000000000000001</v>
      </c>
      <c r="H13" s="15">
        <v>0.13</v>
      </c>
      <c r="I13" s="15">
        <v>0.16</v>
      </c>
      <c r="J13" s="15">
        <v>0.26</v>
      </c>
      <c r="K13" s="15">
        <v>0.3</v>
      </c>
      <c r="L13" s="15">
        <v>0.39</v>
      </c>
      <c r="M13" s="15">
        <v>0.25</v>
      </c>
      <c r="N13" s="15">
        <v>0.4</v>
      </c>
      <c r="O13" s="15">
        <v>0.25</v>
      </c>
      <c r="P13" s="15">
        <v>0.28999999999999998</v>
      </c>
      <c r="Q13" s="15">
        <v>0.13</v>
      </c>
      <c r="R13" s="15">
        <v>0.27</v>
      </c>
      <c r="S13" s="15">
        <v>0.38</v>
      </c>
      <c r="T13" s="15">
        <v>0.24</v>
      </c>
      <c r="U13" s="15">
        <v>0.09</v>
      </c>
      <c r="V13" s="15">
        <v>0.2</v>
      </c>
      <c r="W13" s="15">
        <v>0.2</v>
      </c>
      <c r="X13" s="15">
        <v>0.06</v>
      </c>
      <c r="Y13" s="15">
        <v>0.17</v>
      </c>
      <c r="Z13" s="15">
        <v>0.34</v>
      </c>
      <c r="AA13" s="15">
        <v>0.45</v>
      </c>
      <c r="AB13" s="15">
        <v>0.22</v>
      </c>
      <c r="AC13" s="15">
        <v>0.22</v>
      </c>
      <c r="AD13" s="15">
        <v>0.13</v>
      </c>
      <c r="AE13" s="15">
        <v>0.18</v>
      </c>
      <c r="AF13" s="15">
        <v>0.14000000000000001</v>
      </c>
      <c r="AG13" s="15">
        <v>0.16</v>
      </c>
      <c r="AH13" s="15">
        <v>0.26</v>
      </c>
      <c r="AI13" s="15">
        <v>0.03</v>
      </c>
      <c r="AJ13" s="15">
        <v>0.28999999999999998</v>
      </c>
      <c r="AK13" s="15">
        <v>0.11</v>
      </c>
      <c r="AL13" s="15">
        <v>0.36</v>
      </c>
      <c r="AM13" s="15">
        <v>0.44</v>
      </c>
      <c r="AN13" s="15">
        <v>0.12</v>
      </c>
      <c r="AO13" s="15">
        <v>0.21</v>
      </c>
      <c r="AP13" s="15">
        <v>0.06</v>
      </c>
      <c r="AQ13" s="15">
        <v>0.05</v>
      </c>
    </row>
    <row r="14" spans="1:43" ht="21.5" x14ac:dyDescent="0.35">
      <c r="A14" s="19"/>
      <c r="B14" s="11" t="s">
        <v>1685</v>
      </c>
      <c r="C14" s="12">
        <v>4822</v>
      </c>
      <c r="D14" s="12">
        <v>228</v>
      </c>
      <c r="E14" s="12">
        <v>160</v>
      </c>
      <c r="F14" s="12">
        <v>197</v>
      </c>
      <c r="G14" s="12">
        <v>97</v>
      </c>
      <c r="H14" s="12">
        <v>319</v>
      </c>
      <c r="I14" s="12">
        <v>397</v>
      </c>
      <c r="J14" s="12">
        <v>79</v>
      </c>
      <c r="K14" s="12">
        <v>197</v>
      </c>
      <c r="L14" s="12">
        <v>104</v>
      </c>
      <c r="M14" s="12">
        <v>209</v>
      </c>
      <c r="N14" s="12">
        <v>116</v>
      </c>
      <c r="O14" s="12">
        <v>205</v>
      </c>
      <c r="P14" s="12">
        <v>124</v>
      </c>
      <c r="Q14" s="12">
        <v>168</v>
      </c>
      <c r="R14" s="12">
        <v>60</v>
      </c>
      <c r="S14" s="12">
        <v>76</v>
      </c>
      <c r="T14" s="12">
        <v>139</v>
      </c>
      <c r="U14" s="12">
        <v>66</v>
      </c>
      <c r="V14" s="12">
        <v>246</v>
      </c>
      <c r="W14" s="12">
        <v>25</v>
      </c>
      <c r="X14" s="12">
        <v>101</v>
      </c>
      <c r="Y14" s="12">
        <v>132</v>
      </c>
      <c r="Z14" s="12">
        <v>174</v>
      </c>
      <c r="AA14" s="12">
        <v>241</v>
      </c>
      <c r="AB14" s="12">
        <v>157</v>
      </c>
      <c r="AC14" s="12">
        <v>131</v>
      </c>
      <c r="AD14" s="12">
        <v>268</v>
      </c>
      <c r="AE14" s="12">
        <v>131</v>
      </c>
      <c r="AF14" s="12">
        <v>112</v>
      </c>
      <c r="AG14" s="12">
        <v>275</v>
      </c>
      <c r="AH14" s="12">
        <v>192</v>
      </c>
      <c r="AI14" s="12">
        <v>8</v>
      </c>
      <c r="AJ14" s="12">
        <v>219</v>
      </c>
      <c r="AK14" s="12">
        <v>253</v>
      </c>
      <c r="AL14" s="12">
        <v>93</v>
      </c>
      <c r="AM14" s="12">
        <v>194</v>
      </c>
      <c r="AN14" s="12">
        <v>139</v>
      </c>
      <c r="AO14" s="12">
        <v>231</v>
      </c>
      <c r="AP14" s="12">
        <v>57</v>
      </c>
      <c r="AQ14" s="12">
        <v>157</v>
      </c>
    </row>
    <row r="15" spans="1:43" ht="21.5" x14ac:dyDescent="0.35">
      <c r="A15" s="19"/>
      <c r="B15" s="13" t="s">
        <v>1686</v>
      </c>
      <c r="C15" s="15">
        <v>0.18</v>
      </c>
      <c r="D15" s="15">
        <v>0.23</v>
      </c>
      <c r="E15" s="15">
        <v>0.16</v>
      </c>
      <c r="F15" s="15">
        <v>0.18</v>
      </c>
      <c r="G15" s="15">
        <v>0.1</v>
      </c>
      <c r="H15" s="15">
        <v>0.26</v>
      </c>
      <c r="I15" s="15">
        <v>0.26</v>
      </c>
      <c r="J15" s="15">
        <v>0.27</v>
      </c>
      <c r="K15" s="15">
        <v>0.2</v>
      </c>
      <c r="L15" s="15">
        <v>0.1</v>
      </c>
      <c r="M15" s="15">
        <v>0.21</v>
      </c>
      <c r="N15" s="15">
        <v>0.12</v>
      </c>
      <c r="O15" s="15">
        <v>0.2</v>
      </c>
      <c r="P15" s="15">
        <v>0.12</v>
      </c>
      <c r="Q15" s="15">
        <v>0.16</v>
      </c>
      <c r="R15" s="15">
        <v>0.12</v>
      </c>
      <c r="S15" s="15">
        <v>0.08</v>
      </c>
      <c r="T15" s="15">
        <v>0.14000000000000001</v>
      </c>
      <c r="U15" s="15">
        <v>0.13</v>
      </c>
      <c r="V15" s="15">
        <v>0.24</v>
      </c>
      <c r="W15" s="15">
        <v>0.05</v>
      </c>
      <c r="X15" s="15">
        <v>0.1</v>
      </c>
      <c r="Y15" s="15">
        <v>0.13</v>
      </c>
      <c r="Z15" s="15">
        <v>0.17</v>
      </c>
      <c r="AA15" s="15">
        <v>0.23</v>
      </c>
      <c r="AB15" s="15">
        <v>0.15</v>
      </c>
      <c r="AC15" s="15">
        <v>0.13</v>
      </c>
      <c r="AD15" s="15">
        <v>0.27</v>
      </c>
      <c r="AE15" s="15">
        <v>0.13</v>
      </c>
      <c r="AF15" s="15">
        <v>0.11</v>
      </c>
      <c r="AG15" s="15">
        <v>0.27</v>
      </c>
      <c r="AH15" s="15">
        <v>0.19</v>
      </c>
      <c r="AI15" s="15">
        <v>0.01</v>
      </c>
      <c r="AJ15" s="15">
        <v>0.21</v>
      </c>
      <c r="AK15" s="15">
        <v>0.25</v>
      </c>
      <c r="AL15" s="15">
        <v>0.09</v>
      </c>
      <c r="AM15" s="15">
        <v>0.19</v>
      </c>
      <c r="AN15" s="15">
        <v>0.14000000000000001</v>
      </c>
      <c r="AO15" s="15">
        <v>0.23</v>
      </c>
      <c r="AP15" s="15">
        <v>0.11</v>
      </c>
      <c r="AQ15" s="15">
        <v>0.16</v>
      </c>
    </row>
    <row r="16" spans="1:43" ht="21.5" x14ac:dyDescent="0.35">
      <c r="A16" s="19"/>
      <c r="B16" s="11" t="s">
        <v>1687</v>
      </c>
      <c r="C16" s="12">
        <v>13003</v>
      </c>
      <c r="D16" s="12">
        <v>563</v>
      </c>
      <c r="E16" s="12">
        <v>404</v>
      </c>
      <c r="F16" s="12">
        <v>572</v>
      </c>
      <c r="G16" s="12">
        <v>553</v>
      </c>
      <c r="H16" s="12">
        <v>616</v>
      </c>
      <c r="I16" s="12">
        <v>743</v>
      </c>
      <c r="J16" s="12">
        <v>126</v>
      </c>
      <c r="K16" s="12">
        <v>323</v>
      </c>
      <c r="L16" s="12">
        <v>429</v>
      </c>
      <c r="M16" s="12">
        <v>514</v>
      </c>
      <c r="N16" s="12">
        <v>450</v>
      </c>
      <c r="O16" s="12">
        <v>455</v>
      </c>
      <c r="P16" s="12">
        <v>535</v>
      </c>
      <c r="Q16" s="12">
        <v>618</v>
      </c>
      <c r="R16" s="12">
        <v>287</v>
      </c>
      <c r="S16" s="12">
        <v>482</v>
      </c>
      <c r="T16" s="12">
        <v>568</v>
      </c>
      <c r="U16" s="12">
        <v>280</v>
      </c>
      <c r="V16" s="12">
        <v>526</v>
      </c>
      <c r="W16" s="12">
        <v>329</v>
      </c>
      <c r="X16" s="12">
        <v>476</v>
      </c>
      <c r="Y16" s="12">
        <v>557</v>
      </c>
      <c r="Z16" s="12">
        <v>427</v>
      </c>
      <c r="AA16" s="12">
        <v>281</v>
      </c>
      <c r="AB16" s="12">
        <v>581</v>
      </c>
      <c r="AC16" s="12">
        <v>581</v>
      </c>
      <c r="AD16" s="12">
        <v>514</v>
      </c>
      <c r="AE16" s="12">
        <v>486</v>
      </c>
      <c r="AF16" s="12">
        <v>561</v>
      </c>
      <c r="AG16" s="12">
        <v>464</v>
      </c>
      <c r="AH16" s="12">
        <v>485</v>
      </c>
      <c r="AI16" s="12">
        <v>491</v>
      </c>
      <c r="AJ16" s="12">
        <v>415</v>
      </c>
      <c r="AK16" s="12">
        <v>521</v>
      </c>
      <c r="AL16" s="12">
        <v>460</v>
      </c>
      <c r="AM16" s="12">
        <v>324</v>
      </c>
      <c r="AN16" s="12">
        <v>675</v>
      </c>
      <c r="AO16" s="12">
        <v>494</v>
      </c>
      <c r="AP16" s="12">
        <v>346</v>
      </c>
      <c r="AQ16" s="12">
        <v>693</v>
      </c>
    </row>
    <row r="17" spans="1:43" x14ac:dyDescent="0.35">
      <c r="A17" s="19"/>
      <c r="B17" s="13" t="s">
        <v>1688</v>
      </c>
      <c r="C17" s="15">
        <v>0.49</v>
      </c>
      <c r="D17" s="15">
        <v>0.56000000000000005</v>
      </c>
      <c r="E17" s="15">
        <v>0.39</v>
      </c>
      <c r="F17" s="15">
        <v>0.52</v>
      </c>
      <c r="G17" s="15">
        <v>0.55000000000000004</v>
      </c>
      <c r="H17" s="15">
        <v>0.51</v>
      </c>
      <c r="I17" s="15">
        <v>0.49</v>
      </c>
      <c r="J17" s="15">
        <v>0.43</v>
      </c>
      <c r="K17" s="15">
        <v>0.32</v>
      </c>
      <c r="L17" s="15">
        <v>0.43</v>
      </c>
      <c r="M17" s="15">
        <v>0.51</v>
      </c>
      <c r="N17" s="15">
        <v>0.45</v>
      </c>
      <c r="O17" s="15">
        <v>0.46</v>
      </c>
      <c r="P17" s="15">
        <v>0.53</v>
      </c>
      <c r="Q17" s="15">
        <v>0.6</v>
      </c>
      <c r="R17" s="15">
        <v>0.57000000000000006</v>
      </c>
      <c r="S17" s="15">
        <v>0.48</v>
      </c>
      <c r="T17" s="15">
        <v>0.57000000000000006</v>
      </c>
      <c r="U17" s="15">
        <v>0.56000000000000005</v>
      </c>
      <c r="V17" s="15">
        <v>0.52</v>
      </c>
      <c r="W17" s="15">
        <v>0.65</v>
      </c>
      <c r="X17" s="15">
        <v>0.47</v>
      </c>
      <c r="Y17" s="15">
        <v>0.56000000000000005</v>
      </c>
      <c r="Z17" s="15">
        <v>0.42</v>
      </c>
      <c r="AA17" s="15">
        <v>0.27</v>
      </c>
      <c r="AB17" s="15">
        <v>0.55000000000000004</v>
      </c>
      <c r="AC17" s="15">
        <v>0.57999999999999996</v>
      </c>
      <c r="AD17" s="15">
        <v>0.51</v>
      </c>
      <c r="AE17" s="15">
        <v>0.48</v>
      </c>
      <c r="AF17" s="15">
        <v>0.54</v>
      </c>
      <c r="AG17" s="15">
        <v>0.45</v>
      </c>
      <c r="AH17" s="15">
        <v>0.48</v>
      </c>
      <c r="AI17" s="15">
        <v>0.94000000000000006</v>
      </c>
      <c r="AJ17" s="15">
        <v>0.4</v>
      </c>
      <c r="AK17" s="15">
        <v>0.52</v>
      </c>
      <c r="AL17" s="15">
        <v>0.45</v>
      </c>
      <c r="AM17" s="15">
        <v>0.31</v>
      </c>
      <c r="AN17" s="15">
        <v>0.67</v>
      </c>
      <c r="AO17" s="15">
        <v>0.49</v>
      </c>
      <c r="AP17" s="15">
        <v>0.66</v>
      </c>
      <c r="AQ17" s="15">
        <v>0.69000000000000006</v>
      </c>
    </row>
    <row r="18" spans="1:43" ht="21.5" x14ac:dyDescent="0.35">
      <c r="A18" s="19"/>
      <c r="B18" s="11" t="s">
        <v>1689</v>
      </c>
      <c r="C18" s="12">
        <v>2182</v>
      </c>
      <c r="D18" s="12">
        <v>86</v>
      </c>
      <c r="E18" s="12">
        <v>28</v>
      </c>
      <c r="F18" s="12">
        <v>84</v>
      </c>
      <c r="G18" s="12">
        <v>198</v>
      </c>
      <c r="H18" s="12">
        <v>106</v>
      </c>
      <c r="I18" s="12">
        <v>117</v>
      </c>
      <c r="J18" s="12">
        <v>10</v>
      </c>
      <c r="K18" s="12">
        <v>36</v>
      </c>
      <c r="L18" s="12">
        <v>41</v>
      </c>
      <c r="M18" s="12">
        <v>15</v>
      </c>
      <c r="N18" s="12">
        <v>32</v>
      </c>
      <c r="O18" s="12">
        <v>80</v>
      </c>
      <c r="P18" s="12">
        <v>45</v>
      </c>
      <c r="Q18" s="12">
        <v>99</v>
      </c>
      <c r="R18" s="12">
        <v>17</v>
      </c>
      <c r="S18" s="12">
        <v>34</v>
      </c>
      <c r="T18" s="12">
        <v>37</v>
      </c>
      <c r="U18" s="12">
        <v>103</v>
      </c>
      <c r="V18" s="12">
        <v>34</v>
      </c>
      <c r="W18" s="12">
        <v>48</v>
      </c>
      <c r="X18" s="12">
        <v>327</v>
      </c>
      <c r="Y18" s="12">
        <v>100</v>
      </c>
      <c r="Z18" s="12">
        <v>43</v>
      </c>
      <c r="AA18" s="12">
        <v>41</v>
      </c>
      <c r="AB18" s="12">
        <v>73</v>
      </c>
      <c r="AC18" s="12">
        <v>54</v>
      </c>
      <c r="AD18" s="12">
        <v>86</v>
      </c>
      <c r="AE18" s="12">
        <v>150</v>
      </c>
      <c r="AF18" s="12">
        <v>205</v>
      </c>
      <c r="AG18" s="12">
        <v>124</v>
      </c>
      <c r="AH18" s="12">
        <v>67</v>
      </c>
      <c r="AI18" s="12">
        <v>6</v>
      </c>
      <c r="AJ18" s="12">
        <v>81</v>
      </c>
      <c r="AK18" s="12">
        <v>110</v>
      </c>
      <c r="AL18" s="12">
        <v>45</v>
      </c>
      <c r="AM18" s="12">
        <v>30</v>
      </c>
      <c r="AN18" s="12">
        <v>64</v>
      </c>
      <c r="AO18" s="12">
        <v>46</v>
      </c>
      <c r="AP18" s="12">
        <v>60</v>
      </c>
      <c r="AQ18" s="12">
        <v>60</v>
      </c>
    </row>
    <row r="19" spans="1:43" ht="21.5" x14ac:dyDescent="0.35">
      <c r="A19" s="19"/>
      <c r="B19" s="13" t="s">
        <v>1690</v>
      </c>
      <c r="C19" s="15">
        <v>0.08</v>
      </c>
      <c r="D19" s="15">
        <v>0.09</v>
      </c>
      <c r="E19" s="15">
        <v>0.03</v>
      </c>
      <c r="F19" s="15">
        <v>0.08</v>
      </c>
      <c r="G19" s="15">
        <v>0.2</v>
      </c>
      <c r="H19" s="15">
        <v>0.09</v>
      </c>
      <c r="I19" s="15">
        <v>0.08</v>
      </c>
      <c r="J19" s="15">
        <v>0.04</v>
      </c>
      <c r="K19" s="15">
        <v>0.04</v>
      </c>
      <c r="L19" s="15">
        <v>0.04</v>
      </c>
      <c r="M19" s="15">
        <v>0.01</v>
      </c>
      <c r="N19" s="15">
        <v>0.03</v>
      </c>
      <c r="O19" s="15">
        <v>0.08</v>
      </c>
      <c r="P19" s="15">
        <v>0.05</v>
      </c>
      <c r="Q19" s="15">
        <v>0.1</v>
      </c>
      <c r="R19" s="15">
        <v>0.03</v>
      </c>
      <c r="S19" s="15">
        <v>0.03</v>
      </c>
      <c r="T19" s="15">
        <v>0.04</v>
      </c>
      <c r="U19" s="15">
        <v>0.21</v>
      </c>
      <c r="V19" s="15">
        <v>0.04</v>
      </c>
      <c r="W19" s="15">
        <v>0.1</v>
      </c>
      <c r="X19" s="15">
        <v>0.33</v>
      </c>
      <c r="Y19" s="15">
        <v>0.1</v>
      </c>
      <c r="Z19" s="15">
        <v>0.04</v>
      </c>
      <c r="AA19" s="15">
        <v>0.04</v>
      </c>
      <c r="AB19" s="15">
        <v>7.0000000000000007E-2</v>
      </c>
      <c r="AC19" s="15">
        <v>0.06</v>
      </c>
      <c r="AD19" s="15">
        <v>0.09</v>
      </c>
      <c r="AE19" s="15">
        <v>0.15</v>
      </c>
      <c r="AF19" s="15">
        <v>0.2</v>
      </c>
      <c r="AG19" s="15">
        <v>0.12</v>
      </c>
      <c r="AH19" s="15">
        <v>7.0000000000000007E-2</v>
      </c>
      <c r="AI19" s="15">
        <v>0.01</v>
      </c>
      <c r="AJ19" s="15">
        <v>0.08</v>
      </c>
      <c r="AK19" s="15">
        <v>0.11</v>
      </c>
      <c r="AL19" s="15">
        <v>0.05</v>
      </c>
      <c r="AM19" s="15">
        <v>0.03</v>
      </c>
      <c r="AN19" s="15">
        <v>0.06</v>
      </c>
      <c r="AO19" s="15">
        <v>0.05</v>
      </c>
      <c r="AP19" s="15">
        <v>0.11</v>
      </c>
      <c r="AQ19" s="15">
        <v>0.06</v>
      </c>
    </row>
    <row r="20" spans="1:43" ht="21.5" x14ac:dyDescent="0.35">
      <c r="A20" s="19"/>
      <c r="B20" s="11" t="s">
        <v>1691</v>
      </c>
      <c r="C20" s="12">
        <v>177</v>
      </c>
      <c r="D20" s="12">
        <v>5</v>
      </c>
      <c r="E20" s="12">
        <v>1</v>
      </c>
      <c r="F20" s="12">
        <v>17</v>
      </c>
      <c r="G20" s="12">
        <v>4</v>
      </c>
      <c r="H20" s="12">
        <v>4</v>
      </c>
      <c r="I20" s="12">
        <v>5</v>
      </c>
      <c r="J20" s="12">
        <v>1</v>
      </c>
      <c r="K20" s="12">
        <v>6</v>
      </c>
      <c r="L20" s="12">
        <v>8</v>
      </c>
      <c r="M20" s="12">
        <v>1</v>
      </c>
      <c r="N20" s="12">
        <v>4</v>
      </c>
      <c r="O20" s="12">
        <v>0</v>
      </c>
      <c r="P20" s="12">
        <v>11</v>
      </c>
      <c r="Q20" s="12">
        <v>1</v>
      </c>
      <c r="R20" s="12">
        <v>1</v>
      </c>
      <c r="S20" s="12">
        <v>8</v>
      </c>
      <c r="T20" s="12">
        <v>4</v>
      </c>
      <c r="U20" s="12">
        <v>7</v>
      </c>
      <c r="V20" s="12">
        <v>0</v>
      </c>
      <c r="W20" s="12">
        <v>1</v>
      </c>
      <c r="X20" s="12">
        <v>33</v>
      </c>
      <c r="Y20" s="12">
        <v>3</v>
      </c>
      <c r="Z20" s="12">
        <v>33</v>
      </c>
      <c r="AA20" s="12">
        <v>0</v>
      </c>
      <c r="AB20" s="12">
        <v>8</v>
      </c>
      <c r="AC20" s="12">
        <v>8</v>
      </c>
      <c r="AD20" s="12">
        <v>1</v>
      </c>
      <c r="AE20" s="12">
        <v>20</v>
      </c>
      <c r="AF20" s="12">
        <v>6</v>
      </c>
      <c r="AG20" s="12">
        <v>4</v>
      </c>
      <c r="AH20" s="12">
        <v>6</v>
      </c>
      <c r="AI20" s="12">
        <v>4</v>
      </c>
      <c r="AJ20" s="12">
        <v>14</v>
      </c>
      <c r="AK20" s="12">
        <v>7</v>
      </c>
      <c r="AL20" s="12">
        <v>25</v>
      </c>
      <c r="AM20" s="12">
        <v>4</v>
      </c>
      <c r="AN20" s="12">
        <v>5</v>
      </c>
      <c r="AO20" s="12">
        <v>23</v>
      </c>
      <c r="AP20" s="12">
        <v>31</v>
      </c>
      <c r="AQ20" s="12">
        <v>31</v>
      </c>
    </row>
    <row r="21" spans="1:43" x14ac:dyDescent="0.35">
      <c r="A21" s="19"/>
      <c r="B21" s="13" t="s">
        <v>1692</v>
      </c>
      <c r="C21" s="15">
        <v>0.01</v>
      </c>
      <c r="D21" s="14" t="s">
        <v>475</v>
      </c>
      <c r="E21" s="14" t="s">
        <v>475</v>
      </c>
      <c r="F21" s="15">
        <v>0.01</v>
      </c>
      <c r="G21" s="14" t="s">
        <v>475</v>
      </c>
      <c r="H21" s="14" t="s">
        <v>475</v>
      </c>
      <c r="I21" s="14" t="s">
        <v>475</v>
      </c>
      <c r="J21" s="14" t="s">
        <v>475</v>
      </c>
      <c r="K21" s="15">
        <v>0.01</v>
      </c>
      <c r="L21" s="15">
        <v>0.01</v>
      </c>
      <c r="M21" s="14" t="s">
        <v>475</v>
      </c>
      <c r="N21" s="14" t="s">
        <v>475</v>
      </c>
      <c r="O21" s="14" t="s">
        <v>475</v>
      </c>
      <c r="P21" s="15">
        <v>0.01</v>
      </c>
      <c r="Q21" s="14" t="s">
        <v>475</v>
      </c>
      <c r="R21" s="14" t="s">
        <v>475</v>
      </c>
      <c r="S21" s="15">
        <v>0.01</v>
      </c>
      <c r="T21" s="14" t="s">
        <v>475</v>
      </c>
      <c r="U21" s="15">
        <v>0.01</v>
      </c>
      <c r="V21" s="14" t="s">
        <v>475</v>
      </c>
      <c r="W21" s="14" t="s">
        <v>475</v>
      </c>
      <c r="X21" s="15">
        <v>0.03</v>
      </c>
      <c r="Y21" s="14" t="s">
        <v>475</v>
      </c>
      <c r="Z21" s="15">
        <v>0.03</v>
      </c>
      <c r="AA21" s="14" t="s">
        <v>475</v>
      </c>
      <c r="AB21" s="15">
        <v>0.01</v>
      </c>
      <c r="AC21" s="15">
        <v>0.01</v>
      </c>
      <c r="AD21" s="14" t="s">
        <v>475</v>
      </c>
      <c r="AE21" s="15">
        <v>0.02</v>
      </c>
      <c r="AF21" s="14" t="s">
        <v>475</v>
      </c>
      <c r="AG21" s="14" t="s">
        <v>475</v>
      </c>
      <c r="AH21" s="14" t="s">
        <v>475</v>
      </c>
      <c r="AI21" s="15">
        <v>0.01</v>
      </c>
      <c r="AJ21" s="15">
        <v>0.02</v>
      </c>
      <c r="AK21" s="15">
        <v>0.01</v>
      </c>
      <c r="AL21" s="15">
        <v>0.02</v>
      </c>
      <c r="AM21" s="14" t="s">
        <v>475</v>
      </c>
      <c r="AN21" s="15">
        <v>0.01</v>
      </c>
      <c r="AO21" s="15">
        <v>0.02</v>
      </c>
      <c r="AP21" s="15">
        <v>0.06</v>
      </c>
      <c r="AQ21" s="15">
        <v>0.03</v>
      </c>
    </row>
    <row r="22" spans="1:43" x14ac:dyDescent="0.35">
      <c r="A22" s="19"/>
      <c r="B22" s="11" t="s">
        <v>611</v>
      </c>
      <c r="C22" s="12">
        <v>26</v>
      </c>
      <c r="D22" s="12">
        <v>1</v>
      </c>
      <c r="E22" s="12">
        <v>0</v>
      </c>
      <c r="F22" s="12">
        <v>0</v>
      </c>
      <c r="G22" s="12">
        <v>0</v>
      </c>
      <c r="H22" s="12">
        <v>0</v>
      </c>
      <c r="I22" s="12">
        <v>1</v>
      </c>
      <c r="J22" s="12">
        <v>1</v>
      </c>
      <c r="K22" s="12">
        <v>33</v>
      </c>
      <c r="L22" s="12">
        <v>0</v>
      </c>
      <c r="M22" s="12">
        <v>0</v>
      </c>
      <c r="N22" s="12">
        <v>4</v>
      </c>
      <c r="O22" s="12">
        <v>0</v>
      </c>
      <c r="P22" s="12">
        <v>0</v>
      </c>
      <c r="Q22" s="12">
        <v>0</v>
      </c>
      <c r="R22" s="12">
        <v>0</v>
      </c>
      <c r="S22" s="12">
        <v>1</v>
      </c>
      <c r="T22" s="12">
        <v>0</v>
      </c>
      <c r="U22" s="12">
        <v>1</v>
      </c>
      <c r="V22" s="12">
        <v>0</v>
      </c>
      <c r="W22" s="12">
        <v>0</v>
      </c>
      <c r="X22" s="12">
        <v>0</v>
      </c>
      <c r="Y22" s="12">
        <v>8</v>
      </c>
      <c r="Z22" s="12">
        <v>0</v>
      </c>
      <c r="AA22" s="12">
        <v>1</v>
      </c>
      <c r="AB22" s="12">
        <v>2</v>
      </c>
      <c r="AC22" s="12">
        <v>0</v>
      </c>
      <c r="AD22" s="12">
        <v>0</v>
      </c>
      <c r="AE22" s="12">
        <v>3</v>
      </c>
      <c r="AF22" s="12">
        <v>0</v>
      </c>
      <c r="AG22" s="12">
        <v>0</v>
      </c>
      <c r="AH22" s="12">
        <v>0</v>
      </c>
      <c r="AI22" s="12">
        <v>0</v>
      </c>
      <c r="AJ22" s="12">
        <v>0</v>
      </c>
      <c r="AK22" s="12">
        <v>0</v>
      </c>
      <c r="AL22" s="12">
        <v>0</v>
      </c>
      <c r="AM22" s="12">
        <v>0</v>
      </c>
      <c r="AN22" s="12">
        <v>0</v>
      </c>
      <c r="AO22" s="12">
        <v>0</v>
      </c>
      <c r="AP22" s="12">
        <v>0</v>
      </c>
      <c r="AQ22" s="12">
        <v>0</v>
      </c>
    </row>
    <row r="23" spans="1:43" x14ac:dyDescent="0.35">
      <c r="A23" s="19"/>
      <c r="B23" s="13" t="s">
        <v>612</v>
      </c>
      <c r="C23" s="14" t="s">
        <v>475</v>
      </c>
      <c r="D23" s="14" t="s">
        <v>475</v>
      </c>
      <c r="E23" s="14" t="s">
        <v>475</v>
      </c>
      <c r="F23" s="14" t="s">
        <v>475</v>
      </c>
      <c r="G23" s="14" t="s">
        <v>475</v>
      </c>
      <c r="H23" s="14" t="s">
        <v>475</v>
      </c>
      <c r="I23" s="14" t="s">
        <v>475</v>
      </c>
      <c r="J23" s="14" t="s">
        <v>475</v>
      </c>
      <c r="K23" s="15">
        <v>0.03</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5">
        <v>0.01</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row r="24" spans="1:43" x14ac:dyDescent="0.35">
      <c r="A24" s="19"/>
      <c r="B24" s="11" t="s">
        <v>750</v>
      </c>
      <c r="C24" s="12">
        <v>51</v>
      </c>
      <c r="D24" s="12">
        <v>2</v>
      </c>
      <c r="E24" s="12">
        <v>0</v>
      </c>
      <c r="F24" s="12">
        <v>1</v>
      </c>
      <c r="G24" s="12">
        <v>4</v>
      </c>
      <c r="H24" s="12">
        <v>2</v>
      </c>
      <c r="I24" s="12">
        <v>2</v>
      </c>
      <c r="J24" s="12">
        <v>0</v>
      </c>
      <c r="K24" s="12">
        <v>19</v>
      </c>
      <c r="L24" s="12">
        <v>6</v>
      </c>
      <c r="M24" s="12">
        <v>0</v>
      </c>
      <c r="N24" s="12">
        <v>0</v>
      </c>
      <c r="O24" s="12">
        <v>3</v>
      </c>
      <c r="P24" s="12">
        <v>0</v>
      </c>
      <c r="Q24" s="12">
        <v>5</v>
      </c>
      <c r="R24" s="12">
        <v>0</v>
      </c>
      <c r="S24" s="12">
        <v>0</v>
      </c>
      <c r="T24" s="12">
        <v>4</v>
      </c>
      <c r="U24" s="12">
        <v>0</v>
      </c>
      <c r="V24" s="12">
        <v>0</v>
      </c>
      <c r="W24" s="12">
        <v>1</v>
      </c>
      <c r="X24" s="12">
        <v>2</v>
      </c>
      <c r="Y24" s="12">
        <v>2</v>
      </c>
      <c r="Z24" s="12">
        <v>0</v>
      </c>
      <c r="AA24" s="12">
        <v>1</v>
      </c>
      <c r="AB24" s="12">
        <v>0</v>
      </c>
      <c r="AC24" s="12">
        <v>2</v>
      </c>
      <c r="AD24" s="12">
        <v>1</v>
      </c>
      <c r="AE24" s="12">
        <v>9</v>
      </c>
      <c r="AF24" s="12">
        <v>1</v>
      </c>
      <c r="AG24" s="12">
        <v>0</v>
      </c>
      <c r="AH24" s="12">
        <v>0</v>
      </c>
      <c r="AI24" s="12">
        <v>0</v>
      </c>
      <c r="AJ24" s="12">
        <v>1</v>
      </c>
      <c r="AK24" s="12">
        <v>2</v>
      </c>
      <c r="AL24" s="12">
        <v>0</v>
      </c>
      <c r="AM24" s="12">
        <v>5</v>
      </c>
      <c r="AN24" s="12">
        <v>0</v>
      </c>
      <c r="AO24" s="12">
        <v>0</v>
      </c>
      <c r="AP24" s="12">
        <v>0</v>
      </c>
      <c r="AQ24" s="12">
        <v>2</v>
      </c>
    </row>
    <row r="25" spans="1:43" x14ac:dyDescent="0.35">
      <c r="A25" s="19"/>
      <c r="B25" s="13" t="s">
        <v>751</v>
      </c>
      <c r="C25" s="14" t="s">
        <v>475</v>
      </c>
      <c r="D25" s="14" t="s">
        <v>475</v>
      </c>
      <c r="E25" s="14" t="s">
        <v>475</v>
      </c>
      <c r="F25" s="14" t="s">
        <v>475</v>
      </c>
      <c r="G25" s="14" t="s">
        <v>475</v>
      </c>
      <c r="H25" s="14" t="s">
        <v>475</v>
      </c>
      <c r="I25" s="14" t="s">
        <v>475</v>
      </c>
      <c r="J25" s="14" t="s">
        <v>475</v>
      </c>
      <c r="K25" s="15">
        <v>0.02</v>
      </c>
      <c r="L25" s="15">
        <v>0.01</v>
      </c>
      <c r="M25" s="14" t="s">
        <v>475</v>
      </c>
      <c r="N25" s="14" t="s">
        <v>475</v>
      </c>
      <c r="O25" s="14" t="s">
        <v>475</v>
      </c>
      <c r="P25" s="14" t="s">
        <v>475</v>
      </c>
      <c r="Q25" s="15">
        <v>0.01</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5">
        <v>0.01</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x14ac:dyDescent="0.35">
      <c r="A26" s="19"/>
      <c r="B26" s="11" t="s">
        <v>613</v>
      </c>
      <c r="C26" s="12">
        <v>80</v>
      </c>
      <c r="D26" s="12">
        <v>0</v>
      </c>
      <c r="E26" s="12">
        <v>15</v>
      </c>
      <c r="F26" s="12">
        <v>0</v>
      </c>
      <c r="G26" s="12">
        <v>0</v>
      </c>
      <c r="H26" s="12">
        <v>7</v>
      </c>
      <c r="I26" s="12">
        <v>8</v>
      </c>
      <c r="J26" s="12">
        <v>1</v>
      </c>
      <c r="K26" s="12">
        <v>44</v>
      </c>
      <c r="L26" s="12">
        <v>0</v>
      </c>
      <c r="M26" s="12">
        <v>11</v>
      </c>
      <c r="N26" s="12">
        <v>0</v>
      </c>
      <c r="O26" s="12">
        <v>5</v>
      </c>
      <c r="P26" s="12">
        <v>0</v>
      </c>
      <c r="Q26" s="12">
        <v>0</v>
      </c>
      <c r="R26" s="12">
        <v>0</v>
      </c>
      <c r="S26" s="12">
        <v>1</v>
      </c>
      <c r="T26" s="12">
        <v>3</v>
      </c>
      <c r="U26" s="12">
        <v>0</v>
      </c>
      <c r="V26" s="12">
        <v>0</v>
      </c>
      <c r="W26" s="12">
        <v>0</v>
      </c>
      <c r="X26" s="12">
        <v>0</v>
      </c>
      <c r="Y26" s="12">
        <v>23</v>
      </c>
      <c r="Z26" s="12">
        <v>0</v>
      </c>
      <c r="AA26" s="12">
        <v>4</v>
      </c>
      <c r="AB26" s="12">
        <v>1</v>
      </c>
      <c r="AC26" s="12">
        <v>3</v>
      </c>
      <c r="AD26" s="12">
        <v>0</v>
      </c>
      <c r="AE26" s="12">
        <v>5</v>
      </c>
      <c r="AF26" s="12">
        <v>3</v>
      </c>
      <c r="AG26" s="12">
        <v>0</v>
      </c>
      <c r="AH26" s="12">
        <v>0</v>
      </c>
      <c r="AI26" s="12">
        <v>0</v>
      </c>
      <c r="AJ26" s="12">
        <v>1</v>
      </c>
      <c r="AK26" s="12">
        <v>0</v>
      </c>
      <c r="AL26" s="12">
        <v>2</v>
      </c>
      <c r="AM26" s="12">
        <v>6</v>
      </c>
      <c r="AN26" s="12">
        <v>0</v>
      </c>
      <c r="AO26" s="12">
        <v>0</v>
      </c>
      <c r="AP26" s="12">
        <v>0</v>
      </c>
      <c r="AQ26" s="12">
        <v>1</v>
      </c>
    </row>
    <row r="27" spans="1:43" x14ac:dyDescent="0.35">
      <c r="A27" s="19"/>
      <c r="B27" s="13" t="s">
        <v>614</v>
      </c>
      <c r="C27" s="14" t="s">
        <v>475</v>
      </c>
      <c r="D27" s="14" t="s">
        <v>475</v>
      </c>
      <c r="E27" s="15">
        <v>0.01</v>
      </c>
      <c r="F27" s="14" t="s">
        <v>475</v>
      </c>
      <c r="G27" s="14" t="s">
        <v>475</v>
      </c>
      <c r="H27" s="15">
        <v>0.01</v>
      </c>
      <c r="I27" s="15">
        <v>0.01</v>
      </c>
      <c r="J27" s="14" t="s">
        <v>475</v>
      </c>
      <c r="K27" s="15">
        <v>0.04</v>
      </c>
      <c r="L27" s="14" t="s">
        <v>475</v>
      </c>
      <c r="M27" s="15">
        <v>0.01</v>
      </c>
      <c r="N27" s="14" t="s">
        <v>475</v>
      </c>
      <c r="O27" s="14" t="s">
        <v>475</v>
      </c>
      <c r="P27" s="14" t="s">
        <v>475</v>
      </c>
      <c r="Q27" s="14" t="s">
        <v>475</v>
      </c>
      <c r="R27" s="14" t="s">
        <v>475</v>
      </c>
      <c r="S27" s="14" t="s">
        <v>475</v>
      </c>
      <c r="T27" s="14" t="s">
        <v>475</v>
      </c>
      <c r="U27" s="14" t="s">
        <v>475</v>
      </c>
      <c r="V27" s="14" t="s">
        <v>475</v>
      </c>
      <c r="W27" s="14" t="s">
        <v>475</v>
      </c>
      <c r="X27" s="14" t="s">
        <v>475</v>
      </c>
      <c r="Y27" s="15">
        <v>0.02</v>
      </c>
      <c r="Z27" s="14" t="s">
        <v>475</v>
      </c>
      <c r="AA27" s="14" t="s">
        <v>475</v>
      </c>
      <c r="AB27" s="14" t="s">
        <v>475</v>
      </c>
      <c r="AC27" s="14" t="s">
        <v>475</v>
      </c>
      <c r="AD27" s="14" t="s">
        <v>475</v>
      </c>
      <c r="AE27" s="15">
        <v>0.01</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x14ac:dyDescent="0.35">
      <c r="A28" s="19"/>
      <c r="B28" s="11" t="s">
        <v>485</v>
      </c>
      <c r="C28" s="12">
        <v>125</v>
      </c>
      <c r="D28" s="12">
        <v>3</v>
      </c>
      <c r="E28" s="12">
        <v>42</v>
      </c>
      <c r="F28" s="12">
        <v>1</v>
      </c>
      <c r="G28" s="12">
        <v>9</v>
      </c>
      <c r="H28" s="12">
        <v>3</v>
      </c>
      <c r="I28" s="12">
        <v>3</v>
      </c>
      <c r="J28" s="12">
        <v>0</v>
      </c>
      <c r="K28" s="12">
        <v>45</v>
      </c>
      <c r="L28" s="12">
        <v>17</v>
      </c>
      <c r="M28" s="12">
        <v>9</v>
      </c>
      <c r="N28" s="12">
        <v>1</v>
      </c>
      <c r="O28" s="12">
        <v>8</v>
      </c>
      <c r="P28" s="12">
        <v>0</v>
      </c>
      <c r="Q28" s="12">
        <v>3</v>
      </c>
      <c r="R28" s="12">
        <v>2</v>
      </c>
      <c r="S28" s="12">
        <v>21</v>
      </c>
      <c r="T28" s="12">
        <v>12</v>
      </c>
      <c r="U28" s="12">
        <v>1</v>
      </c>
      <c r="V28" s="12">
        <v>3</v>
      </c>
      <c r="W28" s="12">
        <v>1</v>
      </c>
      <c r="X28" s="12">
        <v>7</v>
      </c>
      <c r="Y28" s="12">
        <v>9</v>
      </c>
      <c r="Z28" s="12">
        <v>0</v>
      </c>
      <c r="AA28" s="12">
        <v>5</v>
      </c>
      <c r="AB28" s="12">
        <v>3</v>
      </c>
      <c r="AC28" s="12">
        <v>2</v>
      </c>
      <c r="AD28" s="12">
        <v>0</v>
      </c>
      <c r="AE28" s="12">
        <v>24</v>
      </c>
      <c r="AF28" s="12">
        <v>8</v>
      </c>
      <c r="AG28" s="12">
        <v>0</v>
      </c>
      <c r="AH28" s="12">
        <v>0</v>
      </c>
      <c r="AI28" s="12">
        <v>0</v>
      </c>
      <c r="AJ28" s="12">
        <v>2</v>
      </c>
      <c r="AK28" s="12">
        <v>0</v>
      </c>
      <c r="AL28" s="12">
        <v>26</v>
      </c>
      <c r="AM28" s="12">
        <v>22</v>
      </c>
      <c r="AN28" s="12">
        <v>0</v>
      </c>
      <c r="AO28" s="12">
        <v>4</v>
      </c>
      <c r="AP28" s="12">
        <v>0</v>
      </c>
      <c r="AQ28" s="12">
        <v>5</v>
      </c>
    </row>
    <row r="29" spans="1:43" x14ac:dyDescent="0.35">
      <c r="A29" s="19"/>
      <c r="B29" s="13" t="s">
        <v>486</v>
      </c>
      <c r="C29" s="15">
        <v>0.01</v>
      </c>
      <c r="D29" s="14" t="s">
        <v>475</v>
      </c>
      <c r="E29" s="15">
        <v>0.04</v>
      </c>
      <c r="F29" s="14" t="s">
        <v>475</v>
      </c>
      <c r="G29" s="15">
        <v>0.01</v>
      </c>
      <c r="H29" s="14" t="s">
        <v>475</v>
      </c>
      <c r="I29" s="14" t="s">
        <v>475</v>
      </c>
      <c r="J29" s="14" t="s">
        <v>475</v>
      </c>
      <c r="K29" s="15">
        <v>0.04</v>
      </c>
      <c r="L29" s="15">
        <v>0.02</v>
      </c>
      <c r="M29" s="15">
        <v>0.01</v>
      </c>
      <c r="N29" s="14" t="s">
        <v>475</v>
      </c>
      <c r="O29" s="15">
        <v>0.01</v>
      </c>
      <c r="P29" s="14" t="s">
        <v>475</v>
      </c>
      <c r="Q29" s="14" t="s">
        <v>475</v>
      </c>
      <c r="R29" s="15">
        <v>0.01</v>
      </c>
      <c r="S29" s="15">
        <v>0.02</v>
      </c>
      <c r="T29" s="15">
        <v>0.01</v>
      </c>
      <c r="U29" s="14" t="s">
        <v>475</v>
      </c>
      <c r="V29" s="14" t="s">
        <v>475</v>
      </c>
      <c r="W29" s="14" t="s">
        <v>475</v>
      </c>
      <c r="X29" s="15">
        <v>0.01</v>
      </c>
      <c r="Y29" s="15">
        <v>0.01</v>
      </c>
      <c r="Z29" s="14" t="s">
        <v>475</v>
      </c>
      <c r="AA29" s="15">
        <v>0.01</v>
      </c>
      <c r="AB29" s="14" t="s">
        <v>475</v>
      </c>
      <c r="AC29" s="14" t="s">
        <v>475</v>
      </c>
      <c r="AD29" s="14" t="s">
        <v>475</v>
      </c>
      <c r="AE29" s="15">
        <v>0.02</v>
      </c>
      <c r="AF29" s="15">
        <v>0.01</v>
      </c>
      <c r="AG29" s="14" t="s">
        <v>475</v>
      </c>
      <c r="AH29" s="14" t="s">
        <v>475</v>
      </c>
      <c r="AI29" s="14" t="s">
        <v>475</v>
      </c>
      <c r="AJ29" s="14" t="s">
        <v>475</v>
      </c>
      <c r="AK29" s="14" t="s">
        <v>475</v>
      </c>
      <c r="AL29" s="15">
        <v>0.03</v>
      </c>
      <c r="AM29" s="15">
        <v>0.02</v>
      </c>
      <c r="AN29" s="14" t="s">
        <v>475</v>
      </c>
      <c r="AO29" s="14" t="s">
        <v>475</v>
      </c>
      <c r="AP29" s="14" t="s">
        <v>475</v>
      </c>
      <c r="AQ29" s="15">
        <v>0.01</v>
      </c>
    </row>
  </sheetData>
  <mergeCells count="9">
    <mergeCell ref="B4:F4"/>
    <mergeCell ref="H3:L3"/>
    <mergeCell ref="A10:A29"/>
    <mergeCell ref="B5:F5"/>
    <mergeCell ref="B3:F3"/>
    <mergeCell ref="C8:AQ8"/>
    <mergeCell ref="H5:L5"/>
    <mergeCell ref="B10:B11"/>
    <mergeCell ref="H4:L4"/>
  </mergeCells>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AQ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48" customHeight="1" x14ac:dyDescent="0.35">
      <c r="B3" s="18" t="s">
        <v>419</v>
      </c>
      <c r="C3" s="18"/>
      <c r="D3" s="18"/>
      <c r="E3" s="18"/>
      <c r="F3" s="18"/>
      <c r="H3" s="18" t="s">
        <v>420</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HYPERLINK("#Content!A212","&lt;&lt;Back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1693</v>
      </c>
      <c r="C12" s="12">
        <v>966</v>
      </c>
      <c r="D12" s="12">
        <v>27</v>
      </c>
      <c r="E12" s="12">
        <v>50</v>
      </c>
      <c r="F12" s="12">
        <v>40</v>
      </c>
      <c r="G12" s="12">
        <v>33</v>
      </c>
      <c r="H12" s="12">
        <v>24</v>
      </c>
      <c r="I12" s="12">
        <v>37</v>
      </c>
      <c r="J12" s="12">
        <v>13</v>
      </c>
      <c r="K12" s="12">
        <v>28</v>
      </c>
      <c r="L12" s="12">
        <v>18</v>
      </c>
      <c r="M12" s="12">
        <v>14</v>
      </c>
      <c r="N12" s="12">
        <v>51</v>
      </c>
      <c r="O12" s="12">
        <v>37</v>
      </c>
      <c r="P12" s="12">
        <v>46</v>
      </c>
      <c r="Q12" s="12">
        <v>35</v>
      </c>
      <c r="R12" s="12">
        <v>26</v>
      </c>
      <c r="S12" s="12">
        <v>9</v>
      </c>
      <c r="T12" s="12">
        <v>44</v>
      </c>
      <c r="U12" s="12">
        <v>7</v>
      </c>
      <c r="V12" s="12">
        <v>38</v>
      </c>
      <c r="W12" s="12">
        <v>11</v>
      </c>
      <c r="X12" s="12">
        <v>55</v>
      </c>
      <c r="Y12" s="12">
        <v>19</v>
      </c>
      <c r="Z12" s="12">
        <v>17</v>
      </c>
      <c r="AA12" s="12">
        <v>66</v>
      </c>
      <c r="AB12" s="12">
        <v>75</v>
      </c>
      <c r="AC12" s="12">
        <v>45</v>
      </c>
      <c r="AD12" s="12">
        <v>34</v>
      </c>
      <c r="AE12" s="12">
        <v>30</v>
      </c>
      <c r="AF12" s="12">
        <v>86</v>
      </c>
      <c r="AG12" s="12">
        <v>52</v>
      </c>
      <c r="AH12" s="12">
        <v>33</v>
      </c>
      <c r="AI12" s="12">
        <v>34</v>
      </c>
      <c r="AJ12" s="12">
        <v>39</v>
      </c>
      <c r="AK12" s="12">
        <v>72</v>
      </c>
      <c r="AL12" s="12">
        <v>91</v>
      </c>
      <c r="AM12" s="12">
        <v>29</v>
      </c>
      <c r="AN12" s="12">
        <v>63</v>
      </c>
      <c r="AO12" s="12">
        <v>94</v>
      </c>
      <c r="AP12" s="12">
        <v>91</v>
      </c>
      <c r="AQ12" s="12">
        <v>31</v>
      </c>
    </row>
    <row r="13" spans="1:43" x14ac:dyDescent="0.35">
      <c r="A13" s="19"/>
      <c r="B13" s="13" t="s">
        <v>1694</v>
      </c>
      <c r="C13" s="15">
        <v>0.04</v>
      </c>
      <c r="D13" s="15">
        <v>0.03</v>
      </c>
      <c r="E13" s="15">
        <v>0.05</v>
      </c>
      <c r="F13" s="15">
        <v>0.04</v>
      </c>
      <c r="G13" s="15">
        <v>0.03</v>
      </c>
      <c r="H13" s="15">
        <v>0.02</v>
      </c>
      <c r="I13" s="15">
        <v>0.03</v>
      </c>
      <c r="J13" s="15">
        <v>0.04</v>
      </c>
      <c r="K13" s="15">
        <v>0.03</v>
      </c>
      <c r="L13" s="15">
        <v>0.02</v>
      </c>
      <c r="M13" s="15">
        <v>0.01</v>
      </c>
      <c r="N13" s="15">
        <v>0.05</v>
      </c>
      <c r="O13" s="15">
        <v>0.04</v>
      </c>
      <c r="P13" s="15">
        <v>0.05</v>
      </c>
      <c r="Q13" s="15">
        <v>0.03</v>
      </c>
      <c r="R13" s="15">
        <v>0.05</v>
      </c>
      <c r="S13" s="15">
        <v>0.01</v>
      </c>
      <c r="T13" s="15">
        <v>0.04</v>
      </c>
      <c r="U13" s="15">
        <v>0.02</v>
      </c>
      <c r="V13" s="15">
        <v>0.04</v>
      </c>
      <c r="W13" s="15">
        <v>0.02</v>
      </c>
      <c r="X13" s="15">
        <v>0.05</v>
      </c>
      <c r="Y13" s="15">
        <v>0.02</v>
      </c>
      <c r="Z13" s="15">
        <v>0.01</v>
      </c>
      <c r="AA13" s="15">
        <v>0.06</v>
      </c>
      <c r="AB13" s="15">
        <v>7.0000000000000007E-2</v>
      </c>
      <c r="AC13" s="15">
        <v>0.05</v>
      </c>
      <c r="AD13" s="15">
        <v>0.03</v>
      </c>
      <c r="AE13" s="15">
        <v>0.03</v>
      </c>
      <c r="AF13" s="15">
        <v>0.08</v>
      </c>
      <c r="AG13" s="15">
        <v>0.05</v>
      </c>
      <c r="AH13" s="15">
        <v>0.03</v>
      </c>
      <c r="AI13" s="15">
        <v>0.06</v>
      </c>
      <c r="AJ13" s="15">
        <v>0.04</v>
      </c>
      <c r="AK13" s="15">
        <v>7.0000000000000007E-2</v>
      </c>
      <c r="AL13" s="15">
        <v>0.09</v>
      </c>
      <c r="AM13" s="15">
        <v>0.03</v>
      </c>
      <c r="AN13" s="15">
        <v>0.06</v>
      </c>
      <c r="AO13" s="15">
        <v>0.09</v>
      </c>
      <c r="AP13" s="15">
        <v>0.17</v>
      </c>
      <c r="AQ13" s="15">
        <v>0.03</v>
      </c>
    </row>
    <row r="14" spans="1:43" x14ac:dyDescent="0.35">
      <c r="A14" s="19"/>
      <c r="B14" s="11" t="s">
        <v>1643</v>
      </c>
      <c r="C14" s="12">
        <v>928</v>
      </c>
      <c r="D14" s="12">
        <v>58</v>
      </c>
      <c r="E14" s="12">
        <v>28</v>
      </c>
      <c r="F14" s="12">
        <v>21</v>
      </c>
      <c r="G14" s="12">
        <v>55</v>
      </c>
      <c r="H14" s="12">
        <v>46</v>
      </c>
      <c r="I14" s="12">
        <v>59</v>
      </c>
      <c r="J14" s="12">
        <v>12</v>
      </c>
      <c r="K14" s="12">
        <v>30</v>
      </c>
      <c r="L14" s="12">
        <v>33</v>
      </c>
      <c r="M14" s="12">
        <v>27</v>
      </c>
      <c r="N14" s="12">
        <v>38</v>
      </c>
      <c r="O14" s="12">
        <v>38</v>
      </c>
      <c r="P14" s="12">
        <v>22</v>
      </c>
      <c r="Q14" s="12">
        <v>18</v>
      </c>
      <c r="R14" s="12">
        <v>6</v>
      </c>
      <c r="S14" s="12">
        <v>11</v>
      </c>
      <c r="T14" s="12">
        <v>21</v>
      </c>
      <c r="U14" s="12">
        <v>11</v>
      </c>
      <c r="V14" s="12">
        <v>24</v>
      </c>
      <c r="W14" s="12">
        <v>21</v>
      </c>
      <c r="X14" s="12">
        <v>85</v>
      </c>
      <c r="Y14" s="12">
        <v>37</v>
      </c>
      <c r="Z14" s="12">
        <v>26</v>
      </c>
      <c r="AA14" s="12">
        <v>9</v>
      </c>
      <c r="AB14" s="12">
        <v>29</v>
      </c>
      <c r="AC14" s="12">
        <v>23</v>
      </c>
      <c r="AD14" s="12">
        <v>36</v>
      </c>
      <c r="AE14" s="12">
        <v>35</v>
      </c>
      <c r="AF14" s="12">
        <v>100</v>
      </c>
      <c r="AG14" s="12">
        <v>71</v>
      </c>
      <c r="AH14" s="12">
        <v>55</v>
      </c>
      <c r="AI14" s="12">
        <v>9</v>
      </c>
      <c r="AJ14" s="12">
        <v>35</v>
      </c>
      <c r="AK14" s="12">
        <v>55</v>
      </c>
      <c r="AL14" s="12">
        <v>14</v>
      </c>
      <c r="AM14" s="12">
        <v>47</v>
      </c>
      <c r="AN14" s="12">
        <v>33</v>
      </c>
      <c r="AO14" s="12">
        <v>35</v>
      </c>
      <c r="AP14" s="12">
        <v>14</v>
      </c>
      <c r="AQ14" s="12">
        <v>13</v>
      </c>
    </row>
    <row r="15" spans="1:43" x14ac:dyDescent="0.35">
      <c r="A15" s="19"/>
      <c r="B15" s="13" t="s">
        <v>1643</v>
      </c>
      <c r="C15" s="15">
        <v>0.04</v>
      </c>
      <c r="D15" s="15">
        <v>0.06</v>
      </c>
      <c r="E15" s="15">
        <v>0.03</v>
      </c>
      <c r="F15" s="15">
        <v>0.02</v>
      </c>
      <c r="G15" s="15">
        <v>0.06</v>
      </c>
      <c r="H15" s="15">
        <v>0.04</v>
      </c>
      <c r="I15" s="15">
        <v>0.04</v>
      </c>
      <c r="J15" s="15">
        <v>0.04</v>
      </c>
      <c r="K15" s="15">
        <v>0.03</v>
      </c>
      <c r="L15" s="15">
        <v>0.03</v>
      </c>
      <c r="M15" s="15">
        <v>0.03</v>
      </c>
      <c r="N15" s="15">
        <v>0.04</v>
      </c>
      <c r="O15" s="15">
        <v>0.04</v>
      </c>
      <c r="P15" s="15">
        <v>0.02</v>
      </c>
      <c r="Q15" s="15">
        <v>0.02</v>
      </c>
      <c r="R15" s="15">
        <v>0.01</v>
      </c>
      <c r="S15" s="15">
        <v>0.01</v>
      </c>
      <c r="T15" s="15">
        <v>0.02</v>
      </c>
      <c r="U15" s="15">
        <v>0.02</v>
      </c>
      <c r="V15" s="15">
        <v>0.02</v>
      </c>
      <c r="W15" s="15">
        <v>0.04</v>
      </c>
      <c r="X15" s="15">
        <v>0.08</v>
      </c>
      <c r="Y15" s="15">
        <v>0.04</v>
      </c>
      <c r="Z15" s="15">
        <v>0.02</v>
      </c>
      <c r="AA15" s="15">
        <v>0.01</v>
      </c>
      <c r="AB15" s="15">
        <v>0.03</v>
      </c>
      <c r="AC15" s="15">
        <v>0.02</v>
      </c>
      <c r="AD15" s="15">
        <v>0.04</v>
      </c>
      <c r="AE15" s="15">
        <v>0.03</v>
      </c>
      <c r="AF15" s="15">
        <v>0.09</v>
      </c>
      <c r="AG15" s="15">
        <v>7.0000000000000007E-2</v>
      </c>
      <c r="AH15" s="15">
        <v>0.05</v>
      </c>
      <c r="AI15" s="15">
        <v>0.02</v>
      </c>
      <c r="AJ15" s="15">
        <v>0.03</v>
      </c>
      <c r="AK15" s="15">
        <v>0.05</v>
      </c>
      <c r="AL15" s="15">
        <v>0.02</v>
      </c>
      <c r="AM15" s="15">
        <v>0.05</v>
      </c>
      <c r="AN15" s="15">
        <v>0.03</v>
      </c>
      <c r="AO15" s="15">
        <v>0.04</v>
      </c>
      <c r="AP15" s="15">
        <v>0.03</v>
      </c>
      <c r="AQ15" s="15">
        <v>0.01</v>
      </c>
    </row>
    <row r="16" spans="1:43" x14ac:dyDescent="0.35">
      <c r="A16" s="19"/>
      <c r="B16" s="11" t="s">
        <v>1644</v>
      </c>
      <c r="C16" s="12">
        <v>2314</v>
      </c>
      <c r="D16" s="12">
        <v>88</v>
      </c>
      <c r="E16" s="12">
        <v>71</v>
      </c>
      <c r="F16" s="12">
        <v>76</v>
      </c>
      <c r="G16" s="12">
        <v>122</v>
      </c>
      <c r="H16" s="12">
        <v>120</v>
      </c>
      <c r="I16" s="12">
        <v>145</v>
      </c>
      <c r="J16" s="12">
        <v>24</v>
      </c>
      <c r="K16" s="12">
        <v>62</v>
      </c>
      <c r="L16" s="12">
        <v>66</v>
      </c>
      <c r="M16" s="12">
        <v>89</v>
      </c>
      <c r="N16" s="12">
        <v>89</v>
      </c>
      <c r="O16" s="12">
        <v>102</v>
      </c>
      <c r="P16" s="12">
        <v>64</v>
      </c>
      <c r="Q16" s="12">
        <v>67</v>
      </c>
      <c r="R16" s="12">
        <v>13</v>
      </c>
      <c r="S16" s="12">
        <v>29</v>
      </c>
      <c r="T16" s="12">
        <v>45</v>
      </c>
      <c r="U16" s="12">
        <v>36</v>
      </c>
      <c r="V16" s="12">
        <v>72</v>
      </c>
      <c r="W16" s="12">
        <v>31</v>
      </c>
      <c r="X16" s="12">
        <v>129</v>
      </c>
      <c r="Y16" s="12">
        <v>101</v>
      </c>
      <c r="Z16" s="12">
        <v>81</v>
      </c>
      <c r="AA16" s="12">
        <v>49</v>
      </c>
      <c r="AB16" s="12">
        <v>77</v>
      </c>
      <c r="AC16" s="12">
        <v>63</v>
      </c>
      <c r="AD16" s="12">
        <v>88</v>
      </c>
      <c r="AE16" s="12">
        <v>94</v>
      </c>
      <c r="AF16" s="12">
        <v>163</v>
      </c>
      <c r="AG16" s="12">
        <v>108</v>
      </c>
      <c r="AH16" s="12">
        <v>60</v>
      </c>
      <c r="AI16" s="12">
        <v>56</v>
      </c>
      <c r="AJ16" s="12">
        <v>87</v>
      </c>
      <c r="AK16" s="12">
        <v>96</v>
      </c>
      <c r="AL16" s="12">
        <v>24</v>
      </c>
      <c r="AM16" s="12">
        <v>99</v>
      </c>
      <c r="AN16" s="12">
        <v>49</v>
      </c>
      <c r="AO16" s="12">
        <v>30</v>
      </c>
      <c r="AP16" s="12">
        <v>26</v>
      </c>
      <c r="AQ16" s="12">
        <v>10</v>
      </c>
    </row>
    <row r="17" spans="1:43" x14ac:dyDescent="0.35">
      <c r="A17" s="19"/>
      <c r="B17" s="13" t="s">
        <v>1644</v>
      </c>
      <c r="C17" s="15">
        <v>0.09</v>
      </c>
      <c r="D17" s="15">
        <v>0.09</v>
      </c>
      <c r="E17" s="15">
        <v>7.0000000000000007E-2</v>
      </c>
      <c r="F17" s="15">
        <v>7.0000000000000007E-2</v>
      </c>
      <c r="G17" s="15">
        <v>0.12</v>
      </c>
      <c r="H17" s="15">
        <v>0.1</v>
      </c>
      <c r="I17" s="15">
        <v>0.1</v>
      </c>
      <c r="J17" s="15">
        <v>0.08</v>
      </c>
      <c r="K17" s="15">
        <v>0.06</v>
      </c>
      <c r="L17" s="15">
        <v>7.0000000000000007E-2</v>
      </c>
      <c r="M17" s="15">
        <v>0.09</v>
      </c>
      <c r="N17" s="15">
        <v>0.09</v>
      </c>
      <c r="O17" s="15">
        <v>0.1</v>
      </c>
      <c r="P17" s="15">
        <v>0.06</v>
      </c>
      <c r="Q17" s="15">
        <v>7.0000000000000007E-2</v>
      </c>
      <c r="R17" s="15">
        <v>0.03</v>
      </c>
      <c r="S17" s="15">
        <v>0.03</v>
      </c>
      <c r="T17" s="15">
        <v>0.04</v>
      </c>
      <c r="U17" s="15">
        <v>7.0000000000000007E-2</v>
      </c>
      <c r="V17" s="15">
        <v>7.0000000000000007E-2</v>
      </c>
      <c r="W17" s="15">
        <v>0.06</v>
      </c>
      <c r="X17" s="15">
        <v>0.13</v>
      </c>
      <c r="Y17" s="15">
        <v>0.1</v>
      </c>
      <c r="Z17" s="15">
        <v>0.08</v>
      </c>
      <c r="AA17" s="15">
        <v>0.05</v>
      </c>
      <c r="AB17" s="15">
        <v>7.0000000000000007E-2</v>
      </c>
      <c r="AC17" s="15">
        <v>0.06</v>
      </c>
      <c r="AD17" s="15">
        <v>0.09</v>
      </c>
      <c r="AE17" s="15">
        <v>0.09</v>
      </c>
      <c r="AF17" s="15">
        <v>0.16</v>
      </c>
      <c r="AG17" s="15">
        <v>0.1</v>
      </c>
      <c r="AH17" s="15">
        <v>0.06</v>
      </c>
      <c r="AI17" s="15">
        <v>0.11</v>
      </c>
      <c r="AJ17" s="15">
        <v>0.08</v>
      </c>
      <c r="AK17" s="15">
        <v>0.09</v>
      </c>
      <c r="AL17" s="15">
        <v>0.02</v>
      </c>
      <c r="AM17" s="15">
        <v>0.09</v>
      </c>
      <c r="AN17" s="15">
        <v>0.05</v>
      </c>
      <c r="AO17" s="15">
        <v>0.03</v>
      </c>
      <c r="AP17" s="15">
        <v>0.05</v>
      </c>
      <c r="AQ17" s="15">
        <v>0.01</v>
      </c>
    </row>
    <row r="18" spans="1:43" x14ac:dyDescent="0.35">
      <c r="A18" s="19"/>
      <c r="B18" s="11" t="s">
        <v>1695</v>
      </c>
      <c r="C18" s="12">
        <v>2907</v>
      </c>
      <c r="D18" s="12">
        <v>138</v>
      </c>
      <c r="E18" s="12">
        <v>72</v>
      </c>
      <c r="F18" s="12">
        <v>104</v>
      </c>
      <c r="G18" s="12">
        <v>140</v>
      </c>
      <c r="H18" s="12">
        <v>154</v>
      </c>
      <c r="I18" s="12">
        <v>186</v>
      </c>
      <c r="J18" s="12">
        <v>32</v>
      </c>
      <c r="K18" s="12">
        <v>62</v>
      </c>
      <c r="L18" s="12">
        <v>115</v>
      </c>
      <c r="M18" s="12">
        <v>118</v>
      </c>
      <c r="N18" s="12">
        <v>121</v>
      </c>
      <c r="O18" s="12">
        <v>98</v>
      </c>
      <c r="P18" s="12">
        <v>121</v>
      </c>
      <c r="Q18" s="12">
        <v>117</v>
      </c>
      <c r="R18" s="12">
        <v>7</v>
      </c>
      <c r="S18" s="12">
        <v>41</v>
      </c>
      <c r="T18" s="12">
        <v>87</v>
      </c>
      <c r="U18" s="12">
        <v>54</v>
      </c>
      <c r="V18" s="12">
        <v>90</v>
      </c>
      <c r="W18" s="12">
        <v>29</v>
      </c>
      <c r="X18" s="12">
        <v>137</v>
      </c>
      <c r="Y18" s="12">
        <v>135</v>
      </c>
      <c r="Z18" s="12">
        <v>100</v>
      </c>
      <c r="AA18" s="12">
        <v>97</v>
      </c>
      <c r="AB18" s="12">
        <v>56</v>
      </c>
      <c r="AC18" s="12">
        <v>66</v>
      </c>
      <c r="AD18" s="12">
        <v>109</v>
      </c>
      <c r="AE18" s="12">
        <v>136</v>
      </c>
      <c r="AF18" s="12">
        <v>150</v>
      </c>
      <c r="AG18" s="12">
        <v>79</v>
      </c>
      <c r="AH18" s="12">
        <v>61</v>
      </c>
      <c r="AI18" s="12">
        <v>124</v>
      </c>
      <c r="AJ18" s="12">
        <v>102</v>
      </c>
      <c r="AK18" s="12">
        <v>101</v>
      </c>
      <c r="AL18" s="12">
        <v>21</v>
      </c>
      <c r="AM18" s="12">
        <v>138</v>
      </c>
      <c r="AN18" s="12">
        <v>80</v>
      </c>
      <c r="AO18" s="12">
        <v>41</v>
      </c>
      <c r="AP18" s="12">
        <v>16</v>
      </c>
      <c r="AQ18" s="12">
        <v>26</v>
      </c>
    </row>
    <row r="19" spans="1:43" x14ac:dyDescent="0.35">
      <c r="A19" s="19"/>
      <c r="B19" s="13" t="s">
        <v>1695</v>
      </c>
      <c r="C19" s="15">
        <v>0.11</v>
      </c>
      <c r="D19" s="15">
        <v>0.14000000000000001</v>
      </c>
      <c r="E19" s="15">
        <v>7.0000000000000007E-2</v>
      </c>
      <c r="F19" s="15">
        <v>0.09</v>
      </c>
      <c r="G19" s="15">
        <v>0.14000000000000001</v>
      </c>
      <c r="H19" s="15">
        <v>0.13</v>
      </c>
      <c r="I19" s="15">
        <v>0.12</v>
      </c>
      <c r="J19" s="15">
        <v>0.11</v>
      </c>
      <c r="K19" s="15">
        <v>0.06</v>
      </c>
      <c r="L19" s="15">
        <v>0.11</v>
      </c>
      <c r="M19" s="15">
        <v>0.12</v>
      </c>
      <c r="N19" s="15">
        <v>0.12</v>
      </c>
      <c r="O19" s="15">
        <v>0.1</v>
      </c>
      <c r="P19" s="15">
        <v>0.12</v>
      </c>
      <c r="Q19" s="15">
        <v>0.11</v>
      </c>
      <c r="R19" s="15">
        <v>0.01</v>
      </c>
      <c r="S19" s="15">
        <v>0.04</v>
      </c>
      <c r="T19" s="15">
        <v>0.09</v>
      </c>
      <c r="U19" s="15">
        <v>0.11</v>
      </c>
      <c r="V19" s="15">
        <v>0.09</v>
      </c>
      <c r="W19" s="15">
        <v>0.06</v>
      </c>
      <c r="X19" s="15">
        <v>0.14000000000000001</v>
      </c>
      <c r="Y19" s="15">
        <v>0.14000000000000001</v>
      </c>
      <c r="Z19" s="15">
        <v>0.1</v>
      </c>
      <c r="AA19" s="15">
        <v>0.09</v>
      </c>
      <c r="AB19" s="15">
        <v>0.05</v>
      </c>
      <c r="AC19" s="15">
        <v>7.0000000000000007E-2</v>
      </c>
      <c r="AD19" s="15">
        <v>0.11</v>
      </c>
      <c r="AE19" s="15">
        <v>0.13</v>
      </c>
      <c r="AF19" s="15">
        <v>0.14000000000000001</v>
      </c>
      <c r="AG19" s="15">
        <v>0.08</v>
      </c>
      <c r="AH19" s="15">
        <v>0.06</v>
      </c>
      <c r="AI19" s="15">
        <v>0.24</v>
      </c>
      <c r="AJ19" s="15">
        <v>0.1</v>
      </c>
      <c r="AK19" s="15">
        <v>0.1</v>
      </c>
      <c r="AL19" s="15">
        <v>0.02</v>
      </c>
      <c r="AM19" s="15">
        <v>0.13</v>
      </c>
      <c r="AN19" s="15">
        <v>0.08</v>
      </c>
      <c r="AO19" s="15">
        <v>0.04</v>
      </c>
      <c r="AP19" s="15">
        <v>0.03</v>
      </c>
      <c r="AQ19" s="15">
        <v>0.03</v>
      </c>
    </row>
    <row r="20" spans="1:43" x14ac:dyDescent="0.35">
      <c r="A20" s="19"/>
      <c r="B20" s="11" t="s">
        <v>1696</v>
      </c>
      <c r="C20" s="12">
        <v>6261</v>
      </c>
      <c r="D20" s="12">
        <v>259</v>
      </c>
      <c r="E20" s="12">
        <v>168</v>
      </c>
      <c r="F20" s="12">
        <v>319</v>
      </c>
      <c r="G20" s="12">
        <v>194</v>
      </c>
      <c r="H20" s="12">
        <v>424</v>
      </c>
      <c r="I20" s="12">
        <v>508</v>
      </c>
      <c r="J20" s="12">
        <v>85</v>
      </c>
      <c r="K20" s="12">
        <v>206</v>
      </c>
      <c r="L20" s="12">
        <v>439</v>
      </c>
      <c r="M20" s="12">
        <v>259</v>
      </c>
      <c r="N20" s="12">
        <v>318</v>
      </c>
      <c r="O20" s="12">
        <v>183</v>
      </c>
      <c r="P20" s="12">
        <v>252</v>
      </c>
      <c r="Q20" s="12">
        <v>152</v>
      </c>
      <c r="R20" s="12">
        <v>108</v>
      </c>
      <c r="S20" s="12">
        <v>194</v>
      </c>
      <c r="T20" s="12">
        <v>257</v>
      </c>
      <c r="U20" s="12">
        <v>194</v>
      </c>
      <c r="V20" s="12">
        <v>225</v>
      </c>
      <c r="W20" s="12">
        <v>148</v>
      </c>
      <c r="X20" s="12">
        <v>167</v>
      </c>
      <c r="Y20" s="12">
        <v>205</v>
      </c>
      <c r="Z20" s="12">
        <v>234</v>
      </c>
      <c r="AA20" s="12">
        <v>243</v>
      </c>
      <c r="AB20" s="12">
        <v>175</v>
      </c>
      <c r="AC20" s="12">
        <v>315</v>
      </c>
      <c r="AD20" s="12">
        <v>204</v>
      </c>
      <c r="AE20" s="12">
        <v>169</v>
      </c>
      <c r="AF20" s="12">
        <v>154</v>
      </c>
      <c r="AG20" s="12">
        <v>112</v>
      </c>
      <c r="AH20" s="12">
        <v>291</v>
      </c>
      <c r="AI20" s="12">
        <v>152</v>
      </c>
      <c r="AJ20" s="12">
        <v>270</v>
      </c>
      <c r="AK20" s="12">
        <v>256</v>
      </c>
      <c r="AL20" s="12">
        <v>309</v>
      </c>
      <c r="AM20" s="12">
        <v>375</v>
      </c>
      <c r="AN20" s="12">
        <v>293</v>
      </c>
      <c r="AO20" s="12">
        <v>143</v>
      </c>
      <c r="AP20" s="12">
        <v>298</v>
      </c>
      <c r="AQ20" s="12">
        <v>301</v>
      </c>
    </row>
    <row r="21" spans="1:43" x14ac:dyDescent="0.35">
      <c r="A21" s="19"/>
      <c r="B21" s="13" t="s">
        <v>1696</v>
      </c>
      <c r="C21" s="15">
        <v>0.24</v>
      </c>
      <c r="D21" s="15">
        <v>0.25</v>
      </c>
      <c r="E21" s="15">
        <v>0.16</v>
      </c>
      <c r="F21" s="15">
        <v>0.28999999999999998</v>
      </c>
      <c r="G21" s="15">
        <v>0.19</v>
      </c>
      <c r="H21" s="15">
        <v>0.35</v>
      </c>
      <c r="I21" s="15">
        <v>0.34</v>
      </c>
      <c r="J21" s="15">
        <v>0.28999999999999998</v>
      </c>
      <c r="K21" s="15">
        <v>0.2</v>
      </c>
      <c r="L21" s="15">
        <v>0.44</v>
      </c>
      <c r="M21" s="15">
        <v>0.26</v>
      </c>
      <c r="N21" s="15">
        <v>0.32</v>
      </c>
      <c r="O21" s="15">
        <v>0.18</v>
      </c>
      <c r="P21" s="15">
        <v>0.25</v>
      </c>
      <c r="Q21" s="15">
        <v>0.15</v>
      </c>
      <c r="R21" s="15">
        <v>0.22</v>
      </c>
      <c r="S21" s="15">
        <v>0.19</v>
      </c>
      <c r="T21" s="15">
        <v>0.26</v>
      </c>
      <c r="U21" s="15">
        <v>0.39</v>
      </c>
      <c r="V21" s="15">
        <v>0.22</v>
      </c>
      <c r="W21" s="15">
        <v>0.28999999999999998</v>
      </c>
      <c r="X21" s="15">
        <v>0.17</v>
      </c>
      <c r="Y21" s="15">
        <v>0.2</v>
      </c>
      <c r="Z21" s="15">
        <v>0.23</v>
      </c>
      <c r="AA21" s="15">
        <v>0.23</v>
      </c>
      <c r="AB21" s="15">
        <v>0.17</v>
      </c>
      <c r="AC21" s="15">
        <v>0.32</v>
      </c>
      <c r="AD21" s="15">
        <v>0.2</v>
      </c>
      <c r="AE21" s="15">
        <v>0.17</v>
      </c>
      <c r="AF21" s="15">
        <v>0.15</v>
      </c>
      <c r="AG21" s="15">
        <v>0.11</v>
      </c>
      <c r="AH21" s="15">
        <v>0.28999999999999998</v>
      </c>
      <c r="AI21" s="15">
        <v>0.28999999999999998</v>
      </c>
      <c r="AJ21" s="15">
        <v>0.26</v>
      </c>
      <c r="AK21" s="15">
        <v>0.25</v>
      </c>
      <c r="AL21" s="15">
        <v>0.31</v>
      </c>
      <c r="AM21" s="15">
        <v>0.36</v>
      </c>
      <c r="AN21" s="15">
        <v>0.28999999999999998</v>
      </c>
      <c r="AO21" s="15">
        <v>0.14000000000000001</v>
      </c>
      <c r="AP21" s="15">
        <v>0.57000000000000006</v>
      </c>
      <c r="AQ21" s="15">
        <v>0.3</v>
      </c>
    </row>
    <row r="22" spans="1:43" x14ac:dyDescent="0.35">
      <c r="A22" s="19"/>
      <c r="B22" s="11" t="s">
        <v>1697</v>
      </c>
      <c r="C22" s="12">
        <v>3537</v>
      </c>
      <c r="D22" s="12">
        <v>146</v>
      </c>
      <c r="E22" s="12">
        <v>127</v>
      </c>
      <c r="F22" s="12">
        <v>202</v>
      </c>
      <c r="G22" s="12">
        <v>125</v>
      </c>
      <c r="H22" s="12">
        <v>177</v>
      </c>
      <c r="I22" s="12">
        <v>233</v>
      </c>
      <c r="J22" s="12">
        <v>56</v>
      </c>
      <c r="K22" s="12">
        <v>119</v>
      </c>
      <c r="L22" s="12">
        <v>119</v>
      </c>
      <c r="M22" s="12">
        <v>82</v>
      </c>
      <c r="N22" s="12">
        <v>104</v>
      </c>
      <c r="O22" s="12">
        <v>104</v>
      </c>
      <c r="P22" s="12">
        <v>126</v>
      </c>
      <c r="Q22" s="12">
        <v>159</v>
      </c>
      <c r="R22" s="12">
        <v>56</v>
      </c>
      <c r="S22" s="12">
        <v>196</v>
      </c>
      <c r="T22" s="12">
        <v>85</v>
      </c>
      <c r="U22" s="12">
        <v>74</v>
      </c>
      <c r="V22" s="12">
        <v>168</v>
      </c>
      <c r="W22" s="12">
        <v>34</v>
      </c>
      <c r="X22" s="12">
        <v>148</v>
      </c>
      <c r="Y22" s="12">
        <v>145</v>
      </c>
      <c r="Z22" s="12">
        <v>178</v>
      </c>
      <c r="AA22" s="12">
        <v>87</v>
      </c>
      <c r="AB22" s="12">
        <v>130</v>
      </c>
      <c r="AC22" s="12">
        <v>68</v>
      </c>
      <c r="AD22" s="12">
        <v>136</v>
      </c>
      <c r="AE22" s="12">
        <v>123</v>
      </c>
      <c r="AF22" s="12">
        <v>101</v>
      </c>
      <c r="AG22" s="12">
        <v>113</v>
      </c>
      <c r="AH22" s="12">
        <v>117</v>
      </c>
      <c r="AI22" s="12">
        <v>77</v>
      </c>
      <c r="AJ22" s="12">
        <v>94</v>
      </c>
      <c r="AK22" s="12">
        <v>68</v>
      </c>
      <c r="AL22" s="12">
        <v>59</v>
      </c>
      <c r="AM22" s="12">
        <v>106</v>
      </c>
      <c r="AN22" s="12">
        <v>121</v>
      </c>
      <c r="AO22" s="12">
        <v>55</v>
      </c>
      <c r="AP22" s="12">
        <v>13</v>
      </c>
      <c r="AQ22" s="12">
        <v>41</v>
      </c>
    </row>
    <row r="23" spans="1:43" x14ac:dyDescent="0.35">
      <c r="A23" s="19"/>
      <c r="B23" s="13" t="s">
        <v>1697</v>
      </c>
      <c r="C23" s="15">
        <v>0.13</v>
      </c>
      <c r="D23" s="15">
        <v>0.14000000000000001</v>
      </c>
      <c r="E23" s="15">
        <v>0.12</v>
      </c>
      <c r="F23" s="15">
        <v>0.18</v>
      </c>
      <c r="G23" s="15">
        <v>0.12</v>
      </c>
      <c r="H23" s="15">
        <v>0.14000000000000001</v>
      </c>
      <c r="I23" s="15">
        <v>0.15</v>
      </c>
      <c r="J23" s="15">
        <v>0.19</v>
      </c>
      <c r="K23" s="15">
        <v>0.12</v>
      </c>
      <c r="L23" s="15">
        <v>0.12</v>
      </c>
      <c r="M23" s="15">
        <v>0.08</v>
      </c>
      <c r="N23" s="15">
        <v>0.1</v>
      </c>
      <c r="O23" s="15">
        <v>0.11</v>
      </c>
      <c r="P23" s="15">
        <v>0.13</v>
      </c>
      <c r="Q23" s="15">
        <v>0.15</v>
      </c>
      <c r="R23" s="15">
        <v>0.11</v>
      </c>
      <c r="S23" s="15">
        <v>0.2</v>
      </c>
      <c r="T23" s="15">
        <v>0.08</v>
      </c>
      <c r="U23" s="15">
        <v>0.15</v>
      </c>
      <c r="V23" s="15">
        <v>0.17</v>
      </c>
      <c r="W23" s="15">
        <v>7.0000000000000007E-2</v>
      </c>
      <c r="X23" s="15">
        <v>0.15</v>
      </c>
      <c r="Y23" s="15">
        <v>0.14000000000000001</v>
      </c>
      <c r="Z23" s="15">
        <v>0.17</v>
      </c>
      <c r="AA23" s="15">
        <v>0.08</v>
      </c>
      <c r="AB23" s="15">
        <v>0.12</v>
      </c>
      <c r="AC23" s="15">
        <v>7.0000000000000007E-2</v>
      </c>
      <c r="AD23" s="15">
        <v>0.14000000000000001</v>
      </c>
      <c r="AE23" s="15">
        <v>0.12</v>
      </c>
      <c r="AF23" s="15">
        <v>0.1</v>
      </c>
      <c r="AG23" s="15">
        <v>0.11</v>
      </c>
      <c r="AH23" s="15">
        <v>0.12</v>
      </c>
      <c r="AI23" s="15">
        <v>0.15</v>
      </c>
      <c r="AJ23" s="15">
        <v>0.09</v>
      </c>
      <c r="AK23" s="15">
        <v>7.0000000000000007E-2</v>
      </c>
      <c r="AL23" s="15">
        <v>0.06</v>
      </c>
      <c r="AM23" s="15">
        <v>0.1</v>
      </c>
      <c r="AN23" s="15">
        <v>0.12</v>
      </c>
      <c r="AO23" s="15">
        <v>0.06</v>
      </c>
      <c r="AP23" s="15">
        <v>0.03</v>
      </c>
      <c r="AQ23" s="15">
        <v>0.04</v>
      </c>
    </row>
    <row r="24" spans="1:43" x14ac:dyDescent="0.35">
      <c r="A24" s="19"/>
      <c r="B24" s="11" t="s">
        <v>1698</v>
      </c>
      <c r="C24" s="12">
        <v>2981</v>
      </c>
      <c r="D24" s="12">
        <v>124</v>
      </c>
      <c r="E24" s="12">
        <v>130</v>
      </c>
      <c r="F24" s="12">
        <v>152</v>
      </c>
      <c r="G24" s="12">
        <v>146</v>
      </c>
      <c r="H24" s="12">
        <v>136</v>
      </c>
      <c r="I24" s="12">
        <v>171</v>
      </c>
      <c r="J24" s="12">
        <v>35</v>
      </c>
      <c r="K24" s="12">
        <v>136</v>
      </c>
      <c r="L24" s="12">
        <v>85</v>
      </c>
      <c r="M24" s="12">
        <v>121</v>
      </c>
      <c r="N24" s="12">
        <v>83</v>
      </c>
      <c r="O24" s="12">
        <v>84</v>
      </c>
      <c r="P24" s="12">
        <v>96</v>
      </c>
      <c r="Q24" s="12">
        <v>114</v>
      </c>
      <c r="R24" s="12">
        <v>36</v>
      </c>
      <c r="S24" s="12">
        <v>118</v>
      </c>
      <c r="T24" s="12">
        <v>58</v>
      </c>
      <c r="U24" s="12">
        <v>41</v>
      </c>
      <c r="V24" s="12">
        <v>141</v>
      </c>
      <c r="W24" s="12">
        <v>35</v>
      </c>
      <c r="X24" s="12">
        <v>155</v>
      </c>
      <c r="Y24" s="12">
        <v>99</v>
      </c>
      <c r="Z24" s="12">
        <v>163</v>
      </c>
      <c r="AA24" s="12">
        <v>135</v>
      </c>
      <c r="AB24" s="12">
        <v>122</v>
      </c>
      <c r="AC24" s="12">
        <v>64</v>
      </c>
      <c r="AD24" s="12">
        <v>162</v>
      </c>
      <c r="AE24" s="12">
        <v>131</v>
      </c>
      <c r="AF24" s="12">
        <v>132</v>
      </c>
      <c r="AG24" s="12">
        <v>165</v>
      </c>
      <c r="AH24" s="12">
        <v>112</v>
      </c>
      <c r="AI24" s="12">
        <v>33</v>
      </c>
      <c r="AJ24" s="12">
        <v>108</v>
      </c>
      <c r="AK24" s="12">
        <v>59</v>
      </c>
      <c r="AL24" s="12">
        <v>53</v>
      </c>
      <c r="AM24" s="12">
        <v>90</v>
      </c>
      <c r="AN24" s="12">
        <v>144</v>
      </c>
      <c r="AO24" s="12">
        <v>39</v>
      </c>
      <c r="AP24" s="12">
        <v>16</v>
      </c>
      <c r="AQ24" s="12">
        <v>63</v>
      </c>
    </row>
    <row r="25" spans="1:43" x14ac:dyDescent="0.35">
      <c r="A25" s="19"/>
      <c r="B25" s="13" t="s">
        <v>1698</v>
      </c>
      <c r="C25" s="15">
        <v>0.11</v>
      </c>
      <c r="D25" s="15">
        <v>0.12</v>
      </c>
      <c r="E25" s="15">
        <v>0.13</v>
      </c>
      <c r="F25" s="15">
        <v>0.14000000000000001</v>
      </c>
      <c r="G25" s="15">
        <v>0.15</v>
      </c>
      <c r="H25" s="15">
        <v>0.11</v>
      </c>
      <c r="I25" s="15">
        <v>0.11</v>
      </c>
      <c r="J25" s="15">
        <v>0.12</v>
      </c>
      <c r="K25" s="15">
        <v>0.14000000000000001</v>
      </c>
      <c r="L25" s="15">
        <v>0.08</v>
      </c>
      <c r="M25" s="15">
        <v>0.12</v>
      </c>
      <c r="N25" s="15">
        <v>0.08</v>
      </c>
      <c r="O25" s="15">
        <v>0.08</v>
      </c>
      <c r="P25" s="15">
        <v>0.1</v>
      </c>
      <c r="Q25" s="15">
        <v>0.11</v>
      </c>
      <c r="R25" s="15">
        <v>7.0000000000000007E-2</v>
      </c>
      <c r="S25" s="15">
        <v>0.12</v>
      </c>
      <c r="T25" s="15">
        <v>0.06</v>
      </c>
      <c r="U25" s="15">
        <v>0.08</v>
      </c>
      <c r="V25" s="15">
        <v>0.14000000000000001</v>
      </c>
      <c r="W25" s="15">
        <v>7.0000000000000007E-2</v>
      </c>
      <c r="X25" s="15">
        <v>0.15</v>
      </c>
      <c r="Y25" s="15">
        <v>0.1</v>
      </c>
      <c r="Z25" s="15">
        <v>0.16</v>
      </c>
      <c r="AA25" s="15">
        <v>0.13</v>
      </c>
      <c r="AB25" s="15">
        <v>0.12</v>
      </c>
      <c r="AC25" s="15">
        <v>0.06</v>
      </c>
      <c r="AD25" s="15">
        <v>0.16</v>
      </c>
      <c r="AE25" s="15">
        <v>0.13</v>
      </c>
      <c r="AF25" s="15">
        <v>0.13</v>
      </c>
      <c r="AG25" s="15">
        <v>0.16</v>
      </c>
      <c r="AH25" s="15">
        <v>0.11</v>
      </c>
      <c r="AI25" s="15">
        <v>0.06</v>
      </c>
      <c r="AJ25" s="15">
        <v>0.1</v>
      </c>
      <c r="AK25" s="15">
        <v>0.06</v>
      </c>
      <c r="AL25" s="15">
        <v>0.05</v>
      </c>
      <c r="AM25" s="15">
        <v>0.09</v>
      </c>
      <c r="AN25" s="15">
        <v>0.14000000000000001</v>
      </c>
      <c r="AO25" s="15">
        <v>0.04</v>
      </c>
      <c r="AP25" s="15">
        <v>0.03</v>
      </c>
      <c r="AQ25" s="15">
        <v>0.06</v>
      </c>
    </row>
    <row r="26" spans="1:43" x14ac:dyDescent="0.35">
      <c r="A26" s="19"/>
      <c r="B26" s="11" t="s">
        <v>1699</v>
      </c>
      <c r="C26" s="12">
        <v>2178</v>
      </c>
      <c r="D26" s="12">
        <v>101</v>
      </c>
      <c r="E26" s="12">
        <v>109</v>
      </c>
      <c r="F26" s="12">
        <v>101</v>
      </c>
      <c r="G26" s="12">
        <v>95</v>
      </c>
      <c r="H26" s="12">
        <v>69</v>
      </c>
      <c r="I26" s="12">
        <v>92</v>
      </c>
      <c r="J26" s="12">
        <v>22</v>
      </c>
      <c r="K26" s="12">
        <v>88</v>
      </c>
      <c r="L26" s="12">
        <v>35</v>
      </c>
      <c r="M26" s="12">
        <v>61</v>
      </c>
      <c r="N26" s="12">
        <v>48</v>
      </c>
      <c r="O26" s="12">
        <v>82</v>
      </c>
      <c r="P26" s="12">
        <v>75</v>
      </c>
      <c r="Q26" s="12">
        <v>116</v>
      </c>
      <c r="R26" s="12">
        <v>28</v>
      </c>
      <c r="S26" s="12">
        <v>65</v>
      </c>
      <c r="T26" s="12">
        <v>52</v>
      </c>
      <c r="U26" s="12">
        <v>12</v>
      </c>
      <c r="V26" s="12">
        <v>95</v>
      </c>
      <c r="W26" s="12">
        <v>46</v>
      </c>
      <c r="X26" s="12">
        <v>82</v>
      </c>
      <c r="Y26" s="12">
        <v>105</v>
      </c>
      <c r="Z26" s="12">
        <v>90</v>
      </c>
      <c r="AA26" s="12">
        <v>91</v>
      </c>
      <c r="AB26" s="12">
        <v>136</v>
      </c>
      <c r="AC26" s="12">
        <v>49</v>
      </c>
      <c r="AD26" s="12">
        <v>113</v>
      </c>
      <c r="AE26" s="12">
        <v>134</v>
      </c>
      <c r="AF26" s="12">
        <v>94</v>
      </c>
      <c r="AG26" s="12">
        <v>141</v>
      </c>
      <c r="AH26" s="12">
        <v>87</v>
      </c>
      <c r="AI26" s="12">
        <v>7</v>
      </c>
      <c r="AJ26" s="12">
        <v>99</v>
      </c>
      <c r="AK26" s="12">
        <v>66</v>
      </c>
      <c r="AL26" s="12">
        <v>73</v>
      </c>
      <c r="AM26" s="12">
        <v>48</v>
      </c>
      <c r="AN26" s="12">
        <v>87</v>
      </c>
      <c r="AO26" s="12">
        <v>35</v>
      </c>
      <c r="AP26" s="12">
        <v>7</v>
      </c>
      <c r="AQ26" s="12">
        <v>52</v>
      </c>
    </row>
    <row r="27" spans="1:43" x14ac:dyDescent="0.35">
      <c r="A27" s="19"/>
      <c r="B27" s="13" t="s">
        <v>1699</v>
      </c>
      <c r="C27" s="15">
        <v>0.08</v>
      </c>
      <c r="D27" s="15">
        <v>0.1</v>
      </c>
      <c r="E27" s="15">
        <v>0.11</v>
      </c>
      <c r="F27" s="15">
        <v>0.09</v>
      </c>
      <c r="G27" s="15">
        <v>0.1</v>
      </c>
      <c r="H27" s="15">
        <v>0.06</v>
      </c>
      <c r="I27" s="15">
        <v>0.06</v>
      </c>
      <c r="J27" s="15">
        <v>0.08</v>
      </c>
      <c r="K27" s="15">
        <v>0.09</v>
      </c>
      <c r="L27" s="15">
        <v>0.03</v>
      </c>
      <c r="M27" s="15">
        <v>0.06</v>
      </c>
      <c r="N27" s="15">
        <v>0.05</v>
      </c>
      <c r="O27" s="15">
        <v>0.08</v>
      </c>
      <c r="P27" s="15">
        <v>7.0000000000000007E-2</v>
      </c>
      <c r="Q27" s="15">
        <v>0.11</v>
      </c>
      <c r="R27" s="15">
        <v>0.06</v>
      </c>
      <c r="S27" s="15">
        <v>0.06</v>
      </c>
      <c r="T27" s="15">
        <v>0.05</v>
      </c>
      <c r="U27" s="15">
        <v>0.02</v>
      </c>
      <c r="V27" s="15">
        <v>0.09</v>
      </c>
      <c r="W27" s="15">
        <v>0.09</v>
      </c>
      <c r="X27" s="15">
        <v>0.08</v>
      </c>
      <c r="Y27" s="15">
        <v>0.11</v>
      </c>
      <c r="Z27" s="15">
        <v>0.09</v>
      </c>
      <c r="AA27" s="15">
        <v>0.09</v>
      </c>
      <c r="AB27" s="15">
        <v>0.13</v>
      </c>
      <c r="AC27" s="15">
        <v>0.05</v>
      </c>
      <c r="AD27" s="15">
        <v>0.11</v>
      </c>
      <c r="AE27" s="15">
        <v>0.13</v>
      </c>
      <c r="AF27" s="15">
        <v>0.09</v>
      </c>
      <c r="AG27" s="15">
        <v>0.14000000000000001</v>
      </c>
      <c r="AH27" s="15">
        <v>0.09</v>
      </c>
      <c r="AI27" s="15">
        <v>0.01</v>
      </c>
      <c r="AJ27" s="15">
        <v>0.1</v>
      </c>
      <c r="AK27" s="15">
        <v>7.0000000000000007E-2</v>
      </c>
      <c r="AL27" s="15">
        <v>7.0000000000000007E-2</v>
      </c>
      <c r="AM27" s="15">
        <v>0.05</v>
      </c>
      <c r="AN27" s="15">
        <v>0.09</v>
      </c>
      <c r="AO27" s="15">
        <v>0.03</v>
      </c>
      <c r="AP27" s="15">
        <v>0.01</v>
      </c>
      <c r="AQ27" s="15">
        <v>0.05</v>
      </c>
    </row>
    <row r="28" spans="1:43" x14ac:dyDescent="0.35">
      <c r="A28" s="19"/>
      <c r="B28" s="11" t="s">
        <v>1700</v>
      </c>
      <c r="C28" s="12">
        <v>645</v>
      </c>
      <c r="D28" s="12">
        <v>37</v>
      </c>
      <c r="E28" s="12">
        <v>25</v>
      </c>
      <c r="F28" s="12">
        <v>20</v>
      </c>
      <c r="G28" s="12">
        <v>24</v>
      </c>
      <c r="H28" s="12">
        <v>16</v>
      </c>
      <c r="I28" s="12">
        <v>18</v>
      </c>
      <c r="J28" s="12">
        <v>3</v>
      </c>
      <c r="K28" s="12">
        <v>36</v>
      </c>
      <c r="L28" s="12">
        <v>6</v>
      </c>
      <c r="M28" s="12">
        <v>18</v>
      </c>
      <c r="N28" s="12">
        <v>8</v>
      </c>
      <c r="O28" s="12">
        <v>31</v>
      </c>
      <c r="P28" s="12">
        <v>25</v>
      </c>
      <c r="Q28" s="12">
        <v>27</v>
      </c>
      <c r="R28" s="12">
        <v>8</v>
      </c>
      <c r="S28" s="12">
        <v>28</v>
      </c>
      <c r="T28" s="12">
        <v>17</v>
      </c>
      <c r="U28" s="12">
        <v>7</v>
      </c>
      <c r="V28" s="12">
        <v>36</v>
      </c>
      <c r="W28" s="12">
        <v>28</v>
      </c>
      <c r="X28" s="12">
        <v>13</v>
      </c>
      <c r="Y28" s="12">
        <v>29</v>
      </c>
      <c r="Z28" s="12">
        <v>48</v>
      </c>
      <c r="AA28" s="12">
        <v>26</v>
      </c>
      <c r="AB28" s="12">
        <v>49</v>
      </c>
      <c r="AC28" s="12">
        <v>25</v>
      </c>
      <c r="AD28" s="12">
        <v>36</v>
      </c>
      <c r="AE28" s="12">
        <v>57</v>
      </c>
      <c r="AF28" s="12">
        <v>19</v>
      </c>
      <c r="AG28" s="12">
        <v>86</v>
      </c>
      <c r="AH28" s="12">
        <v>45</v>
      </c>
      <c r="AI28" s="12">
        <v>5</v>
      </c>
      <c r="AJ28" s="12">
        <v>32</v>
      </c>
      <c r="AK28" s="12">
        <v>21</v>
      </c>
      <c r="AL28" s="12">
        <v>41</v>
      </c>
      <c r="AM28" s="12">
        <v>11</v>
      </c>
      <c r="AN28" s="12">
        <v>29</v>
      </c>
      <c r="AO28" s="12">
        <v>17</v>
      </c>
      <c r="AP28" s="12">
        <v>5</v>
      </c>
      <c r="AQ28" s="12">
        <v>27</v>
      </c>
    </row>
    <row r="29" spans="1:43" x14ac:dyDescent="0.35">
      <c r="A29" s="19"/>
      <c r="B29" s="13" t="s">
        <v>1700</v>
      </c>
      <c r="C29" s="15">
        <v>0.02</v>
      </c>
      <c r="D29" s="15">
        <v>0.04</v>
      </c>
      <c r="E29" s="15">
        <v>0.02</v>
      </c>
      <c r="F29" s="15">
        <v>0.02</v>
      </c>
      <c r="G29" s="15">
        <v>0.02</v>
      </c>
      <c r="H29" s="15">
        <v>0.01</v>
      </c>
      <c r="I29" s="15">
        <v>0.01</v>
      </c>
      <c r="J29" s="15">
        <v>0.01</v>
      </c>
      <c r="K29" s="15">
        <v>0.04</v>
      </c>
      <c r="L29" s="15">
        <v>0.01</v>
      </c>
      <c r="M29" s="15">
        <v>0.02</v>
      </c>
      <c r="N29" s="15">
        <v>0.01</v>
      </c>
      <c r="O29" s="15">
        <v>0.03</v>
      </c>
      <c r="P29" s="15">
        <v>0.03</v>
      </c>
      <c r="Q29" s="15">
        <v>0.03</v>
      </c>
      <c r="R29" s="15">
        <v>0.02</v>
      </c>
      <c r="S29" s="15">
        <v>0.03</v>
      </c>
      <c r="T29" s="15">
        <v>0.02</v>
      </c>
      <c r="U29" s="15">
        <v>0.01</v>
      </c>
      <c r="V29" s="15">
        <v>0.04</v>
      </c>
      <c r="W29" s="15">
        <v>0.05</v>
      </c>
      <c r="X29" s="15">
        <v>0.01</v>
      </c>
      <c r="Y29" s="15">
        <v>0.03</v>
      </c>
      <c r="Z29" s="15">
        <v>0.05</v>
      </c>
      <c r="AA29" s="15">
        <v>0.03</v>
      </c>
      <c r="AB29" s="15">
        <v>0.05</v>
      </c>
      <c r="AC29" s="15">
        <v>0.02</v>
      </c>
      <c r="AD29" s="15">
        <v>0.04</v>
      </c>
      <c r="AE29" s="15">
        <v>0.06</v>
      </c>
      <c r="AF29" s="15">
        <v>0.02</v>
      </c>
      <c r="AG29" s="15">
        <v>0.08</v>
      </c>
      <c r="AH29" s="15">
        <v>0.04</v>
      </c>
      <c r="AI29" s="15">
        <v>0.01</v>
      </c>
      <c r="AJ29" s="15">
        <v>0.03</v>
      </c>
      <c r="AK29" s="15">
        <v>0.02</v>
      </c>
      <c r="AL29" s="15">
        <v>0.04</v>
      </c>
      <c r="AM29" s="15">
        <v>0.01</v>
      </c>
      <c r="AN29" s="15">
        <v>0.03</v>
      </c>
      <c r="AO29" s="15">
        <v>0.02</v>
      </c>
      <c r="AP29" s="15">
        <v>0.01</v>
      </c>
      <c r="AQ29" s="15">
        <v>0.03</v>
      </c>
    </row>
    <row r="30" spans="1:43" x14ac:dyDescent="0.35">
      <c r="A30" s="19"/>
      <c r="B30" s="11" t="s">
        <v>1701</v>
      </c>
      <c r="C30" s="12">
        <v>992</v>
      </c>
      <c r="D30" s="12">
        <v>20</v>
      </c>
      <c r="E30" s="12">
        <v>71</v>
      </c>
      <c r="F30" s="12">
        <v>48</v>
      </c>
      <c r="G30" s="12">
        <v>30</v>
      </c>
      <c r="H30" s="12">
        <v>12</v>
      </c>
      <c r="I30" s="12">
        <v>17</v>
      </c>
      <c r="J30" s="12">
        <v>4</v>
      </c>
      <c r="K30" s="12">
        <v>51</v>
      </c>
      <c r="L30" s="12">
        <v>7</v>
      </c>
      <c r="M30" s="12">
        <v>7</v>
      </c>
      <c r="N30" s="12">
        <v>21</v>
      </c>
      <c r="O30" s="12">
        <v>58</v>
      </c>
      <c r="P30" s="12">
        <v>129</v>
      </c>
      <c r="Q30" s="12">
        <v>51</v>
      </c>
      <c r="R30" s="12">
        <v>36</v>
      </c>
      <c r="S30" s="12">
        <v>22</v>
      </c>
      <c r="T30" s="12">
        <v>35</v>
      </c>
      <c r="U30" s="12">
        <v>12</v>
      </c>
      <c r="V30" s="12">
        <v>56</v>
      </c>
      <c r="W30" s="12">
        <v>16</v>
      </c>
      <c r="X30" s="12">
        <v>24</v>
      </c>
      <c r="Y30" s="12">
        <v>30</v>
      </c>
      <c r="Z30" s="12">
        <v>66</v>
      </c>
      <c r="AA30" s="12">
        <v>68</v>
      </c>
      <c r="AB30" s="12">
        <v>39</v>
      </c>
      <c r="AC30" s="12">
        <v>58</v>
      </c>
      <c r="AD30" s="12">
        <v>35</v>
      </c>
      <c r="AE30" s="12">
        <v>27</v>
      </c>
      <c r="AF30" s="12">
        <v>33</v>
      </c>
      <c r="AG30" s="12">
        <v>105</v>
      </c>
      <c r="AH30" s="12">
        <v>80</v>
      </c>
      <c r="AI30" s="12">
        <v>26</v>
      </c>
      <c r="AJ30" s="12">
        <v>79</v>
      </c>
      <c r="AK30" s="12">
        <v>37</v>
      </c>
      <c r="AL30" s="12">
        <v>176</v>
      </c>
      <c r="AM30" s="12">
        <v>25</v>
      </c>
      <c r="AN30" s="12">
        <v>28</v>
      </c>
      <c r="AO30" s="12">
        <v>259</v>
      </c>
      <c r="AP30" s="12">
        <v>37</v>
      </c>
      <c r="AQ30" s="12">
        <v>162</v>
      </c>
    </row>
    <row r="31" spans="1:43" x14ac:dyDescent="0.35">
      <c r="A31" s="19"/>
      <c r="B31" s="13" t="s">
        <v>1702</v>
      </c>
      <c r="C31" s="15">
        <v>0.04</v>
      </c>
      <c r="D31" s="15">
        <v>0.02</v>
      </c>
      <c r="E31" s="15">
        <v>7.0000000000000007E-2</v>
      </c>
      <c r="F31" s="15">
        <v>0.04</v>
      </c>
      <c r="G31" s="15">
        <v>0.03</v>
      </c>
      <c r="H31" s="15">
        <v>0.01</v>
      </c>
      <c r="I31" s="15">
        <v>0.01</v>
      </c>
      <c r="J31" s="15">
        <v>0.01</v>
      </c>
      <c r="K31" s="15">
        <v>0.05</v>
      </c>
      <c r="L31" s="15">
        <v>0.01</v>
      </c>
      <c r="M31" s="14" t="s">
        <v>475</v>
      </c>
      <c r="N31" s="15">
        <v>0.02</v>
      </c>
      <c r="O31" s="15">
        <v>0.06</v>
      </c>
      <c r="P31" s="15">
        <v>0.13</v>
      </c>
      <c r="Q31" s="15">
        <v>0.05</v>
      </c>
      <c r="R31" s="15">
        <v>7.0000000000000007E-2</v>
      </c>
      <c r="S31" s="15">
        <v>0.02</v>
      </c>
      <c r="T31" s="15">
        <v>0.04</v>
      </c>
      <c r="U31" s="15">
        <v>0.02</v>
      </c>
      <c r="V31" s="15">
        <v>0.05</v>
      </c>
      <c r="W31" s="15">
        <v>0.03</v>
      </c>
      <c r="X31" s="15">
        <v>0.02</v>
      </c>
      <c r="Y31" s="15">
        <v>0.03</v>
      </c>
      <c r="Z31" s="15">
        <v>0.06</v>
      </c>
      <c r="AA31" s="15">
        <v>7.0000000000000007E-2</v>
      </c>
      <c r="AB31" s="15">
        <v>0.04</v>
      </c>
      <c r="AC31" s="15">
        <v>0.06</v>
      </c>
      <c r="AD31" s="15">
        <v>0.03</v>
      </c>
      <c r="AE31" s="15">
        <v>0.03</v>
      </c>
      <c r="AF31" s="15">
        <v>0.03</v>
      </c>
      <c r="AG31" s="15">
        <v>0.1</v>
      </c>
      <c r="AH31" s="15">
        <v>0.08</v>
      </c>
      <c r="AI31" s="15">
        <v>0.05</v>
      </c>
      <c r="AJ31" s="15">
        <v>0.08</v>
      </c>
      <c r="AK31" s="15">
        <v>0.04</v>
      </c>
      <c r="AL31" s="15">
        <v>0.18</v>
      </c>
      <c r="AM31" s="15">
        <v>0.02</v>
      </c>
      <c r="AN31" s="15">
        <v>0.03</v>
      </c>
      <c r="AO31" s="15">
        <v>0.26</v>
      </c>
      <c r="AP31" s="15">
        <v>7.0000000000000007E-2</v>
      </c>
      <c r="AQ31" s="15">
        <v>0.16</v>
      </c>
    </row>
    <row r="32" spans="1:43" x14ac:dyDescent="0.35">
      <c r="A32" s="19"/>
      <c r="B32" s="11" t="s">
        <v>750</v>
      </c>
      <c r="C32" s="12">
        <v>1311</v>
      </c>
      <c r="D32" s="12">
        <v>5</v>
      </c>
      <c r="E32" s="12">
        <v>75</v>
      </c>
      <c r="F32" s="12">
        <v>8</v>
      </c>
      <c r="G32" s="12">
        <v>12</v>
      </c>
      <c r="H32" s="12">
        <v>13</v>
      </c>
      <c r="I32" s="12">
        <v>19</v>
      </c>
      <c r="J32" s="12">
        <v>6</v>
      </c>
      <c r="K32" s="12">
        <v>56</v>
      </c>
      <c r="L32" s="12">
        <v>7</v>
      </c>
      <c r="M32" s="12">
        <v>109</v>
      </c>
      <c r="N32" s="12">
        <v>76</v>
      </c>
      <c r="O32" s="12">
        <v>51</v>
      </c>
      <c r="P32" s="12">
        <v>23</v>
      </c>
      <c r="Q32" s="12">
        <v>129</v>
      </c>
      <c r="R32" s="12">
        <v>101</v>
      </c>
      <c r="S32" s="12">
        <v>33</v>
      </c>
      <c r="T32" s="12">
        <v>62</v>
      </c>
      <c r="U32" s="12">
        <v>11</v>
      </c>
      <c r="V32" s="12">
        <v>54</v>
      </c>
      <c r="W32" s="12">
        <v>8</v>
      </c>
      <c r="X32" s="12">
        <v>6</v>
      </c>
      <c r="Y32" s="12">
        <v>54</v>
      </c>
      <c r="Z32" s="12">
        <v>8</v>
      </c>
      <c r="AA32" s="12">
        <v>84</v>
      </c>
      <c r="AB32" s="12">
        <v>67</v>
      </c>
      <c r="AC32" s="12">
        <v>132</v>
      </c>
      <c r="AD32" s="12">
        <v>18</v>
      </c>
      <c r="AE32" s="12">
        <v>14</v>
      </c>
      <c r="AF32" s="12">
        <v>5</v>
      </c>
      <c r="AG32" s="12">
        <v>4</v>
      </c>
      <c r="AH32" s="12">
        <v>36</v>
      </c>
      <c r="AI32" s="12">
        <v>0</v>
      </c>
      <c r="AJ32" s="12">
        <v>20</v>
      </c>
      <c r="AK32" s="12">
        <v>139</v>
      </c>
      <c r="AL32" s="12">
        <v>34</v>
      </c>
      <c r="AM32" s="12">
        <v>16</v>
      </c>
      <c r="AN32" s="12">
        <v>39</v>
      </c>
      <c r="AO32" s="12">
        <v>64</v>
      </c>
      <c r="AP32" s="12">
        <v>1</v>
      </c>
      <c r="AQ32" s="12">
        <v>76</v>
      </c>
    </row>
    <row r="33" spans="1:43" x14ac:dyDescent="0.35">
      <c r="A33" s="19"/>
      <c r="B33" s="13" t="s">
        <v>751</v>
      </c>
      <c r="C33" s="15">
        <v>0.05</v>
      </c>
      <c r="D33" s="14" t="s">
        <v>475</v>
      </c>
      <c r="E33" s="15">
        <v>7.0000000000000007E-2</v>
      </c>
      <c r="F33" s="15">
        <v>0.01</v>
      </c>
      <c r="G33" s="15">
        <v>0.01</v>
      </c>
      <c r="H33" s="15">
        <v>0.01</v>
      </c>
      <c r="I33" s="15">
        <v>0.01</v>
      </c>
      <c r="J33" s="15">
        <v>0.02</v>
      </c>
      <c r="K33" s="15">
        <v>0.05</v>
      </c>
      <c r="L33" s="15">
        <v>0.01</v>
      </c>
      <c r="M33" s="15">
        <v>0.11</v>
      </c>
      <c r="N33" s="15">
        <v>0.08</v>
      </c>
      <c r="O33" s="15">
        <v>0.05</v>
      </c>
      <c r="P33" s="15">
        <v>0.02</v>
      </c>
      <c r="Q33" s="15">
        <v>0.13</v>
      </c>
      <c r="R33" s="15">
        <v>0.2</v>
      </c>
      <c r="S33" s="15">
        <v>0.03</v>
      </c>
      <c r="T33" s="15">
        <v>0.06</v>
      </c>
      <c r="U33" s="15">
        <v>0.02</v>
      </c>
      <c r="V33" s="15">
        <v>0.05</v>
      </c>
      <c r="W33" s="15">
        <v>0.02</v>
      </c>
      <c r="X33" s="15">
        <v>0.01</v>
      </c>
      <c r="Y33" s="15">
        <v>0.05</v>
      </c>
      <c r="Z33" s="15">
        <v>0.01</v>
      </c>
      <c r="AA33" s="15">
        <v>0.08</v>
      </c>
      <c r="AB33" s="15">
        <v>0.06</v>
      </c>
      <c r="AC33" s="15">
        <v>0.13</v>
      </c>
      <c r="AD33" s="15">
        <v>0.02</v>
      </c>
      <c r="AE33" s="15">
        <v>0.02</v>
      </c>
      <c r="AF33" s="14" t="s">
        <v>475</v>
      </c>
      <c r="AG33" s="14" t="s">
        <v>475</v>
      </c>
      <c r="AH33" s="15">
        <v>0.03</v>
      </c>
      <c r="AI33" s="14" t="s">
        <v>475</v>
      </c>
      <c r="AJ33" s="15">
        <v>0.02</v>
      </c>
      <c r="AK33" s="15">
        <v>0.14000000000000001</v>
      </c>
      <c r="AL33" s="15">
        <v>0.03</v>
      </c>
      <c r="AM33" s="15">
        <v>0.02</v>
      </c>
      <c r="AN33" s="15">
        <v>0.04</v>
      </c>
      <c r="AO33" s="15">
        <v>0.06</v>
      </c>
      <c r="AP33" s="14" t="s">
        <v>475</v>
      </c>
      <c r="AQ33" s="15">
        <v>0.08</v>
      </c>
    </row>
    <row r="34" spans="1:43" x14ac:dyDescent="0.35">
      <c r="A34" s="19"/>
      <c r="B34" s="11" t="s">
        <v>485</v>
      </c>
      <c r="C34" s="12">
        <v>1425</v>
      </c>
      <c r="D34" s="12">
        <v>11</v>
      </c>
      <c r="E34" s="12">
        <v>104</v>
      </c>
      <c r="F34" s="12">
        <v>13</v>
      </c>
      <c r="G34" s="12">
        <v>30</v>
      </c>
      <c r="H34" s="12">
        <v>29</v>
      </c>
      <c r="I34" s="12">
        <v>31</v>
      </c>
      <c r="J34" s="12">
        <v>3</v>
      </c>
      <c r="K34" s="12">
        <v>129</v>
      </c>
      <c r="L34" s="12">
        <v>72</v>
      </c>
      <c r="M34" s="12">
        <v>104</v>
      </c>
      <c r="N34" s="12">
        <v>46</v>
      </c>
      <c r="O34" s="12">
        <v>132</v>
      </c>
      <c r="P34" s="12">
        <v>24</v>
      </c>
      <c r="Q34" s="12">
        <v>42</v>
      </c>
      <c r="R34" s="12">
        <v>78</v>
      </c>
      <c r="S34" s="12">
        <v>257</v>
      </c>
      <c r="T34" s="12">
        <v>243</v>
      </c>
      <c r="U34" s="12">
        <v>44</v>
      </c>
      <c r="V34" s="12">
        <v>16</v>
      </c>
      <c r="W34" s="12">
        <v>102</v>
      </c>
      <c r="X34" s="12">
        <v>7</v>
      </c>
      <c r="Y34" s="12">
        <v>44</v>
      </c>
      <c r="Z34" s="12">
        <v>20</v>
      </c>
      <c r="AA34" s="12">
        <v>78</v>
      </c>
      <c r="AB34" s="12">
        <v>95</v>
      </c>
      <c r="AC34" s="12">
        <v>94</v>
      </c>
      <c r="AD34" s="12">
        <v>33</v>
      </c>
      <c r="AE34" s="12">
        <v>63</v>
      </c>
      <c r="AF34" s="12">
        <v>7</v>
      </c>
      <c r="AG34" s="12">
        <v>0</v>
      </c>
      <c r="AH34" s="12">
        <v>37</v>
      </c>
      <c r="AI34" s="12">
        <v>0</v>
      </c>
      <c r="AJ34" s="12">
        <v>72</v>
      </c>
      <c r="AK34" s="12">
        <v>37</v>
      </c>
      <c r="AL34" s="12">
        <v>115</v>
      </c>
      <c r="AM34" s="12">
        <v>55</v>
      </c>
      <c r="AN34" s="12">
        <v>36</v>
      </c>
      <c r="AO34" s="12">
        <v>193</v>
      </c>
      <c r="AP34" s="12">
        <v>0</v>
      </c>
      <c r="AQ34" s="12">
        <v>199</v>
      </c>
    </row>
    <row r="35" spans="1:43" x14ac:dyDescent="0.35">
      <c r="A35" s="19"/>
      <c r="B35" s="13" t="s">
        <v>486</v>
      </c>
      <c r="C35" s="15">
        <v>0.05</v>
      </c>
      <c r="D35" s="15">
        <v>0.01</v>
      </c>
      <c r="E35" s="15">
        <v>0.1</v>
      </c>
      <c r="F35" s="15">
        <v>0.01</v>
      </c>
      <c r="G35" s="15">
        <v>0.03</v>
      </c>
      <c r="H35" s="15">
        <v>0.02</v>
      </c>
      <c r="I35" s="15">
        <v>0.02</v>
      </c>
      <c r="J35" s="15">
        <v>0.01</v>
      </c>
      <c r="K35" s="15">
        <v>0.13</v>
      </c>
      <c r="L35" s="15">
        <v>7.0000000000000007E-2</v>
      </c>
      <c r="M35" s="15">
        <v>0.1</v>
      </c>
      <c r="N35" s="15">
        <v>0.04</v>
      </c>
      <c r="O35" s="15">
        <v>0.13</v>
      </c>
      <c r="P35" s="15">
        <v>0.02</v>
      </c>
      <c r="Q35" s="15">
        <v>0.04</v>
      </c>
      <c r="R35" s="15">
        <v>0.15</v>
      </c>
      <c r="S35" s="15">
        <v>0.26</v>
      </c>
      <c r="T35" s="15">
        <v>0.24</v>
      </c>
      <c r="U35" s="15">
        <v>0.09</v>
      </c>
      <c r="V35" s="15">
        <v>0.02</v>
      </c>
      <c r="W35" s="15">
        <v>0.2</v>
      </c>
      <c r="X35" s="15">
        <v>0.01</v>
      </c>
      <c r="Y35" s="15">
        <v>0.04</v>
      </c>
      <c r="Z35" s="15">
        <v>0.02</v>
      </c>
      <c r="AA35" s="15">
        <v>0.08</v>
      </c>
      <c r="AB35" s="15">
        <v>0.09</v>
      </c>
      <c r="AC35" s="15">
        <v>0.09</v>
      </c>
      <c r="AD35" s="15">
        <v>0.03</v>
      </c>
      <c r="AE35" s="15">
        <v>0.06</v>
      </c>
      <c r="AF35" s="15">
        <v>0.01</v>
      </c>
      <c r="AG35" s="14" t="s">
        <v>475</v>
      </c>
      <c r="AH35" s="15">
        <v>0.04</v>
      </c>
      <c r="AI35" s="14" t="s">
        <v>475</v>
      </c>
      <c r="AJ35" s="15">
        <v>7.0000000000000007E-2</v>
      </c>
      <c r="AK35" s="15">
        <v>0.04</v>
      </c>
      <c r="AL35" s="15">
        <v>0.11</v>
      </c>
      <c r="AM35" s="15">
        <v>0.05</v>
      </c>
      <c r="AN35" s="15">
        <v>0.04</v>
      </c>
      <c r="AO35" s="15">
        <v>0.19</v>
      </c>
      <c r="AP35" s="14" t="s">
        <v>475</v>
      </c>
      <c r="AQ35" s="15">
        <v>0.2</v>
      </c>
    </row>
    <row r="36" spans="1:43" x14ac:dyDescent="0.35">
      <c r="A36" s="19"/>
      <c r="B36" s="11" t="s">
        <v>1475</v>
      </c>
      <c r="C36" s="12">
        <v>5.4</v>
      </c>
      <c r="D36" s="12">
        <v>5.35</v>
      </c>
      <c r="E36" s="12">
        <v>5.8</v>
      </c>
      <c r="F36" s="12">
        <v>5.6</v>
      </c>
      <c r="G36" s="12">
        <v>5.28</v>
      </c>
      <c r="H36" s="12">
        <v>5.13</v>
      </c>
      <c r="I36" s="12">
        <v>5.14</v>
      </c>
      <c r="J36" s="12">
        <v>5.2</v>
      </c>
      <c r="K36" s="12">
        <v>5.81</v>
      </c>
      <c r="L36" s="12">
        <v>5.04</v>
      </c>
      <c r="M36" s="12">
        <v>5.22</v>
      </c>
      <c r="N36" s="12">
        <v>4.93</v>
      </c>
      <c r="O36" s="12">
        <v>5.45</v>
      </c>
      <c r="P36" s="12">
        <v>5.82</v>
      </c>
      <c r="Q36" s="12">
        <v>5.77</v>
      </c>
      <c r="R36" s="12">
        <v>5.84</v>
      </c>
      <c r="S36" s="12">
        <v>5.95</v>
      </c>
      <c r="T36" s="12">
        <v>5.27</v>
      </c>
      <c r="U36" s="12">
        <v>5.2</v>
      </c>
      <c r="V36" s="12">
        <v>5.74</v>
      </c>
      <c r="W36" s="12">
        <v>5.58</v>
      </c>
      <c r="X36" s="12">
        <v>5.01</v>
      </c>
      <c r="Y36" s="12">
        <v>5.44</v>
      </c>
      <c r="Z36" s="12">
        <v>5.89</v>
      </c>
      <c r="AA36" s="12">
        <v>5.68</v>
      </c>
      <c r="AB36" s="12">
        <v>5.65</v>
      </c>
      <c r="AC36" s="12">
        <v>5.37</v>
      </c>
      <c r="AD36" s="12">
        <v>5.62</v>
      </c>
      <c r="AE36" s="12">
        <v>5.64</v>
      </c>
      <c r="AF36" s="12">
        <v>4.78</v>
      </c>
      <c r="AG36" s="12">
        <v>5.99</v>
      </c>
      <c r="AH36" s="12">
        <v>5.75</v>
      </c>
      <c r="AI36" s="12">
        <v>4.84</v>
      </c>
      <c r="AJ36" s="12">
        <v>5.63</v>
      </c>
      <c r="AK36" s="12">
        <v>4.8899999999999997</v>
      </c>
      <c r="AL36" s="12">
        <v>6.11</v>
      </c>
      <c r="AM36" s="12">
        <v>5.01</v>
      </c>
      <c r="AN36" s="12">
        <v>5.42</v>
      </c>
      <c r="AO36" s="12">
        <v>6.36</v>
      </c>
      <c r="AP36" s="12">
        <v>4.6100000000000003</v>
      </c>
      <c r="AQ36" s="12">
        <v>6.42</v>
      </c>
    </row>
    <row r="37" spans="1:43" x14ac:dyDescent="0.35">
      <c r="A37" s="19"/>
      <c r="B37" s="13" t="s">
        <v>1476</v>
      </c>
      <c r="C37" s="14" t="s">
        <v>475</v>
      </c>
      <c r="D37" s="14" t="s">
        <v>475</v>
      </c>
      <c r="E37" s="14" t="s">
        <v>475</v>
      </c>
      <c r="F37" s="14" t="s">
        <v>475</v>
      </c>
      <c r="G37" s="14" t="s">
        <v>475</v>
      </c>
      <c r="H37" s="14" t="s">
        <v>475</v>
      </c>
      <c r="I37" s="14" t="s">
        <v>475</v>
      </c>
      <c r="J37" s="14" t="s">
        <v>475</v>
      </c>
      <c r="K37" s="14" t="s">
        <v>475</v>
      </c>
      <c r="L37" s="14" t="s">
        <v>475</v>
      </c>
      <c r="M37" s="14" t="s">
        <v>475</v>
      </c>
      <c r="N37" s="14" t="s">
        <v>475</v>
      </c>
      <c r="O37" s="14" t="s">
        <v>475</v>
      </c>
      <c r="P37" s="14" t="s">
        <v>475</v>
      </c>
      <c r="Q37" s="14" t="s">
        <v>475</v>
      </c>
      <c r="R37" s="14" t="s">
        <v>475</v>
      </c>
      <c r="S37" s="14" t="s">
        <v>475</v>
      </c>
      <c r="T37" s="14" t="s">
        <v>475</v>
      </c>
      <c r="U37" s="14" t="s">
        <v>475</v>
      </c>
      <c r="V37" s="14" t="s">
        <v>475</v>
      </c>
      <c r="W37" s="14" t="s">
        <v>475</v>
      </c>
      <c r="X37" s="14" t="s">
        <v>475</v>
      </c>
      <c r="Y37" s="14" t="s">
        <v>475</v>
      </c>
      <c r="Z37" s="14" t="s">
        <v>475</v>
      </c>
      <c r="AA37" s="14" t="s">
        <v>475</v>
      </c>
      <c r="AB37" s="14" t="s">
        <v>475</v>
      </c>
      <c r="AC37" s="14" t="s">
        <v>475</v>
      </c>
      <c r="AD37" s="14" t="s">
        <v>475</v>
      </c>
      <c r="AE37" s="14" t="s">
        <v>475</v>
      </c>
      <c r="AF37" s="14" t="s">
        <v>475</v>
      </c>
      <c r="AG37" s="14" t="s">
        <v>475</v>
      </c>
      <c r="AH37" s="14" t="s">
        <v>475</v>
      </c>
      <c r="AI37" s="14" t="s">
        <v>475</v>
      </c>
      <c r="AJ37" s="14" t="s">
        <v>475</v>
      </c>
      <c r="AK37" s="14" t="s">
        <v>475</v>
      </c>
      <c r="AL37" s="14" t="s">
        <v>475</v>
      </c>
      <c r="AM37" s="14" t="s">
        <v>475</v>
      </c>
      <c r="AN37" s="14" t="s">
        <v>475</v>
      </c>
      <c r="AO37" s="14" t="s">
        <v>475</v>
      </c>
      <c r="AP37" s="14" t="s">
        <v>475</v>
      </c>
      <c r="AQ37" s="14" t="s">
        <v>475</v>
      </c>
    </row>
  </sheetData>
  <mergeCells count="9">
    <mergeCell ref="B4:F4"/>
    <mergeCell ref="H3:L3"/>
    <mergeCell ref="B3:F3"/>
    <mergeCell ref="B5:F5"/>
    <mergeCell ref="A10:A37"/>
    <mergeCell ref="C8:AQ8"/>
    <mergeCell ref="H5:L5"/>
    <mergeCell ref="B10:B11"/>
    <mergeCell ref="H4:L4"/>
  </mergeCells>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AQ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421</v>
      </c>
      <c r="C3" s="18"/>
      <c r="D3" s="18"/>
      <c r="E3" s="18"/>
      <c r="F3" s="18"/>
      <c r="H3" s="18" t="s">
        <v>422</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HYPERLINK("#Content!A213","&lt;&lt;Back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1703</v>
      </c>
      <c r="C12" s="12">
        <v>7114</v>
      </c>
      <c r="D12" s="12">
        <v>311</v>
      </c>
      <c r="E12" s="12">
        <v>220</v>
      </c>
      <c r="F12" s="12">
        <v>240</v>
      </c>
      <c r="G12" s="12">
        <v>350</v>
      </c>
      <c r="H12" s="12">
        <v>345</v>
      </c>
      <c r="I12" s="12">
        <v>426</v>
      </c>
      <c r="J12" s="12">
        <v>81</v>
      </c>
      <c r="K12" s="12">
        <v>181</v>
      </c>
      <c r="L12" s="12">
        <v>232</v>
      </c>
      <c r="M12" s="12">
        <v>249</v>
      </c>
      <c r="N12" s="12">
        <v>299</v>
      </c>
      <c r="O12" s="12">
        <v>276</v>
      </c>
      <c r="P12" s="12">
        <v>253</v>
      </c>
      <c r="Q12" s="12">
        <v>237</v>
      </c>
      <c r="R12" s="12">
        <v>52</v>
      </c>
      <c r="S12" s="12">
        <v>90</v>
      </c>
      <c r="T12" s="12">
        <v>196</v>
      </c>
      <c r="U12" s="12">
        <v>109</v>
      </c>
      <c r="V12" s="12">
        <v>224</v>
      </c>
      <c r="W12" s="12">
        <v>92</v>
      </c>
      <c r="X12" s="12">
        <v>405</v>
      </c>
      <c r="Y12" s="12">
        <v>292</v>
      </c>
      <c r="Z12" s="12">
        <v>224</v>
      </c>
      <c r="AA12" s="12">
        <v>220</v>
      </c>
      <c r="AB12" s="12">
        <v>237</v>
      </c>
      <c r="AC12" s="12">
        <v>198</v>
      </c>
      <c r="AD12" s="12">
        <v>268</v>
      </c>
      <c r="AE12" s="12">
        <v>294</v>
      </c>
      <c r="AF12" s="12">
        <v>498</v>
      </c>
      <c r="AG12" s="12">
        <v>310</v>
      </c>
      <c r="AH12" s="12">
        <v>209</v>
      </c>
      <c r="AI12" s="12">
        <v>223</v>
      </c>
      <c r="AJ12" s="12">
        <v>263</v>
      </c>
      <c r="AK12" s="12">
        <v>325</v>
      </c>
      <c r="AL12" s="12">
        <v>151</v>
      </c>
      <c r="AM12" s="12">
        <v>313</v>
      </c>
      <c r="AN12" s="12">
        <v>226</v>
      </c>
      <c r="AO12" s="12">
        <v>200</v>
      </c>
      <c r="AP12" s="12">
        <v>147</v>
      </c>
      <c r="AQ12" s="12">
        <v>81</v>
      </c>
    </row>
    <row r="13" spans="1:43" x14ac:dyDescent="0.35">
      <c r="A13" s="19"/>
      <c r="B13" s="13" t="s">
        <v>1704</v>
      </c>
      <c r="C13" s="15">
        <v>0.27</v>
      </c>
      <c r="D13" s="15">
        <v>0.31</v>
      </c>
      <c r="E13" s="15">
        <v>0.21</v>
      </c>
      <c r="F13" s="15">
        <v>0.22</v>
      </c>
      <c r="G13" s="15">
        <v>0.35</v>
      </c>
      <c r="H13" s="15">
        <v>0.28000000000000003</v>
      </c>
      <c r="I13" s="15">
        <v>0.28000000000000003</v>
      </c>
      <c r="J13" s="15">
        <v>0.27</v>
      </c>
      <c r="K13" s="15">
        <v>0.18</v>
      </c>
      <c r="L13" s="15">
        <v>0.23</v>
      </c>
      <c r="M13" s="15">
        <v>0.25</v>
      </c>
      <c r="N13" s="15">
        <v>0.3</v>
      </c>
      <c r="O13" s="15">
        <v>0.28000000000000003</v>
      </c>
      <c r="P13" s="15">
        <v>0.25</v>
      </c>
      <c r="Q13" s="15">
        <v>0.23</v>
      </c>
      <c r="R13" s="15">
        <v>0.1</v>
      </c>
      <c r="S13" s="15">
        <v>0.09</v>
      </c>
      <c r="T13" s="15">
        <v>0.2</v>
      </c>
      <c r="U13" s="15">
        <v>0.22</v>
      </c>
      <c r="V13" s="15">
        <v>0.22</v>
      </c>
      <c r="W13" s="15">
        <v>0.18</v>
      </c>
      <c r="X13" s="15">
        <v>0.4</v>
      </c>
      <c r="Y13" s="15">
        <v>0.28999999999999998</v>
      </c>
      <c r="Z13" s="15">
        <v>0.22</v>
      </c>
      <c r="AA13" s="15">
        <v>0.21</v>
      </c>
      <c r="AB13" s="15">
        <v>0.23</v>
      </c>
      <c r="AC13" s="15">
        <v>0.2</v>
      </c>
      <c r="AD13" s="15">
        <v>0.27</v>
      </c>
      <c r="AE13" s="15">
        <v>0.28999999999999998</v>
      </c>
      <c r="AF13" s="15">
        <v>0.48</v>
      </c>
      <c r="AG13" s="15">
        <v>0.3</v>
      </c>
      <c r="AH13" s="15">
        <v>0.21</v>
      </c>
      <c r="AI13" s="15">
        <v>0.43</v>
      </c>
      <c r="AJ13" s="15">
        <v>0.25</v>
      </c>
      <c r="AK13" s="15">
        <v>0.32</v>
      </c>
      <c r="AL13" s="15">
        <v>0.15</v>
      </c>
      <c r="AM13" s="15">
        <v>0.3</v>
      </c>
      <c r="AN13" s="15">
        <v>0.22</v>
      </c>
      <c r="AO13" s="15">
        <v>0.2</v>
      </c>
      <c r="AP13" s="15">
        <v>0.28000000000000003</v>
      </c>
      <c r="AQ13" s="15">
        <v>0.08</v>
      </c>
    </row>
    <row r="14" spans="1:43" x14ac:dyDescent="0.35">
      <c r="A14" s="19"/>
      <c r="B14" s="11" t="s">
        <v>1705</v>
      </c>
      <c r="C14" s="12">
        <v>9798</v>
      </c>
      <c r="D14" s="12">
        <v>405</v>
      </c>
      <c r="E14" s="12">
        <v>295</v>
      </c>
      <c r="F14" s="12">
        <v>521</v>
      </c>
      <c r="G14" s="12">
        <v>319</v>
      </c>
      <c r="H14" s="12">
        <v>601</v>
      </c>
      <c r="I14" s="12">
        <v>742</v>
      </c>
      <c r="J14" s="12">
        <v>140</v>
      </c>
      <c r="K14" s="12">
        <v>325</v>
      </c>
      <c r="L14" s="12">
        <v>558</v>
      </c>
      <c r="M14" s="12">
        <v>341</v>
      </c>
      <c r="N14" s="12">
        <v>423</v>
      </c>
      <c r="O14" s="12">
        <v>287</v>
      </c>
      <c r="P14" s="12">
        <v>378</v>
      </c>
      <c r="Q14" s="12">
        <v>311</v>
      </c>
      <c r="R14" s="12">
        <v>164</v>
      </c>
      <c r="S14" s="12">
        <v>390</v>
      </c>
      <c r="T14" s="12">
        <v>342</v>
      </c>
      <c r="U14" s="12">
        <v>268</v>
      </c>
      <c r="V14" s="12">
        <v>394</v>
      </c>
      <c r="W14" s="12">
        <v>182</v>
      </c>
      <c r="X14" s="12">
        <v>315</v>
      </c>
      <c r="Y14" s="12">
        <v>350</v>
      </c>
      <c r="Z14" s="12">
        <v>412</v>
      </c>
      <c r="AA14" s="12">
        <v>330</v>
      </c>
      <c r="AB14" s="12">
        <v>305</v>
      </c>
      <c r="AC14" s="12">
        <v>384</v>
      </c>
      <c r="AD14" s="12">
        <v>340</v>
      </c>
      <c r="AE14" s="12">
        <v>291</v>
      </c>
      <c r="AF14" s="12">
        <v>255</v>
      </c>
      <c r="AG14" s="12">
        <v>225</v>
      </c>
      <c r="AH14" s="12">
        <v>408</v>
      </c>
      <c r="AI14" s="12">
        <v>228</v>
      </c>
      <c r="AJ14" s="12">
        <v>364</v>
      </c>
      <c r="AK14" s="12">
        <v>324</v>
      </c>
      <c r="AL14" s="12">
        <v>368</v>
      </c>
      <c r="AM14" s="12">
        <v>481</v>
      </c>
      <c r="AN14" s="12">
        <v>414</v>
      </c>
      <c r="AO14" s="12">
        <v>198</v>
      </c>
      <c r="AP14" s="12">
        <v>311</v>
      </c>
      <c r="AQ14" s="12">
        <v>341</v>
      </c>
    </row>
    <row r="15" spans="1:43" x14ac:dyDescent="0.35">
      <c r="A15" s="19"/>
      <c r="B15" s="13" t="s">
        <v>1705</v>
      </c>
      <c r="C15" s="15">
        <v>0.37</v>
      </c>
      <c r="D15" s="15">
        <v>0.4</v>
      </c>
      <c r="E15" s="15">
        <v>0.28999999999999998</v>
      </c>
      <c r="F15" s="15">
        <v>0.47</v>
      </c>
      <c r="G15" s="15">
        <v>0.32</v>
      </c>
      <c r="H15" s="15">
        <v>0.49</v>
      </c>
      <c r="I15" s="15">
        <v>0.49</v>
      </c>
      <c r="J15" s="15">
        <v>0.48</v>
      </c>
      <c r="K15" s="15">
        <v>0.32</v>
      </c>
      <c r="L15" s="15">
        <v>0.56000000000000005</v>
      </c>
      <c r="M15" s="15">
        <v>0.34</v>
      </c>
      <c r="N15" s="15">
        <v>0.42</v>
      </c>
      <c r="O15" s="15">
        <v>0.28999999999999998</v>
      </c>
      <c r="P15" s="15">
        <v>0.38</v>
      </c>
      <c r="Q15" s="15">
        <v>0.3</v>
      </c>
      <c r="R15" s="15">
        <v>0.33</v>
      </c>
      <c r="S15" s="15">
        <v>0.39</v>
      </c>
      <c r="T15" s="15">
        <v>0.34</v>
      </c>
      <c r="U15" s="15">
        <v>0.53</v>
      </c>
      <c r="V15" s="15">
        <v>0.39</v>
      </c>
      <c r="W15" s="15">
        <v>0.36</v>
      </c>
      <c r="X15" s="15">
        <v>0.31</v>
      </c>
      <c r="Y15" s="15">
        <v>0.35</v>
      </c>
      <c r="Z15" s="15">
        <v>0.4</v>
      </c>
      <c r="AA15" s="15">
        <v>0.32</v>
      </c>
      <c r="AB15" s="15">
        <v>0.28999999999999998</v>
      </c>
      <c r="AC15" s="15">
        <v>0.38</v>
      </c>
      <c r="AD15" s="15">
        <v>0.34</v>
      </c>
      <c r="AE15" s="15">
        <v>0.28999999999999998</v>
      </c>
      <c r="AF15" s="15">
        <v>0.24</v>
      </c>
      <c r="AG15" s="15">
        <v>0.22</v>
      </c>
      <c r="AH15" s="15">
        <v>0.4</v>
      </c>
      <c r="AI15" s="15">
        <v>0.44</v>
      </c>
      <c r="AJ15" s="15">
        <v>0.35</v>
      </c>
      <c r="AK15" s="15">
        <v>0.32</v>
      </c>
      <c r="AL15" s="15">
        <v>0.36</v>
      </c>
      <c r="AM15" s="15">
        <v>0.46</v>
      </c>
      <c r="AN15" s="15">
        <v>0.41</v>
      </c>
      <c r="AO15" s="15">
        <v>0.2</v>
      </c>
      <c r="AP15" s="15">
        <v>0.59</v>
      </c>
      <c r="AQ15" s="15">
        <v>0.34</v>
      </c>
    </row>
    <row r="16" spans="1:43" x14ac:dyDescent="0.35">
      <c r="A16" s="19"/>
      <c r="B16" s="11" t="s">
        <v>1706</v>
      </c>
      <c r="C16" s="12">
        <v>6796</v>
      </c>
      <c r="D16" s="12">
        <v>281</v>
      </c>
      <c r="E16" s="12">
        <v>336</v>
      </c>
      <c r="F16" s="12">
        <v>321</v>
      </c>
      <c r="G16" s="12">
        <v>295</v>
      </c>
      <c r="H16" s="12">
        <v>234</v>
      </c>
      <c r="I16" s="12">
        <v>298</v>
      </c>
      <c r="J16" s="12">
        <v>64</v>
      </c>
      <c r="K16" s="12">
        <v>311</v>
      </c>
      <c r="L16" s="12">
        <v>134</v>
      </c>
      <c r="M16" s="12">
        <v>206</v>
      </c>
      <c r="N16" s="12">
        <v>160</v>
      </c>
      <c r="O16" s="12">
        <v>255</v>
      </c>
      <c r="P16" s="12">
        <v>324</v>
      </c>
      <c r="Q16" s="12">
        <v>309</v>
      </c>
      <c r="R16" s="12">
        <v>109</v>
      </c>
      <c r="S16" s="12">
        <v>232</v>
      </c>
      <c r="T16" s="12">
        <v>163</v>
      </c>
      <c r="U16" s="12">
        <v>72</v>
      </c>
      <c r="V16" s="12">
        <v>327</v>
      </c>
      <c r="W16" s="12">
        <v>124</v>
      </c>
      <c r="X16" s="12">
        <v>274</v>
      </c>
      <c r="Y16" s="12">
        <v>263</v>
      </c>
      <c r="Z16" s="12">
        <v>367</v>
      </c>
      <c r="AA16" s="12">
        <v>320</v>
      </c>
      <c r="AB16" s="12">
        <v>347</v>
      </c>
      <c r="AC16" s="12">
        <v>196</v>
      </c>
      <c r="AD16" s="12">
        <v>346</v>
      </c>
      <c r="AE16" s="12">
        <v>349</v>
      </c>
      <c r="AF16" s="12">
        <v>278</v>
      </c>
      <c r="AG16" s="12">
        <v>497</v>
      </c>
      <c r="AH16" s="12">
        <v>324</v>
      </c>
      <c r="AI16" s="12">
        <v>71</v>
      </c>
      <c r="AJ16" s="12">
        <v>317</v>
      </c>
      <c r="AK16" s="12">
        <v>183</v>
      </c>
      <c r="AL16" s="12">
        <v>344</v>
      </c>
      <c r="AM16" s="12">
        <v>175</v>
      </c>
      <c r="AN16" s="12">
        <v>288</v>
      </c>
      <c r="AO16" s="12">
        <v>351</v>
      </c>
      <c r="AP16" s="12">
        <v>65</v>
      </c>
      <c r="AQ16" s="12">
        <v>305</v>
      </c>
    </row>
    <row r="17" spans="1:43" x14ac:dyDescent="0.35">
      <c r="A17" s="19"/>
      <c r="B17" s="13" t="s">
        <v>1707</v>
      </c>
      <c r="C17" s="15">
        <v>0.26</v>
      </c>
      <c r="D17" s="15">
        <v>0.28000000000000003</v>
      </c>
      <c r="E17" s="15">
        <v>0.33</v>
      </c>
      <c r="F17" s="15">
        <v>0.28999999999999998</v>
      </c>
      <c r="G17" s="15">
        <v>0.28999999999999998</v>
      </c>
      <c r="H17" s="15">
        <v>0.19</v>
      </c>
      <c r="I17" s="15">
        <v>0.2</v>
      </c>
      <c r="J17" s="15">
        <v>0.22</v>
      </c>
      <c r="K17" s="15">
        <v>0.31</v>
      </c>
      <c r="L17" s="15">
        <v>0.13</v>
      </c>
      <c r="M17" s="15">
        <v>0.2</v>
      </c>
      <c r="N17" s="15">
        <v>0.16</v>
      </c>
      <c r="O17" s="15">
        <v>0.25</v>
      </c>
      <c r="P17" s="15">
        <v>0.32</v>
      </c>
      <c r="Q17" s="15">
        <v>0.3</v>
      </c>
      <c r="R17" s="15">
        <v>0.22</v>
      </c>
      <c r="S17" s="15">
        <v>0.23</v>
      </c>
      <c r="T17" s="15">
        <v>0.16</v>
      </c>
      <c r="U17" s="15">
        <v>0.14000000000000001</v>
      </c>
      <c r="V17" s="15">
        <v>0.32</v>
      </c>
      <c r="W17" s="15">
        <v>0.24</v>
      </c>
      <c r="X17" s="15">
        <v>0.27</v>
      </c>
      <c r="Y17" s="15">
        <v>0.26</v>
      </c>
      <c r="Z17" s="15">
        <v>0.35</v>
      </c>
      <c r="AA17" s="15">
        <v>0.31</v>
      </c>
      <c r="AB17" s="15">
        <v>0.33</v>
      </c>
      <c r="AC17" s="15">
        <v>0.2</v>
      </c>
      <c r="AD17" s="15">
        <v>0.34</v>
      </c>
      <c r="AE17" s="15">
        <v>0.35</v>
      </c>
      <c r="AF17" s="15">
        <v>0.27</v>
      </c>
      <c r="AG17" s="15">
        <v>0.48</v>
      </c>
      <c r="AH17" s="15">
        <v>0.32</v>
      </c>
      <c r="AI17" s="15">
        <v>0.13</v>
      </c>
      <c r="AJ17" s="15">
        <v>0.31</v>
      </c>
      <c r="AK17" s="15">
        <v>0.18</v>
      </c>
      <c r="AL17" s="15">
        <v>0.34</v>
      </c>
      <c r="AM17" s="15">
        <v>0.17</v>
      </c>
      <c r="AN17" s="15">
        <v>0.28999999999999998</v>
      </c>
      <c r="AO17" s="15">
        <v>0.35</v>
      </c>
      <c r="AP17" s="15">
        <v>0.13</v>
      </c>
      <c r="AQ17" s="15">
        <v>0.3</v>
      </c>
    </row>
    <row r="18" spans="1:43" x14ac:dyDescent="0.35">
      <c r="A18" s="19"/>
      <c r="B18" s="11" t="s">
        <v>750</v>
      </c>
      <c r="C18" s="12">
        <v>1311</v>
      </c>
      <c r="D18" s="12">
        <v>5</v>
      </c>
      <c r="E18" s="12">
        <v>75</v>
      </c>
      <c r="F18" s="12">
        <v>8</v>
      </c>
      <c r="G18" s="12">
        <v>12</v>
      </c>
      <c r="H18" s="12">
        <v>13</v>
      </c>
      <c r="I18" s="12">
        <v>19</v>
      </c>
      <c r="J18" s="12">
        <v>6</v>
      </c>
      <c r="K18" s="12">
        <v>56</v>
      </c>
      <c r="L18" s="12">
        <v>7</v>
      </c>
      <c r="M18" s="12">
        <v>109</v>
      </c>
      <c r="N18" s="12">
        <v>76</v>
      </c>
      <c r="O18" s="12">
        <v>51</v>
      </c>
      <c r="P18" s="12">
        <v>23</v>
      </c>
      <c r="Q18" s="12">
        <v>129</v>
      </c>
      <c r="R18" s="12">
        <v>101</v>
      </c>
      <c r="S18" s="12">
        <v>33</v>
      </c>
      <c r="T18" s="12">
        <v>62</v>
      </c>
      <c r="U18" s="12">
        <v>11</v>
      </c>
      <c r="V18" s="12">
        <v>54</v>
      </c>
      <c r="W18" s="12">
        <v>8</v>
      </c>
      <c r="X18" s="12">
        <v>6</v>
      </c>
      <c r="Y18" s="12">
        <v>54</v>
      </c>
      <c r="Z18" s="12">
        <v>8</v>
      </c>
      <c r="AA18" s="12">
        <v>84</v>
      </c>
      <c r="AB18" s="12">
        <v>67</v>
      </c>
      <c r="AC18" s="12">
        <v>132</v>
      </c>
      <c r="AD18" s="12">
        <v>18</v>
      </c>
      <c r="AE18" s="12">
        <v>14</v>
      </c>
      <c r="AF18" s="12">
        <v>5</v>
      </c>
      <c r="AG18" s="12">
        <v>4</v>
      </c>
      <c r="AH18" s="12">
        <v>36</v>
      </c>
      <c r="AI18" s="12">
        <v>0</v>
      </c>
      <c r="AJ18" s="12">
        <v>20</v>
      </c>
      <c r="AK18" s="12">
        <v>139</v>
      </c>
      <c r="AL18" s="12">
        <v>34</v>
      </c>
      <c r="AM18" s="12">
        <v>16</v>
      </c>
      <c r="AN18" s="12">
        <v>39</v>
      </c>
      <c r="AO18" s="12">
        <v>64</v>
      </c>
      <c r="AP18" s="12">
        <v>1</v>
      </c>
      <c r="AQ18" s="12">
        <v>76</v>
      </c>
    </row>
    <row r="19" spans="1:43" x14ac:dyDescent="0.35">
      <c r="A19" s="19"/>
      <c r="B19" s="13" t="s">
        <v>751</v>
      </c>
      <c r="C19" s="15">
        <v>0.05</v>
      </c>
      <c r="D19" s="14" t="s">
        <v>475</v>
      </c>
      <c r="E19" s="15">
        <v>7.0000000000000007E-2</v>
      </c>
      <c r="F19" s="15">
        <v>0.01</v>
      </c>
      <c r="G19" s="15">
        <v>0.01</v>
      </c>
      <c r="H19" s="15">
        <v>0.01</v>
      </c>
      <c r="I19" s="15">
        <v>0.01</v>
      </c>
      <c r="J19" s="15">
        <v>0.02</v>
      </c>
      <c r="K19" s="15">
        <v>0.06</v>
      </c>
      <c r="L19" s="15">
        <v>0.01</v>
      </c>
      <c r="M19" s="15">
        <v>0.11</v>
      </c>
      <c r="N19" s="15">
        <v>0.08</v>
      </c>
      <c r="O19" s="15">
        <v>0.05</v>
      </c>
      <c r="P19" s="15">
        <v>0.02</v>
      </c>
      <c r="Q19" s="15">
        <v>0.13</v>
      </c>
      <c r="R19" s="15">
        <v>0.2</v>
      </c>
      <c r="S19" s="15">
        <v>0.03</v>
      </c>
      <c r="T19" s="15">
        <v>0.06</v>
      </c>
      <c r="U19" s="15">
        <v>0.02</v>
      </c>
      <c r="V19" s="15">
        <v>0.05</v>
      </c>
      <c r="W19" s="15">
        <v>0.02</v>
      </c>
      <c r="X19" s="15">
        <v>0.01</v>
      </c>
      <c r="Y19" s="15">
        <v>0.05</v>
      </c>
      <c r="Z19" s="15">
        <v>0.01</v>
      </c>
      <c r="AA19" s="15">
        <v>0.08</v>
      </c>
      <c r="AB19" s="15">
        <v>0.06</v>
      </c>
      <c r="AC19" s="15">
        <v>0.13</v>
      </c>
      <c r="AD19" s="15">
        <v>0.02</v>
      </c>
      <c r="AE19" s="15">
        <v>0.01</v>
      </c>
      <c r="AF19" s="14" t="s">
        <v>475</v>
      </c>
      <c r="AG19" s="14" t="s">
        <v>475</v>
      </c>
      <c r="AH19" s="15">
        <v>0.03</v>
      </c>
      <c r="AI19" s="14" t="s">
        <v>475</v>
      </c>
      <c r="AJ19" s="15">
        <v>0.02</v>
      </c>
      <c r="AK19" s="15">
        <v>0.14000000000000001</v>
      </c>
      <c r="AL19" s="15">
        <v>0.03</v>
      </c>
      <c r="AM19" s="15">
        <v>0.02</v>
      </c>
      <c r="AN19" s="15">
        <v>0.04</v>
      </c>
      <c r="AO19" s="15">
        <v>0.06</v>
      </c>
      <c r="AP19" s="14" t="s">
        <v>475</v>
      </c>
      <c r="AQ19" s="15">
        <v>0.08</v>
      </c>
    </row>
    <row r="20" spans="1:43" x14ac:dyDescent="0.35">
      <c r="A20" s="19"/>
      <c r="B20" s="11" t="s">
        <v>485</v>
      </c>
      <c r="C20" s="12">
        <v>1425</v>
      </c>
      <c r="D20" s="12">
        <v>11</v>
      </c>
      <c r="E20" s="12">
        <v>104</v>
      </c>
      <c r="F20" s="12">
        <v>13</v>
      </c>
      <c r="G20" s="12">
        <v>30</v>
      </c>
      <c r="H20" s="12">
        <v>29</v>
      </c>
      <c r="I20" s="12">
        <v>31</v>
      </c>
      <c r="J20" s="12">
        <v>3</v>
      </c>
      <c r="K20" s="12">
        <v>129</v>
      </c>
      <c r="L20" s="12">
        <v>72</v>
      </c>
      <c r="M20" s="12">
        <v>104</v>
      </c>
      <c r="N20" s="12">
        <v>46</v>
      </c>
      <c r="O20" s="12">
        <v>132</v>
      </c>
      <c r="P20" s="12">
        <v>24</v>
      </c>
      <c r="Q20" s="12">
        <v>42</v>
      </c>
      <c r="R20" s="12">
        <v>78</v>
      </c>
      <c r="S20" s="12">
        <v>257</v>
      </c>
      <c r="T20" s="12">
        <v>243</v>
      </c>
      <c r="U20" s="12">
        <v>44</v>
      </c>
      <c r="V20" s="12">
        <v>16</v>
      </c>
      <c r="W20" s="12">
        <v>102</v>
      </c>
      <c r="X20" s="12">
        <v>7</v>
      </c>
      <c r="Y20" s="12">
        <v>44</v>
      </c>
      <c r="Z20" s="12">
        <v>20</v>
      </c>
      <c r="AA20" s="12">
        <v>78</v>
      </c>
      <c r="AB20" s="12">
        <v>95</v>
      </c>
      <c r="AC20" s="12">
        <v>94</v>
      </c>
      <c r="AD20" s="12">
        <v>33</v>
      </c>
      <c r="AE20" s="12">
        <v>63</v>
      </c>
      <c r="AF20" s="12">
        <v>7</v>
      </c>
      <c r="AG20" s="12">
        <v>0</v>
      </c>
      <c r="AH20" s="12">
        <v>37</v>
      </c>
      <c r="AI20" s="12">
        <v>0</v>
      </c>
      <c r="AJ20" s="12">
        <v>72</v>
      </c>
      <c r="AK20" s="12">
        <v>37</v>
      </c>
      <c r="AL20" s="12">
        <v>115</v>
      </c>
      <c r="AM20" s="12">
        <v>55</v>
      </c>
      <c r="AN20" s="12">
        <v>36</v>
      </c>
      <c r="AO20" s="12">
        <v>193</v>
      </c>
      <c r="AP20" s="12">
        <v>0</v>
      </c>
      <c r="AQ20" s="12">
        <v>199</v>
      </c>
    </row>
    <row r="21" spans="1:43" x14ac:dyDescent="0.35">
      <c r="A21" s="19"/>
      <c r="B21" s="13" t="s">
        <v>486</v>
      </c>
      <c r="C21" s="15">
        <v>0.05</v>
      </c>
      <c r="D21" s="15">
        <v>0.01</v>
      </c>
      <c r="E21" s="15">
        <v>0.1</v>
      </c>
      <c r="F21" s="15">
        <v>0.01</v>
      </c>
      <c r="G21" s="15">
        <v>0.03</v>
      </c>
      <c r="H21" s="15">
        <v>0.03</v>
      </c>
      <c r="I21" s="15">
        <v>0.02</v>
      </c>
      <c r="J21" s="15">
        <v>0.01</v>
      </c>
      <c r="K21" s="15">
        <v>0.13</v>
      </c>
      <c r="L21" s="15">
        <v>7.0000000000000007E-2</v>
      </c>
      <c r="M21" s="15">
        <v>0.1</v>
      </c>
      <c r="N21" s="15">
        <v>0.04</v>
      </c>
      <c r="O21" s="15">
        <v>0.13</v>
      </c>
      <c r="P21" s="15">
        <v>0.03</v>
      </c>
      <c r="Q21" s="15">
        <v>0.04</v>
      </c>
      <c r="R21" s="15">
        <v>0.15</v>
      </c>
      <c r="S21" s="15">
        <v>0.26</v>
      </c>
      <c r="T21" s="15">
        <v>0.24</v>
      </c>
      <c r="U21" s="15">
        <v>0.09</v>
      </c>
      <c r="V21" s="15">
        <v>0.02</v>
      </c>
      <c r="W21" s="15">
        <v>0.2</v>
      </c>
      <c r="X21" s="15">
        <v>0.01</v>
      </c>
      <c r="Y21" s="15">
        <v>0.05</v>
      </c>
      <c r="Z21" s="15">
        <v>0.02</v>
      </c>
      <c r="AA21" s="15">
        <v>0.08</v>
      </c>
      <c r="AB21" s="15">
        <v>0.09</v>
      </c>
      <c r="AC21" s="15">
        <v>0.09</v>
      </c>
      <c r="AD21" s="15">
        <v>0.03</v>
      </c>
      <c r="AE21" s="15">
        <v>0.06</v>
      </c>
      <c r="AF21" s="15">
        <v>0.01</v>
      </c>
      <c r="AG21" s="14" t="s">
        <v>475</v>
      </c>
      <c r="AH21" s="15">
        <v>0.04</v>
      </c>
      <c r="AI21" s="14" t="s">
        <v>475</v>
      </c>
      <c r="AJ21" s="15">
        <v>7.0000000000000007E-2</v>
      </c>
      <c r="AK21" s="15">
        <v>0.04</v>
      </c>
      <c r="AL21" s="15">
        <v>0.12</v>
      </c>
      <c r="AM21" s="15">
        <v>0.05</v>
      </c>
      <c r="AN21" s="15">
        <v>0.04</v>
      </c>
      <c r="AO21" s="15">
        <v>0.19</v>
      </c>
      <c r="AP21" s="14" t="s">
        <v>475</v>
      </c>
      <c r="AQ21" s="15">
        <v>0.2</v>
      </c>
    </row>
    <row r="22" spans="1:43" x14ac:dyDescent="0.35">
      <c r="A22" s="19"/>
      <c r="B22" s="11" t="s">
        <v>1475</v>
      </c>
      <c r="C22" s="12">
        <v>5.4</v>
      </c>
      <c r="D22" s="12">
        <v>5.35</v>
      </c>
      <c r="E22" s="12">
        <v>5.8</v>
      </c>
      <c r="F22" s="12">
        <v>5.6</v>
      </c>
      <c r="G22" s="12">
        <v>5.28</v>
      </c>
      <c r="H22" s="12">
        <v>5.13</v>
      </c>
      <c r="I22" s="12">
        <v>5.14</v>
      </c>
      <c r="J22" s="12">
        <v>5.2</v>
      </c>
      <c r="K22" s="12">
        <v>5.81</v>
      </c>
      <c r="L22" s="12">
        <v>5.04</v>
      </c>
      <c r="M22" s="12">
        <v>5.22</v>
      </c>
      <c r="N22" s="12">
        <v>4.93</v>
      </c>
      <c r="O22" s="12">
        <v>5.45</v>
      </c>
      <c r="P22" s="12">
        <v>5.82</v>
      </c>
      <c r="Q22" s="12">
        <v>5.77</v>
      </c>
      <c r="R22" s="12">
        <v>5.84</v>
      </c>
      <c r="S22" s="12">
        <v>5.95</v>
      </c>
      <c r="T22" s="12">
        <v>5.27</v>
      </c>
      <c r="U22" s="12">
        <v>5.2</v>
      </c>
      <c r="V22" s="12">
        <v>5.74</v>
      </c>
      <c r="W22" s="12">
        <v>5.58</v>
      </c>
      <c r="X22" s="12">
        <v>5.01</v>
      </c>
      <c r="Y22" s="12">
        <v>5.44</v>
      </c>
      <c r="Z22" s="12">
        <v>5.89</v>
      </c>
      <c r="AA22" s="12">
        <v>5.68</v>
      </c>
      <c r="AB22" s="12">
        <v>5.65</v>
      </c>
      <c r="AC22" s="12">
        <v>5.37</v>
      </c>
      <c r="AD22" s="12">
        <v>5.62</v>
      </c>
      <c r="AE22" s="12">
        <v>5.64</v>
      </c>
      <c r="AF22" s="12">
        <v>4.78</v>
      </c>
      <c r="AG22" s="12">
        <v>5.99</v>
      </c>
      <c r="AH22" s="12">
        <v>5.75</v>
      </c>
      <c r="AI22" s="12">
        <v>4.84</v>
      </c>
      <c r="AJ22" s="12">
        <v>5.63</v>
      </c>
      <c r="AK22" s="12">
        <v>4.8899999999999997</v>
      </c>
      <c r="AL22" s="12">
        <v>6.11</v>
      </c>
      <c r="AM22" s="12">
        <v>5.01</v>
      </c>
      <c r="AN22" s="12">
        <v>5.42</v>
      </c>
      <c r="AO22" s="12">
        <v>6.36</v>
      </c>
      <c r="AP22" s="12">
        <v>4.6100000000000003</v>
      </c>
      <c r="AQ22" s="12">
        <v>6.42</v>
      </c>
    </row>
    <row r="23" spans="1:43" x14ac:dyDescent="0.35">
      <c r="A23" s="19"/>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AQ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43" width="12.453125" customWidth="1"/>
  </cols>
  <sheetData>
    <row r="1" spans="1:43" x14ac:dyDescent="0.35">
      <c r="I1" s="7" t="s">
        <v>428</v>
      </c>
    </row>
    <row r="2" spans="1:43" x14ac:dyDescent="0.35">
      <c r="C2" s="7" t="s">
        <v>429</v>
      </c>
      <c r="H2" s="7" t="s">
        <v>430</v>
      </c>
    </row>
    <row r="3" spans="1:43" ht="12" customHeight="1" x14ac:dyDescent="0.35">
      <c r="B3" s="18" t="s">
        <v>423</v>
      </c>
      <c r="C3" s="18"/>
      <c r="D3" s="18"/>
      <c r="E3" s="18"/>
      <c r="F3" s="18"/>
      <c r="H3" s="18" t="s">
        <v>424</v>
      </c>
      <c r="I3" s="18"/>
      <c r="J3" s="18"/>
      <c r="K3" s="18"/>
      <c r="L3" s="18"/>
    </row>
    <row r="4" spans="1:43" ht="27" customHeight="1" x14ac:dyDescent="0.35">
      <c r="B4" s="18"/>
      <c r="C4" s="18"/>
      <c r="D4" s="18"/>
      <c r="E4" s="18"/>
      <c r="F4" s="18"/>
      <c r="H4" s="18"/>
      <c r="I4" s="18"/>
      <c r="J4" s="18"/>
      <c r="K4" s="18"/>
      <c r="L4" s="18"/>
    </row>
    <row r="5" spans="1:43" ht="12" customHeight="1" x14ac:dyDescent="0.35">
      <c r="B5" s="18" t="s">
        <v>431</v>
      </c>
      <c r="C5" s="18"/>
      <c r="D5" s="18"/>
      <c r="E5" s="18"/>
      <c r="F5" s="18"/>
      <c r="H5" s="18" t="s">
        <v>432</v>
      </c>
      <c r="I5" s="18"/>
      <c r="J5" s="18"/>
      <c r="K5" s="18"/>
      <c r="L5" s="18"/>
    </row>
    <row r="6" spans="1:43" ht="1" customHeight="1" x14ac:dyDescent="0.35"/>
    <row r="7" spans="1:43" ht="1" customHeight="1" x14ac:dyDescent="0.35"/>
    <row r="8" spans="1:43" x14ac:dyDescent="0.3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8" x14ac:dyDescent="0.35">
      <c r="A9" s="5" t="str">
        <f>HYPERLINK("#Content!A214","&lt;&lt;Back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x14ac:dyDescent="0.35">
      <c r="A10" s="19"/>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x14ac:dyDescent="0.35">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35">
      <c r="A12" s="19"/>
      <c r="B12" s="11" t="s">
        <v>1708</v>
      </c>
      <c r="C12" s="12">
        <v>1893</v>
      </c>
      <c r="D12" s="12">
        <v>85</v>
      </c>
      <c r="E12" s="12">
        <v>77</v>
      </c>
      <c r="F12" s="12">
        <v>61</v>
      </c>
      <c r="G12" s="12">
        <v>88</v>
      </c>
      <c r="H12" s="12">
        <v>70</v>
      </c>
      <c r="I12" s="12">
        <v>95</v>
      </c>
      <c r="J12" s="12">
        <v>25</v>
      </c>
      <c r="K12" s="12">
        <v>58</v>
      </c>
      <c r="L12" s="12">
        <v>51</v>
      </c>
      <c r="M12" s="12">
        <v>41</v>
      </c>
      <c r="N12" s="12">
        <v>89</v>
      </c>
      <c r="O12" s="12">
        <v>76</v>
      </c>
      <c r="P12" s="12">
        <v>68</v>
      </c>
      <c r="Q12" s="12">
        <v>53</v>
      </c>
      <c r="R12" s="12">
        <v>32</v>
      </c>
      <c r="S12" s="12">
        <v>20</v>
      </c>
      <c r="T12" s="12">
        <v>65</v>
      </c>
      <c r="U12" s="12">
        <v>19</v>
      </c>
      <c r="V12" s="12">
        <v>62</v>
      </c>
      <c r="W12" s="12">
        <v>32</v>
      </c>
      <c r="X12" s="12">
        <v>140</v>
      </c>
      <c r="Y12" s="12">
        <v>56</v>
      </c>
      <c r="Z12" s="12">
        <v>43</v>
      </c>
      <c r="AA12" s="12">
        <v>75</v>
      </c>
      <c r="AB12" s="12">
        <v>103</v>
      </c>
      <c r="AC12" s="12">
        <v>68</v>
      </c>
      <c r="AD12" s="12">
        <v>71</v>
      </c>
      <c r="AE12" s="12">
        <v>64</v>
      </c>
      <c r="AF12" s="12">
        <v>186</v>
      </c>
      <c r="AG12" s="12">
        <v>123</v>
      </c>
      <c r="AH12" s="12">
        <v>88</v>
      </c>
      <c r="AI12" s="12">
        <v>43</v>
      </c>
      <c r="AJ12" s="12">
        <v>74</v>
      </c>
      <c r="AK12" s="12">
        <v>128</v>
      </c>
      <c r="AL12" s="12">
        <v>105</v>
      </c>
      <c r="AM12" s="12">
        <v>76</v>
      </c>
      <c r="AN12" s="12">
        <v>97</v>
      </c>
      <c r="AO12" s="12">
        <v>129</v>
      </c>
      <c r="AP12" s="12">
        <v>105</v>
      </c>
      <c r="AQ12" s="12">
        <v>44</v>
      </c>
    </row>
    <row r="13" spans="1:43" x14ac:dyDescent="0.35">
      <c r="A13" s="19"/>
      <c r="B13" s="13" t="s">
        <v>1709</v>
      </c>
      <c r="C13" s="15">
        <v>7.0000000000000007E-2</v>
      </c>
      <c r="D13" s="15">
        <v>0.08</v>
      </c>
      <c r="E13" s="15">
        <v>0.08</v>
      </c>
      <c r="F13" s="15">
        <v>0.06</v>
      </c>
      <c r="G13" s="15">
        <v>0.09</v>
      </c>
      <c r="H13" s="15">
        <v>0.06</v>
      </c>
      <c r="I13" s="15">
        <v>0.06</v>
      </c>
      <c r="J13" s="15">
        <v>0.09</v>
      </c>
      <c r="K13" s="15">
        <v>0.06</v>
      </c>
      <c r="L13" s="15">
        <v>0.05</v>
      </c>
      <c r="M13" s="15">
        <v>0.04</v>
      </c>
      <c r="N13" s="15">
        <v>0.09</v>
      </c>
      <c r="O13" s="15">
        <v>7.0000000000000007E-2</v>
      </c>
      <c r="P13" s="15">
        <v>7.0000000000000007E-2</v>
      </c>
      <c r="Q13" s="15">
        <v>0.05</v>
      </c>
      <c r="R13" s="15">
        <v>0.06</v>
      </c>
      <c r="S13" s="15">
        <v>0.02</v>
      </c>
      <c r="T13" s="15">
        <v>7.0000000000000007E-2</v>
      </c>
      <c r="U13" s="15">
        <v>0.04</v>
      </c>
      <c r="V13" s="15">
        <v>0.06</v>
      </c>
      <c r="W13" s="15">
        <v>0.06</v>
      </c>
      <c r="X13" s="15">
        <v>0.14000000000000001</v>
      </c>
      <c r="Y13" s="15">
        <v>0.06</v>
      </c>
      <c r="Z13" s="15">
        <v>0.04</v>
      </c>
      <c r="AA13" s="15">
        <v>7.0000000000000007E-2</v>
      </c>
      <c r="AB13" s="15">
        <v>0.1</v>
      </c>
      <c r="AC13" s="15">
        <v>7.0000000000000007E-2</v>
      </c>
      <c r="AD13" s="15">
        <v>7.0000000000000007E-2</v>
      </c>
      <c r="AE13" s="15">
        <v>0.06</v>
      </c>
      <c r="AF13" s="15">
        <v>0.18</v>
      </c>
      <c r="AG13" s="15">
        <v>0.12</v>
      </c>
      <c r="AH13" s="15">
        <v>0.09</v>
      </c>
      <c r="AI13" s="15">
        <v>0.08</v>
      </c>
      <c r="AJ13" s="15">
        <v>7.0000000000000007E-2</v>
      </c>
      <c r="AK13" s="15">
        <v>0.13</v>
      </c>
      <c r="AL13" s="15">
        <v>0.1</v>
      </c>
      <c r="AM13" s="15">
        <v>7.0000000000000007E-2</v>
      </c>
      <c r="AN13" s="15">
        <v>0.1</v>
      </c>
      <c r="AO13" s="15">
        <v>0.13</v>
      </c>
      <c r="AP13" s="15">
        <v>0.2</v>
      </c>
      <c r="AQ13" s="15">
        <v>0.04</v>
      </c>
    </row>
    <row r="14" spans="1:43" x14ac:dyDescent="0.35">
      <c r="A14" s="19"/>
      <c r="B14" s="11" t="s">
        <v>1710</v>
      </c>
      <c r="C14" s="12">
        <v>5221</v>
      </c>
      <c r="D14" s="12">
        <v>225</v>
      </c>
      <c r="E14" s="12">
        <v>143</v>
      </c>
      <c r="F14" s="12">
        <v>179</v>
      </c>
      <c r="G14" s="12">
        <v>262</v>
      </c>
      <c r="H14" s="12">
        <v>275</v>
      </c>
      <c r="I14" s="12">
        <v>331</v>
      </c>
      <c r="J14" s="12">
        <v>56</v>
      </c>
      <c r="K14" s="12">
        <v>123</v>
      </c>
      <c r="L14" s="12">
        <v>181</v>
      </c>
      <c r="M14" s="12">
        <v>208</v>
      </c>
      <c r="N14" s="12">
        <v>210</v>
      </c>
      <c r="O14" s="12">
        <v>200</v>
      </c>
      <c r="P14" s="12">
        <v>186</v>
      </c>
      <c r="Q14" s="12">
        <v>184</v>
      </c>
      <c r="R14" s="12">
        <v>20</v>
      </c>
      <c r="S14" s="12">
        <v>70</v>
      </c>
      <c r="T14" s="12">
        <v>131</v>
      </c>
      <c r="U14" s="12">
        <v>90</v>
      </c>
      <c r="V14" s="12">
        <v>162</v>
      </c>
      <c r="W14" s="12">
        <v>60</v>
      </c>
      <c r="X14" s="12">
        <v>266</v>
      </c>
      <c r="Y14" s="12">
        <v>236</v>
      </c>
      <c r="Z14" s="12">
        <v>181</v>
      </c>
      <c r="AA14" s="12">
        <v>145</v>
      </c>
      <c r="AB14" s="12">
        <v>133</v>
      </c>
      <c r="AC14" s="12">
        <v>129</v>
      </c>
      <c r="AD14" s="12">
        <v>197</v>
      </c>
      <c r="AE14" s="12">
        <v>230</v>
      </c>
      <c r="AF14" s="12">
        <v>312</v>
      </c>
      <c r="AG14" s="12">
        <v>187</v>
      </c>
      <c r="AH14" s="12">
        <v>121</v>
      </c>
      <c r="AI14" s="12">
        <v>180</v>
      </c>
      <c r="AJ14" s="12">
        <v>190</v>
      </c>
      <c r="AK14" s="12">
        <v>197</v>
      </c>
      <c r="AL14" s="12">
        <v>46</v>
      </c>
      <c r="AM14" s="12">
        <v>237</v>
      </c>
      <c r="AN14" s="12">
        <v>129</v>
      </c>
      <c r="AO14" s="12">
        <v>71</v>
      </c>
      <c r="AP14" s="12">
        <v>42</v>
      </c>
      <c r="AQ14" s="12">
        <v>36</v>
      </c>
    </row>
    <row r="15" spans="1:43" x14ac:dyDescent="0.35">
      <c r="A15" s="19"/>
      <c r="B15" s="13" t="s">
        <v>1710</v>
      </c>
      <c r="C15" s="15">
        <v>0.2</v>
      </c>
      <c r="D15" s="15">
        <v>0.22</v>
      </c>
      <c r="E15" s="15">
        <v>0.14000000000000001</v>
      </c>
      <c r="F15" s="15">
        <v>0.16</v>
      </c>
      <c r="G15" s="15">
        <v>0.26</v>
      </c>
      <c r="H15" s="15">
        <v>0.23</v>
      </c>
      <c r="I15" s="15">
        <v>0.22</v>
      </c>
      <c r="J15" s="15">
        <v>0.19</v>
      </c>
      <c r="K15" s="15">
        <v>0.12</v>
      </c>
      <c r="L15" s="15">
        <v>0.18</v>
      </c>
      <c r="M15" s="15">
        <v>0.21</v>
      </c>
      <c r="N15" s="15">
        <v>0.21</v>
      </c>
      <c r="O15" s="15">
        <v>0.2</v>
      </c>
      <c r="P15" s="15">
        <v>0.19</v>
      </c>
      <c r="Q15" s="15">
        <v>0.18</v>
      </c>
      <c r="R15" s="15">
        <v>0.04</v>
      </c>
      <c r="S15" s="15">
        <v>7.0000000000000007E-2</v>
      </c>
      <c r="T15" s="15">
        <v>0.13</v>
      </c>
      <c r="U15" s="15">
        <v>0.18</v>
      </c>
      <c r="V15" s="15">
        <v>0.16</v>
      </c>
      <c r="W15" s="15">
        <v>0.12</v>
      </c>
      <c r="X15" s="15">
        <v>0.26</v>
      </c>
      <c r="Y15" s="15">
        <v>0.24</v>
      </c>
      <c r="Z15" s="15">
        <v>0.17</v>
      </c>
      <c r="AA15" s="15">
        <v>0.14000000000000001</v>
      </c>
      <c r="AB15" s="15">
        <v>0.13</v>
      </c>
      <c r="AC15" s="15">
        <v>0.13</v>
      </c>
      <c r="AD15" s="15">
        <v>0.2</v>
      </c>
      <c r="AE15" s="15">
        <v>0.23</v>
      </c>
      <c r="AF15" s="15">
        <v>0.3</v>
      </c>
      <c r="AG15" s="15">
        <v>0.18</v>
      </c>
      <c r="AH15" s="15">
        <v>0.12</v>
      </c>
      <c r="AI15" s="15">
        <v>0.34</v>
      </c>
      <c r="AJ15" s="15">
        <v>0.18</v>
      </c>
      <c r="AK15" s="15">
        <v>0.19</v>
      </c>
      <c r="AL15" s="15">
        <v>0.05</v>
      </c>
      <c r="AM15" s="15">
        <v>0.23</v>
      </c>
      <c r="AN15" s="15">
        <v>0.13</v>
      </c>
      <c r="AO15" s="15">
        <v>7.0000000000000007E-2</v>
      </c>
      <c r="AP15" s="15">
        <v>0.08</v>
      </c>
      <c r="AQ15" s="15">
        <v>0.04</v>
      </c>
    </row>
    <row r="16" spans="1:43" x14ac:dyDescent="0.35">
      <c r="A16" s="19"/>
      <c r="B16" s="11" t="s">
        <v>1711</v>
      </c>
      <c r="C16" s="12">
        <v>9798</v>
      </c>
      <c r="D16" s="12">
        <v>405</v>
      </c>
      <c r="E16" s="12">
        <v>295</v>
      </c>
      <c r="F16" s="12">
        <v>521</v>
      </c>
      <c r="G16" s="12">
        <v>319</v>
      </c>
      <c r="H16" s="12">
        <v>601</v>
      </c>
      <c r="I16" s="12">
        <v>742</v>
      </c>
      <c r="J16" s="12">
        <v>140</v>
      </c>
      <c r="K16" s="12">
        <v>325</v>
      </c>
      <c r="L16" s="12">
        <v>558</v>
      </c>
      <c r="M16" s="12">
        <v>341</v>
      </c>
      <c r="N16" s="12">
        <v>423</v>
      </c>
      <c r="O16" s="12">
        <v>287</v>
      </c>
      <c r="P16" s="12">
        <v>378</v>
      </c>
      <c r="Q16" s="12">
        <v>311</v>
      </c>
      <c r="R16" s="12">
        <v>164</v>
      </c>
      <c r="S16" s="12">
        <v>390</v>
      </c>
      <c r="T16" s="12">
        <v>342</v>
      </c>
      <c r="U16" s="12">
        <v>268</v>
      </c>
      <c r="V16" s="12">
        <v>394</v>
      </c>
      <c r="W16" s="12">
        <v>182</v>
      </c>
      <c r="X16" s="12">
        <v>315</v>
      </c>
      <c r="Y16" s="12">
        <v>350</v>
      </c>
      <c r="Z16" s="12">
        <v>412</v>
      </c>
      <c r="AA16" s="12">
        <v>330</v>
      </c>
      <c r="AB16" s="12">
        <v>305</v>
      </c>
      <c r="AC16" s="12">
        <v>384</v>
      </c>
      <c r="AD16" s="12">
        <v>340</v>
      </c>
      <c r="AE16" s="12">
        <v>291</v>
      </c>
      <c r="AF16" s="12">
        <v>255</v>
      </c>
      <c r="AG16" s="12">
        <v>225</v>
      </c>
      <c r="AH16" s="12">
        <v>408</v>
      </c>
      <c r="AI16" s="12">
        <v>228</v>
      </c>
      <c r="AJ16" s="12">
        <v>364</v>
      </c>
      <c r="AK16" s="12">
        <v>324</v>
      </c>
      <c r="AL16" s="12">
        <v>368</v>
      </c>
      <c r="AM16" s="12">
        <v>481</v>
      </c>
      <c r="AN16" s="12">
        <v>414</v>
      </c>
      <c r="AO16" s="12">
        <v>198</v>
      </c>
      <c r="AP16" s="12">
        <v>311</v>
      </c>
      <c r="AQ16" s="12">
        <v>341</v>
      </c>
    </row>
    <row r="17" spans="1:43" x14ac:dyDescent="0.35">
      <c r="A17" s="19"/>
      <c r="B17" s="13" t="s">
        <v>1711</v>
      </c>
      <c r="C17" s="15">
        <v>0.37</v>
      </c>
      <c r="D17" s="15">
        <v>0.4</v>
      </c>
      <c r="E17" s="15">
        <v>0.28999999999999998</v>
      </c>
      <c r="F17" s="15">
        <v>0.47</v>
      </c>
      <c r="G17" s="15">
        <v>0.32</v>
      </c>
      <c r="H17" s="15">
        <v>0.49</v>
      </c>
      <c r="I17" s="15">
        <v>0.49</v>
      </c>
      <c r="J17" s="15">
        <v>0.48</v>
      </c>
      <c r="K17" s="15">
        <v>0.32</v>
      </c>
      <c r="L17" s="15">
        <v>0.56000000000000005</v>
      </c>
      <c r="M17" s="15">
        <v>0.34</v>
      </c>
      <c r="N17" s="15">
        <v>0.42</v>
      </c>
      <c r="O17" s="15">
        <v>0.28999999999999998</v>
      </c>
      <c r="P17" s="15">
        <v>0.38</v>
      </c>
      <c r="Q17" s="15">
        <v>0.3</v>
      </c>
      <c r="R17" s="15">
        <v>0.33</v>
      </c>
      <c r="S17" s="15">
        <v>0.39</v>
      </c>
      <c r="T17" s="15">
        <v>0.34</v>
      </c>
      <c r="U17" s="15">
        <v>0.53</v>
      </c>
      <c r="V17" s="15">
        <v>0.39</v>
      </c>
      <c r="W17" s="15">
        <v>0.36</v>
      </c>
      <c r="X17" s="15">
        <v>0.31</v>
      </c>
      <c r="Y17" s="15">
        <v>0.35</v>
      </c>
      <c r="Z17" s="15">
        <v>0.4</v>
      </c>
      <c r="AA17" s="15">
        <v>0.32</v>
      </c>
      <c r="AB17" s="15">
        <v>0.28999999999999998</v>
      </c>
      <c r="AC17" s="15">
        <v>0.38</v>
      </c>
      <c r="AD17" s="15">
        <v>0.34</v>
      </c>
      <c r="AE17" s="15">
        <v>0.28999999999999998</v>
      </c>
      <c r="AF17" s="15">
        <v>0.24</v>
      </c>
      <c r="AG17" s="15">
        <v>0.22</v>
      </c>
      <c r="AH17" s="15">
        <v>0.4</v>
      </c>
      <c r="AI17" s="15">
        <v>0.44</v>
      </c>
      <c r="AJ17" s="15">
        <v>0.35</v>
      </c>
      <c r="AK17" s="15">
        <v>0.32</v>
      </c>
      <c r="AL17" s="15">
        <v>0.36</v>
      </c>
      <c r="AM17" s="15">
        <v>0.46</v>
      </c>
      <c r="AN17" s="15">
        <v>0.41</v>
      </c>
      <c r="AO17" s="15">
        <v>0.2</v>
      </c>
      <c r="AP17" s="15">
        <v>0.59</v>
      </c>
      <c r="AQ17" s="15">
        <v>0.34</v>
      </c>
    </row>
    <row r="18" spans="1:43" x14ac:dyDescent="0.35">
      <c r="A18" s="19"/>
      <c r="B18" s="11" t="s">
        <v>1712</v>
      </c>
      <c r="C18" s="12">
        <v>5159</v>
      </c>
      <c r="D18" s="12">
        <v>224</v>
      </c>
      <c r="E18" s="12">
        <v>239</v>
      </c>
      <c r="F18" s="12">
        <v>253</v>
      </c>
      <c r="G18" s="12">
        <v>241</v>
      </c>
      <c r="H18" s="12">
        <v>205</v>
      </c>
      <c r="I18" s="12">
        <v>263</v>
      </c>
      <c r="J18" s="12">
        <v>58</v>
      </c>
      <c r="K18" s="12">
        <v>225</v>
      </c>
      <c r="L18" s="12">
        <v>120</v>
      </c>
      <c r="M18" s="12">
        <v>181</v>
      </c>
      <c r="N18" s="12">
        <v>131</v>
      </c>
      <c r="O18" s="12">
        <v>166</v>
      </c>
      <c r="P18" s="12">
        <v>171</v>
      </c>
      <c r="Q18" s="12">
        <v>230</v>
      </c>
      <c r="R18" s="12">
        <v>64</v>
      </c>
      <c r="S18" s="12">
        <v>182</v>
      </c>
      <c r="T18" s="12">
        <v>110</v>
      </c>
      <c r="U18" s="12">
        <v>53</v>
      </c>
      <c r="V18" s="12">
        <v>236</v>
      </c>
      <c r="W18" s="12">
        <v>81</v>
      </c>
      <c r="X18" s="12">
        <v>237</v>
      </c>
      <c r="Y18" s="12">
        <v>205</v>
      </c>
      <c r="Z18" s="12">
        <v>253</v>
      </c>
      <c r="AA18" s="12">
        <v>226</v>
      </c>
      <c r="AB18" s="12">
        <v>258</v>
      </c>
      <c r="AC18" s="12">
        <v>113</v>
      </c>
      <c r="AD18" s="12">
        <v>275</v>
      </c>
      <c r="AE18" s="12">
        <v>266</v>
      </c>
      <c r="AF18" s="12">
        <v>226</v>
      </c>
      <c r="AG18" s="12">
        <v>306</v>
      </c>
      <c r="AH18" s="12">
        <v>199</v>
      </c>
      <c r="AI18" s="12">
        <v>40</v>
      </c>
      <c r="AJ18" s="12">
        <v>207</v>
      </c>
      <c r="AK18" s="12">
        <v>125</v>
      </c>
      <c r="AL18" s="12">
        <v>126</v>
      </c>
      <c r="AM18" s="12">
        <v>138</v>
      </c>
      <c r="AN18" s="12">
        <v>231</v>
      </c>
      <c r="AO18" s="12">
        <v>74</v>
      </c>
      <c r="AP18" s="12">
        <v>23</v>
      </c>
      <c r="AQ18" s="12">
        <v>116</v>
      </c>
    </row>
    <row r="19" spans="1:43" x14ac:dyDescent="0.35">
      <c r="A19" s="19"/>
      <c r="B19" s="13" t="s">
        <v>1712</v>
      </c>
      <c r="C19" s="15">
        <v>0.2</v>
      </c>
      <c r="D19" s="15">
        <v>0.22</v>
      </c>
      <c r="E19" s="15">
        <v>0.23</v>
      </c>
      <c r="F19" s="15">
        <v>0.23</v>
      </c>
      <c r="G19" s="15">
        <v>0.24</v>
      </c>
      <c r="H19" s="15">
        <v>0.17</v>
      </c>
      <c r="I19" s="15">
        <v>0.18</v>
      </c>
      <c r="J19" s="15">
        <v>0.19</v>
      </c>
      <c r="K19" s="15">
        <v>0.22</v>
      </c>
      <c r="L19" s="15">
        <v>0.12</v>
      </c>
      <c r="M19" s="15">
        <v>0.18</v>
      </c>
      <c r="N19" s="15">
        <v>0.13</v>
      </c>
      <c r="O19" s="15">
        <v>0.17</v>
      </c>
      <c r="P19" s="15">
        <v>0.17</v>
      </c>
      <c r="Q19" s="15">
        <v>0.22</v>
      </c>
      <c r="R19" s="15">
        <v>0.13</v>
      </c>
      <c r="S19" s="15">
        <v>0.18</v>
      </c>
      <c r="T19" s="15">
        <v>0.11</v>
      </c>
      <c r="U19" s="15">
        <v>0.1</v>
      </c>
      <c r="V19" s="15">
        <v>0.23</v>
      </c>
      <c r="W19" s="15">
        <v>0.16</v>
      </c>
      <c r="X19" s="15">
        <v>0.23</v>
      </c>
      <c r="Y19" s="15">
        <v>0.2</v>
      </c>
      <c r="Z19" s="15">
        <v>0.25</v>
      </c>
      <c r="AA19" s="15">
        <v>0.22</v>
      </c>
      <c r="AB19" s="15">
        <v>0.25</v>
      </c>
      <c r="AC19" s="15">
        <v>0.11</v>
      </c>
      <c r="AD19" s="15">
        <v>0.27</v>
      </c>
      <c r="AE19" s="15">
        <v>0.26</v>
      </c>
      <c r="AF19" s="15">
        <v>0.22</v>
      </c>
      <c r="AG19" s="15">
        <v>0.3</v>
      </c>
      <c r="AH19" s="15">
        <v>0.2</v>
      </c>
      <c r="AI19" s="15">
        <v>0.08</v>
      </c>
      <c r="AJ19" s="15">
        <v>0.2</v>
      </c>
      <c r="AK19" s="15">
        <v>0.12</v>
      </c>
      <c r="AL19" s="15">
        <v>0.13</v>
      </c>
      <c r="AM19" s="15">
        <v>0.13</v>
      </c>
      <c r="AN19" s="15">
        <v>0.23</v>
      </c>
      <c r="AO19" s="15">
        <v>7.0000000000000007E-2</v>
      </c>
      <c r="AP19" s="15">
        <v>0.05</v>
      </c>
      <c r="AQ19" s="15">
        <v>0.11</v>
      </c>
    </row>
    <row r="20" spans="1:43" x14ac:dyDescent="0.35">
      <c r="A20" s="19"/>
      <c r="B20" s="11" t="s">
        <v>1713</v>
      </c>
      <c r="C20" s="12">
        <v>1637</v>
      </c>
      <c r="D20" s="12">
        <v>57</v>
      </c>
      <c r="E20" s="12">
        <v>97</v>
      </c>
      <c r="F20" s="12">
        <v>68</v>
      </c>
      <c r="G20" s="12">
        <v>54</v>
      </c>
      <c r="H20" s="12">
        <v>28</v>
      </c>
      <c r="I20" s="12">
        <v>35</v>
      </c>
      <c r="J20" s="12">
        <v>7</v>
      </c>
      <c r="K20" s="12">
        <v>86</v>
      </c>
      <c r="L20" s="12">
        <v>14</v>
      </c>
      <c r="M20" s="12">
        <v>25</v>
      </c>
      <c r="N20" s="12">
        <v>29</v>
      </c>
      <c r="O20" s="12">
        <v>89</v>
      </c>
      <c r="P20" s="12">
        <v>154</v>
      </c>
      <c r="Q20" s="12">
        <v>78</v>
      </c>
      <c r="R20" s="12">
        <v>44</v>
      </c>
      <c r="S20" s="12">
        <v>50</v>
      </c>
      <c r="T20" s="12">
        <v>52</v>
      </c>
      <c r="U20" s="12">
        <v>19</v>
      </c>
      <c r="V20" s="12">
        <v>92</v>
      </c>
      <c r="W20" s="12">
        <v>44</v>
      </c>
      <c r="X20" s="12">
        <v>37</v>
      </c>
      <c r="Y20" s="12">
        <v>58</v>
      </c>
      <c r="Z20" s="12">
        <v>114</v>
      </c>
      <c r="AA20" s="12">
        <v>94</v>
      </c>
      <c r="AB20" s="12">
        <v>89</v>
      </c>
      <c r="AC20" s="12">
        <v>82</v>
      </c>
      <c r="AD20" s="12">
        <v>71</v>
      </c>
      <c r="AE20" s="12">
        <v>84</v>
      </c>
      <c r="AF20" s="12">
        <v>52</v>
      </c>
      <c r="AG20" s="12">
        <v>191</v>
      </c>
      <c r="AH20" s="12">
        <v>125</v>
      </c>
      <c r="AI20" s="12">
        <v>31</v>
      </c>
      <c r="AJ20" s="12">
        <v>111</v>
      </c>
      <c r="AK20" s="12">
        <v>58</v>
      </c>
      <c r="AL20" s="12">
        <v>218</v>
      </c>
      <c r="AM20" s="12">
        <v>37</v>
      </c>
      <c r="AN20" s="12">
        <v>57</v>
      </c>
      <c r="AO20" s="12">
        <v>277</v>
      </c>
      <c r="AP20" s="12">
        <v>42</v>
      </c>
      <c r="AQ20" s="12">
        <v>189</v>
      </c>
    </row>
    <row r="21" spans="1:43" x14ac:dyDescent="0.35">
      <c r="A21" s="19"/>
      <c r="B21" s="13" t="s">
        <v>1714</v>
      </c>
      <c r="C21" s="15">
        <v>0.06</v>
      </c>
      <c r="D21" s="15">
        <v>0.06</v>
      </c>
      <c r="E21" s="15">
        <v>0.09</v>
      </c>
      <c r="F21" s="15">
        <v>0.06</v>
      </c>
      <c r="G21" s="15">
        <v>0.05</v>
      </c>
      <c r="H21" s="15">
        <v>0.02</v>
      </c>
      <c r="I21" s="15">
        <v>0.02</v>
      </c>
      <c r="J21" s="15">
        <v>0.02</v>
      </c>
      <c r="K21" s="15">
        <v>0.09</v>
      </c>
      <c r="L21" s="15">
        <v>0.01</v>
      </c>
      <c r="M21" s="15">
        <v>0.02</v>
      </c>
      <c r="N21" s="15">
        <v>0.03</v>
      </c>
      <c r="O21" s="15">
        <v>0.09</v>
      </c>
      <c r="P21" s="15">
        <v>0.15</v>
      </c>
      <c r="Q21" s="15">
        <v>0.08</v>
      </c>
      <c r="R21" s="15">
        <v>0.09</v>
      </c>
      <c r="S21" s="15">
        <v>0.05</v>
      </c>
      <c r="T21" s="15">
        <v>0.05</v>
      </c>
      <c r="U21" s="15">
        <v>0.04</v>
      </c>
      <c r="V21" s="15">
        <v>0.09</v>
      </c>
      <c r="W21" s="15">
        <v>0.09</v>
      </c>
      <c r="X21" s="15">
        <v>0.04</v>
      </c>
      <c r="Y21" s="15">
        <v>0.06</v>
      </c>
      <c r="Z21" s="15">
        <v>0.11</v>
      </c>
      <c r="AA21" s="15">
        <v>0.09</v>
      </c>
      <c r="AB21" s="15">
        <v>0.08</v>
      </c>
      <c r="AC21" s="15">
        <v>0.08</v>
      </c>
      <c r="AD21" s="15">
        <v>7.0000000000000007E-2</v>
      </c>
      <c r="AE21" s="15">
        <v>0.08</v>
      </c>
      <c r="AF21" s="15">
        <v>0.05</v>
      </c>
      <c r="AG21" s="15">
        <v>0.18</v>
      </c>
      <c r="AH21" s="15">
        <v>0.12</v>
      </c>
      <c r="AI21" s="15">
        <v>0.06</v>
      </c>
      <c r="AJ21" s="15">
        <v>0.11</v>
      </c>
      <c r="AK21" s="15">
        <v>0.06</v>
      </c>
      <c r="AL21" s="15">
        <v>0.22</v>
      </c>
      <c r="AM21" s="15">
        <v>0.04</v>
      </c>
      <c r="AN21" s="15">
        <v>0.06</v>
      </c>
      <c r="AO21" s="15">
        <v>0.28000000000000003</v>
      </c>
      <c r="AP21" s="15">
        <v>0.08</v>
      </c>
      <c r="AQ21" s="15">
        <v>0.19</v>
      </c>
    </row>
    <row r="22" spans="1:43" x14ac:dyDescent="0.35">
      <c r="A22" s="19"/>
      <c r="B22" s="11" t="s">
        <v>1715</v>
      </c>
      <c r="C22" s="12">
        <v>1311</v>
      </c>
      <c r="D22" s="12">
        <v>5</v>
      </c>
      <c r="E22" s="12">
        <v>75</v>
      </c>
      <c r="F22" s="12">
        <v>8</v>
      </c>
      <c r="G22" s="12">
        <v>12</v>
      </c>
      <c r="H22" s="12">
        <v>13</v>
      </c>
      <c r="I22" s="12">
        <v>19</v>
      </c>
      <c r="J22" s="12">
        <v>6</v>
      </c>
      <c r="K22" s="12">
        <v>56</v>
      </c>
      <c r="L22" s="12">
        <v>7</v>
      </c>
      <c r="M22" s="12">
        <v>109</v>
      </c>
      <c r="N22" s="12">
        <v>76</v>
      </c>
      <c r="O22" s="12">
        <v>51</v>
      </c>
      <c r="P22" s="12">
        <v>23</v>
      </c>
      <c r="Q22" s="12">
        <v>129</v>
      </c>
      <c r="R22" s="12">
        <v>101</v>
      </c>
      <c r="S22" s="12">
        <v>33</v>
      </c>
      <c r="T22" s="12">
        <v>62</v>
      </c>
      <c r="U22" s="12">
        <v>11</v>
      </c>
      <c r="V22" s="12">
        <v>54</v>
      </c>
      <c r="W22" s="12">
        <v>8</v>
      </c>
      <c r="X22" s="12">
        <v>6</v>
      </c>
      <c r="Y22" s="12">
        <v>54</v>
      </c>
      <c r="Z22" s="12">
        <v>8</v>
      </c>
      <c r="AA22" s="12">
        <v>84</v>
      </c>
      <c r="AB22" s="12">
        <v>67</v>
      </c>
      <c r="AC22" s="12">
        <v>132</v>
      </c>
      <c r="AD22" s="12">
        <v>18</v>
      </c>
      <c r="AE22" s="12">
        <v>14</v>
      </c>
      <c r="AF22" s="12">
        <v>5</v>
      </c>
      <c r="AG22" s="12">
        <v>4</v>
      </c>
      <c r="AH22" s="12">
        <v>36</v>
      </c>
      <c r="AI22" s="12">
        <v>0</v>
      </c>
      <c r="AJ22" s="12">
        <v>20</v>
      </c>
      <c r="AK22" s="12">
        <v>139</v>
      </c>
      <c r="AL22" s="12">
        <v>34</v>
      </c>
      <c r="AM22" s="12">
        <v>16</v>
      </c>
      <c r="AN22" s="12">
        <v>39</v>
      </c>
      <c r="AO22" s="12">
        <v>64</v>
      </c>
      <c r="AP22" s="12">
        <v>1</v>
      </c>
      <c r="AQ22" s="12">
        <v>76</v>
      </c>
    </row>
    <row r="23" spans="1:43" x14ac:dyDescent="0.35">
      <c r="A23" s="19"/>
      <c r="B23" s="13" t="s">
        <v>1716</v>
      </c>
      <c r="C23" s="15">
        <v>0.05</v>
      </c>
      <c r="D23" s="15">
        <v>0.01</v>
      </c>
      <c r="E23" s="15">
        <v>7.0000000000000007E-2</v>
      </c>
      <c r="F23" s="15">
        <v>0.01</v>
      </c>
      <c r="G23" s="15">
        <v>0.01</v>
      </c>
      <c r="H23" s="15">
        <v>0.01</v>
      </c>
      <c r="I23" s="15">
        <v>0.01</v>
      </c>
      <c r="J23" s="15">
        <v>0.02</v>
      </c>
      <c r="K23" s="15">
        <v>0.06</v>
      </c>
      <c r="L23" s="15">
        <v>0.01</v>
      </c>
      <c r="M23" s="15">
        <v>0.11</v>
      </c>
      <c r="N23" s="15">
        <v>0.08</v>
      </c>
      <c r="O23" s="15">
        <v>0.05</v>
      </c>
      <c r="P23" s="15">
        <v>0.02</v>
      </c>
      <c r="Q23" s="15">
        <v>0.13</v>
      </c>
      <c r="R23" s="15">
        <v>0.2</v>
      </c>
      <c r="S23" s="15">
        <v>0.03</v>
      </c>
      <c r="T23" s="15">
        <v>0.06</v>
      </c>
      <c r="U23" s="15">
        <v>0.02</v>
      </c>
      <c r="V23" s="15">
        <v>0.05</v>
      </c>
      <c r="W23" s="15">
        <v>0.01</v>
      </c>
      <c r="X23" s="15">
        <v>0.01</v>
      </c>
      <c r="Y23" s="15">
        <v>0.05</v>
      </c>
      <c r="Z23" s="15">
        <v>0.01</v>
      </c>
      <c r="AA23" s="15">
        <v>0.08</v>
      </c>
      <c r="AB23" s="15">
        <v>0.06</v>
      </c>
      <c r="AC23" s="15">
        <v>0.13</v>
      </c>
      <c r="AD23" s="15">
        <v>0.02</v>
      </c>
      <c r="AE23" s="15">
        <v>0.02</v>
      </c>
      <c r="AF23" s="14" t="s">
        <v>475</v>
      </c>
      <c r="AG23" s="14" t="s">
        <v>475</v>
      </c>
      <c r="AH23" s="15">
        <v>0.03</v>
      </c>
      <c r="AI23" s="14" t="s">
        <v>475</v>
      </c>
      <c r="AJ23" s="15">
        <v>0.02</v>
      </c>
      <c r="AK23" s="15">
        <v>0.14000000000000001</v>
      </c>
      <c r="AL23" s="15">
        <v>0.03</v>
      </c>
      <c r="AM23" s="15">
        <v>0.02</v>
      </c>
      <c r="AN23" s="15">
        <v>0.04</v>
      </c>
      <c r="AO23" s="15">
        <v>0.06</v>
      </c>
      <c r="AP23" s="14" t="s">
        <v>475</v>
      </c>
      <c r="AQ23" s="15">
        <v>0.08</v>
      </c>
    </row>
    <row r="24" spans="1:43" x14ac:dyDescent="0.35">
      <c r="A24" s="19"/>
      <c r="B24" s="11" t="s">
        <v>485</v>
      </c>
      <c r="C24" s="12">
        <v>1425</v>
      </c>
      <c r="D24" s="12">
        <v>11</v>
      </c>
      <c r="E24" s="12">
        <v>104</v>
      </c>
      <c r="F24" s="12">
        <v>13</v>
      </c>
      <c r="G24" s="12">
        <v>30</v>
      </c>
      <c r="H24" s="12">
        <v>29</v>
      </c>
      <c r="I24" s="12">
        <v>31</v>
      </c>
      <c r="J24" s="12">
        <v>3</v>
      </c>
      <c r="K24" s="12">
        <v>129</v>
      </c>
      <c r="L24" s="12">
        <v>72</v>
      </c>
      <c r="M24" s="12">
        <v>104</v>
      </c>
      <c r="N24" s="12">
        <v>46</v>
      </c>
      <c r="O24" s="12">
        <v>132</v>
      </c>
      <c r="P24" s="12">
        <v>24</v>
      </c>
      <c r="Q24" s="12">
        <v>42</v>
      </c>
      <c r="R24" s="12">
        <v>78</v>
      </c>
      <c r="S24" s="12">
        <v>257</v>
      </c>
      <c r="T24" s="12">
        <v>243</v>
      </c>
      <c r="U24" s="12">
        <v>44</v>
      </c>
      <c r="V24" s="12">
        <v>16</v>
      </c>
      <c r="W24" s="12">
        <v>102</v>
      </c>
      <c r="X24" s="12">
        <v>7</v>
      </c>
      <c r="Y24" s="12">
        <v>44</v>
      </c>
      <c r="Z24" s="12">
        <v>20</v>
      </c>
      <c r="AA24" s="12">
        <v>78</v>
      </c>
      <c r="AB24" s="12">
        <v>95</v>
      </c>
      <c r="AC24" s="12">
        <v>94</v>
      </c>
      <c r="AD24" s="12">
        <v>33</v>
      </c>
      <c r="AE24" s="12">
        <v>63</v>
      </c>
      <c r="AF24" s="12">
        <v>7</v>
      </c>
      <c r="AG24" s="12">
        <v>0</v>
      </c>
      <c r="AH24" s="12">
        <v>37</v>
      </c>
      <c r="AI24" s="12">
        <v>0</v>
      </c>
      <c r="AJ24" s="12">
        <v>72</v>
      </c>
      <c r="AK24" s="12">
        <v>37</v>
      </c>
      <c r="AL24" s="12">
        <v>115</v>
      </c>
      <c r="AM24" s="12">
        <v>55</v>
      </c>
      <c r="AN24" s="12">
        <v>36</v>
      </c>
      <c r="AO24" s="12">
        <v>193</v>
      </c>
      <c r="AP24" s="12">
        <v>0</v>
      </c>
      <c r="AQ24" s="12">
        <v>199</v>
      </c>
    </row>
    <row r="25" spans="1:43" x14ac:dyDescent="0.35">
      <c r="A25" s="19"/>
      <c r="B25" s="13" t="s">
        <v>486</v>
      </c>
      <c r="C25" s="15">
        <v>0.05</v>
      </c>
      <c r="D25" s="15">
        <v>0.01</v>
      </c>
      <c r="E25" s="15">
        <v>0.1</v>
      </c>
      <c r="F25" s="15">
        <v>0.01</v>
      </c>
      <c r="G25" s="15">
        <v>0.03</v>
      </c>
      <c r="H25" s="15">
        <v>0.02</v>
      </c>
      <c r="I25" s="15">
        <v>0.02</v>
      </c>
      <c r="J25" s="15">
        <v>0.01</v>
      </c>
      <c r="K25" s="15">
        <v>0.13</v>
      </c>
      <c r="L25" s="15">
        <v>7.0000000000000007E-2</v>
      </c>
      <c r="M25" s="15">
        <v>0.1</v>
      </c>
      <c r="N25" s="15">
        <v>0.04</v>
      </c>
      <c r="O25" s="15">
        <v>0.13</v>
      </c>
      <c r="P25" s="15">
        <v>0.02</v>
      </c>
      <c r="Q25" s="15">
        <v>0.04</v>
      </c>
      <c r="R25" s="15">
        <v>0.15</v>
      </c>
      <c r="S25" s="15">
        <v>0.26</v>
      </c>
      <c r="T25" s="15">
        <v>0.24</v>
      </c>
      <c r="U25" s="15">
        <v>0.09</v>
      </c>
      <c r="V25" s="15">
        <v>0.02</v>
      </c>
      <c r="W25" s="15">
        <v>0.2</v>
      </c>
      <c r="X25" s="15">
        <v>0.01</v>
      </c>
      <c r="Y25" s="15">
        <v>0.04</v>
      </c>
      <c r="Z25" s="15">
        <v>0.02</v>
      </c>
      <c r="AA25" s="15">
        <v>0.08</v>
      </c>
      <c r="AB25" s="15">
        <v>0.09</v>
      </c>
      <c r="AC25" s="15">
        <v>0.1</v>
      </c>
      <c r="AD25" s="15">
        <v>0.03</v>
      </c>
      <c r="AE25" s="15">
        <v>0.06</v>
      </c>
      <c r="AF25" s="15">
        <v>0.01</v>
      </c>
      <c r="AG25" s="14" t="s">
        <v>475</v>
      </c>
      <c r="AH25" s="15">
        <v>0.04</v>
      </c>
      <c r="AI25" s="14" t="s">
        <v>475</v>
      </c>
      <c r="AJ25" s="15">
        <v>7.0000000000000007E-2</v>
      </c>
      <c r="AK25" s="15">
        <v>0.04</v>
      </c>
      <c r="AL25" s="15">
        <v>0.11</v>
      </c>
      <c r="AM25" s="15">
        <v>0.05</v>
      </c>
      <c r="AN25" s="15">
        <v>0.03</v>
      </c>
      <c r="AO25" s="15">
        <v>0.19</v>
      </c>
      <c r="AP25" s="14" t="s">
        <v>475</v>
      </c>
      <c r="AQ25" s="15">
        <v>0.2</v>
      </c>
    </row>
    <row r="26" spans="1:43" x14ac:dyDescent="0.35">
      <c r="A26" s="19"/>
      <c r="B26" s="11" t="s">
        <v>1475</v>
      </c>
      <c r="C26" s="12">
        <v>5.4</v>
      </c>
      <c r="D26" s="12">
        <v>5.35</v>
      </c>
      <c r="E26" s="12">
        <v>5.8</v>
      </c>
      <c r="F26" s="12">
        <v>5.6</v>
      </c>
      <c r="G26" s="12">
        <v>5.28</v>
      </c>
      <c r="H26" s="12">
        <v>5.13</v>
      </c>
      <c r="I26" s="12">
        <v>5.14</v>
      </c>
      <c r="J26" s="12">
        <v>5.2</v>
      </c>
      <c r="K26" s="12">
        <v>5.81</v>
      </c>
      <c r="L26" s="12">
        <v>5.04</v>
      </c>
      <c r="M26" s="12">
        <v>5.22</v>
      </c>
      <c r="N26" s="12">
        <v>4.93</v>
      </c>
      <c r="O26" s="12">
        <v>5.45</v>
      </c>
      <c r="P26" s="12">
        <v>5.82</v>
      </c>
      <c r="Q26" s="12">
        <v>5.77</v>
      </c>
      <c r="R26" s="12">
        <v>5.84</v>
      </c>
      <c r="S26" s="12">
        <v>5.95</v>
      </c>
      <c r="T26" s="12">
        <v>5.27</v>
      </c>
      <c r="U26" s="12">
        <v>5.2</v>
      </c>
      <c r="V26" s="12">
        <v>5.74</v>
      </c>
      <c r="W26" s="12">
        <v>5.58</v>
      </c>
      <c r="X26" s="12">
        <v>5.01</v>
      </c>
      <c r="Y26" s="12">
        <v>5.44</v>
      </c>
      <c r="Z26" s="12">
        <v>5.89</v>
      </c>
      <c r="AA26" s="12">
        <v>5.68</v>
      </c>
      <c r="AB26" s="12">
        <v>5.65</v>
      </c>
      <c r="AC26" s="12">
        <v>5.37</v>
      </c>
      <c r="AD26" s="12">
        <v>5.62</v>
      </c>
      <c r="AE26" s="12">
        <v>5.64</v>
      </c>
      <c r="AF26" s="12">
        <v>4.78</v>
      </c>
      <c r="AG26" s="12">
        <v>5.99</v>
      </c>
      <c r="AH26" s="12">
        <v>5.75</v>
      </c>
      <c r="AI26" s="12">
        <v>4.84</v>
      </c>
      <c r="AJ26" s="12">
        <v>5.63</v>
      </c>
      <c r="AK26" s="12">
        <v>4.8899999999999997</v>
      </c>
      <c r="AL26" s="12">
        <v>6.11</v>
      </c>
      <c r="AM26" s="12">
        <v>5.01</v>
      </c>
      <c r="AN26" s="12">
        <v>5.42</v>
      </c>
      <c r="AO26" s="12">
        <v>6.36</v>
      </c>
      <c r="AP26" s="12">
        <v>4.6100000000000003</v>
      </c>
      <c r="AQ26" s="12">
        <v>6.42</v>
      </c>
    </row>
    <row r="27" spans="1:43" x14ac:dyDescent="0.35">
      <c r="A27" s="19"/>
      <c r="B27" s="13" t="s">
        <v>1476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94FB68C7-A4E8-4CC6-B0EC-7ECDA4B69FB6}"/>
</file>

<file path=customXml/itemProps2.xml><?xml version="1.0" encoding="utf-8"?>
<ds:datastoreItem xmlns:ds="http://schemas.openxmlformats.org/officeDocument/2006/customXml" ds:itemID="{8606FAB1-096F-4151-957F-A99A89F00B55}">
  <ds:schemaRefs>
    <ds:schemaRef ds:uri="http://schemas.microsoft.com/sharepoint/v3/contenttype/forms"/>
  </ds:schemaRefs>
</ds:datastoreItem>
</file>

<file path=customXml/itemProps3.xml><?xml version="1.0" encoding="utf-8"?>
<ds:datastoreItem xmlns:ds="http://schemas.openxmlformats.org/officeDocument/2006/customXml" ds:itemID="{58F6DD76-6EAE-4BDF-9EFD-598B10A9B0DE}">
  <ds:schemaRefs>
    <ds:schemaRef ds:uri="http://purl.org/dc/elements/1.1/"/>
    <ds:schemaRef ds:uri="http://purl.org/dc/dcmitype/"/>
    <ds:schemaRef ds:uri="http://purl.org/dc/terms/"/>
    <ds:schemaRef ds:uri="http://schemas.openxmlformats.org/package/2006/metadata/core-properties"/>
    <ds:schemaRef ds:uri="http://schemas.microsoft.com/office/2006/documentManagement/types"/>
    <ds:schemaRef ds:uri="637aacdb-c387-4ea0-89e8-ea3f50f4bc69"/>
    <ds:schemaRef ds:uri="7e6d735e-8e15-4fea-907e-58913c344cbe"/>
    <ds:schemaRef ds:uri="4ed66ea5-57f6-4ab0-b6fd-42c455cfd624"/>
    <ds:schemaRef ds:uri="http://schemas.microsoft.com/office/2006/metadata/properties"/>
    <ds:schemaRef ds:uri="http://www.w3.org/XML/1998/namespace"/>
    <ds:schemaRef ds:uri="http://schemas.microsoft.com/office/infopath/2007/PartnerControls"/>
    <ds:schemaRef ds:uri="91205cbf-0c9f-43ab-933a-e4a5a41668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209</vt:i4>
      </vt:variant>
    </vt:vector>
  </HeadingPairs>
  <TitlesOfParts>
    <vt:vector size="209" baseType="lpstr">
      <vt:lpstr>Content</vt:lpstr>
      <vt:lpstr>B</vt:lpstr>
      <vt:lpstr>D70</vt:lpstr>
      <vt:lpstr>D70a</vt:lpstr>
      <vt:lpstr>D71_1</vt:lpstr>
      <vt:lpstr>D71_2</vt:lpstr>
      <vt:lpstr>D71_3</vt:lpstr>
      <vt:lpstr>C2</vt:lpstr>
      <vt:lpstr>QA1_1</vt:lpstr>
      <vt:lpstr>QA1_2</vt:lpstr>
      <vt:lpstr>QA1_3</vt:lpstr>
      <vt:lpstr>QA1_4</vt:lpstr>
      <vt:lpstr>QA1_5</vt:lpstr>
      <vt:lpstr>QA1_6</vt:lpstr>
      <vt:lpstr>QA1_7</vt:lpstr>
      <vt:lpstr>QA2_1</vt:lpstr>
      <vt:lpstr>QA2_2</vt:lpstr>
      <vt:lpstr>QA2_3</vt:lpstr>
      <vt:lpstr>QA2_4</vt:lpstr>
      <vt:lpstr>QA2_5</vt:lpstr>
      <vt:lpstr>QA2_6</vt:lpstr>
      <vt:lpstr>QA2_7</vt:lpstr>
      <vt:lpstr>QA3</vt:lpstr>
      <vt:lpstr>QA4</vt:lpstr>
      <vt:lpstr>QA5</vt:lpstr>
      <vt:lpstr>D73_1</vt:lpstr>
      <vt:lpstr>D73_2</vt:lpstr>
      <vt:lpstr>D73_3</vt:lpstr>
      <vt:lpstr>D73_4</vt:lpstr>
      <vt:lpstr>QA6_1</vt:lpstr>
      <vt:lpstr>QA6_2</vt:lpstr>
      <vt:lpstr>QA6_3</vt:lpstr>
      <vt:lpstr>QA6_4</vt:lpstr>
      <vt:lpstr>QA6_5</vt:lpstr>
      <vt:lpstr>QA6_6</vt:lpstr>
      <vt:lpstr>QA6_7</vt:lpstr>
      <vt:lpstr>QA6_8</vt:lpstr>
      <vt:lpstr>QA6_9</vt:lpstr>
      <vt:lpstr>QA6_10</vt:lpstr>
      <vt:lpstr>QA6_11</vt:lpstr>
      <vt:lpstr>D78</vt:lpstr>
      <vt:lpstr>QA7_1</vt:lpstr>
      <vt:lpstr>QA7_2</vt:lpstr>
      <vt:lpstr>QA7_3</vt:lpstr>
      <vt:lpstr>QA7_4</vt:lpstr>
      <vt:lpstr>QA8_1</vt:lpstr>
      <vt:lpstr>QA8_2</vt:lpstr>
      <vt:lpstr>QA8_3</vt:lpstr>
      <vt:lpstr>QA8_4</vt:lpstr>
      <vt:lpstr>QA9a</vt:lpstr>
      <vt:lpstr>QA9b</vt:lpstr>
      <vt:lpstr>QA9c</vt:lpstr>
      <vt:lpstr>QA9d</vt:lpstr>
      <vt:lpstr>QA9e</vt:lpstr>
      <vt:lpstr>QA9f</vt:lpstr>
      <vt:lpstr>QA10_1</vt:lpstr>
      <vt:lpstr>QA10_2</vt:lpstr>
      <vt:lpstr>QA10_4</vt:lpstr>
      <vt:lpstr>QA11</vt:lpstr>
      <vt:lpstr>SD18a</vt:lpstr>
      <vt:lpstr>SD18b</vt:lpstr>
      <vt:lpstr>SD19a_1</vt:lpstr>
      <vt:lpstr>SD19a_2</vt:lpstr>
      <vt:lpstr>SD19a_3</vt:lpstr>
      <vt:lpstr>QA12</vt:lpstr>
      <vt:lpstr>QB1_1</vt:lpstr>
      <vt:lpstr>QB1_2</vt:lpstr>
      <vt:lpstr>QB1_3</vt:lpstr>
      <vt:lpstr>QB1_4</vt:lpstr>
      <vt:lpstr>QB1_5</vt:lpstr>
      <vt:lpstr>QB1_6</vt:lpstr>
      <vt:lpstr>QB1_7</vt:lpstr>
      <vt:lpstr>QB1_8</vt:lpstr>
      <vt:lpstr>QB1_9</vt:lpstr>
      <vt:lpstr>QB1_10</vt:lpstr>
      <vt:lpstr>QB1_11</vt:lpstr>
      <vt:lpstr>QB2_1</vt:lpstr>
      <vt:lpstr>QB2_2</vt:lpstr>
      <vt:lpstr>QB2_3</vt:lpstr>
      <vt:lpstr>QB2_4</vt:lpstr>
      <vt:lpstr>QB2_5</vt:lpstr>
      <vt:lpstr>QB3</vt:lpstr>
      <vt:lpstr>QB4_1</vt:lpstr>
      <vt:lpstr>QB4_2</vt:lpstr>
      <vt:lpstr>QB5a</vt:lpstr>
      <vt:lpstr>QB5b</vt:lpstr>
      <vt:lpstr>QB5ab</vt:lpstr>
      <vt:lpstr>QB6a</vt:lpstr>
      <vt:lpstr>QB6b</vt:lpstr>
      <vt:lpstr>QB6ab</vt:lpstr>
      <vt:lpstr>QB7</vt:lpstr>
      <vt:lpstr>QB8</vt:lpstr>
      <vt:lpstr>QB9</vt:lpstr>
      <vt:lpstr>QB10_1</vt:lpstr>
      <vt:lpstr>QB10_2</vt:lpstr>
      <vt:lpstr>QB10_3</vt:lpstr>
      <vt:lpstr>QB11_1</vt:lpstr>
      <vt:lpstr>QB11_2</vt:lpstr>
      <vt:lpstr>QC1_1</vt:lpstr>
      <vt:lpstr>QC1_2</vt:lpstr>
      <vt:lpstr>QC1_3</vt:lpstr>
      <vt:lpstr>QC1_4</vt:lpstr>
      <vt:lpstr>QC2_1</vt:lpstr>
      <vt:lpstr>QC2_2</vt:lpstr>
      <vt:lpstr>QC2_3</vt:lpstr>
      <vt:lpstr>QC3a</vt:lpstr>
      <vt:lpstr>QC3b</vt:lpstr>
      <vt:lpstr>QC3ab</vt:lpstr>
      <vt:lpstr>QC4</vt:lpstr>
      <vt:lpstr>QC5_1</vt:lpstr>
      <vt:lpstr>QC5_2</vt:lpstr>
      <vt:lpstr>QC5_3</vt:lpstr>
      <vt:lpstr>SD20a_1</vt:lpstr>
      <vt:lpstr>SD20a_2</vt:lpstr>
      <vt:lpstr>SD20a_3</vt:lpstr>
      <vt:lpstr>SD20aR1</vt:lpstr>
      <vt:lpstr>SD20aR2</vt:lpstr>
      <vt:lpstr>QD1_1</vt:lpstr>
      <vt:lpstr>QD1_2</vt:lpstr>
      <vt:lpstr>QD2_1</vt:lpstr>
      <vt:lpstr>QD2_2</vt:lpstr>
      <vt:lpstr>QD2_3</vt:lpstr>
      <vt:lpstr>QD2_4</vt:lpstr>
      <vt:lpstr>QD2_5</vt:lpstr>
      <vt:lpstr>QD3_1</vt:lpstr>
      <vt:lpstr>QD3_2</vt:lpstr>
      <vt:lpstr>QD3_3</vt:lpstr>
      <vt:lpstr>QD3_4</vt:lpstr>
      <vt:lpstr>QD3_5</vt:lpstr>
      <vt:lpstr>QD3_6</vt:lpstr>
      <vt:lpstr>QD3_7</vt:lpstr>
      <vt:lpstr>QD3_8</vt:lpstr>
      <vt:lpstr>QD3_9</vt:lpstr>
      <vt:lpstr>QD3_10</vt:lpstr>
      <vt:lpstr>QE1</vt:lpstr>
      <vt:lpstr>QE2_1</vt:lpstr>
      <vt:lpstr>QE2_2</vt:lpstr>
      <vt:lpstr>QE2_3</vt:lpstr>
      <vt:lpstr>QE2_4</vt:lpstr>
      <vt:lpstr>QE2_5</vt:lpstr>
      <vt:lpstr>QE2_6</vt:lpstr>
      <vt:lpstr>QE2_7</vt:lpstr>
      <vt:lpstr>QE2R</vt:lpstr>
      <vt:lpstr>C4</vt:lpstr>
      <vt:lpstr>QE3_1</vt:lpstr>
      <vt:lpstr>QE3_2</vt:lpstr>
      <vt:lpstr>QE3_3</vt:lpstr>
      <vt:lpstr>QE3_4</vt:lpstr>
      <vt:lpstr>QE3_5</vt:lpstr>
      <vt:lpstr>C5</vt:lpstr>
      <vt:lpstr>QE4a</vt:lpstr>
      <vt:lpstr>QE4b</vt:lpstr>
      <vt:lpstr>QE4ab</vt:lpstr>
      <vt:lpstr>QE5</vt:lpstr>
      <vt:lpstr>QE6_1</vt:lpstr>
      <vt:lpstr>QE6_2</vt:lpstr>
      <vt:lpstr>QE6_3</vt:lpstr>
      <vt:lpstr>QE6_4</vt:lpstr>
      <vt:lpstr>QE6R_1</vt:lpstr>
      <vt:lpstr>QE6R_2</vt:lpstr>
      <vt:lpstr>QE6R_3</vt:lpstr>
      <vt:lpstr>QE6R_4</vt:lpstr>
      <vt:lpstr>QE7_1</vt:lpstr>
      <vt:lpstr>QE7_2</vt:lpstr>
      <vt:lpstr>QE7_3</vt:lpstr>
      <vt:lpstr>QE7_4</vt:lpstr>
      <vt:lpstr>QE8_1</vt:lpstr>
      <vt:lpstr>QE8_2</vt:lpstr>
      <vt:lpstr>QE8_3</vt:lpstr>
      <vt:lpstr>QE8_4</vt:lpstr>
      <vt:lpstr>QF1</vt:lpstr>
      <vt:lpstr>QF2a</vt:lpstr>
      <vt:lpstr>QF2b</vt:lpstr>
      <vt:lpstr>QF2ab</vt:lpstr>
      <vt:lpstr>QF3a</vt:lpstr>
      <vt:lpstr>QF3b</vt:lpstr>
      <vt:lpstr>QF3ab</vt:lpstr>
      <vt:lpstr>QF4</vt:lpstr>
      <vt:lpstr>D11</vt:lpstr>
      <vt:lpstr>D11R</vt:lpstr>
      <vt:lpstr>D11bis</vt:lpstr>
      <vt:lpstr>D11G</vt:lpstr>
      <vt:lpstr>D7</vt:lpstr>
      <vt:lpstr>D7R1</vt:lpstr>
      <vt:lpstr>D7R2</vt:lpstr>
      <vt:lpstr>D8</vt:lpstr>
      <vt:lpstr>D8c</vt:lpstr>
      <vt:lpstr>D10</vt:lpstr>
      <vt:lpstr>D15a</vt:lpstr>
      <vt:lpstr>D15a2</vt:lpstr>
      <vt:lpstr>C14</vt:lpstr>
      <vt:lpstr>D15b</vt:lpstr>
      <vt:lpstr>D15b2</vt:lpstr>
      <vt:lpstr>D25</vt:lpstr>
      <vt:lpstr>D40a</vt:lpstr>
      <vt:lpstr>D40b</vt:lpstr>
      <vt:lpstr>D40c</vt:lpstr>
      <vt:lpstr>D40</vt:lpstr>
      <vt:lpstr>D40R</vt:lpstr>
      <vt:lpstr>D60</vt:lpstr>
      <vt:lpstr>D62_1</vt:lpstr>
      <vt:lpstr>D62_2</vt:lpstr>
      <vt:lpstr>D62_3</vt:lpstr>
      <vt:lpstr>D62_4</vt:lpstr>
      <vt:lpstr>D62R</vt:lpstr>
      <vt:lpstr>D63</vt:lpstr>
      <vt:lpstr>D1</vt:lpstr>
      <vt:lpstr>D1R1</vt:lpstr>
      <vt:lpstr>D1R2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Alban Versailles</cp:lastModifiedBy>
  <cp:revision/>
  <dcterms:created xsi:type="dcterms:W3CDTF">2025-11-12T01:47:49Z</dcterms:created>
  <dcterms:modified xsi:type="dcterms:W3CDTF">2026-01-13T10:28:28Z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